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mc:AlternateContent xmlns:mc="http://schemas.openxmlformats.org/markup-compatibility/2006">
    <mc:Choice Requires="x15">
      <x15ac:absPath xmlns:x15ac="http://schemas.microsoft.com/office/spreadsheetml/2010/11/ac" url="C:\Users\DELL\Downloads\"/>
    </mc:Choice>
  </mc:AlternateContent>
  <xr:revisionPtr revIDLastSave="0" documentId="8_{8EA4D0E8-46F6-4487-BEE3-EDCE352892B5}" xr6:coauthVersionLast="47" xr6:coauthVersionMax="47" xr10:uidLastSave="{00000000-0000-0000-0000-000000000000}"/>
  <bookViews>
    <workbookView xWindow="-110" yWindow="-110" windowWidth="25820" windowHeight="15500" tabRatio="980" activeTab="5" xr2:uid="{00000000-000D-0000-FFFF-FFFF00000000}"/>
  </bookViews>
  <sheets>
    <sheet name="TOC" sheetId="1" r:id="rId1"/>
    <sheet name="Instructions" sheetId="2" r:id="rId2"/>
    <sheet name="Mapping" sheetId="3" r:id="rId3"/>
    <sheet name="Not matched" sheetId="4" r:id="rId4"/>
    <sheet name="Accounts without a block" sheetId="5" r:id="rId5"/>
    <sheet name="Upload summary" sheetId="6" r:id="rId6"/>
    <sheet name="Blocks" sheetId="7" r:id="rId7"/>
    <sheet name="E-Banker master" sheetId="8" r:id="rId8"/>
    <sheet name="Loan Book" sheetId="9" r:id="rId9"/>
    <sheet name="Amortisation and Repayments" sheetId="10" r:id="rId10"/>
    <sheet name="Sheet2" sheetId="11" state="hidden" r:id="rId11"/>
    <sheet name="Sheet1" sheetId="12" state="hidden" r:id="rId12"/>
  </sheets>
  <externalReferences>
    <externalReference r:id="rId13"/>
    <externalReference r:id="rId14"/>
    <externalReference r:id="rId15"/>
    <externalReference r:id="rId16"/>
    <externalReference r:id="rId17"/>
    <externalReference r:id="rId18"/>
  </externalReferences>
  <definedNames>
    <definedName name="_xlnm._FilterDatabase" localSheetId="8" hidden="1">'Loan Book'!$A$1:$AP$137</definedName>
    <definedName name="_xlnm.Print_Area" localSheetId="9">'Amortisation and Repayments'!$C$5553:$J$5564</definedName>
    <definedName name="_xlnm.Print_Area" localSheetId="8">'Loan Book'!$E$5:$R$109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R3" i="6" l="1"/>
  <c r="AR4" i="6"/>
  <c r="AR5" i="6"/>
  <c r="AR6" i="6"/>
  <c r="AR7" i="6"/>
  <c r="AR8" i="6"/>
  <c r="AR9" i="6"/>
  <c r="AR10" i="6"/>
  <c r="AR11" i="6"/>
  <c r="AR12" i="6"/>
  <c r="AR13" i="6"/>
  <c r="AR14" i="6"/>
  <c r="AR15" i="6"/>
  <c r="AR16" i="6"/>
  <c r="AR17" i="6"/>
  <c r="AR18" i="6"/>
  <c r="AR19" i="6"/>
  <c r="AR20" i="6"/>
  <c r="AR21" i="6"/>
  <c r="AR22" i="6"/>
  <c r="AR23" i="6"/>
  <c r="AR24" i="6"/>
  <c r="AR25" i="6"/>
  <c r="AR26" i="6"/>
  <c r="AR27" i="6"/>
  <c r="AR28" i="6"/>
  <c r="AR29" i="6"/>
  <c r="AR30" i="6"/>
  <c r="AR31" i="6"/>
  <c r="AR32" i="6"/>
  <c r="AR33" i="6"/>
  <c r="AR34" i="6"/>
  <c r="AR35" i="6"/>
  <c r="AR36" i="6"/>
  <c r="AR37" i="6"/>
  <c r="AR38" i="6"/>
  <c r="AR39" i="6"/>
  <c r="AR40" i="6"/>
  <c r="AR41" i="6"/>
  <c r="AR42" i="6"/>
  <c r="AR43" i="6"/>
  <c r="AR44" i="6"/>
  <c r="AR45" i="6"/>
  <c r="AR46" i="6"/>
  <c r="AR47" i="6"/>
  <c r="AR48" i="6"/>
  <c r="AR49" i="6"/>
  <c r="AR50" i="6"/>
  <c r="AR51" i="6"/>
  <c r="AR52" i="6"/>
  <c r="AR53" i="6"/>
  <c r="AR54" i="6"/>
  <c r="AR55" i="6"/>
  <c r="AR56" i="6"/>
  <c r="AR57" i="6"/>
  <c r="AR58" i="6"/>
  <c r="AR59" i="6"/>
  <c r="AR60" i="6"/>
  <c r="AR61" i="6"/>
  <c r="AR62" i="6"/>
  <c r="AR63" i="6"/>
  <c r="AR64" i="6"/>
  <c r="AR65" i="6"/>
  <c r="AR66" i="6"/>
  <c r="AR67" i="6"/>
  <c r="AR68" i="6"/>
  <c r="AR69" i="6"/>
  <c r="AR70" i="6"/>
  <c r="AR71" i="6"/>
  <c r="AR72" i="6"/>
  <c r="AR73" i="6"/>
  <c r="AR74" i="6"/>
  <c r="AR75" i="6"/>
  <c r="AR76" i="6"/>
  <c r="AR77" i="6"/>
  <c r="AR78" i="6"/>
  <c r="AR79" i="6"/>
  <c r="AR80" i="6"/>
  <c r="AR81" i="6"/>
  <c r="AR82" i="6"/>
  <c r="AR83" i="6"/>
  <c r="AR84" i="6"/>
  <c r="AR85" i="6"/>
  <c r="AR86" i="6"/>
  <c r="AR87" i="6"/>
  <c r="AR88" i="6"/>
  <c r="AR89" i="6"/>
  <c r="AR90" i="6"/>
  <c r="AR91" i="6"/>
  <c r="AR92" i="6"/>
  <c r="AR93" i="6"/>
  <c r="AR94" i="6"/>
  <c r="AR95" i="6"/>
  <c r="AR96" i="6"/>
  <c r="AR97" i="6"/>
  <c r="AR98" i="6"/>
  <c r="AR99" i="6"/>
  <c r="AR100" i="6"/>
  <c r="AR101" i="6"/>
  <c r="AR102" i="6"/>
  <c r="AR103" i="6"/>
  <c r="AR104" i="6"/>
  <c r="AR2" i="6"/>
  <c r="AP3" i="6"/>
  <c r="AP4" i="6"/>
  <c r="AP5" i="6"/>
  <c r="AP6" i="6"/>
  <c r="AP7" i="6"/>
  <c r="AP8" i="6"/>
  <c r="AP9" i="6"/>
  <c r="AP10" i="6"/>
  <c r="AP11" i="6"/>
  <c r="AP12" i="6"/>
  <c r="AP13" i="6"/>
  <c r="AP14" i="6"/>
  <c r="AP15" i="6"/>
  <c r="AP16" i="6"/>
  <c r="AP17" i="6"/>
  <c r="AP18" i="6"/>
  <c r="AP19" i="6"/>
  <c r="AP20" i="6"/>
  <c r="AP21" i="6"/>
  <c r="AP22" i="6"/>
  <c r="AP23" i="6"/>
  <c r="AP24" i="6"/>
  <c r="AP25" i="6"/>
  <c r="AP26" i="6"/>
  <c r="AP27" i="6"/>
  <c r="AP28" i="6"/>
  <c r="AP29" i="6"/>
  <c r="AP30" i="6"/>
  <c r="AP31" i="6"/>
  <c r="AP32" i="6"/>
  <c r="AP33" i="6"/>
  <c r="AP34" i="6"/>
  <c r="AP35" i="6"/>
  <c r="AP36" i="6"/>
  <c r="AP37" i="6"/>
  <c r="AP38" i="6"/>
  <c r="AP39" i="6"/>
  <c r="AP40" i="6"/>
  <c r="AP41" i="6"/>
  <c r="AP42" i="6"/>
  <c r="AP43" i="6"/>
  <c r="AP44" i="6"/>
  <c r="AP45" i="6"/>
  <c r="AP46" i="6"/>
  <c r="AP47" i="6"/>
  <c r="AP48" i="6"/>
  <c r="AP49" i="6"/>
  <c r="AP50" i="6"/>
  <c r="AP51" i="6"/>
  <c r="AP52" i="6"/>
  <c r="AP53" i="6"/>
  <c r="AP54" i="6"/>
  <c r="AP55" i="6"/>
  <c r="AP56" i="6"/>
  <c r="AP57" i="6"/>
  <c r="AP58" i="6"/>
  <c r="AP59" i="6"/>
  <c r="AP60" i="6"/>
  <c r="AP61" i="6"/>
  <c r="AP62" i="6"/>
  <c r="AP63" i="6"/>
  <c r="AP64" i="6"/>
  <c r="AP65" i="6"/>
  <c r="AP66" i="6"/>
  <c r="AP67" i="6"/>
  <c r="AP68" i="6"/>
  <c r="AP69" i="6"/>
  <c r="AP70" i="6"/>
  <c r="AP71" i="6"/>
  <c r="AP72" i="6"/>
  <c r="AP73" i="6"/>
  <c r="AP74" i="6"/>
  <c r="AP75" i="6"/>
  <c r="AP76" i="6"/>
  <c r="AP77" i="6"/>
  <c r="AP78" i="6"/>
  <c r="AP79" i="6"/>
  <c r="AP80" i="6"/>
  <c r="AP81" i="6"/>
  <c r="AP82" i="6"/>
  <c r="AP83" i="6"/>
  <c r="AP84" i="6"/>
  <c r="AP85" i="6"/>
  <c r="AP86" i="6"/>
  <c r="AP87" i="6"/>
  <c r="AP88" i="6"/>
  <c r="AP89" i="6"/>
  <c r="AP90" i="6"/>
  <c r="AP91" i="6"/>
  <c r="AP92" i="6"/>
  <c r="AP93" i="6"/>
  <c r="AP94" i="6"/>
  <c r="AP95" i="6"/>
  <c r="AP96" i="6"/>
  <c r="AP97" i="6"/>
  <c r="AP98" i="6"/>
  <c r="AP99" i="6"/>
  <c r="AP100" i="6"/>
  <c r="AP101" i="6"/>
  <c r="AP102" i="6"/>
  <c r="AP103" i="6"/>
  <c r="AP104" i="6"/>
  <c r="AP2" i="6"/>
  <c r="AO3" i="6"/>
  <c r="AO4" i="6"/>
  <c r="AO5" i="6"/>
  <c r="AO6" i="6"/>
  <c r="AO7" i="6"/>
  <c r="AO8" i="6"/>
  <c r="AO9" i="6"/>
  <c r="AO10" i="6"/>
  <c r="AO11" i="6"/>
  <c r="AO12" i="6"/>
  <c r="AO13" i="6"/>
  <c r="AO14" i="6"/>
  <c r="AO15" i="6"/>
  <c r="AO16" i="6"/>
  <c r="AO17" i="6"/>
  <c r="AO18" i="6"/>
  <c r="AO19" i="6"/>
  <c r="AO20" i="6"/>
  <c r="AO21" i="6"/>
  <c r="AO22" i="6"/>
  <c r="AO23" i="6"/>
  <c r="AO24" i="6"/>
  <c r="AO25" i="6"/>
  <c r="AO26" i="6"/>
  <c r="AO27" i="6"/>
  <c r="AO28" i="6"/>
  <c r="AO29" i="6"/>
  <c r="AO30" i="6"/>
  <c r="AO31" i="6"/>
  <c r="AO32" i="6"/>
  <c r="AO33" i="6"/>
  <c r="AO34" i="6"/>
  <c r="AO35" i="6"/>
  <c r="AO36" i="6"/>
  <c r="AO37" i="6"/>
  <c r="AO38" i="6"/>
  <c r="AO39" i="6"/>
  <c r="AO40" i="6"/>
  <c r="AO41" i="6"/>
  <c r="AO42" i="6"/>
  <c r="AO43" i="6"/>
  <c r="AO44" i="6"/>
  <c r="AO45" i="6"/>
  <c r="AO46" i="6"/>
  <c r="AO47" i="6"/>
  <c r="AO48" i="6"/>
  <c r="AO49" i="6"/>
  <c r="AO50" i="6"/>
  <c r="AO51" i="6"/>
  <c r="AO52" i="6"/>
  <c r="AO53" i="6"/>
  <c r="AO54" i="6"/>
  <c r="AO55" i="6"/>
  <c r="AO56" i="6"/>
  <c r="AO57" i="6"/>
  <c r="AO58" i="6"/>
  <c r="AO59" i="6"/>
  <c r="AO60" i="6"/>
  <c r="AO61" i="6"/>
  <c r="AO62" i="6"/>
  <c r="AO63" i="6"/>
  <c r="AO64" i="6"/>
  <c r="AO65" i="6"/>
  <c r="AO66" i="6"/>
  <c r="AO67" i="6"/>
  <c r="AO68" i="6"/>
  <c r="AO69" i="6"/>
  <c r="AO70" i="6"/>
  <c r="AO71" i="6"/>
  <c r="AO72" i="6"/>
  <c r="AO73" i="6"/>
  <c r="AO74" i="6"/>
  <c r="AO75" i="6"/>
  <c r="AO76" i="6"/>
  <c r="AO77" i="6"/>
  <c r="AO78" i="6"/>
  <c r="AO79" i="6"/>
  <c r="AO80" i="6"/>
  <c r="AO81" i="6"/>
  <c r="AO82" i="6"/>
  <c r="AO83" i="6"/>
  <c r="AO84" i="6"/>
  <c r="AO85" i="6"/>
  <c r="AO86" i="6"/>
  <c r="AO87" i="6"/>
  <c r="AO88" i="6"/>
  <c r="AO89" i="6"/>
  <c r="AO90" i="6"/>
  <c r="AO91" i="6"/>
  <c r="AO92" i="6"/>
  <c r="AO93" i="6"/>
  <c r="AO94" i="6"/>
  <c r="AO95" i="6"/>
  <c r="AO96" i="6"/>
  <c r="AO97" i="6"/>
  <c r="AO98" i="6"/>
  <c r="AO99" i="6"/>
  <c r="AO100" i="6"/>
  <c r="AO101" i="6"/>
  <c r="AO102" i="6"/>
  <c r="AO103" i="6"/>
  <c r="AO104" i="6"/>
  <c r="AO2" i="6"/>
  <c r="H33" i="12" l="1"/>
  <c r="G33" i="12"/>
  <c r="F33" i="12"/>
  <c r="I32" i="12"/>
  <c r="I31" i="12"/>
  <c r="I30" i="12"/>
  <c r="I29" i="12"/>
  <c r="I28" i="12"/>
  <c r="I27" i="12"/>
  <c r="I26" i="12"/>
  <c r="I25" i="12"/>
  <c r="I24" i="12"/>
  <c r="I23" i="12"/>
  <c r="I22" i="12"/>
  <c r="K16" i="12"/>
  <c r="J16" i="12"/>
  <c r="I16" i="12"/>
  <c r="I18" i="11"/>
  <c r="I17" i="11"/>
  <c r="I16" i="11"/>
  <c r="I15" i="11"/>
  <c r="B5624" i="10"/>
  <c r="E5588" i="10"/>
  <c r="E5587" i="10"/>
  <c r="E5586" i="10"/>
  <c r="E5585" i="10"/>
  <c r="E5584" i="10"/>
  <c r="E5583" i="10"/>
  <c r="E5582" i="10"/>
  <c r="E5581" i="10"/>
  <c r="E5580" i="10"/>
  <c r="E5579" i="10"/>
  <c r="E5578" i="10"/>
  <c r="E5577" i="10"/>
  <c r="E5576" i="10"/>
  <c r="E5575" i="10"/>
  <c r="E5574" i="10"/>
  <c r="E5573" i="10"/>
  <c r="E5572" i="10"/>
  <c r="E5571" i="10"/>
  <c r="E5570" i="10"/>
  <c r="E5569" i="10"/>
  <c r="E5568" i="10"/>
  <c r="E5567" i="10"/>
  <c r="B5567" i="10"/>
  <c r="B5568" i="10" s="1"/>
  <c r="B5569" i="10" s="1"/>
  <c r="B5570" i="10" s="1"/>
  <c r="B5571" i="10" s="1"/>
  <c r="B5572" i="10" s="1"/>
  <c r="B5573" i="10" s="1"/>
  <c r="B5574" i="10" s="1"/>
  <c r="B5575" i="10" s="1"/>
  <c r="B5576" i="10" s="1"/>
  <c r="B5577" i="10" s="1"/>
  <c r="B5578" i="10" s="1"/>
  <c r="B5579" i="10" s="1"/>
  <c r="B5580" i="10" s="1"/>
  <c r="B5581" i="10" s="1"/>
  <c r="B5582" i="10" s="1"/>
  <c r="B5583" i="10" s="1"/>
  <c r="B5584" i="10" s="1"/>
  <c r="B5585" i="10" s="1"/>
  <c r="B5586" i="10" s="1"/>
  <c r="B5587" i="10" s="1"/>
  <c r="B5588" i="10" s="1"/>
  <c r="E5566" i="10"/>
  <c r="E5565" i="10"/>
  <c r="F5564" i="10"/>
  <c r="E5564" i="10"/>
  <c r="D5561" i="10"/>
  <c r="D5559" i="10"/>
  <c r="E5547" i="10"/>
  <c r="E5546" i="10"/>
  <c r="E5545" i="10"/>
  <c r="E5544" i="10"/>
  <c r="E5543" i="10"/>
  <c r="E5542" i="10"/>
  <c r="E5541" i="10"/>
  <c r="E5540" i="10"/>
  <c r="B5540" i="10"/>
  <c r="B5541" i="10" s="1"/>
  <c r="B5542" i="10" s="1"/>
  <c r="B5543" i="10" s="1"/>
  <c r="B5544" i="10" s="1"/>
  <c r="B5545" i="10" s="1"/>
  <c r="B5546" i="10" s="1"/>
  <c r="B5547" i="10" s="1"/>
  <c r="B5548" i="10" s="1"/>
  <c r="E5539" i="10"/>
  <c r="E5538" i="10"/>
  <c r="E5537" i="10"/>
  <c r="E5536" i="10"/>
  <c r="E5535" i="10"/>
  <c r="E5534" i="10"/>
  <c r="E5533" i="10"/>
  <c r="E5532" i="10"/>
  <c r="E5531" i="10"/>
  <c r="E5530" i="10"/>
  <c r="E5529" i="10"/>
  <c r="E5528" i="10"/>
  <c r="E5527" i="10"/>
  <c r="E5526" i="10"/>
  <c r="E5525" i="10"/>
  <c r="E5524" i="10"/>
  <c r="E5523" i="10"/>
  <c r="E5522" i="10"/>
  <c r="E5521" i="10"/>
  <c r="E5520" i="10"/>
  <c r="E5519" i="10"/>
  <c r="E5518" i="10"/>
  <c r="E5517" i="10"/>
  <c r="E5516" i="10"/>
  <c r="E5515" i="10"/>
  <c r="E5514" i="10"/>
  <c r="E5513" i="10"/>
  <c r="E5512" i="10"/>
  <c r="E5511" i="10"/>
  <c r="E5510" i="10"/>
  <c r="B5510" i="10"/>
  <c r="B5511" i="10" s="1"/>
  <c r="B5512" i="10" s="1"/>
  <c r="B5513" i="10" s="1"/>
  <c r="B5514" i="10" s="1"/>
  <c r="B5515" i="10" s="1"/>
  <c r="B5516" i="10" s="1"/>
  <c r="B5517" i="10" s="1"/>
  <c r="B5518" i="10" s="1"/>
  <c r="B5519" i="10" s="1"/>
  <c r="B5520" i="10" s="1"/>
  <c r="B5521" i="10" s="1"/>
  <c r="B5522" i="10" s="1"/>
  <c r="B5523" i="10" s="1"/>
  <c r="B5524" i="10" s="1"/>
  <c r="B5525" i="10" s="1"/>
  <c r="B5526" i="10" s="1"/>
  <c r="B5527" i="10" s="1"/>
  <c r="B5528" i="10" s="1"/>
  <c r="B5529" i="10" s="1"/>
  <c r="B5530" i="10" s="1"/>
  <c r="B5531" i="10" s="1"/>
  <c r="B5532" i="10" s="1"/>
  <c r="B5533" i="10" s="1"/>
  <c r="B5534" i="10" s="1"/>
  <c r="B5535" i="10" s="1"/>
  <c r="B5536" i="10" s="1"/>
  <c r="B5537" i="10" s="1"/>
  <c r="B5538" i="10" s="1"/>
  <c r="B5539" i="10" s="1"/>
  <c r="E5509" i="10"/>
  <c r="E5508" i="10"/>
  <c r="E5507" i="10"/>
  <c r="E5506" i="10"/>
  <c r="B5506" i="10"/>
  <c r="B5507" i="10" s="1"/>
  <c r="B5508" i="10" s="1"/>
  <c r="B5509" i="10" s="1"/>
  <c r="E5505" i="10"/>
  <c r="E5504" i="10"/>
  <c r="E5503" i="10"/>
  <c r="E5502" i="10"/>
  <c r="E5501" i="10"/>
  <c r="E5500" i="10"/>
  <c r="E5499" i="10"/>
  <c r="E5498" i="10"/>
  <c r="E5497" i="10"/>
  <c r="E5496" i="10"/>
  <c r="E5495" i="10"/>
  <c r="E5494" i="10"/>
  <c r="E5493" i="10"/>
  <c r="E5492" i="10"/>
  <c r="B5492" i="10"/>
  <c r="B5493" i="10" s="1"/>
  <c r="B5494" i="10" s="1"/>
  <c r="B5495" i="10" s="1"/>
  <c r="B5496" i="10" s="1"/>
  <c r="B5497" i="10" s="1"/>
  <c r="B5498" i="10" s="1"/>
  <c r="B5499" i="10" s="1"/>
  <c r="B5500" i="10" s="1"/>
  <c r="B5501" i="10" s="1"/>
  <c r="B5502" i="10" s="1"/>
  <c r="B5503" i="10" s="1"/>
  <c r="B5504" i="10" s="1"/>
  <c r="B5505" i="10" s="1"/>
  <c r="E5491" i="10"/>
  <c r="B5491" i="10"/>
  <c r="E5490" i="10"/>
  <c r="E5489" i="10"/>
  <c r="I5488" i="10"/>
  <c r="J5488" i="10" s="1"/>
  <c r="F5489" i="10" s="1"/>
  <c r="H5488" i="10"/>
  <c r="F5488" i="10"/>
  <c r="E5488" i="10"/>
  <c r="D5485" i="10"/>
  <c r="D5483" i="10"/>
  <c r="E5472" i="10"/>
  <c r="E5471" i="10"/>
  <c r="E5470" i="10"/>
  <c r="E5469" i="10"/>
  <c r="E5468" i="10"/>
  <c r="E5467" i="10"/>
  <c r="E5466" i="10"/>
  <c r="E5465" i="10"/>
  <c r="E5464" i="10"/>
  <c r="E5463" i="10"/>
  <c r="E5462" i="10"/>
  <c r="E5461" i="10"/>
  <c r="E5460" i="10"/>
  <c r="E5459" i="10"/>
  <c r="E5458" i="10"/>
  <c r="E5457" i="10"/>
  <c r="E5456" i="10"/>
  <c r="E5455" i="10"/>
  <c r="E5454" i="10"/>
  <c r="E5453" i="10"/>
  <c r="E5452" i="10"/>
  <c r="E5451" i="10"/>
  <c r="E5450" i="10"/>
  <c r="E5449" i="10"/>
  <c r="E5448" i="10"/>
  <c r="E5447" i="10"/>
  <c r="E5446" i="10"/>
  <c r="E5445" i="10"/>
  <c r="E5444" i="10"/>
  <c r="E5443" i="10"/>
  <c r="E5442" i="10"/>
  <c r="E5441" i="10"/>
  <c r="E5440" i="10"/>
  <c r="E5439" i="10"/>
  <c r="E5438" i="10"/>
  <c r="E5437" i="10"/>
  <c r="E5436" i="10"/>
  <c r="E5435" i="10"/>
  <c r="E5434" i="10"/>
  <c r="E5433" i="10"/>
  <c r="E5432" i="10"/>
  <c r="E5431" i="10"/>
  <c r="E5430" i="10"/>
  <c r="E5429" i="10"/>
  <c r="E5428" i="10"/>
  <c r="B5428" i="10"/>
  <c r="B5429" i="10" s="1"/>
  <c r="B5430" i="10" s="1"/>
  <c r="B5431" i="10" s="1"/>
  <c r="B5432" i="10" s="1"/>
  <c r="B5433" i="10" s="1"/>
  <c r="B5434" i="10" s="1"/>
  <c r="B5435" i="10" s="1"/>
  <c r="B5436" i="10" s="1"/>
  <c r="B5437" i="10" s="1"/>
  <c r="B5438" i="10" s="1"/>
  <c r="B5439" i="10" s="1"/>
  <c r="B5440" i="10" s="1"/>
  <c r="B5441" i="10" s="1"/>
  <c r="B5442" i="10" s="1"/>
  <c r="B5443" i="10" s="1"/>
  <c r="B5444" i="10" s="1"/>
  <c r="B5445" i="10" s="1"/>
  <c r="B5446" i="10" s="1"/>
  <c r="B5447" i="10" s="1"/>
  <c r="B5448" i="10" s="1"/>
  <c r="B5449" i="10" s="1"/>
  <c r="B5450" i="10" s="1"/>
  <c r="B5451" i="10" s="1"/>
  <c r="B5452" i="10" s="1"/>
  <c r="B5453" i="10" s="1"/>
  <c r="B5454" i="10" s="1"/>
  <c r="B5455" i="10" s="1"/>
  <c r="B5456" i="10" s="1"/>
  <c r="B5457" i="10" s="1"/>
  <c r="B5458" i="10" s="1"/>
  <c r="B5459" i="10" s="1"/>
  <c r="B5460" i="10" s="1"/>
  <c r="B5461" i="10" s="1"/>
  <c r="B5462" i="10" s="1"/>
  <c r="B5463" i="10" s="1"/>
  <c r="B5464" i="10" s="1"/>
  <c r="B5465" i="10" s="1"/>
  <c r="B5466" i="10" s="1"/>
  <c r="B5467" i="10" s="1"/>
  <c r="B5468" i="10" s="1"/>
  <c r="B5469" i="10" s="1"/>
  <c r="B5470" i="10" s="1"/>
  <c r="B5471" i="10" s="1"/>
  <c r="B5472" i="10" s="1"/>
  <c r="E5427" i="10"/>
  <c r="E5426" i="10"/>
  <c r="F5425" i="10"/>
  <c r="D5420" i="10"/>
  <c r="D5422" i="10" s="1"/>
  <c r="E5405" i="10"/>
  <c r="E5404" i="10"/>
  <c r="E5403" i="10"/>
  <c r="E5402" i="10"/>
  <c r="E5401" i="10"/>
  <c r="E5400" i="10"/>
  <c r="E5399" i="10"/>
  <c r="E5398" i="10"/>
  <c r="E5397" i="10"/>
  <c r="E5396" i="10"/>
  <c r="E5395" i="10"/>
  <c r="E5394" i="10"/>
  <c r="E5393" i="10"/>
  <c r="E5392" i="10"/>
  <c r="E5391" i="10"/>
  <c r="E5390" i="10"/>
  <c r="E5389" i="10"/>
  <c r="E5388" i="10"/>
  <c r="E5387" i="10"/>
  <c r="E5386" i="10"/>
  <c r="E5385" i="10"/>
  <c r="E5384" i="10"/>
  <c r="E5383" i="10"/>
  <c r="E5382" i="10"/>
  <c r="E5381" i="10"/>
  <c r="E5380" i="10"/>
  <c r="E5379" i="10"/>
  <c r="E5378" i="10"/>
  <c r="E5377" i="10"/>
  <c r="E5376" i="10"/>
  <c r="E5375" i="10"/>
  <c r="E5374" i="10"/>
  <c r="E5373" i="10"/>
  <c r="E5372" i="10"/>
  <c r="E5371" i="10"/>
  <c r="E5370" i="10"/>
  <c r="E5369" i="10"/>
  <c r="E5368" i="10"/>
  <c r="E5367" i="10"/>
  <c r="E5366" i="10"/>
  <c r="E5365" i="10"/>
  <c r="E5364" i="10"/>
  <c r="E5363" i="10"/>
  <c r="B5363" i="10"/>
  <c r="B5364" i="10" s="1"/>
  <c r="B5365" i="10" s="1"/>
  <c r="B5366" i="10" s="1"/>
  <c r="B5367" i="10" s="1"/>
  <c r="B5368" i="10" s="1"/>
  <c r="B5369" i="10" s="1"/>
  <c r="B5370" i="10" s="1"/>
  <c r="B5371" i="10" s="1"/>
  <c r="B5372" i="10" s="1"/>
  <c r="B5373" i="10" s="1"/>
  <c r="B5374" i="10" s="1"/>
  <c r="B5375" i="10" s="1"/>
  <c r="B5376" i="10" s="1"/>
  <c r="B5377" i="10" s="1"/>
  <c r="B5378" i="10" s="1"/>
  <c r="B5379" i="10" s="1"/>
  <c r="B5380" i="10" s="1"/>
  <c r="B5381" i="10" s="1"/>
  <c r="B5382" i="10" s="1"/>
  <c r="B5383" i="10" s="1"/>
  <c r="B5384" i="10" s="1"/>
  <c r="B5385" i="10" s="1"/>
  <c r="B5386" i="10" s="1"/>
  <c r="B5387" i="10" s="1"/>
  <c r="B5388" i="10" s="1"/>
  <c r="B5389" i="10" s="1"/>
  <c r="B5390" i="10" s="1"/>
  <c r="B5391" i="10" s="1"/>
  <c r="B5392" i="10" s="1"/>
  <c r="B5393" i="10" s="1"/>
  <c r="B5394" i="10" s="1"/>
  <c r="B5395" i="10" s="1"/>
  <c r="B5396" i="10" s="1"/>
  <c r="B5397" i="10" s="1"/>
  <c r="B5398" i="10" s="1"/>
  <c r="B5399" i="10" s="1"/>
  <c r="B5400" i="10" s="1"/>
  <c r="B5401" i="10" s="1"/>
  <c r="B5402" i="10" s="1"/>
  <c r="B5403" i="10" s="1"/>
  <c r="B5404" i="10" s="1"/>
  <c r="B5405" i="10" s="1"/>
  <c r="E5362" i="10"/>
  <c r="E5361" i="10"/>
  <c r="B5361" i="10"/>
  <c r="B5362" i="10" s="1"/>
  <c r="E5360" i="10"/>
  <c r="E5359" i="10"/>
  <c r="F5358" i="10"/>
  <c r="E5358" i="10"/>
  <c r="H5358" i="10" s="1"/>
  <c r="I5358" i="10" s="1"/>
  <c r="D5353" i="10"/>
  <c r="D5355" i="10" s="1"/>
  <c r="B5302" i="10"/>
  <c r="B5303" i="10" s="1"/>
  <c r="B5304" i="10" s="1"/>
  <c r="B5305" i="10" s="1"/>
  <c r="B5306" i="10" s="1"/>
  <c r="B5307" i="10" s="1"/>
  <c r="B5308" i="10" s="1"/>
  <c r="B5309" i="10" s="1"/>
  <c r="B5310" i="10" s="1"/>
  <c r="B5311" i="10" s="1"/>
  <c r="B5312" i="10" s="1"/>
  <c r="B5313" i="10" s="1"/>
  <c r="B5314" i="10" s="1"/>
  <c r="B5315" i="10" s="1"/>
  <c r="B5316" i="10" s="1"/>
  <c r="B5317" i="10" s="1"/>
  <c r="B5318" i="10" s="1"/>
  <c r="B5319" i="10" s="1"/>
  <c r="B5320" i="10" s="1"/>
  <c r="B5321" i="10" s="1"/>
  <c r="B5322" i="10" s="1"/>
  <c r="B5323" i="10" s="1"/>
  <c r="B5324" i="10" s="1"/>
  <c r="B5325" i="10" s="1"/>
  <c r="B5326" i="10" s="1"/>
  <c r="B5327" i="10" s="1"/>
  <c r="B5328" i="10" s="1"/>
  <c r="B5329" i="10" s="1"/>
  <c r="B5330" i="10" s="1"/>
  <c r="B5331" i="10" s="1"/>
  <c r="B5332" i="10" s="1"/>
  <c r="B5333" i="10" s="1"/>
  <c r="B5334" i="10" s="1"/>
  <c r="B5335" i="10" s="1"/>
  <c r="B5336" i="10" s="1"/>
  <c r="B5337" i="10" s="1"/>
  <c r="B5338" i="10" s="1"/>
  <c r="B5339" i="10" s="1"/>
  <c r="B5340" i="10" s="1"/>
  <c r="B5341" i="10" s="1"/>
  <c r="B5342" i="10" s="1"/>
  <c r="B5343" i="10" s="1"/>
  <c r="B5299" i="10"/>
  <c r="B5300" i="10" s="1"/>
  <c r="B5301" i="10" s="1"/>
  <c r="B5298" i="10"/>
  <c r="H5295" i="10"/>
  <c r="G5295" i="10"/>
  <c r="L5295" i="10" s="1"/>
  <c r="L5296" i="10" s="1"/>
  <c r="L5297" i="10" s="1"/>
  <c r="L5298" i="10" s="1"/>
  <c r="L5299" i="10" s="1"/>
  <c r="L5300" i="10" s="1"/>
  <c r="F5295" i="10"/>
  <c r="J5295" i="10" s="1"/>
  <c r="F5296" i="10" s="1"/>
  <c r="E5295" i="10"/>
  <c r="D5290" i="10"/>
  <c r="D5292" i="10" s="1"/>
  <c r="B5248" i="10"/>
  <c r="B5249" i="10" s="1"/>
  <c r="B5250" i="10" s="1"/>
  <c r="B5251" i="10" s="1"/>
  <c r="B5252" i="10" s="1"/>
  <c r="B5253" i="10" s="1"/>
  <c r="B5254" i="10" s="1"/>
  <c r="B5255" i="10" s="1"/>
  <c r="B5256" i="10" s="1"/>
  <c r="B5257" i="10" s="1"/>
  <c r="B5258" i="10" s="1"/>
  <c r="B5259" i="10" s="1"/>
  <c r="B5260" i="10" s="1"/>
  <c r="B5261" i="10" s="1"/>
  <c r="B5262" i="10" s="1"/>
  <c r="B5263" i="10" s="1"/>
  <c r="B5264" i="10" s="1"/>
  <c r="B5265" i="10" s="1"/>
  <c r="B5266" i="10" s="1"/>
  <c r="B5267" i="10" s="1"/>
  <c r="B5268" i="10" s="1"/>
  <c r="B5269" i="10" s="1"/>
  <c r="B5270" i="10" s="1"/>
  <c r="B5271" i="10" s="1"/>
  <c r="B5272" i="10" s="1"/>
  <c r="B5273" i="10" s="1"/>
  <c r="B5274" i="10" s="1"/>
  <c r="B5275" i="10" s="1"/>
  <c r="B5276" i="10" s="1"/>
  <c r="B5277" i="10" s="1"/>
  <c r="B5278" i="10" s="1"/>
  <c r="B5279" i="10" s="1"/>
  <c r="B5222" i="10"/>
  <c r="B5223" i="10" s="1"/>
  <c r="B5224" i="10" s="1"/>
  <c r="B5225" i="10" s="1"/>
  <c r="B5226" i="10" s="1"/>
  <c r="B5227" i="10" s="1"/>
  <c r="B5228" i="10" s="1"/>
  <c r="B5229" i="10" s="1"/>
  <c r="B5230" i="10" s="1"/>
  <c r="B5231" i="10" s="1"/>
  <c r="B5232" i="10" s="1"/>
  <c r="B5233" i="10" s="1"/>
  <c r="B5234" i="10" s="1"/>
  <c r="B5235" i="10" s="1"/>
  <c r="B5236" i="10" s="1"/>
  <c r="B5237" i="10" s="1"/>
  <c r="B5238" i="10" s="1"/>
  <c r="B5239" i="10" s="1"/>
  <c r="B5240" i="10" s="1"/>
  <c r="B5241" i="10" s="1"/>
  <c r="B5242" i="10" s="1"/>
  <c r="B5243" i="10" s="1"/>
  <c r="B5244" i="10" s="1"/>
  <c r="B5245" i="10" s="1"/>
  <c r="B5246" i="10" s="1"/>
  <c r="B5247" i="10" s="1"/>
  <c r="H5219" i="10"/>
  <c r="I5219" i="10" s="1"/>
  <c r="J5219" i="10" s="1"/>
  <c r="F5220" i="10" s="1"/>
  <c r="E5219" i="10"/>
  <c r="F5214" i="10"/>
  <c r="D5214" i="10"/>
  <c r="D5216" i="10" s="1"/>
  <c r="E5210" i="10"/>
  <c r="D5210" i="10"/>
  <c r="F5219" i="10" s="1"/>
  <c r="B5148" i="10"/>
  <c r="B5149" i="10" s="1"/>
  <c r="B5150" i="10" s="1"/>
  <c r="B5151" i="10" s="1"/>
  <c r="B5152" i="10" s="1"/>
  <c r="B5153" i="10" s="1"/>
  <c r="B5154" i="10" s="1"/>
  <c r="B5155" i="10" s="1"/>
  <c r="B5156" i="10" s="1"/>
  <c r="B5157" i="10" s="1"/>
  <c r="B5158" i="10" s="1"/>
  <c r="B5159" i="10" s="1"/>
  <c r="B5160" i="10" s="1"/>
  <c r="B5161" i="10" s="1"/>
  <c r="B5162" i="10" s="1"/>
  <c r="B5163" i="10" s="1"/>
  <c r="B5164" i="10" s="1"/>
  <c r="B5165" i="10" s="1"/>
  <c r="B5166" i="10" s="1"/>
  <c r="B5167" i="10" s="1"/>
  <c r="B5168" i="10" s="1"/>
  <c r="B5169" i="10" s="1"/>
  <c r="B5170" i="10" s="1"/>
  <c r="B5171" i="10" s="1"/>
  <c r="B5172" i="10" s="1"/>
  <c r="B5173" i="10" s="1"/>
  <c r="B5174" i="10" s="1"/>
  <c r="B5175" i="10" s="1"/>
  <c r="B5176" i="10" s="1"/>
  <c r="B5177" i="10" s="1"/>
  <c r="B5178" i="10" s="1"/>
  <c r="B5179" i="10" s="1"/>
  <c r="B5180" i="10" s="1"/>
  <c r="B5181" i="10" s="1"/>
  <c r="B5182" i="10" s="1"/>
  <c r="B5183" i="10" s="1"/>
  <c r="B5184" i="10" s="1"/>
  <c r="B5185" i="10" s="1"/>
  <c r="B5186" i="10" s="1"/>
  <c r="B5187" i="10" s="1"/>
  <c r="B5188" i="10" s="1"/>
  <c r="B5189" i="10" s="1"/>
  <c r="B5190" i="10" s="1"/>
  <c r="B5191" i="10" s="1"/>
  <c r="B5192" i="10" s="1"/>
  <c r="B5193" i="10" s="1"/>
  <c r="B5194" i="10" s="1"/>
  <c r="B5195" i="10" s="1"/>
  <c r="B5196" i="10" s="1"/>
  <c r="B5197" i="10" s="1"/>
  <c r="B5198" i="10" s="1"/>
  <c r="B5199" i="10" s="1"/>
  <c r="B5200" i="10" s="1"/>
  <c r="B5201" i="10" s="1"/>
  <c r="B5202" i="10" s="1"/>
  <c r="B5203" i="10" s="1"/>
  <c r="B5147" i="10"/>
  <c r="B5146" i="10"/>
  <c r="F5143" i="10"/>
  <c r="D5138" i="10"/>
  <c r="D5140" i="10" s="1"/>
  <c r="B5114" i="10"/>
  <c r="B5115" i="10" s="1"/>
  <c r="B5116" i="10" s="1"/>
  <c r="B5117" i="10" s="1"/>
  <c r="B5118" i="10" s="1"/>
  <c r="B5119" i="10" s="1"/>
  <c r="B5120" i="10" s="1"/>
  <c r="B5121" i="10" s="1"/>
  <c r="B5122" i="10" s="1"/>
  <c r="B5123" i="10" s="1"/>
  <c r="B5124" i="10" s="1"/>
  <c r="B5125" i="10" s="1"/>
  <c r="B5126" i="10" s="1"/>
  <c r="B5127" i="10" s="1"/>
  <c r="B5128" i="10" s="1"/>
  <c r="B5129" i="10" s="1"/>
  <c r="B5112" i="10"/>
  <c r="B5113" i="10" s="1"/>
  <c r="K5111" i="10"/>
  <c r="B5109" i="10"/>
  <c r="B5110" i="10" s="1"/>
  <c r="B5111" i="10" s="1"/>
  <c r="B5108" i="10"/>
  <c r="L5107" i="10"/>
  <c r="L5108" i="10" s="1"/>
  <c r="L5105" i="10"/>
  <c r="L5106" i="10" s="1"/>
  <c r="F5105" i="10"/>
  <c r="H5105" i="10" s="1"/>
  <c r="I5105" i="10" s="1"/>
  <c r="J5105" i="10" s="1"/>
  <c r="F5106" i="10" s="1"/>
  <c r="D5100" i="10"/>
  <c r="D5102" i="10" s="1"/>
  <c r="B5075" i="10"/>
  <c r="B5076" i="10" s="1"/>
  <c r="B5077" i="10" s="1"/>
  <c r="B5078" i="10" s="1"/>
  <c r="B5079" i="10" s="1"/>
  <c r="B5080" i="10" s="1"/>
  <c r="B5081" i="10" s="1"/>
  <c r="B5082" i="10" s="1"/>
  <c r="B5083" i="10" s="1"/>
  <c r="B5084" i="10" s="1"/>
  <c r="B5085" i="10" s="1"/>
  <c r="B5086" i="10" s="1"/>
  <c r="B5087" i="10" s="1"/>
  <c r="B5088" i="10" s="1"/>
  <c r="B5089" i="10" s="1"/>
  <c r="K5070" i="10"/>
  <c r="B5069" i="10"/>
  <c r="B5070" i="10" s="1"/>
  <c r="B5071" i="10" s="1"/>
  <c r="B5072" i="10" s="1"/>
  <c r="B5073" i="10" s="1"/>
  <c r="B5074" i="10" s="1"/>
  <c r="L5068" i="10"/>
  <c r="B5068" i="10"/>
  <c r="J5065" i="10"/>
  <c r="F5066" i="10" s="1"/>
  <c r="I5065" i="10"/>
  <c r="F5065" i="10"/>
  <c r="H5065" i="10" s="1"/>
  <c r="D5062" i="10"/>
  <c r="D5060" i="10"/>
  <c r="E5049" i="10"/>
  <c r="E5048" i="10"/>
  <c r="B5029" i="10"/>
  <c r="B5030" i="10" s="1"/>
  <c r="B5031" i="10" s="1"/>
  <c r="B5032" i="10" s="1"/>
  <c r="B5033" i="10" s="1"/>
  <c r="B5034" i="10" s="1"/>
  <c r="B5035" i="10" s="1"/>
  <c r="B5036" i="10" s="1"/>
  <c r="B5037" i="10" s="1"/>
  <c r="B5038" i="10" s="1"/>
  <c r="B5039" i="10" s="1"/>
  <c r="B5040" i="10" s="1"/>
  <c r="B5041" i="10" s="1"/>
  <c r="B5042" i="10" s="1"/>
  <c r="B5043" i="10" s="1"/>
  <c r="B5044" i="10" s="1"/>
  <c r="B5045" i="10" s="1"/>
  <c r="B5046" i="10" s="1"/>
  <c r="B5047" i="10" s="1"/>
  <c r="B5048" i="10" s="1"/>
  <c r="B5049" i="10" s="1"/>
  <c r="B5016" i="10"/>
  <c r="B5017" i="10" s="1"/>
  <c r="B5018" i="10" s="1"/>
  <c r="B5019" i="10" s="1"/>
  <c r="B5020" i="10" s="1"/>
  <c r="B5021" i="10" s="1"/>
  <c r="B5022" i="10" s="1"/>
  <c r="B5023" i="10" s="1"/>
  <c r="B5024" i="10" s="1"/>
  <c r="B5025" i="10" s="1"/>
  <c r="B5026" i="10" s="1"/>
  <c r="B5027" i="10" s="1"/>
  <c r="B5028" i="10" s="1"/>
  <c r="F5013" i="10"/>
  <c r="D5010" i="10"/>
  <c r="D5008" i="10"/>
  <c r="B4977" i="10"/>
  <c r="B4978" i="10" s="1"/>
  <c r="B4979" i="10" s="1"/>
  <c r="B4980" i="10" s="1"/>
  <c r="B4981" i="10" s="1"/>
  <c r="B4982" i="10" s="1"/>
  <c r="B4983" i="10" s="1"/>
  <c r="B4984" i="10" s="1"/>
  <c r="B4985" i="10" s="1"/>
  <c r="B4986" i="10" s="1"/>
  <c r="B4987" i="10" s="1"/>
  <c r="B4988" i="10" s="1"/>
  <c r="B4989" i="10" s="1"/>
  <c r="B4990" i="10" s="1"/>
  <c r="B4991" i="10" s="1"/>
  <c r="B4992" i="10" s="1"/>
  <c r="B4993" i="10" s="1"/>
  <c r="B4994" i="10" s="1"/>
  <c r="B4995" i="10" s="1"/>
  <c r="B4996" i="10" s="1"/>
  <c r="B4997" i="10" s="1"/>
  <c r="L4976" i="10"/>
  <c r="B4976" i="10"/>
  <c r="F4974" i="10"/>
  <c r="I4973" i="10"/>
  <c r="H4973" i="10"/>
  <c r="F4973" i="10"/>
  <c r="J4973" i="10" s="1"/>
  <c r="D4968" i="10"/>
  <c r="D4970" i="10" s="1"/>
  <c r="D4955" i="10"/>
  <c r="C4955" i="10"/>
  <c r="E4954" i="10"/>
  <c r="E4953" i="10"/>
  <c r="E4952" i="10"/>
  <c r="E4951" i="10"/>
  <c r="E4950" i="10"/>
  <c r="E4949" i="10"/>
  <c r="E4948" i="10"/>
  <c r="E4947" i="10"/>
  <c r="E4946" i="10"/>
  <c r="E4945" i="10"/>
  <c r="E4944" i="10"/>
  <c r="E4943" i="10"/>
  <c r="B4935" i="10"/>
  <c r="B4936" i="10" s="1"/>
  <c r="B4937" i="10" s="1"/>
  <c r="B4938" i="10" s="1"/>
  <c r="B4939" i="10" s="1"/>
  <c r="B4940" i="10" s="1"/>
  <c r="B4941" i="10" s="1"/>
  <c r="B4942" i="10" s="1"/>
  <c r="B4943" i="10" s="1"/>
  <c r="B4944" i="10" s="1"/>
  <c r="B4945" i="10" s="1"/>
  <c r="B4946" i="10" s="1"/>
  <c r="B4947" i="10" s="1"/>
  <c r="B4948" i="10" s="1"/>
  <c r="B4949" i="10" s="1"/>
  <c r="B4950" i="10" s="1"/>
  <c r="B4951" i="10" s="1"/>
  <c r="B4952" i="10" s="1"/>
  <c r="B4953" i="10" s="1"/>
  <c r="B4954" i="10" s="1"/>
  <c r="B4913" i="10"/>
  <c r="B4914" i="10" s="1"/>
  <c r="B4915" i="10" s="1"/>
  <c r="B4916" i="10" s="1"/>
  <c r="B4917" i="10" s="1"/>
  <c r="B4918" i="10" s="1"/>
  <c r="B4919" i="10" s="1"/>
  <c r="B4920" i="10" s="1"/>
  <c r="B4921" i="10" s="1"/>
  <c r="B4922" i="10" s="1"/>
  <c r="B4923" i="10" s="1"/>
  <c r="B4924" i="10" s="1"/>
  <c r="B4925" i="10" s="1"/>
  <c r="B4926" i="10" s="1"/>
  <c r="B4927" i="10" s="1"/>
  <c r="B4928" i="10" s="1"/>
  <c r="B4929" i="10" s="1"/>
  <c r="B4930" i="10" s="1"/>
  <c r="B4931" i="10" s="1"/>
  <c r="B4932" i="10" s="1"/>
  <c r="B4933" i="10" s="1"/>
  <c r="B4934" i="10" s="1"/>
  <c r="L4912" i="10"/>
  <c r="L4913" i="10" s="1"/>
  <c r="L4911" i="10"/>
  <c r="B4911" i="10"/>
  <c r="B4912" i="10" s="1"/>
  <c r="L4910" i="10"/>
  <c r="B4910" i="10"/>
  <c r="F4907" i="10"/>
  <c r="D4902" i="10"/>
  <c r="D4904" i="10" s="1"/>
  <c r="E4892" i="10"/>
  <c r="E4891" i="10"/>
  <c r="E4890" i="10"/>
  <c r="E4889" i="10"/>
  <c r="E4888" i="10"/>
  <c r="E4887" i="10"/>
  <c r="E4886" i="10"/>
  <c r="E4885" i="10"/>
  <c r="E4884" i="10"/>
  <c r="E4883" i="10"/>
  <c r="E4882" i="10"/>
  <c r="E4881" i="10"/>
  <c r="L4848" i="10"/>
  <c r="B4848" i="10"/>
  <c r="B4849" i="10" s="1"/>
  <c r="B4850" i="10" s="1"/>
  <c r="B4851" i="10" s="1"/>
  <c r="B4852" i="10" s="1"/>
  <c r="B4853" i="10" s="1"/>
  <c r="B4854" i="10" s="1"/>
  <c r="B4855" i="10" s="1"/>
  <c r="B4856" i="10" s="1"/>
  <c r="B4857" i="10" s="1"/>
  <c r="B4858" i="10" s="1"/>
  <c r="B4859" i="10" s="1"/>
  <c r="B4860" i="10" s="1"/>
  <c r="B4861" i="10" s="1"/>
  <c r="B4862" i="10" s="1"/>
  <c r="B4863" i="10" s="1"/>
  <c r="B4864" i="10" s="1"/>
  <c r="B4865" i="10" s="1"/>
  <c r="B4866" i="10" s="1"/>
  <c r="B4867" i="10" s="1"/>
  <c r="B4868" i="10" s="1"/>
  <c r="B4869" i="10" s="1"/>
  <c r="B4870" i="10" s="1"/>
  <c r="B4871" i="10" s="1"/>
  <c r="B4872" i="10" s="1"/>
  <c r="B4873" i="10" s="1"/>
  <c r="B4874" i="10" s="1"/>
  <c r="B4875" i="10" s="1"/>
  <c r="B4876" i="10" s="1"/>
  <c r="B4877" i="10" s="1"/>
  <c r="B4878" i="10" s="1"/>
  <c r="B4879" i="10" s="1"/>
  <c r="B4880" i="10" s="1"/>
  <c r="B4881" i="10" s="1"/>
  <c r="B4882" i="10" s="1"/>
  <c r="B4883" i="10" s="1"/>
  <c r="B4884" i="10" s="1"/>
  <c r="B4885" i="10" s="1"/>
  <c r="B4886" i="10" s="1"/>
  <c r="B4887" i="10" s="1"/>
  <c r="B4888" i="10" s="1"/>
  <c r="B4889" i="10" s="1"/>
  <c r="B4890" i="10" s="1"/>
  <c r="B4891" i="10" s="1"/>
  <c r="B4892" i="10" s="1"/>
  <c r="H4845" i="10"/>
  <c r="I4845" i="10" s="1"/>
  <c r="J4845" i="10" s="1"/>
  <c r="F4846" i="10" s="1"/>
  <c r="H4846" i="10" s="1"/>
  <c r="I4846" i="10" s="1"/>
  <c r="J4846" i="10" s="1"/>
  <c r="F4847" i="10" s="1"/>
  <c r="F4845" i="10"/>
  <c r="D4842" i="10"/>
  <c r="D4840" i="10"/>
  <c r="E4827" i="10"/>
  <c r="E4826" i="10"/>
  <c r="E4825" i="10"/>
  <c r="E4824" i="10"/>
  <c r="E4823" i="10"/>
  <c r="E4822" i="10"/>
  <c r="E4821" i="10"/>
  <c r="E4820" i="10"/>
  <c r="E4819" i="10"/>
  <c r="E4818" i="10"/>
  <c r="E4817" i="10"/>
  <c r="E4816" i="10"/>
  <c r="B4816" i="10"/>
  <c r="B4817" i="10" s="1"/>
  <c r="B4818" i="10" s="1"/>
  <c r="B4819" i="10" s="1"/>
  <c r="B4820" i="10" s="1"/>
  <c r="B4821" i="10" s="1"/>
  <c r="B4822" i="10" s="1"/>
  <c r="B4823" i="10" s="1"/>
  <c r="B4824" i="10" s="1"/>
  <c r="B4825" i="10" s="1"/>
  <c r="B4826" i="10" s="1"/>
  <c r="B4827" i="10" s="1"/>
  <c r="B4812" i="10"/>
  <c r="B4813" i="10" s="1"/>
  <c r="B4814" i="10" s="1"/>
  <c r="B4815" i="10" s="1"/>
  <c r="K4787" i="10"/>
  <c r="L4785" i="10"/>
  <c r="B4784" i="10"/>
  <c r="B4785" i="10" s="1"/>
  <c r="B4786" i="10" s="1"/>
  <c r="B4787" i="10" s="1"/>
  <c r="B4788" i="10" s="1"/>
  <c r="B4789" i="10" s="1"/>
  <c r="B4790" i="10" s="1"/>
  <c r="B4791" i="10" s="1"/>
  <c r="B4792" i="10" s="1"/>
  <c r="B4793" i="10" s="1"/>
  <c r="B4794" i="10" s="1"/>
  <c r="B4795" i="10" s="1"/>
  <c r="B4796" i="10" s="1"/>
  <c r="B4797" i="10" s="1"/>
  <c r="B4798" i="10" s="1"/>
  <c r="B4799" i="10" s="1"/>
  <c r="B4800" i="10" s="1"/>
  <c r="B4801" i="10" s="1"/>
  <c r="B4802" i="10" s="1"/>
  <c r="B4803" i="10" s="1"/>
  <c r="B4804" i="10" s="1"/>
  <c r="B4805" i="10" s="1"/>
  <c r="B4806" i="10" s="1"/>
  <c r="B4807" i="10" s="1"/>
  <c r="B4808" i="10" s="1"/>
  <c r="B4809" i="10" s="1"/>
  <c r="B4810" i="10" s="1"/>
  <c r="B4811" i="10" s="1"/>
  <c r="L4783" i="10"/>
  <c r="B4783" i="10"/>
  <c r="F4780" i="10"/>
  <c r="D4775" i="10"/>
  <c r="D4777" i="10" s="1"/>
  <c r="K4750" i="10"/>
  <c r="K4748" i="10"/>
  <c r="B4745" i="10"/>
  <c r="B4746" i="10" s="1"/>
  <c r="B4747" i="10" s="1"/>
  <c r="B4748" i="10" s="1"/>
  <c r="B4749" i="10" s="1"/>
  <c r="B4750" i="10" s="1"/>
  <c r="B4751" i="10" s="1"/>
  <c r="B4752" i="10" s="1"/>
  <c r="B4753" i="10" s="1"/>
  <c r="B4754" i="10" s="1"/>
  <c r="B4755" i="10" s="1"/>
  <c r="B4756" i="10" s="1"/>
  <c r="B4757" i="10" s="1"/>
  <c r="B4758" i="10" s="1"/>
  <c r="B4759" i="10" s="1"/>
  <c r="B4760" i="10" s="1"/>
  <c r="B4761" i="10" s="1"/>
  <c r="B4762" i="10" s="1"/>
  <c r="B4763" i="10" s="1"/>
  <c r="B4764" i="10" s="1"/>
  <c r="B4765" i="10" s="1"/>
  <c r="F4742" i="10"/>
  <c r="D4737" i="10"/>
  <c r="D4739" i="10" s="1"/>
  <c r="E4725" i="10"/>
  <c r="E4724" i="10"/>
  <c r="E4723" i="10"/>
  <c r="E4722" i="10"/>
  <c r="E4721" i="10"/>
  <c r="E4720" i="10"/>
  <c r="E4719" i="10"/>
  <c r="E4718" i="10"/>
  <c r="E4717" i="10"/>
  <c r="E4716" i="10"/>
  <c r="E4715" i="10"/>
  <c r="E4714" i="10"/>
  <c r="B4700" i="10"/>
  <c r="B4701" i="10" s="1"/>
  <c r="B4702" i="10" s="1"/>
  <c r="B4703" i="10" s="1"/>
  <c r="B4704" i="10" s="1"/>
  <c r="B4705" i="10" s="1"/>
  <c r="B4706" i="10" s="1"/>
  <c r="B4707" i="10" s="1"/>
  <c r="B4708" i="10" s="1"/>
  <c r="B4709" i="10" s="1"/>
  <c r="B4710" i="10" s="1"/>
  <c r="B4711" i="10" s="1"/>
  <c r="B4712" i="10" s="1"/>
  <c r="B4713" i="10" s="1"/>
  <c r="B4714" i="10" s="1"/>
  <c r="B4715" i="10" s="1"/>
  <c r="B4716" i="10" s="1"/>
  <c r="B4717" i="10" s="1"/>
  <c r="B4718" i="10" s="1"/>
  <c r="B4719" i="10" s="1"/>
  <c r="B4720" i="10" s="1"/>
  <c r="B4721" i="10" s="1"/>
  <c r="B4722" i="10" s="1"/>
  <c r="B4723" i="10" s="1"/>
  <c r="B4724" i="10" s="1"/>
  <c r="B4725" i="10" s="1"/>
  <c r="B4696" i="10"/>
  <c r="B4697" i="10" s="1"/>
  <c r="B4698" i="10" s="1"/>
  <c r="B4699" i="10" s="1"/>
  <c r="B4689" i="10"/>
  <c r="B4690" i="10" s="1"/>
  <c r="B4691" i="10" s="1"/>
  <c r="B4692" i="10" s="1"/>
  <c r="B4693" i="10" s="1"/>
  <c r="B4694" i="10" s="1"/>
  <c r="B4695" i="10" s="1"/>
  <c r="K4685" i="10"/>
  <c r="B4682" i="10"/>
  <c r="B4683" i="10" s="1"/>
  <c r="B4684" i="10" s="1"/>
  <c r="B4685" i="10" s="1"/>
  <c r="B4686" i="10" s="1"/>
  <c r="B4687" i="10" s="1"/>
  <c r="B4688" i="10" s="1"/>
  <c r="B4681" i="10"/>
  <c r="H4678" i="10"/>
  <c r="G4678" i="10" s="1"/>
  <c r="F4678" i="10"/>
  <c r="D4673" i="10"/>
  <c r="D4675" i="10" s="1"/>
  <c r="C4661" i="10"/>
  <c r="D4661" i="10" s="1"/>
  <c r="E4660" i="10"/>
  <c r="E4659" i="10"/>
  <c r="E4658" i="10"/>
  <c r="E4657" i="10"/>
  <c r="E4656" i="10"/>
  <c r="E4655" i="10"/>
  <c r="E4654" i="10"/>
  <c r="E4653" i="10"/>
  <c r="E4652" i="10"/>
  <c r="E4651" i="10"/>
  <c r="E4650" i="10"/>
  <c r="E4649" i="10"/>
  <c r="E4648" i="10"/>
  <c r="E4647" i="10"/>
  <c r="E4646" i="10"/>
  <c r="E4645" i="10"/>
  <c r="E4644" i="10"/>
  <c r="E4643" i="10"/>
  <c r="E4642" i="10"/>
  <c r="E4641" i="10"/>
  <c r="E4640" i="10"/>
  <c r="E4639" i="10"/>
  <c r="E4638" i="10"/>
  <c r="B4605" i="10"/>
  <c r="B4606" i="10" s="1"/>
  <c r="B4607" i="10" s="1"/>
  <c r="B4608" i="10" s="1"/>
  <c r="B4609" i="10" s="1"/>
  <c r="B4610" i="10" s="1"/>
  <c r="B4611" i="10" s="1"/>
  <c r="B4612" i="10" s="1"/>
  <c r="B4613" i="10" s="1"/>
  <c r="B4614" i="10" s="1"/>
  <c r="B4615" i="10" s="1"/>
  <c r="B4616" i="10" s="1"/>
  <c r="B4617" i="10" s="1"/>
  <c r="B4618" i="10" s="1"/>
  <c r="B4619" i="10" s="1"/>
  <c r="B4620" i="10" s="1"/>
  <c r="B4621" i="10" s="1"/>
  <c r="B4622" i="10" s="1"/>
  <c r="B4623" i="10" s="1"/>
  <c r="B4624" i="10" s="1"/>
  <c r="B4625" i="10" s="1"/>
  <c r="B4626" i="10" s="1"/>
  <c r="B4627" i="10" s="1"/>
  <c r="B4628" i="10" s="1"/>
  <c r="B4629" i="10" s="1"/>
  <c r="B4630" i="10" s="1"/>
  <c r="B4631" i="10" s="1"/>
  <c r="B4632" i="10" s="1"/>
  <c r="B4633" i="10" s="1"/>
  <c r="B4634" i="10" s="1"/>
  <c r="B4635" i="10" s="1"/>
  <c r="B4636" i="10" s="1"/>
  <c r="B4637" i="10" s="1"/>
  <c r="B4638" i="10" s="1"/>
  <c r="B4639" i="10" s="1"/>
  <c r="B4640" i="10" s="1"/>
  <c r="B4641" i="10" s="1"/>
  <c r="B4642" i="10" s="1"/>
  <c r="B4643" i="10" s="1"/>
  <c r="B4644" i="10" s="1"/>
  <c r="B4645" i="10" s="1"/>
  <c r="B4646" i="10" s="1"/>
  <c r="B4647" i="10" s="1"/>
  <c r="B4648" i="10" s="1"/>
  <c r="B4649" i="10" s="1"/>
  <c r="B4650" i="10" s="1"/>
  <c r="B4651" i="10" s="1"/>
  <c r="B4652" i="10" s="1"/>
  <c r="B4653" i="10" s="1"/>
  <c r="B4654" i="10" s="1"/>
  <c r="B4655" i="10" s="1"/>
  <c r="B4656" i="10" s="1"/>
  <c r="B4657" i="10" s="1"/>
  <c r="B4658" i="10" s="1"/>
  <c r="B4659" i="10" s="1"/>
  <c r="B4660" i="10" s="1"/>
  <c r="B4661" i="10" s="1"/>
  <c r="B4662" i="10" s="1"/>
  <c r="L4602" i="10"/>
  <c r="L4603" i="10" s="1"/>
  <c r="F4602" i="10"/>
  <c r="D4597" i="10"/>
  <c r="D4599" i="10" s="1"/>
  <c r="B4581" i="10"/>
  <c r="B4582" i="10" s="1"/>
  <c r="B4583" i="10" s="1"/>
  <c r="B4584" i="10" s="1"/>
  <c r="B4585" i="10" s="1"/>
  <c r="B4586" i="10" s="1"/>
  <c r="B4569" i="10"/>
  <c r="B4570" i="10" s="1"/>
  <c r="B4571" i="10" s="1"/>
  <c r="B4572" i="10" s="1"/>
  <c r="B4573" i="10" s="1"/>
  <c r="B4574" i="10" s="1"/>
  <c r="B4575" i="10" s="1"/>
  <c r="B4576" i="10" s="1"/>
  <c r="B4577" i="10" s="1"/>
  <c r="B4578" i="10" s="1"/>
  <c r="B4579" i="10" s="1"/>
  <c r="B4580" i="10" s="1"/>
  <c r="B4553" i="10"/>
  <c r="B4554" i="10" s="1"/>
  <c r="B4555" i="10" s="1"/>
  <c r="B4556" i="10" s="1"/>
  <c r="B4557" i="10" s="1"/>
  <c r="B4558" i="10" s="1"/>
  <c r="B4559" i="10" s="1"/>
  <c r="B4560" i="10" s="1"/>
  <c r="B4561" i="10" s="1"/>
  <c r="B4562" i="10" s="1"/>
  <c r="B4563" i="10" s="1"/>
  <c r="B4564" i="10" s="1"/>
  <c r="B4565" i="10" s="1"/>
  <c r="B4566" i="10" s="1"/>
  <c r="B4567" i="10" s="1"/>
  <c r="B4568" i="10" s="1"/>
  <c r="L4550" i="10"/>
  <c r="L4551" i="10" s="1"/>
  <c r="F4550" i="10"/>
  <c r="E4550" i="10"/>
  <c r="D4547" i="10"/>
  <c r="B4524" i="10"/>
  <c r="B4525" i="10" s="1"/>
  <c r="B4526" i="10" s="1"/>
  <c r="B4527" i="10" s="1"/>
  <c r="B4528" i="10" s="1"/>
  <c r="B4529" i="10" s="1"/>
  <c r="B4530" i="10" s="1"/>
  <c r="B4531" i="10" s="1"/>
  <c r="B4532" i="10" s="1"/>
  <c r="B4533" i="10" s="1"/>
  <c r="B4520" i="10"/>
  <c r="B4521" i="10" s="1"/>
  <c r="B4522" i="10" s="1"/>
  <c r="B4523" i="10" s="1"/>
  <c r="K4517" i="10"/>
  <c r="B4513" i="10"/>
  <c r="B4514" i="10" s="1"/>
  <c r="B4515" i="10" s="1"/>
  <c r="B4516" i="10" s="1"/>
  <c r="B4517" i="10" s="1"/>
  <c r="B4518" i="10" s="1"/>
  <c r="B4519" i="10" s="1"/>
  <c r="L4512" i="10"/>
  <c r="B4512" i="10"/>
  <c r="D4510" i="10"/>
  <c r="C4510" i="10"/>
  <c r="J4509" i="10"/>
  <c r="F4510" i="10" s="1"/>
  <c r="H4509" i="10"/>
  <c r="F4509" i="10"/>
  <c r="E4509" i="10"/>
  <c r="D4506" i="10"/>
  <c r="D4488" i="10"/>
  <c r="C4489" i="10" s="1"/>
  <c r="D4489" i="10" s="1"/>
  <c r="C4490" i="10" s="1"/>
  <c r="D4490" i="10" s="1"/>
  <c r="C4491" i="10" s="1"/>
  <c r="D4491" i="10" s="1"/>
  <c r="C4488" i="10"/>
  <c r="K4449" i="10"/>
  <c r="B4449" i="10"/>
  <c r="B4450" i="10" s="1"/>
  <c r="B4451" i="10" s="1"/>
  <c r="B4452" i="10" s="1"/>
  <c r="B4453" i="10" s="1"/>
  <c r="B4454" i="10" s="1"/>
  <c r="B4455" i="10" s="1"/>
  <c r="B4456" i="10" s="1"/>
  <c r="B4457" i="10" s="1"/>
  <c r="B4458" i="10" s="1"/>
  <c r="B4459" i="10" s="1"/>
  <c r="B4460" i="10" s="1"/>
  <c r="B4461" i="10" s="1"/>
  <c r="B4462" i="10" s="1"/>
  <c r="B4463" i="10" s="1"/>
  <c r="B4464" i="10" s="1"/>
  <c r="B4465" i="10" s="1"/>
  <c r="B4466" i="10" s="1"/>
  <c r="B4467" i="10" s="1"/>
  <c r="B4468" i="10" s="1"/>
  <c r="B4469" i="10" s="1"/>
  <c r="B4470" i="10" s="1"/>
  <c r="B4471" i="10" s="1"/>
  <c r="B4472" i="10" s="1"/>
  <c r="B4473" i="10" s="1"/>
  <c r="B4474" i="10" s="1"/>
  <c r="B4475" i="10" s="1"/>
  <c r="B4476" i="10" s="1"/>
  <c r="B4477" i="10" s="1"/>
  <c r="B4478" i="10" s="1"/>
  <c r="B4479" i="10" s="1"/>
  <c r="B4480" i="10" s="1"/>
  <c r="B4481" i="10" s="1"/>
  <c r="B4482" i="10" s="1"/>
  <c r="B4483" i="10" s="1"/>
  <c r="B4484" i="10" s="1"/>
  <c r="B4485" i="10" s="1"/>
  <c r="B4486" i="10" s="1"/>
  <c r="B4487" i="10" s="1"/>
  <c r="B4488" i="10" s="1"/>
  <c r="B4489" i="10" s="1"/>
  <c r="B4490" i="10" s="1"/>
  <c r="B4491" i="10" s="1"/>
  <c r="B4448" i="10"/>
  <c r="K4446" i="10"/>
  <c r="B4446" i="10"/>
  <c r="B4447" i="10" s="1"/>
  <c r="D4444" i="10"/>
  <c r="C4444" i="10"/>
  <c r="E4443" i="10"/>
  <c r="D4438" i="10"/>
  <c r="D4434" i="10"/>
  <c r="E4426" i="10"/>
  <c r="E4425" i="10"/>
  <c r="E4424" i="10"/>
  <c r="E4423" i="10"/>
  <c r="E4422" i="10"/>
  <c r="E4421" i="10"/>
  <c r="E4420" i="10"/>
  <c r="E4419" i="10"/>
  <c r="E4418" i="10"/>
  <c r="E4417" i="10"/>
  <c r="E4416" i="10"/>
  <c r="F4415" i="10"/>
  <c r="G4419" i="10" s="1"/>
  <c r="E4415" i="10"/>
  <c r="D4412" i="10"/>
  <c r="K4372" i="10"/>
  <c r="B4371" i="10"/>
  <c r="B4372" i="10" s="1"/>
  <c r="B4373" i="10" s="1"/>
  <c r="B4374" i="10" s="1"/>
  <c r="B4375" i="10" s="1"/>
  <c r="B4376" i="10" s="1"/>
  <c r="B4377" i="10" s="1"/>
  <c r="B4378" i="10" s="1"/>
  <c r="B4379" i="10" s="1"/>
  <c r="B4380" i="10" s="1"/>
  <c r="B4381" i="10" s="1"/>
  <c r="B4382" i="10" s="1"/>
  <c r="B4383" i="10" s="1"/>
  <c r="B4384" i="10" s="1"/>
  <c r="B4385" i="10" s="1"/>
  <c r="B4386" i="10" s="1"/>
  <c r="B4387" i="10" s="1"/>
  <c r="B4388" i="10" s="1"/>
  <c r="B4389" i="10" s="1"/>
  <c r="B4390" i="10" s="1"/>
  <c r="B4391" i="10" s="1"/>
  <c r="B4392" i="10" s="1"/>
  <c r="B4393" i="10" s="1"/>
  <c r="B4394" i="10" s="1"/>
  <c r="B4395" i="10" s="1"/>
  <c r="B4396" i="10" s="1"/>
  <c r="B4397" i="10" s="1"/>
  <c r="B4398" i="10" s="1"/>
  <c r="B4369" i="10"/>
  <c r="B4370" i="10" s="1"/>
  <c r="K4368" i="10"/>
  <c r="B4367" i="10"/>
  <c r="B4368" i="10" s="1"/>
  <c r="I4365" i="10"/>
  <c r="H4365" i="10"/>
  <c r="G4365" i="10" s="1"/>
  <c r="B4365" i="10"/>
  <c r="B4366" i="10" s="1"/>
  <c r="H4364" i="10"/>
  <c r="G4364" i="10" s="1"/>
  <c r="I4364" i="10" s="1"/>
  <c r="F4363" i="10"/>
  <c r="J4362" i="10"/>
  <c r="F4362" i="10"/>
  <c r="H4362" i="10" s="1"/>
  <c r="G4362" i="10" s="1"/>
  <c r="L4362" i="10" s="1"/>
  <c r="E4362" i="10"/>
  <c r="D4359" i="10"/>
  <c r="D4357" i="10"/>
  <c r="D4345" i="10"/>
  <c r="D4344" i="10"/>
  <c r="C4345" i="10" s="1"/>
  <c r="C4344" i="10"/>
  <c r="B4315" i="10"/>
  <c r="B4316" i="10" s="1"/>
  <c r="B4317" i="10" s="1"/>
  <c r="B4318" i="10" s="1"/>
  <c r="B4319" i="10" s="1"/>
  <c r="B4320" i="10" s="1"/>
  <c r="B4321" i="10" s="1"/>
  <c r="B4322" i="10" s="1"/>
  <c r="B4323" i="10" s="1"/>
  <c r="B4324" i="10" s="1"/>
  <c r="B4325" i="10" s="1"/>
  <c r="B4326" i="10" s="1"/>
  <c r="B4327" i="10" s="1"/>
  <c r="B4328" i="10" s="1"/>
  <c r="B4329" i="10" s="1"/>
  <c r="B4330" i="10" s="1"/>
  <c r="B4331" i="10" s="1"/>
  <c r="B4332" i="10" s="1"/>
  <c r="B4333" i="10" s="1"/>
  <c r="B4334" i="10" s="1"/>
  <c r="B4335" i="10" s="1"/>
  <c r="B4336" i="10" s="1"/>
  <c r="B4337" i="10" s="1"/>
  <c r="B4338" i="10" s="1"/>
  <c r="B4339" i="10" s="1"/>
  <c r="B4340" i="10" s="1"/>
  <c r="B4341" i="10" s="1"/>
  <c r="B4342" i="10" s="1"/>
  <c r="B4343" i="10" s="1"/>
  <c r="B4344" i="10" s="1"/>
  <c r="B4345" i="10" s="1"/>
  <c r="B4311" i="10"/>
  <c r="B4312" i="10" s="1"/>
  <c r="B4313" i="10" s="1"/>
  <c r="B4314" i="10" s="1"/>
  <c r="K4308" i="10"/>
  <c r="K4303" i="10"/>
  <c r="B4302" i="10"/>
  <c r="B4303" i="10" s="1"/>
  <c r="B4304" i="10" s="1"/>
  <c r="B4305" i="10" s="1"/>
  <c r="B4306" i="10" s="1"/>
  <c r="B4307" i="10" s="1"/>
  <c r="B4308" i="10" s="1"/>
  <c r="B4309" i="10" s="1"/>
  <c r="B4310" i="10" s="1"/>
  <c r="B4300" i="10"/>
  <c r="B4301" i="10" s="1"/>
  <c r="L4298" i="10"/>
  <c r="L4299" i="10" s="1"/>
  <c r="L4300" i="10" s="1"/>
  <c r="L4301" i="10" s="1"/>
  <c r="L4302" i="10" s="1"/>
  <c r="L4303" i="10" s="1"/>
  <c r="E4297" i="10"/>
  <c r="D4292" i="10"/>
  <c r="D4294" i="10" s="1"/>
  <c r="D4288" i="10"/>
  <c r="F4297" i="10" s="1"/>
  <c r="D4282" i="10"/>
  <c r="C4283" i="10" s="1"/>
  <c r="D4283" i="10" s="1"/>
  <c r="C4282" i="10"/>
  <c r="B4261" i="10"/>
  <c r="B4262" i="10" s="1"/>
  <c r="B4263" i="10" s="1"/>
  <c r="B4264" i="10" s="1"/>
  <c r="B4265" i="10" s="1"/>
  <c r="B4266" i="10" s="1"/>
  <c r="B4267" i="10" s="1"/>
  <c r="B4268" i="10" s="1"/>
  <c r="B4269" i="10" s="1"/>
  <c r="B4270" i="10" s="1"/>
  <c r="B4271" i="10" s="1"/>
  <c r="B4272" i="10" s="1"/>
  <c r="B4273" i="10" s="1"/>
  <c r="B4274" i="10" s="1"/>
  <c r="B4275" i="10" s="1"/>
  <c r="B4276" i="10" s="1"/>
  <c r="B4277" i="10" s="1"/>
  <c r="B4278" i="10" s="1"/>
  <c r="B4279" i="10" s="1"/>
  <c r="B4280" i="10" s="1"/>
  <c r="B4281" i="10" s="1"/>
  <c r="B4282" i="10" s="1"/>
  <c r="B4283" i="10" s="1"/>
  <c r="K4245" i="10"/>
  <c r="B4244" i="10"/>
  <c r="B4245" i="10" s="1"/>
  <c r="B4246" i="10" s="1"/>
  <c r="B4247" i="10" s="1"/>
  <c r="B4248" i="10" s="1"/>
  <c r="B4249" i="10" s="1"/>
  <c r="B4250" i="10" s="1"/>
  <c r="B4251" i="10" s="1"/>
  <c r="B4252" i="10" s="1"/>
  <c r="B4253" i="10" s="1"/>
  <c r="B4254" i="10" s="1"/>
  <c r="B4255" i="10" s="1"/>
  <c r="B4256" i="10" s="1"/>
  <c r="B4257" i="10" s="1"/>
  <c r="B4258" i="10" s="1"/>
  <c r="B4259" i="10" s="1"/>
  <c r="B4260" i="10" s="1"/>
  <c r="B4240" i="10"/>
  <c r="B4241" i="10" s="1"/>
  <c r="B4242" i="10" s="1"/>
  <c r="B4243" i="10" s="1"/>
  <c r="B4239" i="10"/>
  <c r="B4238" i="10"/>
  <c r="L4236" i="10"/>
  <c r="L4237" i="10" s="1"/>
  <c r="L4238" i="10" s="1"/>
  <c r="L4239" i="10" s="1"/>
  <c r="L4240" i="10" s="1"/>
  <c r="L4241" i="10" s="1"/>
  <c r="E4235" i="10"/>
  <c r="D4230" i="10"/>
  <c r="D4226" i="10"/>
  <c r="B4190" i="10"/>
  <c r="B4191" i="10" s="1"/>
  <c r="B4192" i="10" s="1"/>
  <c r="B4193" i="10" s="1"/>
  <c r="B4194" i="10" s="1"/>
  <c r="B4195" i="10" s="1"/>
  <c r="B4196" i="10" s="1"/>
  <c r="B4197" i="10" s="1"/>
  <c r="B4198" i="10" s="1"/>
  <c r="B4199" i="10" s="1"/>
  <c r="B4200" i="10" s="1"/>
  <c r="B4201" i="10" s="1"/>
  <c r="B4202" i="10" s="1"/>
  <c r="B4203" i="10" s="1"/>
  <c r="B4204" i="10" s="1"/>
  <c r="B4205" i="10" s="1"/>
  <c r="B4206" i="10" s="1"/>
  <c r="B4207" i="10" s="1"/>
  <c r="B4208" i="10" s="1"/>
  <c r="B4209" i="10" s="1"/>
  <c r="B4210" i="10" s="1"/>
  <c r="B4211" i="10" s="1"/>
  <c r="B4212" i="10" s="1"/>
  <c r="B4213" i="10" s="1"/>
  <c r="B4214" i="10" s="1"/>
  <c r="B4215" i="10" s="1"/>
  <c r="B4216" i="10" s="1"/>
  <c r="B4217" i="10" s="1"/>
  <c r="B4218" i="10" s="1"/>
  <c r="B4219" i="10" s="1"/>
  <c r="B4220" i="10" s="1"/>
  <c r="B4187" i="10"/>
  <c r="B4188" i="10" s="1"/>
  <c r="B4189" i="10" s="1"/>
  <c r="E4184" i="10"/>
  <c r="D4181" i="10"/>
  <c r="D4179" i="10"/>
  <c r="D4175" i="10"/>
  <c r="F4184" i="10" s="1"/>
  <c r="H4184" i="10" s="1"/>
  <c r="I4184" i="10" s="1"/>
  <c r="C4167" i="10"/>
  <c r="D4167" i="10" s="1"/>
  <c r="C4168" i="10" s="1"/>
  <c r="D4168" i="10" s="1"/>
  <c r="K4131" i="10"/>
  <c r="K4128" i="10"/>
  <c r="B4123" i="10"/>
  <c r="B4124" i="10" s="1"/>
  <c r="B4125" i="10" s="1"/>
  <c r="B4126" i="10" s="1"/>
  <c r="B4127" i="10" s="1"/>
  <c r="B4128" i="10" s="1"/>
  <c r="B4129" i="10" s="1"/>
  <c r="B4130" i="10" s="1"/>
  <c r="B4131" i="10" s="1"/>
  <c r="B4132" i="10" s="1"/>
  <c r="B4133" i="10" s="1"/>
  <c r="B4134" i="10" s="1"/>
  <c r="B4135" i="10" s="1"/>
  <c r="B4136" i="10" s="1"/>
  <c r="B4137" i="10" s="1"/>
  <c r="B4138" i="10" s="1"/>
  <c r="B4139" i="10" s="1"/>
  <c r="B4140" i="10" s="1"/>
  <c r="B4141" i="10" s="1"/>
  <c r="B4142" i="10" s="1"/>
  <c r="B4143" i="10" s="1"/>
  <c r="B4144" i="10" s="1"/>
  <c r="B4145" i="10" s="1"/>
  <c r="B4146" i="10" s="1"/>
  <c r="B4147" i="10" s="1"/>
  <c r="B4148" i="10" s="1"/>
  <c r="B4149" i="10" s="1"/>
  <c r="B4150" i="10" s="1"/>
  <c r="B4151" i="10" s="1"/>
  <c r="B4152" i="10" s="1"/>
  <c r="B4153" i="10" s="1"/>
  <c r="B4154" i="10" s="1"/>
  <c r="B4155" i="10" s="1"/>
  <c r="B4156" i="10" s="1"/>
  <c r="B4157" i="10" s="1"/>
  <c r="B4158" i="10" s="1"/>
  <c r="B4159" i="10" s="1"/>
  <c r="B4160" i="10" s="1"/>
  <c r="B4161" i="10" s="1"/>
  <c r="B4162" i="10" s="1"/>
  <c r="B4163" i="10" s="1"/>
  <c r="B4164" i="10" s="1"/>
  <c r="B4165" i="10" s="1"/>
  <c r="B4166" i="10" s="1"/>
  <c r="B4167" i="10" s="1"/>
  <c r="B4168" i="10" s="1"/>
  <c r="L4121" i="10"/>
  <c r="L4122" i="10" s="1"/>
  <c r="L4123" i="10" s="1"/>
  <c r="F4120" i="10"/>
  <c r="E4120" i="10"/>
  <c r="D4117" i="10"/>
  <c r="D4115" i="10"/>
  <c r="D4102" i="10"/>
  <c r="D4103" i="10" s="1"/>
  <c r="C4102" i="10"/>
  <c r="C4103" i="10" s="1"/>
  <c r="D4098" i="10"/>
  <c r="D4099" i="10" s="1"/>
  <c r="E4099" i="10" s="1"/>
  <c r="C4098" i="10"/>
  <c r="C4099" i="10" s="1"/>
  <c r="D4095" i="10"/>
  <c r="E4095" i="10" s="1"/>
  <c r="C4095" i="10"/>
  <c r="E4094" i="10"/>
  <c r="D4094" i="10"/>
  <c r="C4094" i="10"/>
  <c r="D4091" i="10"/>
  <c r="E4091" i="10" s="1"/>
  <c r="D4090" i="10"/>
  <c r="C4090" i="10"/>
  <c r="C4091" i="10" s="1"/>
  <c r="K4078" i="10"/>
  <c r="B4070" i="10"/>
  <c r="B4071" i="10" s="1"/>
  <c r="B4072" i="10" s="1"/>
  <c r="B4073" i="10" s="1"/>
  <c r="B4074" i="10" s="1"/>
  <c r="B4075" i="10" s="1"/>
  <c r="B4076" i="10" s="1"/>
  <c r="B4077" i="10" s="1"/>
  <c r="B4078" i="10" s="1"/>
  <c r="B4079" i="10" s="1"/>
  <c r="B4080" i="10" s="1"/>
  <c r="B4081" i="10" s="1"/>
  <c r="B4082" i="10" s="1"/>
  <c r="B4083" i="10" s="1"/>
  <c r="B4084" i="10" s="1"/>
  <c r="B4085" i="10" s="1"/>
  <c r="B4086" i="10" s="1"/>
  <c r="B4087" i="10" s="1"/>
  <c r="B4088" i="10" s="1"/>
  <c r="B4089" i="10" s="1"/>
  <c r="B4090" i="10" s="1"/>
  <c r="B4091" i="10" s="1"/>
  <c r="B4092" i="10" s="1"/>
  <c r="B4093" i="10" s="1"/>
  <c r="B4094" i="10" s="1"/>
  <c r="B4095" i="10" s="1"/>
  <c r="B4096" i="10" s="1"/>
  <c r="B4097" i="10" s="1"/>
  <c r="B4098" i="10" s="1"/>
  <c r="B4099" i="10" s="1"/>
  <c r="B4100" i="10" s="1"/>
  <c r="B4101" i="10" s="1"/>
  <c r="B4102" i="10" s="1"/>
  <c r="B4103" i="10" s="1"/>
  <c r="B4069" i="10"/>
  <c r="F4067" i="10"/>
  <c r="H4067" i="10" s="1"/>
  <c r="I4067" i="10" s="1"/>
  <c r="J4067" i="10" s="1"/>
  <c r="F4068" i="10" s="1"/>
  <c r="E4067" i="10"/>
  <c r="D4062" i="10"/>
  <c r="D4064" i="10" s="1"/>
  <c r="B4005" i="10"/>
  <c r="B4006" i="10" s="1"/>
  <c r="B4007" i="10" s="1"/>
  <c r="B4008" i="10" s="1"/>
  <c r="B4009" i="10" s="1"/>
  <c r="B4010" i="10" s="1"/>
  <c r="B4011" i="10" s="1"/>
  <c r="B4012" i="10" s="1"/>
  <c r="B4013" i="10" s="1"/>
  <c r="B4014" i="10" s="1"/>
  <c r="B4015" i="10" s="1"/>
  <c r="B4016" i="10" s="1"/>
  <c r="B4017" i="10" s="1"/>
  <c r="B4018" i="10" s="1"/>
  <c r="B4019" i="10" s="1"/>
  <c r="B4020" i="10" s="1"/>
  <c r="B4021" i="10" s="1"/>
  <c r="B4022" i="10" s="1"/>
  <c r="B4023" i="10" s="1"/>
  <c r="B4024" i="10" s="1"/>
  <c r="B4025" i="10" s="1"/>
  <c r="B4026" i="10" s="1"/>
  <c r="B4027" i="10" s="1"/>
  <c r="B4028" i="10" s="1"/>
  <c r="B4029" i="10" s="1"/>
  <c r="B4030" i="10" s="1"/>
  <c r="B4031" i="10" s="1"/>
  <c r="B4032" i="10" s="1"/>
  <c r="B4033" i="10" s="1"/>
  <c r="B4034" i="10" s="1"/>
  <c r="B4035" i="10" s="1"/>
  <c r="B4036" i="10" s="1"/>
  <c r="B4037" i="10" s="1"/>
  <c r="B4038" i="10" s="1"/>
  <c r="B4039" i="10" s="1"/>
  <c r="B4040" i="10" s="1"/>
  <c r="B4041" i="10" s="1"/>
  <c r="B4042" i="10" s="1"/>
  <c r="B4043" i="10" s="1"/>
  <c r="B4044" i="10" s="1"/>
  <c r="B4045" i="10" s="1"/>
  <c r="B4046" i="10" s="1"/>
  <c r="B4047" i="10" s="1"/>
  <c r="B4048" i="10" s="1"/>
  <c r="B4049" i="10" s="1"/>
  <c r="B4050" i="10" s="1"/>
  <c r="F4002" i="10"/>
  <c r="E4002" i="10"/>
  <c r="D3997" i="10"/>
  <c r="D3999" i="10" s="1"/>
  <c r="B3984" i="10"/>
  <c r="C3964" i="10"/>
  <c r="C3963" i="10"/>
  <c r="E3963" i="10" s="1"/>
  <c r="C3962" i="10"/>
  <c r="D3962" i="10" s="1"/>
  <c r="E3962" i="10" s="1"/>
  <c r="E3961" i="10"/>
  <c r="F3960" i="10"/>
  <c r="D3955" i="10"/>
  <c r="D3957" i="10" s="1"/>
  <c r="B3942" i="10"/>
  <c r="L3921" i="10"/>
  <c r="C3921" i="10"/>
  <c r="E3921" i="10" s="1"/>
  <c r="C3920" i="10"/>
  <c r="D3920" i="10" s="1"/>
  <c r="E3920" i="10" s="1"/>
  <c r="E3919" i="10"/>
  <c r="F3918" i="10"/>
  <c r="D3913" i="10"/>
  <c r="D3915" i="10" s="1"/>
  <c r="B3898" i="10"/>
  <c r="B3899" i="10" s="1"/>
  <c r="B3900" i="10" s="1"/>
  <c r="B3880" i="10"/>
  <c r="B3881" i="10" s="1"/>
  <c r="B3882" i="10" s="1"/>
  <c r="B3883" i="10" s="1"/>
  <c r="B3884" i="10" s="1"/>
  <c r="B3885" i="10" s="1"/>
  <c r="B3886" i="10" s="1"/>
  <c r="B3887" i="10" s="1"/>
  <c r="B3888" i="10" s="1"/>
  <c r="B3889" i="10" s="1"/>
  <c r="B3890" i="10" s="1"/>
  <c r="B3891" i="10" s="1"/>
  <c r="B3892" i="10" s="1"/>
  <c r="B3893" i="10" s="1"/>
  <c r="B3894" i="10" s="1"/>
  <c r="B3895" i="10" s="1"/>
  <c r="B3896" i="10" s="1"/>
  <c r="B3897" i="10" s="1"/>
  <c r="B3876" i="10"/>
  <c r="B3877" i="10" s="1"/>
  <c r="B3878" i="10" s="1"/>
  <c r="B3879" i="10" s="1"/>
  <c r="K3861" i="10"/>
  <c r="C3854" i="10"/>
  <c r="E3853" i="10"/>
  <c r="D3849" i="10"/>
  <c r="D3847" i="10"/>
  <c r="D3843" i="10"/>
  <c r="F3852" i="10" s="1"/>
  <c r="B3834" i="10"/>
  <c r="K3821" i="10"/>
  <c r="K3812" i="10"/>
  <c r="C3812" i="10"/>
  <c r="D3812" i="10" s="1"/>
  <c r="E3812" i="10" s="1"/>
  <c r="E3811" i="10"/>
  <c r="F3810" i="10"/>
  <c r="E3810" i="10"/>
  <c r="D3807" i="10"/>
  <c r="D3805" i="10"/>
  <c r="C3772" i="10"/>
  <c r="D3771" i="10"/>
  <c r="E3771" i="10" s="1"/>
  <c r="C3771" i="10"/>
  <c r="E3770" i="10"/>
  <c r="F3769" i="10"/>
  <c r="D3766" i="10"/>
  <c r="B3730" i="10"/>
  <c r="B3731" i="10" s="1"/>
  <c r="B3732" i="10" s="1"/>
  <c r="B3733" i="10" s="1"/>
  <c r="B3734" i="10" s="1"/>
  <c r="B3735" i="10" s="1"/>
  <c r="B3736" i="10" s="1"/>
  <c r="B3737" i="10" s="1"/>
  <c r="B3738" i="10" s="1"/>
  <c r="B3739" i="10" s="1"/>
  <c r="B3740" i="10" s="1"/>
  <c r="B3741" i="10" s="1"/>
  <c r="B3742" i="10" s="1"/>
  <c r="B3743" i="10" s="1"/>
  <c r="B3744" i="10" s="1"/>
  <c r="B3745" i="10" s="1"/>
  <c r="B3746" i="10" s="1"/>
  <c r="B3747" i="10" s="1"/>
  <c r="B3748" i="10" s="1"/>
  <c r="B3749" i="10" s="1"/>
  <c r="B3750" i="10" s="1"/>
  <c r="B3751" i="10" s="1"/>
  <c r="B3728" i="10"/>
  <c r="B3729" i="10" s="1"/>
  <c r="B3727" i="10"/>
  <c r="K3717" i="10"/>
  <c r="K3715" i="10"/>
  <c r="E3707" i="10"/>
  <c r="C3707" i="10"/>
  <c r="C3708" i="10" s="1"/>
  <c r="C3709" i="10" s="1"/>
  <c r="C3706" i="10"/>
  <c r="E3706" i="10" s="1"/>
  <c r="D3705" i="10"/>
  <c r="E3705" i="10" s="1"/>
  <c r="C3705" i="10"/>
  <c r="E3704" i="10"/>
  <c r="F3703" i="10"/>
  <c r="E3703" i="10"/>
  <c r="D3698" i="10"/>
  <c r="D3700" i="10" s="1"/>
  <c r="B3675" i="10"/>
  <c r="B3676" i="10" s="1"/>
  <c r="B3677" i="10" s="1"/>
  <c r="B3678" i="10" s="1"/>
  <c r="B3679" i="10" s="1"/>
  <c r="B3680" i="10" s="1"/>
  <c r="B3681" i="10" s="1"/>
  <c r="B3682" i="10" s="1"/>
  <c r="B3683" i="10" s="1"/>
  <c r="B3684" i="10" s="1"/>
  <c r="B3685" i="10" s="1"/>
  <c r="B3667" i="10"/>
  <c r="B3668" i="10" s="1"/>
  <c r="B3669" i="10" s="1"/>
  <c r="B3670" i="10" s="1"/>
  <c r="B3671" i="10" s="1"/>
  <c r="B3672" i="10" s="1"/>
  <c r="B3673" i="10" s="1"/>
  <c r="B3674" i="10" s="1"/>
  <c r="B3661" i="10"/>
  <c r="B3662" i="10" s="1"/>
  <c r="B3663" i="10" s="1"/>
  <c r="B3664" i="10" s="1"/>
  <c r="B3665" i="10" s="1"/>
  <c r="B3666" i="10" s="1"/>
  <c r="K3649" i="10"/>
  <c r="C3640" i="10"/>
  <c r="E3640" i="10" s="1"/>
  <c r="E3639" i="10"/>
  <c r="D3639" i="10"/>
  <c r="C3639" i="10"/>
  <c r="E3638" i="10"/>
  <c r="F3637" i="10"/>
  <c r="H3637" i="10" s="1"/>
  <c r="E3637" i="10"/>
  <c r="D3632" i="10"/>
  <c r="D3634" i="10" s="1"/>
  <c r="E3617" i="10"/>
  <c r="E3616" i="10"/>
  <c r="E3615" i="10"/>
  <c r="E3614" i="10"/>
  <c r="E3613" i="10"/>
  <c r="E3612" i="10"/>
  <c r="E3611" i="10"/>
  <c r="E3610" i="10"/>
  <c r="E3609" i="10"/>
  <c r="E3608" i="10"/>
  <c r="E3607" i="10"/>
  <c r="E3606" i="10"/>
  <c r="K3605" i="10"/>
  <c r="E3605" i="10"/>
  <c r="E3604" i="10"/>
  <c r="E3603" i="10"/>
  <c r="E3602" i="10"/>
  <c r="E3601" i="10"/>
  <c r="E3600" i="10"/>
  <c r="E3599" i="10"/>
  <c r="E3598" i="10"/>
  <c r="E3597" i="10"/>
  <c r="E3596" i="10"/>
  <c r="E3595" i="10"/>
  <c r="E3594" i="10"/>
  <c r="H3593" i="10"/>
  <c r="I3593" i="10" s="1"/>
  <c r="F3593" i="10"/>
  <c r="E3593" i="10"/>
  <c r="E3619" i="10" s="1"/>
  <c r="D3590" i="10"/>
  <c r="D3588" i="10"/>
  <c r="E3575" i="10"/>
  <c r="E3574" i="10"/>
  <c r="E3573" i="10"/>
  <c r="E3572" i="10"/>
  <c r="E3571" i="10"/>
  <c r="E3570" i="10"/>
  <c r="E3569" i="10"/>
  <c r="E3568" i="10"/>
  <c r="K3567" i="10"/>
  <c r="E3567" i="10"/>
  <c r="E3566" i="10"/>
  <c r="E3565" i="10"/>
  <c r="E3564" i="10"/>
  <c r="E3563" i="10"/>
  <c r="E3562" i="10"/>
  <c r="E3561" i="10"/>
  <c r="E3560" i="10"/>
  <c r="E3559" i="10"/>
  <c r="E3558" i="10"/>
  <c r="E3557" i="10"/>
  <c r="E3556" i="10"/>
  <c r="E3555" i="10"/>
  <c r="E3554" i="10"/>
  <c r="E3553" i="10"/>
  <c r="E3552" i="10"/>
  <c r="H3551" i="10"/>
  <c r="I3551" i="10" s="1"/>
  <c r="F3551" i="10"/>
  <c r="E3551" i="10"/>
  <c r="D3548" i="10"/>
  <c r="D3546" i="10"/>
  <c r="E3533" i="10"/>
  <c r="E3532" i="10"/>
  <c r="E3531" i="10"/>
  <c r="E3530" i="10"/>
  <c r="E3529" i="10"/>
  <c r="E3528" i="10"/>
  <c r="E3527" i="10"/>
  <c r="E3526" i="10"/>
  <c r="E3525" i="10"/>
  <c r="E3524" i="10"/>
  <c r="E3523" i="10"/>
  <c r="E3522" i="10"/>
  <c r="E3521" i="10"/>
  <c r="E3520" i="10"/>
  <c r="E3519" i="10"/>
  <c r="E3518" i="10"/>
  <c r="E3517" i="10"/>
  <c r="E3516" i="10"/>
  <c r="E3515" i="10"/>
  <c r="E3514" i="10"/>
  <c r="E3513" i="10"/>
  <c r="E3512" i="10"/>
  <c r="E3511" i="10"/>
  <c r="E3510" i="10"/>
  <c r="E3509" i="10"/>
  <c r="E3508" i="10"/>
  <c r="E3507" i="10"/>
  <c r="E3506" i="10"/>
  <c r="E3505" i="10"/>
  <c r="E3504" i="10"/>
  <c r="E3503" i="10"/>
  <c r="E3502" i="10"/>
  <c r="E3501" i="10"/>
  <c r="E3500" i="10"/>
  <c r="E3499" i="10"/>
  <c r="E3498" i="10"/>
  <c r="E3497" i="10"/>
  <c r="E3496" i="10"/>
  <c r="E3495" i="10"/>
  <c r="E3494" i="10"/>
  <c r="E3493" i="10"/>
  <c r="E3492" i="10"/>
  <c r="E3491" i="10"/>
  <c r="E3490" i="10"/>
  <c r="E3489" i="10"/>
  <c r="E3488" i="10"/>
  <c r="E3487" i="10"/>
  <c r="E3486" i="10"/>
  <c r="H3485" i="10"/>
  <c r="I3485" i="10" s="1"/>
  <c r="J3485" i="10" s="1"/>
  <c r="F3486" i="10" s="1"/>
  <c r="F3485" i="10"/>
  <c r="E3485" i="10"/>
  <c r="D3482" i="10"/>
  <c r="D3480" i="10"/>
  <c r="E3470" i="10"/>
  <c r="E3469" i="10"/>
  <c r="E3468" i="10"/>
  <c r="E3467" i="10"/>
  <c r="E3466" i="10"/>
  <c r="E3465" i="10"/>
  <c r="E3464" i="10"/>
  <c r="E3463" i="10"/>
  <c r="E3462" i="10"/>
  <c r="E3461" i="10"/>
  <c r="E3460" i="10"/>
  <c r="E3459" i="10"/>
  <c r="E3458" i="10"/>
  <c r="E3457" i="10"/>
  <c r="E3456" i="10"/>
  <c r="E3455" i="10"/>
  <c r="E3454" i="10"/>
  <c r="E3453" i="10"/>
  <c r="E3452" i="10"/>
  <c r="E3451" i="10"/>
  <c r="E3450" i="10"/>
  <c r="E3449" i="10"/>
  <c r="E3448" i="10"/>
  <c r="I3447" i="10"/>
  <c r="J3447" i="10" s="1"/>
  <c r="F3448" i="10" s="1"/>
  <c r="H3447" i="10"/>
  <c r="F3447" i="10"/>
  <c r="E3447" i="10"/>
  <c r="D3444" i="10"/>
  <c r="D3442" i="10"/>
  <c r="E3429" i="10"/>
  <c r="E3428" i="10"/>
  <c r="E3427" i="10"/>
  <c r="E3426" i="10"/>
  <c r="E3425" i="10"/>
  <c r="E3424" i="10"/>
  <c r="E3423" i="10"/>
  <c r="E3422" i="10"/>
  <c r="E3421" i="10"/>
  <c r="E3420" i="10"/>
  <c r="E3419" i="10"/>
  <c r="E3418" i="10"/>
  <c r="E3417" i="10"/>
  <c r="E3416" i="10"/>
  <c r="E3415" i="10"/>
  <c r="E3414" i="10"/>
  <c r="E3413" i="10"/>
  <c r="E3412" i="10"/>
  <c r="E3411" i="10"/>
  <c r="E3410" i="10"/>
  <c r="E3409" i="10"/>
  <c r="E3408" i="10"/>
  <c r="E3407" i="10"/>
  <c r="E3406" i="10"/>
  <c r="E3405" i="10"/>
  <c r="E3404" i="10"/>
  <c r="E3403" i="10"/>
  <c r="E3402" i="10"/>
  <c r="E3401" i="10"/>
  <c r="E3400" i="10"/>
  <c r="E3399" i="10"/>
  <c r="E3398" i="10"/>
  <c r="E3397" i="10"/>
  <c r="K3396" i="10"/>
  <c r="E3396" i="10"/>
  <c r="E3395" i="10"/>
  <c r="K3394" i="10"/>
  <c r="E3394" i="10"/>
  <c r="E3393" i="10"/>
  <c r="E3392" i="10"/>
  <c r="E3391" i="10"/>
  <c r="E3390" i="10"/>
  <c r="E3389" i="10"/>
  <c r="E3388" i="10"/>
  <c r="E3387" i="10"/>
  <c r="E3386" i="10"/>
  <c r="E3385" i="10"/>
  <c r="E3384" i="10"/>
  <c r="E3383" i="10"/>
  <c r="E3382" i="10"/>
  <c r="F3381" i="10"/>
  <c r="E3381" i="10"/>
  <c r="D3378" i="10"/>
  <c r="D3376" i="10"/>
  <c r="E3363" i="10"/>
  <c r="E3362" i="10"/>
  <c r="E3361" i="10"/>
  <c r="E3360" i="10"/>
  <c r="E3359" i="10"/>
  <c r="E3358" i="10"/>
  <c r="E3357" i="10"/>
  <c r="E3356" i="10"/>
  <c r="E3355" i="10"/>
  <c r="E3354" i="10"/>
  <c r="E3353" i="10"/>
  <c r="E3352" i="10"/>
  <c r="E3351" i="10"/>
  <c r="E3350" i="10"/>
  <c r="E3349" i="10"/>
  <c r="E3348" i="10"/>
  <c r="E3347" i="10"/>
  <c r="E3346" i="10"/>
  <c r="E3345" i="10"/>
  <c r="E3344" i="10"/>
  <c r="E3343" i="10"/>
  <c r="E3342" i="10"/>
  <c r="E3341" i="10"/>
  <c r="E3340" i="10"/>
  <c r="E3339" i="10"/>
  <c r="E3338" i="10"/>
  <c r="E3337" i="10"/>
  <c r="E3336" i="10"/>
  <c r="E3335" i="10"/>
  <c r="K3334" i="10"/>
  <c r="E3334" i="10"/>
  <c r="E3333" i="10"/>
  <c r="E3332" i="10"/>
  <c r="E3331" i="10"/>
  <c r="K3330" i="10"/>
  <c r="E3330" i="10"/>
  <c r="E3329" i="10"/>
  <c r="E3328" i="10"/>
  <c r="E3327" i="10"/>
  <c r="E3365" i="10" s="1"/>
  <c r="E3326" i="10"/>
  <c r="E3325" i="10"/>
  <c r="E3324" i="10"/>
  <c r="E3323" i="10"/>
  <c r="E3322" i="10"/>
  <c r="E3321" i="10"/>
  <c r="E3320" i="10"/>
  <c r="E3319" i="10"/>
  <c r="E3318" i="10"/>
  <c r="E3317" i="10"/>
  <c r="E3316" i="10"/>
  <c r="F3315" i="10"/>
  <c r="E3315" i="10"/>
  <c r="D3312" i="10"/>
  <c r="D3310" i="10"/>
  <c r="I3308" i="10"/>
  <c r="H3308" i="10"/>
  <c r="G3308" i="10"/>
  <c r="F3308" i="10"/>
  <c r="E3299" i="10"/>
  <c r="E3298" i="10"/>
  <c r="E3297" i="10"/>
  <c r="E3296" i="10"/>
  <c r="E3295" i="10"/>
  <c r="E3294" i="10"/>
  <c r="E3293" i="10"/>
  <c r="E3292" i="10"/>
  <c r="E3291" i="10"/>
  <c r="E3290" i="10"/>
  <c r="E3289" i="10"/>
  <c r="E3288" i="10"/>
  <c r="E3287" i="10"/>
  <c r="E3286" i="10"/>
  <c r="K3285" i="10"/>
  <c r="E3285" i="10"/>
  <c r="E3284" i="10"/>
  <c r="E3283" i="10"/>
  <c r="E3282" i="10"/>
  <c r="E3281" i="10"/>
  <c r="E3280" i="10"/>
  <c r="E3279" i="10"/>
  <c r="E3278" i="10"/>
  <c r="E3277" i="10"/>
  <c r="E3276" i="10"/>
  <c r="I3275" i="10"/>
  <c r="H3275" i="10"/>
  <c r="F3275" i="10"/>
  <c r="E3275" i="10"/>
  <c r="D3272" i="10"/>
  <c r="D3270" i="10"/>
  <c r="E3258" i="10"/>
  <c r="E3257" i="10"/>
  <c r="E3256" i="10"/>
  <c r="E3255" i="10"/>
  <c r="E3254" i="10"/>
  <c r="E3253" i="10"/>
  <c r="E3252" i="10"/>
  <c r="E3251" i="10"/>
  <c r="E3250" i="10"/>
  <c r="E3249" i="10"/>
  <c r="E3248" i="10"/>
  <c r="E3247" i="10"/>
  <c r="I3246" i="10"/>
  <c r="H3246" i="10"/>
  <c r="F3246" i="10"/>
  <c r="E3246" i="10"/>
  <c r="D3243" i="10"/>
  <c r="D3241" i="10"/>
  <c r="E3228" i="10"/>
  <c r="E3227" i="10"/>
  <c r="E3226" i="10"/>
  <c r="E3225" i="10"/>
  <c r="E3224" i="10"/>
  <c r="E3223" i="10"/>
  <c r="E3222" i="10"/>
  <c r="E3221" i="10"/>
  <c r="E3220" i="10"/>
  <c r="E3219" i="10"/>
  <c r="E3218" i="10"/>
  <c r="E3217" i="10"/>
  <c r="E3216" i="10"/>
  <c r="E3215" i="10"/>
  <c r="E3214" i="10"/>
  <c r="E3213" i="10"/>
  <c r="E3212" i="10"/>
  <c r="E3211" i="10"/>
  <c r="E3210" i="10"/>
  <c r="E3209" i="10"/>
  <c r="E3208" i="10"/>
  <c r="E3207" i="10"/>
  <c r="E3206" i="10"/>
  <c r="E3205" i="10"/>
  <c r="E3204" i="10"/>
  <c r="E3203" i="10"/>
  <c r="E3202" i="10"/>
  <c r="E3201" i="10"/>
  <c r="E3200" i="10"/>
  <c r="E3199" i="10"/>
  <c r="E3198" i="10"/>
  <c r="E3197" i="10"/>
  <c r="E3196" i="10"/>
  <c r="E3195" i="10"/>
  <c r="E3194" i="10"/>
  <c r="E3193" i="10"/>
  <c r="E3192" i="10"/>
  <c r="E3191" i="10"/>
  <c r="E3190" i="10"/>
  <c r="E3189" i="10"/>
  <c r="E3188" i="10"/>
  <c r="E3187" i="10"/>
  <c r="K3186" i="10"/>
  <c r="E3186" i="10"/>
  <c r="E3185" i="10"/>
  <c r="E3184" i="10"/>
  <c r="E3183" i="10"/>
  <c r="E3182" i="10"/>
  <c r="E3181" i="10"/>
  <c r="E3180" i="10"/>
  <c r="K3179" i="10"/>
  <c r="E3179" i="10"/>
  <c r="E3178" i="10"/>
  <c r="E3177" i="10"/>
  <c r="E3176" i="10"/>
  <c r="E3175" i="10"/>
  <c r="E3174" i="10"/>
  <c r="E3173" i="10"/>
  <c r="E3172" i="10"/>
  <c r="E3171" i="10"/>
  <c r="E3170" i="10"/>
  <c r="E3169" i="10"/>
  <c r="F3168" i="10"/>
  <c r="E3168" i="10"/>
  <c r="D3163" i="10"/>
  <c r="D3165" i="10" s="1"/>
  <c r="E3149" i="10"/>
  <c r="E3148" i="10"/>
  <c r="E3147" i="10"/>
  <c r="E3146" i="10"/>
  <c r="E3145" i="10"/>
  <c r="E3144" i="10"/>
  <c r="E3143" i="10"/>
  <c r="E3142" i="10"/>
  <c r="E3141" i="10"/>
  <c r="E3140" i="10"/>
  <c r="E3139" i="10"/>
  <c r="E3138" i="10"/>
  <c r="E3137" i="10"/>
  <c r="E3136" i="10"/>
  <c r="E3135" i="10"/>
  <c r="E3134" i="10"/>
  <c r="E3133" i="10"/>
  <c r="E3132" i="10"/>
  <c r="E3131" i="10"/>
  <c r="E3130" i="10"/>
  <c r="E3129" i="10"/>
  <c r="E3128" i="10"/>
  <c r="E3127" i="10"/>
  <c r="J3126" i="10"/>
  <c r="F3127" i="10" s="1"/>
  <c r="F3126" i="10"/>
  <c r="H3126" i="10" s="1"/>
  <c r="E3126" i="10"/>
  <c r="F3125" i="10"/>
  <c r="J3125" i="10" s="1"/>
  <c r="E3125" i="10"/>
  <c r="E3151" i="10" s="1"/>
  <c r="C3122" i="10"/>
  <c r="F3120" i="10"/>
  <c r="G3120" i="10" s="1"/>
  <c r="E3120" i="10"/>
  <c r="C3120" i="10"/>
  <c r="E3108" i="10"/>
  <c r="E3107" i="10"/>
  <c r="E3106" i="10"/>
  <c r="E3105" i="10"/>
  <c r="E3104" i="10"/>
  <c r="E3103" i="10"/>
  <c r="E3102" i="10"/>
  <c r="E3101" i="10"/>
  <c r="K3100" i="10"/>
  <c r="E3100" i="10"/>
  <c r="E3099" i="10"/>
  <c r="E3098" i="10"/>
  <c r="E3097" i="10"/>
  <c r="E3096" i="10"/>
  <c r="E3095" i="10"/>
  <c r="K3094" i="10"/>
  <c r="E3094" i="10"/>
  <c r="E3093" i="10"/>
  <c r="E3092" i="10"/>
  <c r="E3091" i="10"/>
  <c r="E3090" i="10"/>
  <c r="E3089" i="10"/>
  <c r="E3088" i="10"/>
  <c r="E3087" i="10"/>
  <c r="E3086" i="10"/>
  <c r="E3085" i="10"/>
  <c r="F3084" i="10"/>
  <c r="E3084" i="10"/>
  <c r="D3079" i="10"/>
  <c r="D3081" i="10" s="1"/>
  <c r="E3065" i="10"/>
  <c r="E3064" i="10"/>
  <c r="E3063" i="10"/>
  <c r="E3062" i="10"/>
  <c r="E3061" i="10"/>
  <c r="E3060" i="10"/>
  <c r="E3059" i="10"/>
  <c r="E3058" i="10"/>
  <c r="E3057" i="10"/>
  <c r="E3056" i="10"/>
  <c r="E3055" i="10"/>
  <c r="E3054" i="10"/>
  <c r="E3053" i="10"/>
  <c r="E3052" i="10"/>
  <c r="E3051" i="10"/>
  <c r="E3050" i="10"/>
  <c r="E3049" i="10"/>
  <c r="E3048" i="10"/>
  <c r="E3047" i="10"/>
  <c r="E3046" i="10"/>
  <c r="E3045" i="10"/>
  <c r="E3044" i="10"/>
  <c r="E3043" i="10"/>
  <c r="E3042" i="10"/>
  <c r="E3041" i="10"/>
  <c r="E3040" i="10"/>
  <c r="E3039" i="10"/>
  <c r="E3038" i="10"/>
  <c r="E3037" i="10"/>
  <c r="E3036" i="10"/>
  <c r="E3035" i="10"/>
  <c r="E3034" i="10"/>
  <c r="E3033" i="10"/>
  <c r="E3032" i="10"/>
  <c r="E3031" i="10"/>
  <c r="E3030" i="10"/>
  <c r="E3029" i="10"/>
  <c r="E3028" i="10"/>
  <c r="E3027" i="10"/>
  <c r="E3026" i="10"/>
  <c r="E3025" i="10"/>
  <c r="E3024" i="10"/>
  <c r="E3023" i="10"/>
  <c r="E3022" i="10"/>
  <c r="E3021" i="10"/>
  <c r="E3020" i="10"/>
  <c r="E3019" i="10"/>
  <c r="E3018" i="10"/>
  <c r="E3017" i="10"/>
  <c r="E3016" i="10"/>
  <c r="E3015" i="10"/>
  <c r="E3014" i="10"/>
  <c r="E3013" i="10"/>
  <c r="K3012" i="10"/>
  <c r="E3012" i="10"/>
  <c r="E3011" i="10"/>
  <c r="E3010" i="10"/>
  <c r="E3009" i="10"/>
  <c r="E3008" i="10"/>
  <c r="E3007" i="10"/>
  <c r="E3006" i="10"/>
  <c r="E3005" i="10"/>
  <c r="E3004" i="10"/>
  <c r="E3003" i="10"/>
  <c r="E3002" i="10"/>
  <c r="E3001" i="10"/>
  <c r="E3000" i="10"/>
  <c r="E2999" i="10"/>
  <c r="E2998" i="10"/>
  <c r="E2997" i="10"/>
  <c r="E2996" i="10"/>
  <c r="E2995" i="10"/>
  <c r="E2994" i="10"/>
  <c r="F2993" i="10"/>
  <c r="E2993" i="10"/>
  <c r="D2990" i="10"/>
  <c r="D2988" i="10"/>
  <c r="E2977" i="10"/>
  <c r="E2976" i="10"/>
  <c r="E2975" i="10"/>
  <c r="E2974" i="10"/>
  <c r="E2973" i="10"/>
  <c r="E2972" i="10"/>
  <c r="E2971" i="10"/>
  <c r="E2970" i="10"/>
  <c r="E2969" i="10"/>
  <c r="E2968" i="10"/>
  <c r="E2967" i="10"/>
  <c r="E2966" i="10"/>
  <c r="E2965" i="10"/>
  <c r="E2964" i="10"/>
  <c r="E2963" i="10"/>
  <c r="E2962" i="10"/>
  <c r="E2961" i="10"/>
  <c r="E2960" i="10"/>
  <c r="E2959" i="10"/>
  <c r="E2958" i="10"/>
  <c r="E2957" i="10"/>
  <c r="E2956" i="10"/>
  <c r="E2955" i="10"/>
  <c r="E2954" i="10"/>
  <c r="E2953" i="10"/>
  <c r="E2952" i="10"/>
  <c r="K2951" i="10"/>
  <c r="E2951" i="10"/>
  <c r="E2950" i="10"/>
  <c r="E2949" i="10"/>
  <c r="E2948" i="10"/>
  <c r="E2947" i="10"/>
  <c r="E2946" i="10"/>
  <c r="E2945" i="10"/>
  <c r="E2944" i="10"/>
  <c r="E2943" i="10"/>
  <c r="H2942" i="10"/>
  <c r="E2942" i="10"/>
  <c r="E2979" i="10" s="1"/>
  <c r="J2941" i="10"/>
  <c r="F2942" i="10" s="1"/>
  <c r="J2942" i="10" s="1"/>
  <c r="F2943" i="10" s="1"/>
  <c r="F2941" i="10"/>
  <c r="E2941" i="10"/>
  <c r="H2941" i="10" s="1"/>
  <c r="D2936" i="10"/>
  <c r="D2938" i="10" s="1"/>
  <c r="E2923" i="10"/>
  <c r="E2922" i="10"/>
  <c r="E2921" i="10"/>
  <c r="E2920" i="10"/>
  <c r="E2919" i="10"/>
  <c r="E2918" i="10"/>
  <c r="E2917" i="10"/>
  <c r="E2916" i="10"/>
  <c r="E2915" i="10"/>
  <c r="E2914" i="10"/>
  <c r="E2913" i="10"/>
  <c r="E2912" i="10"/>
  <c r="E2911" i="10"/>
  <c r="E2910" i="10"/>
  <c r="E2909" i="10"/>
  <c r="E2908" i="10"/>
  <c r="E2907" i="10"/>
  <c r="E2906" i="10"/>
  <c r="E2905" i="10"/>
  <c r="E2904" i="10"/>
  <c r="E2903" i="10"/>
  <c r="E2902" i="10"/>
  <c r="E2901" i="10"/>
  <c r="E2900" i="10"/>
  <c r="E2899" i="10"/>
  <c r="E2898" i="10"/>
  <c r="E2897" i="10"/>
  <c r="E2896" i="10"/>
  <c r="E2895" i="10"/>
  <c r="E2894" i="10"/>
  <c r="E2893" i="10"/>
  <c r="E2892" i="10"/>
  <c r="E2891" i="10"/>
  <c r="E2890" i="10"/>
  <c r="E2889" i="10"/>
  <c r="E2888" i="10"/>
  <c r="E2887" i="10"/>
  <c r="E2886" i="10"/>
  <c r="E2885" i="10"/>
  <c r="E2884" i="10"/>
  <c r="E2883" i="10"/>
  <c r="E2882" i="10"/>
  <c r="E2881" i="10"/>
  <c r="E2880" i="10"/>
  <c r="E2879" i="10"/>
  <c r="E2878" i="10"/>
  <c r="E2877" i="10"/>
  <c r="E2876" i="10"/>
  <c r="F2875" i="10"/>
  <c r="E2875" i="10"/>
  <c r="D2870" i="10"/>
  <c r="D2872" i="10" s="1"/>
  <c r="G2868" i="10"/>
  <c r="F2868" i="10"/>
  <c r="E2856" i="10"/>
  <c r="E2855" i="10"/>
  <c r="E2854" i="10"/>
  <c r="E2853" i="10"/>
  <c r="E2852" i="10"/>
  <c r="E2851" i="10"/>
  <c r="E2850" i="10"/>
  <c r="E2849" i="10"/>
  <c r="E2848" i="10"/>
  <c r="E2847" i="10"/>
  <c r="E2846" i="10"/>
  <c r="E2845" i="10"/>
  <c r="E2844" i="10"/>
  <c r="E2843" i="10"/>
  <c r="E2842" i="10"/>
  <c r="E2841" i="10"/>
  <c r="K2840" i="10"/>
  <c r="E2840" i="10"/>
  <c r="E2839" i="10"/>
  <c r="E2838" i="10"/>
  <c r="K2837" i="10"/>
  <c r="E2837" i="10"/>
  <c r="E2836" i="10"/>
  <c r="E2835" i="10"/>
  <c r="E2834" i="10"/>
  <c r="E2833" i="10"/>
  <c r="E2832" i="10"/>
  <c r="E2831" i="10"/>
  <c r="E2830" i="10"/>
  <c r="E2829" i="10"/>
  <c r="E2828" i="10"/>
  <c r="E2827" i="10"/>
  <c r="E2826" i="10"/>
  <c r="E2825" i="10"/>
  <c r="E2824" i="10"/>
  <c r="K2823" i="10"/>
  <c r="E2823" i="10"/>
  <c r="E2822" i="10"/>
  <c r="J2821" i="10"/>
  <c r="F2822" i="10" s="1"/>
  <c r="E2821" i="10"/>
  <c r="F2820" i="10"/>
  <c r="J2820" i="10" s="1"/>
  <c r="F2821" i="10" s="1"/>
  <c r="H2821" i="10" s="1"/>
  <c r="E2820" i="10"/>
  <c r="D2817" i="10"/>
  <c r="D2815" i="10"/>
  <c r="E2798" i="10"/>
  <c r="E2797" i="10"/>
  <c r="E2796" i="10"/>
  <c r="E2795" i="10"/>
  <c r="E2794" i="10"/>
  <c r="E2793" i="10"/>
  <c r="E2792" i="10"/>
  <c r="E2791" i="10"/>
  <c r="E2790" i="10"/>
  <c r="E2789" i="10"/>
  <c r="E2788" i="10"/>
  <c r="E2787" i="10"/>
  <c r="E2786" i="10"/>
  <c r="E2785" i="10"/>
  <c r="E2784" i="10"/>
  <c r="E2783" i="10"/>
  <c r="E2782" i="10"/>
  <c r="E2781" i="10"/>
  <c r="E2780" i="10"/>
  <c r="E2779" i="10"/>
  <c r="E2778" i="10"/>
  <c r="E2777" i="10"/>
  <c r="E2776" i="10"/>
  <c r="E2775" i="10"/>
  <c r="E2774" i="10"/>
  <c r="E2773" i="10"/>
  <c r="E2772" i="10"/>
  <c r="E2771" i="10"/>
  <c r="E2770" i="10"/>
  <c r="E2769" i="10"/>
  <c r="E2768" i="10"/>
  <c r="E2767" i="10"/>
  <c r="E2766" i="10"/>
  <c r="E2765" i="10"/>
  <c r="E2764" i="10"/>
  <c r="E2763" i="10"/>
  <c r="E2762" i="10"/>
  <c r="E2761" i="10"/>
  <c r="E2760" i="10"/>
  <c r="E2759" i="10"/>
  <c r="E2758" i="10"/>
  <c r="E2757" i="10"/>
  <c r="E2756" i="10"/>
  <c r="E2755" i="10"/>
  <c r="E2754" i="10"/>
  <c r="E2753" i="10"/>
  <c r="E2752" i="10"/>
  <c r="E2800" i="10" s="1"/>
  <c r="E2751" i="10"/>
  <c r="H2750" i="10"/>
  <c r="I2750" i="10" s="1"/>
  <c r="J2750" i="10" s="1"/>
  <c r="F2751" i="10" s="1"/>
  <c r="F2750" i="10"/>
  <c r="E2750" i="10"/>
  <c r="F2745" i="10"/>
  <c r="D2745" i="10"/>
  <c r="D2747" i="10" s="1"/>
  <c r="E2727" i="10"/>
  <c r="E2726" i="10"/>
  <c r="E2725" i="10"/>
  <c r="E2724" i="10"/>
  <c r="E2723" i="10"/>
  <c r="E2722" i="10"/>
  <c r="E2721" i="10"/>
  <c r="E2720" i="10"/>
  <c r="E2719" i="10"/>
  <c r="E2718" i="10"/>
  <c r="E2717" i="10"/>
  <c r="E2716" i="10"/>
  <c r="E2715" i="10"/>
  <c r="K2714" i="10"/>
  <c r="E2714" i="10"/>
  <c r="E2713" i="10"/>
  <c r="E2712" i="10"/>
  <c r="E2711" i="10"/>
  <c r="K2710" i="10"/>
  <c r="E2710" i="10"/>
  <c r="E2709" i="10"/>
  <c r="E2708" i="10"/>
  <c r="E2707" i="10"/>
  <c r="E2706" i="10"/>
  <c r="E2705" i="10"/>
  <c r="E2704" i="10"/>
  <c r="E2729" i="10" s="1"/>
  <c r="F2703" i="10"/>
  <c r="H2703" i="10" s="1"/>
  <c r="I2703" i="10" s="1"/>
  <c r="E2703" i="10"/>
  <c r="D2700" i="10"/>
  <c r="D2698" i="10"/>
  <c r="E2682" i="10"/>
  <c r="E2681" i="10"/>
  <c r="E2680" i="10"/>
  <c r="E2679" i="10"/>
  <c r="K2678" i="10"/>
  <c r="E2678" i="10"/>
  <c r="E2677" i="10"/>
  <c r="E2676" i="10"/>
  <c r="E2675" i="10"/>
  <c r="E2674" i="10"/>
  <c r="E2673" i="10"/>
  <c r="E2672" i="10"/>
  <c r="E2671" i="10"/>
  <c r="E2670" i="10"/>
  <c r="E2669" i="10"/>
  <c r="E2668" i="10"/>
  <c r="E2667" i="10"/>
  <c r="E2666" i="10"/>
  <c r="E2665" i="10"/>
  <c r="E2664" i="10"/>
  <c r="E2663" i="10"/>
  <c r="E2662" i="10"/>
  <c r="E2661" i="10"/>
  <c r="E2660" i="10"/>
  <c r="E2659" i="10"/>
  <c r="F2658" i="10"/>
  <c r="E2658" i="10"/>
  <c r="D2655" i="10"/>
  <c r="D2653" i="10"/>
  <c r="E2640" i="10"/>
  <c r="K2639" i="10"/>
  <c r="E2639" i="10"/>
  <c r="E2638" i="10"/>
  <c r="K2637" i="10"/>
  <c r="E2637" i="10"/>
  <c r="E2636" i="10"/>
  <c r="E2635" i="10"/>
  <c r="E2634" i="10"/>
  <c r="E2633" i="10"/>
  <c r="E2632" i="10"/>
  <c r="E2631" i="10"/>
  <c r="E2630" i="10"/>
  <c r="E2629" i="10"/>
  <c r="E2628" i="10"/>
  <c r="E2627" i="10"/>
  <c r="E2626" i="10"/>
  <c r="E2625" i="10"/>
  <c r="E2624" i="10"/>
  <c r="E2623" i="10"/>
  <c r="E2622" i="10"/>
  <c r="E2621" i="10"/>
  <c r="E2620" i="10"/>
  <c r="E2619" i="10"/>
  <c r="E2618" i="10"/>
  <c r="F2617" i="10"/>
  <c r="E2617" i="10"/>
  <c r="F2616" i="10"/>
  <c r="E2616" i="10"/>
  <c r="H2616" i="10" s="1"/>
  <c r="I2616" i="10" s="1"/>
  <c r="J2616" i="10" s="1"/>
  <c r="D2611" i="10"/>
  <c r="D2613" i="10" s="1"/>
  <c r="K2596" i="10"/>
  <c r="E2596" i="10"/>
  <c r="E2595" i="10"/>
  <c r="E2594" i="10"/>
  <c r="E2593" i="10"/>
  <c r="E2592" i="10"/>
  <c r="E2591" i="10"/>
  <c r="E2590" i="10"/>
  <c r="E2589" i="10"/>
  <c r="E2588" i="10"/>
  <c r="E2587" i="10"/>
  <c r="E2586" i="10"/>
  <c r="E2585" i="10"/>
  <c r="E2584" i="10"/>
  <c r="E2583" i="10"/>
  <c r="E2582" i="10"/>
  <c r="E2581" i="10"/>
  <c r="E2580" i="10"/>
  <c r="E2579" i="10"/>
  <c r="E2578" i="10"/>
  <c r="E2577" i="10"/>
  <c r="E2576" i="10"/>
  <c r="E2575" i="10"/>
  <c r="E2574" i="10"/>
  <c r="E2573" i="10"/>
  <c r="F2572" i="10"/>
  <c r="E2572" i="10"/>
  <c r="D2569" i="10"/>
  <c r="D2567" i="10"/>
  <c r="E2554" i="10"/>
  <c r="E2553" i="10"/>
  <c r="E2552" i="10"/>
  <c r="E2551" i="10"/>
  <c r="E2550" i="10"/>
  <c r="E2549" i="10"/>
  <c r="E2548" i="10"/>
  <c r="E2547" i="10"/>
  <c r="E2546" i="10"/>
  <c r="E2545" i="10"/>
  <c r="K2544" i="10"/>
  <c r="E2544" i="10"/>
  <c r="E2543" i="10"/>
  <c r="E2542" i="10"/>
  <c r="E2541" i="10"/>
  <c r="E2540" i="10"/>
  <c r="E2539" i="10"/>
  <c r="E2538" i="10"/>
  <c r="K2537" i="10"/>
  <c r="E2537" i="10"/>
  <c r="E2536" i="10"/>
  <c r="E2535" i="10"/>
  <c r="E2534" i="10"/>
  <c r="E2533" i="10"/>
  <c r="E2532" i="10"/>
  <c r="E2531" i="10"/>
  <c r="F2530" i="10"/>
  <c r="H2530" i="10" s="1"/>
  <c r="I2530" i="10" s="1"/>
  <c r="E2530" i="10"/>
  <c r="D2527" i="10"/>
  <c r="D2525" i="10"/>
  <c r="E2513" i="10"/>
  <c r="E2512" i="10"/>
  <c r="E2511" i="10"/>
  <c r="E2510" i="10"/>
  <c r="E2509" i="10"/>
  <c r="E2508" i="10"/>
  <c r="E2507" i="10"/>
  <c r="E2506" i="10"/>
  <c r="E2505" i="10"/>
  <c r="E2504" i="10"/>
  <c r="E2503" i="10"/>
  <c r="E2502" i="10"/>
  <c r="E2501" i="10"/>
  <c r="E2500" i="10"/>
  <c r="E2499" i="10"/>
  <c r="E2498" i="10"/>
  <c r="E2497" i="10"/>
  <c r="E2496" i="10"/>
  <c r="E2495" i="10"/>
  <c r="E2494" i="10"/>
  <c r="E2493" i="10"/>
  <c r="E2492" i="10"/>
  <c r="E2491" i="10"/>
  <c r="E2490" i="10"/>
  <c r="F2489" i="10"/>
  <c r="E2489" i="10"/>
  <c r="D2486" i="10"/>
  <c r="D2484" i="10"/>
  <c r="E2472" i="10"/>
  <c r="E2471" i="10"/>
  <c r="E2470" i="10"/>
  <c r="E2469" i="10"/>
  <c r="E2468" i="10"/>
  <c r="E2467" i="10"/>
  <c r="E2466" i="10"/>
  <c r="E2465" i="10"/>
  <c r="E2464" i="10"/>
  <c r="E2463" i="10"/>
  <c r="E2462" i="10"/>
  <c r="E2461" i="10"/>
  <c r="E2460" i="10"/>
  <c r="E2459" i="10"/>
  <c r="E2458" i="10"/>
  <c r="E2457" i="10"/>
  <c r="E2474" i="10" s="1"/>
  <c r="E2456" i="10"/>
  <c r="E2455" i="10"/>
  <c r="E2454" i="10"/>
  <c r="E2453" i="10"/>
  <c r="E2452" i="10"/>
  <c r="E2451" i="10"/>
  <c r="E2450" i="10"/>
  <c r="E2449" i="10"/>
  <c r="F2448" i="10"/>
  <c r="E2448" i="10"/>
  <c r="D2445" i="10"/>
  <c r="D2443" i="10"/>
  <c r="E2431" i="10"/>
  <c r="E2430" i="10"/>
  <c r="E2429" i="10"/>
  <c r="E2428" i="10"/>
  <c r="E2427" i="10"/>
  <c r="E2426" i="10"/>
  <c r="E2425" i="10"/>
  <c r="E2424" i="10"/>
  <c r="E2423" i="10"/>
  <c r="E2422" i="10"/>
  <c r="E2421" i="10"/>
  <c r="E2420" i="10"/>
  <c r="E2419" i="10"/>
  <c r="E2418" i="10"/>
  <c r="E2417" i="10"/>
  <c r="E2416" i="10"/>
  <c r="E2415" i="10"/>
  <c r="E2414" i="10"/>
  <c r="E2413" i="10"/>
  <c r="E2412" i="10"/>
  <c r="E2411" i="10"/>
  <c r="E2410" i="10"/>
  <c r="E2409" i="10"/>
  <c r="E2408" i="10"/>
  <c r="E2407" i="10"/>
  <c r="E2406" i="10"/>
  <c r="E2405" i="10"/>
  <c r="E2433" i="10" s="1"/>
  <c r="M2404" i="10"/>
  <c r="E2404" i="10"/>
  <c r="E2403" i="10"/>
  <c r="E2402" i="10"/>
  <c r="E2401" i="10"/>
  <c r="E2400" i="10"/>
  <c r="E2399" i="10"/>
  <c r="E2398" i="10"/>
  <c r="E2397" i="10"/>
  <c r="E2396" i="10"/>
  <c r="J2395" i="10"/>
  <c r="F2396" i="10" s="1"/>
  <c r="F2395" i="10"/>
  <c r="H2395" i="10" s="1"/>
  <c r="G2395" i="10" s="1"/>
  <c r="I2395" i="10" s="1"/>
  <c r="E2395" i="10"/>
  <c r="D2392" i="10"/>
  <c r="D2390" i="10"/>
  <c r="G2387" i="10"/>
  <c r="F2387" i="10"/>
  <c r="G2396" i="10" s="1"/>
  <c r="E2377" i="10"/>
  <c r="E2376" i="10"/>
  <c r="E2375" i="10"/>
  <c r="E2374" i="10"/>
  <c r="E2373" i="10"/>
  <c r="E2372" i="10"/>
  <c r="E2371" i="10"/>
  <c r="E2370" i="10"/>
  <c r="E2369" i="10"/>
  <c r="E2368" i="10"/>
  <c r="E2367" i="10"/>
  <c r="E2366" i="10"/>
  <c r="E2365" i="10"/>
  <c r="E2364" i="10"/>
  <c r="E2363" i="10"/>
  <c r="E2362" i="10"/>
  <c r="E2361" i="10"/>
  <c r="E2360" i="10"/>
  <c r="E2359" i="10"/>
  <c r="E2358" i="10"/>
  <c r="E2357" i="10"/>
  <c r="E2356" i="10"/>
  <c r="E2355" i="10"/>
  <c r="E2354" i="10"/>
  <c r="E2353" i="10"/>
  <c r="K2352" i="10"/>
  <c r="E2352" i="10"/>
  <c r="E2351" i="10"/>
  <c r="E2350" i="10"/>
  <c r="E2349" i="10"/>
  <c r="E2348" i="10"/>
  <c r="E2347" i="10"/>
  <c r="K2346" i="10"/>
  <c r="E2346" i="10"/>
  <c r="E2345" i="10"/>
  <c r="E2344" i="10"/>
  <c r="E2343" i="10"/>
  <c r="E2342" i="10"/>
  <c r="E2341" i="10"/>
  <c r="E2340" i="10"/>
  <c r="K2339" i="10"/>
  <c r="E2339" i="10"/>
  <c r="E2338" i="10"/>
  <c r="E2337" i="10"/>
  <c r="E2336" i="10"/>
  <c r="E2335" i="10"/>
  <c r="K2334" i="10"/>
  <c r="E2334" i="10"/>
  <c r="E2333" i="10"/>
  <c r="K2332" i="10"/>
  <c r="E2332" i="10"/>
  <c r="K2331" i="10"/>
  <c r="E2331" i="10"/>
  <c r="E2330" i="10"/>
  <c r="J2329" i="10"/>
  <c r="F2330" i="10" s="1"/>
  <c r="H2329" i="10"/>
  <c r="G2329" i="10" s="1"/>
  <c r="I2329" i="10" s="1"/>
  <c r="F2329" i="10"/>
  <c r="E2329" i="10"/>
  <c r="D2324" i="10"/>
  <c r="D2326" i="10" s="1"/>
  <c r="F2321" i="10"/>
  <c r="K2313" i="10"/>
  <c r="E2313" i="10"/>
  <c r="E2312" i="10"/>
  <c r="K2311" i="10"/>
  <c r="E2311" i="10"/>
  <c r="E2310" i="10"/>
  <c r="E2309" i="10"/>
  <c r="E2308" i="10"/>
  <c r="E2307" i="10"/>
  <c r="E2306" i="10"/>
  <c r="E2305" i="10"/>
  <c r="K2304" i="10"/>
  <c r="E2304" i="10"/>
  <c r="E2303" i="10"/>
  <c r="E2302" i="10"/>
  <c r="E2301" i="10"/>
  <c r="K2300" i="10"/>
  <c r="E2300" i="10"/>
  <c r="E2299" i="10"/>
  <c r="E2298" i="10"/>
  <c r="E2297" i="10"/>
  <c r="K2296" i="10"/>
  <c r="E2296" i="10"/>
  <c r="E2295" i="10"/>
  <c r="E2294" i="10"/>
  <c r="E2293" i="10"/>
  <c r="E2292" i="10"/>
  <c r="E2291" i="10"/>
  <c r="E2290" i="10"/>
  <c r="F2289" i="10"/>
  <c r="E2289" i="10"/>
  <c r="D2284" i="10"/>
  <c r="D2286" i="10" s="1"/>
  <c r="K2272" i="10"/>
  <c r="E2272" i="10"/>
  <c r="K2271" i="10"/>
  <c r="E2271" i="10"/>
  <c r="E2270" i="10"/>
  <c r="E2269" i="10"/>
  <c r="E2268" i="10"/>
  <c r="E2267" i="10"/>
  <c r="E2266" i="10"/>
  <c r="E2265" i="10"/>
  <c r="E2264" i="10"/>
  <c r="E2263" i="10"/>
  <c r="E2262" i="10"/>
  <c r="E2261" i="10"/>
  <c r="E2260" i="10"/>
  <c r="E2259" i="10"/>
  <c r="E2258" i="10"/>
  <c r="E2257" i="10"/>
  <c r="E2256" i="10"/>
  <c r="E2255" i="10"/>
  <c r="E2254" i="10"/>
  <c r="E2253" i="10"/>
  <c r="E2252" i="10"/>
  <c r="E2251" i="10"/>
  <c r="E2250" i="10"/>
  <c r="E2249" i="10"/>
  <c r="F2248" i="10"/>
  <c r="E2248" i="10"/>
  <c r="D2243" i="10"/>
  <c r="D2245" i="10" s="1"/>
  <c r="S2239" i="10"/>
  <c r="S2238" i="10"/>
  <c r="S2241" i="10" s="1"/>
  <c r="K2232" i="10"/>
  <c r="E2232" i="10"/>
  <c r="E2231" i="10"/>
  <c r="E2230" i="10"/>
  <c r="E2229" i="10"/>
  <c r="E2228" i="10"/>
  <c r="E2227" i="10"/>
  <c r="E2226" i="10"/>
  <c r="E2225" i="10"/>
  <c r="E2224" i="10"/>
  <c r="E2223" i="10"/>
  <c r="E2222" i="10"/>
  <c r="E2221" i="10"/>
  <c r="E2220" i="10"/>
  <c r="E2219" i="10"/>
  <c r="E2218" i="10"/>
  <c r="E2217" i="10"/>
  <c r="E2216" i="10"/>
  <c r="E2215" i="10"/>
  <c r="K2214" i="10"/>
  <c r="E2214" i="10"/>
  <c r="E2213" i="10"/>
  <c r="E2212" i="10"/>
  <c r="E2211" i="10"/>
  <c r="E2210" i="10"/>
  <c r="E2209" i="10"/>
  <c r="F2208" i="10"/>
  <c r="E2208" i="10"/>
  <c r="D2203" i="10"/>
  <c r="D2205" i="10" s="1"/>
  <c r="S2199" i="10"/>
  <c r="S2198" i="10"/>
  <c r="S2201" i="10" s="1"/>
  <c r="E2192" i="10"/>
  <c r="E2191" i="10"/>
  <c r="E2190" i="10"/>
  <c r="E2189" i="10"/>
  <c r="E2188" i="10"/>
  <c r="E2187" i="10"/>
  <c r="E2186" i="10"/>
  <c r="E2185" i="10"/>
  <c r="E2184" i="10"/>
  <c r="E2183" i="10"/>
  <c r="E2182" i="10"/>
  <c r="E2181" i="10"/>
  <c r="E2180" i="10"/>
  <c r="E2179" i="10"/>
  <c r="E2178" i="10"/>
  <c r="E2177" i="10"/>
  <c r="E2176" i="10"/>
  <c r="E2175" i="10"/>
  <c r="E2174" i="10"/>
  <c r="E2173" i="10"/>
  <c r="E2172" i="10"/>
  <c r="E2171" i="10"/>
  <c r="E2170" i="10"/>
  <c r="E2169" i="10"/>
  <c r="E2168" i="10"/>
  <c r="E2167" i="10"/>
  <c r="E2166" i="10"/>
  <c r="E2165" i="10"/>
  <c r="E2164" i="10"/>
  <c r="E2163" i="10"/>
  <c r="E2162" i="10"/>
  <c r="E2161" i="10"/>
  <c r="E2160" i="10"/>
  <c r="E2159" i="10"/>
  <c r="K2158" i="10"/>
  <c r="E2158" i="10"/>
  <c r="E2157" i="10"/>
  <c r="E2156" i="10"/>
  <c r="K2155" i="10"/>
  <c r="E2155" i="10"/>
  <c r="E2154" i="10"/>
  <c r="E2153" i="10"/>
  <c r="E2152" i="10"/>
  <c r="E2151" i="10"/>
  <c r="E2150" i="10"/>
  <c r="E2149" i="10"/>
  <c r="E2148" i="10"/>
  <c r="E2147" i="10"/>
  <c r="E2146" i="10"/>
  <c r="E2145" i="10"/>
  <c r="F2144" i="10"/>
  <c r="E2144" i="10"/>
  <c r="D2141" i="10"/>
  <c r="D2139" i="10"/>
  <c r="G2136" i="10"/>
  <c r="F2136" i="10"/>
  <c r="K2125" i="10"/>
  <c r="K2124" i="10"/>
  <c r="D2122" i="10"/>
  <c r="E2122" i="10" s="1"/>
  <c r="C2122" i="10"/>
  <c r="C2123" i="10" s="1"/>
  <c r="C2121" i="10"/>
  <c r="D2121" i="10" s="1"/>
  <c r="E2121" i="10" s="1"/>
  <c r="E2120" i="10"/>
  <c r="E2119" i="10"/>
  <c r="E2118" i="10"/>
  <c r="E2117" i="10"/>
  <c r="E2116" i="10"/>
  <c r="E2115" i="10"/>
  <c r="E2114" i="10"/>
  <c r="E2113" i="10"/>
  <c r="E2112" i="10"/>
  <c r="E2111" i="10"/>
  <c r="E2110" i="10"/>
  <c r="E2109" i="10"/>
  <c r="E2108" i="10"/>
  <c r="E2107" i="10"/>
  <c r="E2106" i="10"/>
  <c r="E2105" i="10"/>
  <c r="E2104" i="10"/>
  <c r="E2103" i="10"/>
  <c r="H2102" i="10"/>
  <c r="I2102" i="10" s="1"/>
  <c r="J2102" i="10" s="1"/>
  <c r="F2103" i="10" s="1"/>
  <c r="F2102" i="10"/>
  <c r="E2102" i="10"/>
  <c r="D2099" i="10"/>
  <c r="D2097" i="10"/>
  <c r="E2085" i="10"/>
  <c r="E2084" i="10"/>
  <c r="E2083" i="10"/>
  <c r="E2082" i="10"/>
  <c r="E2081" i="10"/>
  <c r="E2080" i="10"/>
  <c r="E2079" i="10"/>
  <c r="E2078" i="10"/>
  <c r="E2077" i="10"/>
  <c r="E2076" i="10"/>
  <c r="E2075" i="10"/>
  <c r="E2074" i="10"/>
  <c r="E2073" i="10"/>
  <c r="E2072" i="10"/>
  <c r="E2071" i="10"/>
  <c r="E2070" i="10"/>
  <c r="E2069" i="10"/>
  <c r="E2068" i="10"/>
  <c r="E2067" i="10"/>
  <c r="E2066" i="10"/>
  <c r="E2065" i="10"/>
  <c r="E2064" i="10"/>
  <c r="E2063" i="10"/>
  <c r="E2062" i="10"/>
  <c r="E2061" i="10"/>
  <c r="E2060" i="10"/>
  <c r="E2059" i="10"/>
  <c r="E2058" i="10"/>
  <c r="E2057" i="10"/>
  <c r="E2056" i="10"/>
  <c r="E2055" i="10"/>
  <c r="H2054" i="10"/>
  <c r="I2054" i="10" s="1"/>
  <c r="F2054" i="10"/>
  <c r="E2054" i="10"/>
  <c r="D2051" i="10"/>
  <c r="D2049" i="10"/>
  <c r="E2037" i="10"/>
  <c r="E2036" i="10"/>
  <c r="E2035" i="10"/>
  <c r="E2034" i="10"/>
  <c r="K2033" i="10"/>
  <c r="E2033" i="10"/>
  <c r="E2032" i="10"/>
  <c r="E2031" i="10"/>
  <c r="E2030" i="10"/>
  <c r="E2029" i="10"/>
  <c r="E2028" i="10"/>
  <c r="E2027" i="10"/>
  <c r="E2026" i="10"/>
  <c r="E2025" i="10"/>
  <c r="E2024" i="10"/>
  <c r="E2023" i="10"/>
  <c r="E2022" i="10"/>
  <c r="E2021" i="10"/>
  <c r="E2020" i="10"/>
  <c r="E2019" i="10"/>
  <c r="E2018" i="10"/>
  <c r="E2017" i="10"/>
  <c r="E2016" i="10"/>
  <c r="E2015" i="10"/>
  <c r="E2014" i="10"/>
  <c r="F2013" i="10"/>
  <c r="E2013" i="10"/>
  <c r="H2013" i="10" s="1"/>
  <c r="I2013" i="10" s="1"/>
  <c r="J2013" i="10" s="1"/>
  <c r="F2014" i="10" s="1"/>
  <c r="D2008" i="10"/>
  <c r="D2010" i="10" s="1"/>
  <c r="E1993" i="10"/>
  <c r="E1992" i="10"/>
  <c r="K1991" i="10"/>
  <c r="E1991" i="10"/>
  <c r="E1990" i="10"/>
  <c r="K1989" i="10"/>
  <c r="E1989" i="10"/>
  <c r="E1988" i="10"/>
  <c r="E1987" i="10"/>
  <c r="E1986" i="10"/>
  <c r="E1985" i="10"/>
  <c r="E1984" i="10"/>
  <c r="E1983" i="10"/>
  <c r="E1982" i="10"/>
  <c r="E1981" i="10"/>
  <c r="E1980" i="10"/>
  <c r="E1979" i="10"/>
  <c r="E1978" i="10"/>
  <c r="E1977" i="10"/>
  <c r="E1976" i="10"/>
  <c r="E1975" i="10"/>
  <c r="E1974" i="10"/>
  <c r="E1973" i="10"/>
  <c r="E1972" i="10"/>
  <c r="E1971" i="10"/>
  <c r="E1970" i="10"/>
  <c r="I1969" i="10"/>
  <c r="J1969" i="10" s="1"/>
  <c r="F1970" i="10" s="1"/>
  <c r="F1969" i="10"/>
  <c r="E1969" i="10"/>
  <c r="H1969" i="10" s="1"/>
  <c r="D1964" i="10"/>
  <c r="D1966" i="10" s="1"/>
  <c r="E1950" i="10"/>
  <c r="E1949" i="10"/>
  <c r="E1948" i="10"/>
  <c r="E1947" i="10"/>
  <c r="E1946" i="10"/>
  <c r="E1945" i="10"/>
  <c r="E1944" i="10"/>
  <c r="E1943" i="10"/>
  <c r="E1942" i="10"/>
  <c r="E1941" i="10"/>
  <c r="E1940" i="10"/>
  <c r="E1939" i="10"/>
  <c r="E1938" i="10"/>
  <c r="E1937" i="10"/>
  <c r="E1936" i="10"/>
  <c r="E1935" i="10"/>
  <c r="E1934" i="10"/>
  <c r="E1933" i="10"/>
  <c r="E1932" i="10"/>
  <c r="E1931" i="10"/>
  <c r="K1930" i="10"/>
  <c r="E1930" i="10"/>
  <c r="E1929" i="10"/>
  <c r="E1928" i="10"/>
  <c r="E1927" i="10"/>
  <c r="F1926" i="10"/>
  <c r="E1926" i="10"/>
  <c r="D1921" i="10"/>
  <c r="D1923" i="10" s="1"/>
  <c r="E1902" i="10"/>
  <c r="E1901" i="10"/>
  <c r="E1900" i="10"/>
  <c r="E1899" i="10"/>
  <c r="E1898" i="10"/>
  <c r="E1897" i="10"/>
  <c r="E1896" i="10"/>
  <c r="E1895" i="10"/>
  <c r="E1894" i="10"/>
  <c r="E1893" i="10"/>
  <c r="E1892" i="10"/>
  <c r="E1891" i="10"/>
  <c r="E1890" i="10"/>
  <c r="E1889" i="10"/>
  <c r="E1888" i="10"/>
  <c r="E1887" i="10"/>
  <c r="E1886" i="10"/>
  <c r="E1885" i="10"/>
  <c r="G1884" i="10"/>
  <c r="E1884" i="10"/>
  <c r="E1883" i="10"/>
  <c r="E1882" i="10"/>
  <c r="G1881" i="10"/>
  <c r="E1881" i="10"/>
  <c r="G1880" i="10"/>
  <c r="E1880" i="10"/>
  <c r="E1908" i="10" s="1"/>
  <c r="H1879" i="10"/>
  <c r="I1879" i="10" s="1"/>
  <c r="F1879" i="10"/>
  <c r="J1879" i="10" s="1"/>
  <c r="F1880" i="10" s="1"/>
  <c r="E1879" i="10"/>
  <c r="D1876" i="10"/>
  <c r="D1874" i="10"/>
  <c r="E1861" i="10"/>
  <c r="E1860" i="10"/>
  <c r="E1859" i="10"/>
  <c r="E1858" i="10"/>
  <c r="E1857" i="10"/>
  <c r="E1856" i="10"/>
  <c r="E1855" i="10"/>
  <c r="E1854" i="10"/>
  <c r="E1853" i="10"/>
  <c r="E1852" i="10"/>
  <c r="E1851" i="10"/>
  <c r="E1850" i="10"/>
  <c r="E1849" i="10"/>
  <c r="E1848" i="10"/>
  <c r="E1847" i="10"/>
  <c r="E1846" i="10"/>
  <c r="E1845" i="10"/>
  <c r="E1844" i="10"/>
  <c r="E1843" i="10"/>
  <c r="E1842" i="10"/>
  <c r="E1841" i="10"/>
  <c r="E1840" i="10"/>
  <c r="E1839" i="10"/>
  <c r="E1838" i="10"/>
  <c r="E1837" i="10"/>
  <c r="E1836" i="10"/>
  <c r="E1835" i="10"/>
  <c r="E1834" i="10"/>
  <c r="E1833" i="10"/>
  <c r="E1832" i="10"/>
  <c r="E1831" i="10"/>
  <c r="E1830" i="10"/>
  <c r="E1829" i="10"/>
  <c r="E1828" i="10"/>
  <c r="E1827" i="10"/>
  <c r="E1826" i="10"/>
  <c r="E1825" i="10"/>
  <c r="E1824" i="10"/>
  <c r="E1823" i="10"/>
  <c r="E1822" i="10"/>
  <c r="E1821" i="10"/>
  <c r="E1820" i="10"/>
  <c r="E1819" i="10"/>
  <c r="E1818" i="10"/>
  <c r="E1817" i="10"/>
  <c r="E1816" i="10"/>
  <c r="E1815" i="10"/>
  <c r="E1814" i="10"/>
  <c r="E1813" i="10"/>
  <c r="E1812" i="10"/>
  <c r="E1811" i="10"/>
  <c r="E1810" i="10"/>
  <c r="E1809" i="10"/>
  <c r="E1808" i="10"/>
  <c r="E1807" i="10"/>
  <c r="E1806" i="10"/>
  <c r="E1805" i="10"/>
  <c r="E1804" i="10"/>
  <c r="E1803" i="10"/>
  <c r="E1802" i="10"/>
  <c r="F1801" i="10"/>
  <c r="H1801" i="10" s="1"/>
  <c r="I1801" i="10" s="1"/>
  <c r="E1801" i="10"/>
  <c r="D1798" i="10"/>
  <c r="D1796" i="10"/>
  <c r="G1793" i="10"/>
  <c r="H1793" i="10" s="1"/>
  <c r="F1793" i="10"/>
  <c r="E1784" i="10"/>
  <c r="E1783" i="10"/>
  <c r="E1782" i="10"/>
  <c r="E1781" i="10"/>
  <c r="E1780" i="10"/>
  <c r="E1779" i="10"/>
  <c r="E1778" i="10"/>
  <c r="E1777" i="10"/>
  <c r="E1776" i="10"/>
  <c r="E1775" i="10"/>
  <c r="E1774" i="10"/>
  <c r="E1773" i="10"/>
  <c r="E1772" i="10"/>
  <c r="K1771" i="10"/>
  <c r="E1771" i="10"/>
  <c r="E1770" i="10"/>
  <c r="E1769" i="10"/>
  <c r="E1768" i="10"/>
  <c r="E1767" i="10"/>
  <c r="E1766" i="10"/>
  <c r="E1765" i="10"/>
  <c r="E1764" i="10"/>
  <c r="E1763" i="10"/>
  <c r="E1762" i="10"/>
  <c r="E1761" i="10"/>
  <c r="F1760" i="10"/>
  <c r="E1760" i="10"/>
  <c r="D1757" i="10"/>
  <c r="D1755" i="10"/>
  <c r="E1743" i="10"/>
  <c r="E1742" i="10"/>
  <c r="E1741" i="10"/>
  <c r="K1740" i="10"/>
  <c r="E1740" i="10"/>
  <c r="E1739" i="10"/>
  <c r="E1738" i="10"/>
  <c r="K1737" i="10"/>
  <c r="E1737" i="10"/>
  <c r="E1736" i="10"/>
  <c r="E1735" i="10"/>
  <c r="E1734" i="10"/>
  <c r="E1733" i="10"/>
  <c r="K1732" i="10"/>
  <c r="E1732" i="10"/>
  <c r="E1731" i="10"/>
  <c r="K1730" i="10"/>
  <c r="E1730" i="10"/>
  <c r="E1729" i="10"/>
  <c r="K1728" i="10"/>
  <c r="E1728" i="10"/>
  <c r="E1727" i="10"/>
  <c r="E1726" i="10"/>
  <c r="E1725" i="10"/>
  <c r="E1724" i="10"/>
  <c r="E1723" i="10"/>
  <c r="E1722" i="10"/>
  <c r="E1721" i="10"/>
  <c r="E1745" i="10" s="1"/>
  <c r="E1720" i="10"/>
  <c r="E1719" i="10"/>
  <c r="E1718" i="10"/>
  <c r="E1717" i="10"/>
  <c r="F1716" i="10"/>
  <c r="E1716" i="10"/>
  <c r="D1713" i="10"/>
  <c r="D1711" i="10"/>
  <c r="E1700" i="10"/>
  <c r="E1699" i="10"/>
  <c r="E1698" i="10"/>
  <c r="E1697" i="10"/>
  <c r="K1696" i="10"/>
  <c r="E1696" i="10"/>
  <c r="E1695" i="10"/>
  <c r="E1694" i="10"/>
  <c r="K1693" i="10"/>
  <c r="E1693" i="10"/>
  <c r="E1692" i="10"/>
  <c r="E1691" i="10"/>
  <c r="E1690" i="10"/>
  <c r="E1689" i="10"/>
  <c r="E1688" i="10"/>
  <c r="E1687" i="10"/>
  <c r="E1686" i="10"/>
  <c r="E1685" i="10"/>
  <c r="E1684" i="10"/>
  <c r="E1683" i="10"/>
  <c r="E1682" i="10"/>
  <c r="E1681" i="10"/>
  <c r="E1680" i="10"/>
  <c r="E1679" i="10"/>
  <c r="E1678" i="10"/>
  <c r="E1677" i="10"/>
  <c r="M1676" i="10"/>
  <c r="E1676" i="10"/>
  <c r="F1675" i="10"/>
  <c r="E1675" i="10"/>
  <c r="D1672" i="10"/>
  <c r="D1670" i="10"/>
  <c r="E1658" i="10"/>
  <c r="E1657" i="10"/>
  <c r="E1656" i="10"/>
  <c r="E1655" i="10"/>
  <c r="E1654" i="10"/>
  <c r="E1653" i="10"/>
  <c r="K1652" i="10"/>
  <c r="E1652" i="10"/>
  <c r="E1651" i="10"/>
  <c r="E1650" i="10"/>
  <c r="K1649" i="10"/>
  <c r="E1649" i="10"/>
  <c r="E1648" i="10"/>
  <c r="E1647" i="10"/>
  <c r="E1646" i="10"/>
  <c r="E1645" i="10"/>
  <c r="K1644" i="10"/>
  <c r="E1644" i="10"/>
  <c r="E1643" i="10"/>
  <c r="E1642" i="10"/>
  <c r="E1641" i="10"/>
  <c r="E1640" i="10"/>
  <c r="E1639" i="10"/>
  <c r="K1638" i="10"/>
  <c r="E1638" i="10"/>
  <c r="E1637" i="10"/>
  <c r="E1636" i="10"/>
  <c r="F1635" i="10"/>
  <c r="E1635" i="10"/>
  <c r="D1632" i="10"/>
  <c r="D1630" i="10"/>
  <c r="E1618" i="10"/>
  <c r="K1617" i="10"/>
  <c r="E1617" i="10"/>
  <c r="E1616" i="10"/>
  <c r="E1615" i="10"/>
  <c r="E1614" i="10"/>
  <c r="E1613" i="10"/>
  <c r="E1619" i="10" s="1"/>
  <c r="E1612" i="10"/>
  <c r="E1611" i="10"/>
  <c r="E1610" i="10"/>
  <c r="E1609" i="10"/>
  <c r="E1608" i="10"/>
  <c r="E1607" i="10"/>
  <c r="E1606" i="10"/>
  <c r="E1605" i="10"/>
  <c r="K1604" i="10"/>
  <c r="E1604" i="10"/>
  <c r="E1603" i="10"/>
  <c r="E1602" i="10"/>
  <c r="E1601" i="10"/>
  <c r="E1600" i="10"/>
  <c r="E1599" i="10"/>
  <c r="E1598" i="10"/>
  <c r="E1597" i="10"/>
  <c r="E1596" i="10"/>
  <c r="F1595" i="10"/>
  <c r="E1595" i="10"/>
  <c r="D1590" i="10"/>
  <c r="D1592" i="10" s="1"/>
  <c r="E1578" i="10"/>
  <c r="E1577" i="10"/>
  <c r="K1576" i="10"/>
  <c r="E1576" i="10"/>
  <c r="E1575" i="10"/>
  <c r="E1574" i="10"/>
  <c r="E1573" i="10"/>
  <c r="K1572" i="10"/>
  <c r="E1572" i="10"/>
  <c r="E1571" i="10"/>
  <c r="E1570" i="10"/>
  <c r="K1569" i="10"/>
  <c r="E1569" i="10"/>
  <c r="E1568" i="10"/>
  <c r="E1567" i="10"/>
  <c r="K1566" i="10"/>
  <c r="E1566" i="10"/>
  <c r="E1565" i="10"/>
  <c r="E1564" i="10"/>
  <c r="E1563" i="10"/>
  <c r="E1562" i="10"/>
  <c r="E1561" i="10"/>
  <c r="E1560" i="10"/>
  <c r="E1559" i="10"/>
  <c r="E1558" i="10"/>
  <c r="E1557" i="10"/>
  <c r="E1556" i="10"/>
  <c r="F1555" i="10"/>
  <c r="E1555" i="10"/>
  <c r="E1579" i="10" s="1"/>
  <c r="D1550" i="10"/>
  <c r="D1552" i="10" s="1"/>
  <c r="K1538" i="10"/>
  <c r="E1538" i="10"/>
  <c r="E1537" i="10"/>
  <c r="E1536" i="10"/>
  <c r="E1535" i="10"/>
  <c r="E1534" i="10"/>
  <c r="E1533" i="10"/>
  <c r="E1532" i="10"/>
  <c r="E1531" i="10"/>
  <c r="E1530" i="10"/>
  <c r="E1529" i="10"/>
  <c r="E1528" i="10"/>
  <c r="E1527" i="10"/>
  <c r="E1526" i="10"/>
  <c r="E1525" i="10"/>
  <c r="E1524" i="10"/>
  <c r="E1523" i="10"/>
  <c r="E1522" i="10"/>
  <c r="E1521" i="10"/>
  <c r="E1520" i="10"/>
  <c r="E1519" i="10"/>
  <c r="E1518" i="10"/>
  <c r="E1517" i="10"/>
  <c r="E1516" i="10"/>
  <c r="H1515" i="10"/>
  <c r="I1515" i="10" s="1"/>
  <c r="F1515" i="10"/>
  <c r="J1515" i="10" s="1"/>
  <c r="F1516" i="10" s="1"/>
  <c r="E1515" i="10"/>
  <c r="D1510" i="10"/>
  <c r="D1512" i="10" s="1"/>
  <c r="B1477" i="10"/>
  <c r="B1478" i="10" s="1"/>
  <c r="B1479" i="10" s="1"/>
  <c r="B1480" i="10" s="1"/>
  <c r="B1481" i="10" s="1"/>
  <c r="B1482" i="10" s="1"/>
  <c r="B1483" i="10" s="1"/>
  <c r="B1484" i="10" s="1"/>
  <c r="K1476" i="10"/>
  <c r="B1476" i="10"/>
  <c r="B1474" i="10"/>
  <c r="B1475" i="10" s="1"/>
  <c r="B1473" i="10"/>
  <c r="E1472" i="10"/>
  <c r="E1471" i="10"/>
  <c r="E1470" i="10"/>
  <c r="E1469" i="10"/>
  <c r="E1468" i="10"/>
  <c r="E1467" i="10"/>
  <c r="E1466" i="10"/>
  <c r="E1465" i="10"/>
  <c r="K1464" i="10"/>
  <c r="E1464" i="10"/>
  <c r="E1463" i="10"/>
  <c r="E1462" i="10"/>
  <c r="K1461" i="10"/>
  <c r="E1461" i="10"/>
  <c r="E1460" i="10"/>
  <c r="E1459" i="10"/>
  <c r="E1458" i="10"/>
  <c r="E1457" i="10"/>
  <c r="E1456" i="10"/>
  <c r="E1455" i="10"/>
  <c r="E1454" i="10"/>
  <c r="E1453" i="10"/>
  <c r="E1452" i="10"/>
  <c r="E1451" i="10"/>
  <c r="E1450" i="10"/>
  <c r="F1449" i="10"/>
  <c r="E1449" i="10"/>
  <c r="E1499" i="10" s="1"/>
  <c r="D1444" i="10"/>
  <c r="D1446" i="10" s="1"/>
  <c r="E1434" i="10"/>
  <c r="E1431" i="10"/>
  <c r="E1430" i="10"/>
  <c r="E1429" i="10"/>
  <c r="E1428" i="10"/>
  <c r="E1427" i="10"/>
  <c r="E1426" i="10"/>
  <c r="E1425" i="10"/>
  <c r="E1424" i="10"/>
  <c r="E1423" i="10"/>
  <c r="E1422" i="10"/>
  <c r="E1421" i="10"/>
  <c r="E1420" i="10"/>
  <c r="E1419" i="10"/>
  <c r="E1418" i="10"/>
  <c r="E1417" i="10"/>
  <c r="E1416" i="10"/>
  <c r="E1415" i="10"/>
  <c r="E1414" i="10"/>
  <c r="E1413" i="10"/>
  <c r="E1412" i="10"/>
  <c r="E1411" i="10"/>
  <c r="E1410" i="10"/>
  <c r="E1409" i="10"/>
  <c r="E1408" i="10"/>
  <c r="E1407" i="10"/>
  <c r="E1406" i="10"/>
  <c r="E1405" i="10"/>
  <c r="E1404" i="10"/>
  <c r="E1403" i="10"/>
  <c r="E1402" i="10"/>
  <c r="E1401" i="10"/>
  <c r="E1400" i="10"/>
  <c r="E1399" i="10"/>
  <c r="E1398" i="10"/>
  <c r="E1397" i="10"/>
  <c r="E1396" i="10"/>
  <c r="F1395" i="10"/>
  <c r="G1428" i="10" s="1"/>
  <c r="E1395" i="10"/>
  <c r="D1392" i="10"/>
  <c r="D1390" i="10"/>
  <c r="E1374" i="10"/>
  <c r="E1373" i="10"/>
  <c r="E1372" i="10"/>
  <c r="E1371" i="10"/>
  <c r="E1370" i="10"/>
  <c r="E1369" i="10"/>
  <c r="E1368" i="10"/>
  <c r="E1367" i="10"/>
  <c r="E1366" i="10"/>
  <c r="E1365" i="10"/>
  <c r="E1364" i="10"/>
  <c r="E1363" i="10"/>
  <c r="E1362" i="10"/>
  <c r="E1361" i="10"/>
  <c r="E1360" i="10"/>
  <c r="E1359" i="10"/>
  <c r="E1358" i="10"/>
  <c r="E1357" i="10"/>
  <c r="E1356" i="10"/>
  <c r="E1355" i="10"/>
  <c r="E1354" i="10"/>
  <c r="E1353" i="10"/>
  <c r="E1352" i="10"/>
  <c r="E1351" i="10"/>
  <c r="E1350" i="10"/>
  <c r="E1349" i="10"/>
  <c r="E1348" i="10"/>
  <c r="E1347" i="10"/>
  <c r="E1346" i="10"/>
  <c r="E1345" i="10"/>
  <c r="E1344" i="10"/>
  <c r="E1343" i="10"/>
  <c r="E1342" i="10"/>
  <c r="E1341" i="10"/>
  <c r="E1340" i="10"/>
  <c r="E1339" i="10"/>
  <c r="E1338" i="10"/>
  <c r="E1337" i="10"/>
  <c r="E1336" i="10"/>
  <c r="E1335" i="10"/>
  <c r="E1334" i="10"/>
  <c r="E1333" i="10"/>
  <c r="E1332" i="10"/>
  <c r="E1331" i="10"/>
  <c r="E1330" i="10"/>
  <c r="E1329" i="10"/>
  <c r="E1328" i="10"/>
  <c r="E1327" i="10"/>
  <c r="E1326" i="10"/>
  <c r="E1325" i="10"/>
  <c r="E1324" i="10"/>
  <c r="E1323" i="10"/>
  <c r="E1322" i="10"/>
  <c r="E1321" i="10"/>
  <c r="E1320" i="10"/>
  <c r="E1319" i="10"/>
  <c r="E1318" i="10"/>
  <c r="E1317" i="10"/>
  <c r="E1316" i="10"/>
  <c r="E1315" i="10"/>
  <c r="E1314" i="10"/>
  <c r="L1313" i="10"/>
  <c r="L1314" i="10" s="1"/>
  <c r="L1315" i="10" s="1"/>
  <c r="L1316" i="10" s="1"/>
  <c r="L1317" i="10" s="1"/>
  <c r="E1313" i="10"/>
  <c r="L1312" i="10"/>
  <c r="E1312" i="10"/>
  <c r="E1311" i="10"/>
  <c r="E1310" i="10"/>
  <c r="E1309" i="10"/>
  <c r="E1308" i="10"/>
  <c r="E1307" i="10"/>
  <c r="E1306" i="10"/>
  <c r="E1305" i="10"/>
  <c r="E1304" i="10"/>
  <c r="E1303" i="10"/>
  <c r="F1302" i="10"/>
  <c r="E1302" i="10"/>
  <c r="D1299" i="10"/>
  <c r="D1297" i="10"/>
  <c r="H1293" i="10"/>
  <c r="G1293" i="10"/>
  <c r="E1284" i="10"/>
  <c r="E1283" i="10"/>
  <c r="E1282" i="10"/>
  <c r="E1281" i="10"/>
  <c r="E1280" i="10"/>
  <c r="E1279" i="10"/>
  <c r="E1278" i="10"/>
  <c r="E1277" i="10"/>
  <c r="E1276" i="10"/>
  <c r="E1275" i="10"/>
  <c r="E1274" i="10"/>
  <c r="E1273" i="10"/>
  <c r="E1272" i="10"/>
  <c r="E1271" i="10"/>
  <c r="E1270" i="10"/>
  <c r="E1269" i="10"/>
  <c r="E1268" i="10"/>
  <c r="E1267" i="10"/>
  <c r="E1266" i="10"/>
  <c r="E1265" i="10"/>
  <c r="E1264" i="10"/>
  <c r="E1263" i="10"/>
  <c r="E1262" i="10"/>
  <c r="E1261" i="10"/>
  <c r="E1260" i="10"/>
  <c r="E1259" i="10"/>
  <c r="E1258" i="10"/>
  <c r="E1257" i="10"/>
  <c r="E1256" i="10"/>
  <c r="E1255" i="10"/>
  <c r="E1254" i="10"/>
  <c r="E1253" i="10"/>
  <c r="E1252" i="10"/>
  <c r="E1251" i="10"/>
  <c r="E1250" i="10"/>
  <c r="E1249" i="10"/>
  <c r="H1248" i="10"/>
  <c r="I1248" i="10" s="1"/>
  <c r="J1248" i="10" s="1"/>
  <c r="F1249" i="10" s="1"/>
  <c r="F1248" i="10"/>
  <c r="E1248" i="10"/>
  <c r="D1245" i="10"/>
  <c r="D1243" i="10"/>
  <c r="E1211" i="10"/>
  <c r="E1210" i="10"/>
  <c r="E1209" i="10"/>
  <c r="E1208" i="10"/>
  <c r="E1207" i="10"/>
  <c r="E1206" i="10"/>
  <c r="E1205" i="10"/>
  <c r="E1204" i="10"/>
  <c r="E1203" i="10"/>
  <c r="E1202" i="10"/>
  <c r="E1201" i="10"/>
  <c r="E1200" i="10"/>
  <c r="E1199" i="10"/>
  <c r="E1198" i="10"/>
  <c r="E1197" i="10"/>
  <c r="E1196" i="10"/>
  <c r="E1195" i="10"/>
  <c r="E1194" i="10"/>
  <c r="E1193" i="10"/>
  <c r="E1192" i="10"/>
  <c r="E1191" i="10"/>
  <c r="E1190" i="10"/>
  <c r="E1189" i="10"/>
  <c r="E1188" i="10"/>
  <c r="E1187" i="10"/>
  <c r="K1186" i="10"/>
  <c r="E1186" i="10"/>
  <c r="E1185" i="10"/>
  <c r="K1184" i="10"/>
  <c r="E1184" i="10"/>
  <c r="E1183" i="10"/>
  <c r="E1182" i="10"/>
  <c r="E1181" i="10"/>
  <c r="E1180" i="10"/>
  <c r="E1179" i="10"/>
  <c r="E1178" i="10"/>
  <c r="E1177" i="10"/>
  <c r="E1176" i="10"/>
  <c r="F1175" i="10"/>
  <c r="E1175" i="10"/>
  <c r="D1172" i="10"/>
  <c r="D1170" i="10"/>
  <c r="E1159" i="10"/>
  <c r="E1158" i="10"/>
  <c r="E1157" i="10"/>
  <c r="E1156" i="10"/>
  <c r="E1155" i="10"/>
  <c r="E1154" i="10"/>
  <c r="E1153" i="10"/>
  <c r="E1152" i="10"/>
  <c r="E1151" i="10"/>
  <c r="E1150" i="10"/>
  <c r="E1149" i="10"/>
  <c r="E1148" i="10"/>
  <c r="K1147" i="10"/>
  <c r="E1147" i="10"/>
  <c r="E1146" i="10"/>
  <c r="E1145" i="10"/>
  <c r="E1144" i="10"/>
  <c r="E1143" i="10"/>
  <c r="E1142" i="10"/>
  <c r="E1141" i="10"/>
  <c r="E1140" i="10"/>
  <c r="E1160" i="10" s="1"/>
  <c r="E1139" i="10"/>
  <c r="E1138" i="10"/>
  <c r="E1137" i="10"/>
  <c r="J1136" i="10"/>
  <c r="F1137" i="10" s="1"/>
  <c r="E1136" i="10"/>
  <c r="I1135" i="10"/>
  <c r="H1135" i="10"/>
  <c r="F1135" i="10"/>
  <c r="J1135" i="10" s="1"/>
  <c r="F1136" i="10" s="1"/>
  <c r="H1136" i="10" s="1"/>
  <c r="I1136" i="10" s="1"/>
  <c r="E1135" i="10"/>
  <c r="D1132" i="10"/>
  <c r="D1130" i="10"/>
  <c r="E1117" i="10"/>
  <c r="E1116" i="10"/>
  <c r="E1115" i="10"/>
  <c r="G1114" i="10"/>
  <c r="E1114" i="10"/>
  <c r="E1113" i="10"/>
  <c r="E1112" i="10"/>
  <c r="E1111" i="10"/>
  <c r="G1110" i="10"/>
  <c r="E1110" i="10"/>
  <c r="E1109" i="10"/>
  <c r="E1108" i="10"/>
  <c r="E1107" i="10"/>
  <c r="G1106" i="10"/>
  <c r="E1106" i="10"/>
  <c r="E1119" i="10" s="1"/>
  <c r="E1105" i="10"/>
  <c r="E1104" i="10"/>
  <c r="E1103" i="10"/>
  <c r="E1102" i="10"/>
  <c r="E1101" i="10"/>
  <c r="E1100" i="10"/>
  <c r="E1099" i="10"/>
  <c r="E1098" i="10"/>
  <c r="E1097" i="10"/>
  <c r="E1096" i="10"/>
  <c r="E1095" i="10"/>
  <c r="F1094" i="10"/>
  <c r="E1094" i="10"/>
  <c r="D1089" i="10"/>
  <c r="D1091" i="10" s="1"/>
  <c r="E1078" i="10"/>
  <c r="E1077" i="10"/>
  <c r="E1076" i="10"/>
  <c r="E1075" i="10"/>
  <c r="E1074" i="10"/>
  <c r="E1073" i="10"/>
  <c r="E1072" i="10"/>
  <c r="E1071" i="10"/>
  <c r="E1070" i="10"/>
  <c r="E1069" i="10"/>
  <c r="E1068" i="10"/>
  <c r="E1067" i="10"/>
  <c r="E1066" i="10"/>
  <c r="E1065" i="10"/>
  <c r="E1064" i="10"/>
  <c r="E1063" i="10"/>
  <c r="E1062" i="10"/>
  <c r="E1061" i="10"/>
  <c r="E1060" i="10"/>
  <c r="E1059" i="10"/>
  <c r="E1058" i="10"/>
  <c r="E1057" i="10"/>
  <c r="E1080" i="10" s="1"/>
  <c r="E1056" i="10"/>
  <c r="L1055" i="10"/>
  <c r="I1055" i="10"/>
  <c r="J1055" i="10" s="1"/>
  <c r="F1056" i="10" s="1"/>
  <c r="F1055" i="10"/>
  <c r="H1055" i="10" s="1"/>
  <c r="E1055" i="10"/>
  <c r="D1050" i="10"/>
  <c r="D1052" i="10" s="1"/>
  <c r="H1046" i="10"/>
  <c r="E1039" i="10"/>
  <c r="E1038" i="10"/>
  <c r="E1037" i="10"/>
  <c r="E1036" i="10"/>
  <c r="E1035" i="10"/>
  <c r="E1034" i="10"/>
  <c r="E1033" i="10"/>
  <c r="E1032" i="10"/>
  <c r="E1031" i="10"/>
  <c r="E1030" i="10"/>
  <c r="E1029" i="10"/>
  <c r="E1028" i="10"/>
  <c r="E1027" i="10"/>
  <c r="E1026" i="10"/>
  <c r="E1025" i="10"/>
  <c r="E1024" i="10"/>
  <c r="E1023" i="10"/>
  <c r="E1022" i="10"/>
  <c r="M1021" i="10"/>
  <c r="E1021" i="10"/>
  <c r="K1020" i="10"/>
  <c r="E1020" i="10"/>
  <c r="E1019" i="10"/>
  <c r="E1018" i="10"/>
  <c r="E1017" i="10"/>
  <c r="E1016" i="10"/>
  <c r="F1015" i="10"/>
  <c r="E1015" i="10"/>
  <c r="D1012" i="10"/>
  <c r="D1010" i="10"/>
  <c r="E998" i="10"/>
  <c r="E997" i="10"/>
  <c r="E996" i="10"/>
  <c r="E995" i="10"/>
  <c r="E994" i="10"/>
  <c r="E993" i="10"/>
  <c r="E992" i="10"/>
  <c r="E991" i="10"/>
  <c r="E990" i="10"/>
  <c r="E989" i="10"/>
  <c r="E988" i="10"/>
  <c r="E987" i="10"/>
  <c r="E986" i="10"/>
  <c r="E985" i="10"/>
  <c r="E984" i="10"/>
  <c r="E983" i="10"/>
  <c r="E982" i="10"/>
  <c r="E981" i="10"/>
  <c r="E980" i="10"/>
  <c r="E979" i="10"/>
  <c r="E978" i="10"/>
  <c r="E977" i="10"/>
  <c r="E976" i="10"/>
  <c r="E975" i="10"/>
  <c r="E974" i="10"/>
  <c r="E973" i="10"/>
  <c r="E972" i="10"/>
  <c r="E971" i="10"/>
  <c r="E970" i="10"/>
  <c r="E969" i="10"/>
  <c r="E968" i="10"/>
  <c r="E967" i="10"/>
  <c r="E966" i="10"/>
  <c r="L965" i="10"/>
  <c r="E965" i="10"/>
  <c r="E964" i="10"/>
  <c r="E963" i="10"/>
  <c r="F962" i="10"/>
  <c r="E962" i="10"/>
  <c r="D959" i="10"/>
  <c r="D957" i="10"/>
  <c r="S954" i="10"/>
  <c r="G945" i="10"/>
  <c r="E945" i="10"/>
  <c r="G944" i="10"/>
  <c r="E944" i="10"/>
  <c r="G943" i="10"/>
  <c r="E943" i="10"/>
  <c r="G942" i="10"/>
  <c r="E942" i="10"/>
  <c r="G941" i="10"/>
  <c r="E941" i="10"/>
  <c r="G940" i="10"/>
  <c r="E940" i="10"/>
  <c r="G939" i="10"/>
  <c r="E939" i="10"/>
  <c r="G938" i="10"/>
  <c r="E938" i="10"/>
  <c r="G937" i="10"/>
  <c r="E937" i="10"/>
  <c r="G936" i="10"/>
  <c r="E936" i="10"/>
  <c r="G935" i="10"/>
  <c r="E935" i="10"/>
  <c r="G934" i="10"/>
  <c r="E934" i="10"/>
  <c r="G933" i="10"/>
  <c r="E933" i="10"/>
  <c r="G932" i="10"/>
  <c r="E932" i="10"/>
  <c r="G931" i="10"/>
  <c r="E931" i="10"/>
  <c r="G930" i="10"/>
  <c r="E930" i="10"/>
  <c r="G929" i="10"/>
  <c r="E929" i="10"/>
  <c r="G928" i="10"/>
  <c r="E928" i="10"/>
  <c r="G927" i="10"/>
  <c r="E927" i="10"/>
  <c r="G926" i="10"/>
  <c r="E926" i="10"/>
  <c r="G925" i="10"/>
  <c r="E925" i="10"/>
  <c r="G924" i="10"/>
  <c r="E924" i="10"/>
  <c r="G923" i="10"/>
  <c r="E923" i="10"/>
  <c r="J922" i="10"/>
  <c r="F923" i="10" s="1"/>
  <c r="I922" i="10"/>
  <c r="G922" i="10"/>
  <c r="F922" i="10"/>
  <c r="H922" i="10" s="1"/>
  <c r="E922" i="10"/>
  <c r="D917" i="10"/>
  <c r="D919" i="10" s="1"/>
  <c r="G913" i="10"/>
  <c r="E905" i="10"/>
  <c r="E904" i="10"/>
  <c r="E903" i="10"/>
  <c r="K902" i="10"/>
  <c r="E902" i="10"/>
  <c r="E901" i="10"/>
  <c r="E900" i="10"/>
  <c r="E899" i="10"/>
  <c r="E898" i="10"/>
  <c r="E897" i="10"/>
  <c r="K896" i="10"/>
  <c r="E896" i="10"/>
  <c r="E895" i="10"/>
  <c r="E894" i="10"/>
  <c r="E893" i="10"/>
  <c r="E892" i="10"/>
  <c r="E891" i="10"/>
  <c r="K890" i="10"/>
  <c r="E890" i="10"/>
  <c r="E889" i="10"/>
  <c r="E888" i="10"/>
  <c r="E887" i="10"/>
  <c r="E886" i="10"/>
  <c r="E885" i="10"/>
  <c r="E884" i="10"/>
  <c r="E883" i="10"/>
  <c r="F882" i="10"/>
  <c r="H882" i="10" s="1"/>
  <c r="I882" i="10" s="1"/>
  <c r="J882" i="10" s="1"/>
  <c r="F883" i="10" s="1"/>
  <c r="E882" i="10"/>
  <c r="D879" i="10"/>
  <c r="D877" i="10"/>
  <c r="G872" i="10"/>
  <c r="G864" i="10"/>
  <c r="E864" i="10"/>
  <c r="G863" i="10"/>
  <c r="E863" i="10"/>
  <c r="G862" i="10"/>
  <c r="E862" i="10"/>
  <c r="G861" i="10"/>
  <c r="E861" i="10"/>
  <c r="G860" i="10"/>
  <c r="E860" i="10"/>
  <c r="G859" i="10"/>
  <c r="E859" i="10"/>
  <c r="G858" i="10"/>
  <c r="E858" i="10"/>
  <c r="G857" i="10"/>
  <c r="E857" i="10"/>
  <c r="G856" i="10"/>
  <c r="E856" i="10"/>
  <c r="G855" i="10"/>
  <c r="E855" i="10"/>
  <c r="G854" i="10"/>
  <c r="E854" i="10"/>
  <c r="G853" i="10"/>
  <c r="E853" i="10"/>
  <c r="G852" i="10"/>
  <c r="E852" i="10"/>
  <c r="G851" i="10"/>
  <c r="E851" i="10"/>
  <c r="G850" i="10"/>
  <c r="E850" i="10"/>
  <c r="G849" i="10"/>
  <c r="E849" i="10"/>
  <c r="G848" i="10"/>
  <c r="E848" i="10"/>
  <c r="G847" i="10"/>
  <c r="E847" i="10"/>
  <c r="G846" i="10"/>
  <c r="E846" i="10"/>
  <c r="G845" i="10"/>
  <c r="E845" i="10"/>
  <c r="G844" i="10"/>
  <c r="E844" i="10"/>
  <c r="G843" i="10"/>
  <c r="E843" i="10"/>
  <c r="G842" i="10"/>
  <c r="E842" i="10"/>
  <c r="H841" i="10"/>
  <c r="G841" i="10"/>
  <c r="F841" i="10"/>
  <c r="E841" i="10"/>
  <c r="D836" i="10"/>
  <c r="D838" i="10" s="1"/>
  <c r="G832" i="10"/>
  <c r="E823" i="10"/>
  <c r="E822" i="10"/>
  <c r="E821" i="10"/>
  <c r="E820" i="10"/>
  <c r="E819" i="10"/>
  <c r="E818" i="10"/>
  <c r="E817" i="10"/>
  <c r="E816" i="10"/>
  <c r="E815" i="10"/>
  <c r="E814" i="10"/>
  <c r="E813" i="10"/>
  <c r="E812" i="10"/>
  <c r="E811" i="10"/>
  <c r="E810" i="10"/>
  <c r="E809" i="10"/>
  <c r="E808" i="10"/>
  <c r="E807" i="10"/>
  <c r="E806" i="10"/>
  <c r="E805" i="10"/>
  <c r="E804" i="10"/>
  <c r="E803" i="10"/>
  <c r="E802" i="10"/>
  <c r="E801" i="10"/>
  <c r="E800" i="10"/>
  <c r="E799" i="10"/>
  <c r="E798" i="10"/>
  <c r="E797" i="10"/>
  <c r="E796" i="10"/>
  <c r="E795" i="10"/>
  <c r="E794" i="10"/>
  <c r="E793" i="10"/>
  <c r="E792" i="10"/>
  <c r="E791" i="10"/>
  <c r="E790" i="10"/>
  <c r="E789" i="10"/>
  <c r="E788" i="10"/>
  <c r="E787" i="10"/>
  <c r="E786" i="10"/>
  <c r="E785" i="10"/>
  <c r="E784" i="10"/>
  <c r="E783" i="10"/>
  <c r="E782" i="10"/>
  <c r="E781" i="10"/>
  <c r="E780" i="10"/>
  <c r="E779" i="10"/>
  <c r="E778" i="10"/>
  <c r="E777" i="10"/>
  <c r="E776" i="10"/>
  <c r="G775" i="10"/>
  <c r="E775" i="10"/>
  <c r="E774" i="10"/>
  <c r="E773" i="10"/>
  <c r="G772" i="10"/>
  <c r="E772" i="10"/>
  <c r="E771" i="10"/>
  <c r="G770" i="10"/>
  <c r="E770" i="10"/>
  <c r="E769" i="10"/>
  <c r="G768" i="10"/>
  <c r="E768" i="10"/>
  <c r="H767" i="10"/>
  <c r="G767" i="10"/>
  <c r="F767" i="10"/>
  <c r="G774" i="10" s="1"/>
  <c r="E767" i="10"/>
  <c r="G764" i="10"/>
  <c r="D764" i="10"/>
  <c r="J759" i="10"/>
  <c r="I759" i="10"/>
  <c r="H759" i="10"/>
  <c r="S758" i="10"/>
  <c r="E751" i="10"/>
  <c r="C750" i="10"/>
  <c r="E750" i="10" s="1"/>
  <c r="E749" i="10"/>
  <c r="C748" i="10"/>
  <c r="E748" i="10" s="1"/>
  <c r="E747" i="10"/>
  <c r="E746" i="10"/>
  <c r="C746" i="10"/>
  <c r="E745" i="10"/>
  <c r="C744" i="10"/>
  <c r="E744" i="10" s="1"/>
  <c r="E743" i="10"/>
  <c r="C742" i="10"/>
  <c r="E742" i="10" s="1"/>
  <c r="E741" i="10"/>
  <c r="E740" i="10"/>
  <c r="C740" i="10"/>
  <c r="E739" i="10"/>
  <c r="C738" i="10"/>
  <c r="E738" i="10" s="1"/>
  <c r="E737" i="10"/>
  <c r="C736" i="10"/>
  <c r="E736" i="10" s="1"/>
  <c r="E735" i="10"/>
  <c r="C734" i="10"/>
  <c r="E734" i="10" s="1"/>
  <c r="E733" i="10"/>
  <c r="E732" i="10"/>
  <c r="C732" i="10"/>
  <c r="E731" i="10"/>
  <c r="E730" i="10"/>
  <c r="C730" i="10"/>
  <c r="E729" i="10"/>
  <c r="C728" i="10"/>
  <c r="E728" i="10" s="1"/>
  <c r="E727" i="10"/>
  <c r="C726" i="10"/>
  <c r="E726" i="10" s="1"/>
  <c r="E725" i="10"/>
  <c r="E724" i="10"/>
  <c r="C724" i="10"/>
  <c r="E723" i="10"/>
  <c r="C722" i="10"/>
  <c r="E722" i="10" s="1"/>
  <c r="E721" i="10"/>
  <c r="C720" i="10"/>
  <c r="E720" i="10" s="1"/>
  <c r="E719" i="10"/>
  <c r="C718" i="10"/>
  <c r="E718" i="10" s="1"/>
  <c r="E717" i="10"/>
  <c r="E716" i="10"/>
  <c r="C716" i="10"/>
  <c r="E715" i="10"/>
  <c r="C714" i="10"/>
  <c r="E714" i="10" s="1"/>
  <c r="E713" i="10"/>
  <c r="C712" i="10"/>
  <c r="E712" i="10" s="1"/>
  <c r="E711" i="10"/>
  <c r="C710" i="10"/>
  <c r="E710" i="10" s="1"/>
  <c r="E709" i="10"/>
  <c r="E708" i="10"/>
  <c r="C708" i="10"/>
  <c r="E707" i="10"/>
  <c r="C706" i="10"/>
  <c r="E706" i="10" s="1"/>
  <c r="E705" i="10"/>
  <c r="C704" i="10"/>
  <c r="E704" i="10" s="1"/>
  <c r="E703" i="10"/>
  <c r="H700" i="10"/>
  <c r="D700" i="10"/>
  <c r="D698" i="10"/>
  <c r="I695" i="10"/>
  <c r="D694" i="10"/>
  <c r="F703" i="10" s="1"/>
  <c r="E687" i="10"/>
  <c r="E686" i="10"/>
  <c r="E685" i="10"/>
  <c r="E684" i="10"/>
  <c r="E683" i="10"/>
  <c r="E682" i="10"/>
  <c r="E681" i="10"/>
  <c r="E680" i="10"/>
  <c r="E679" i="10"/>
  <c r="E678" i="10"/>
  <c r="E677" i="10"/>
  <c r="E676" i="10"/>
  <c r="E675" i="10"/>
  <c r="E674" i="10"/>
  <c r="E673" i="10"/>
  <c r="E672" i="10"/>
  <c r="E671" i="10"/>
  <c r="E670" i="10"/>
  <c r="E669" i="10"/>
  <c r="E668" i="10"/>
  <c r="E667" i="10"/>
  <c r="E666" i="10"/>
  <c r="E665" i="10"/>
  <c r="E664" i="10"/>
  <c r="E663" i="10"/>
  <c r="E662" i="10"/>
  <c r="E661" i="10"/>
  <c r="E660" i="10"/>
  <c r="E659" i="10"/>
  <c r="E658" i="10"/>
  <c r="E657" i="10"/>
  <c r="E656" i="10"/>
  <c r="E655" i="10"/>
  <c r="E654" i="10"/>
  <c r="E653" i="10"/>
  <c r="E652" i="10"/>
  <c r="E651" i="10"/>
  <c r="E650" i="10"/>
  <c r="E649" i="10"/>
  <c r="E648" i="10"/>
  <c r="E647" i="10"/>
  <c r="E646" i="10"/>
  <c r="E645" i="10"/>
  <c r="E644" i="10"/>
  <c r="E643" i="10"/>
  <c r="E642" i="10"/>
  <c r="E641" i="10"/>
  <c r="E640" i="10"/>
  <c r="E639" i="10"/>
  <c r="E638" i="10"/>
  <c r="E637" i="10"/>
  <c r="E636" i="10"/>
  <c r="E635" i="10"/>
  <c r="E634" i="10"/>
  <c r="E633" i="10"/>
  <c r="E632" i="10"/>
  <c r="E631" i="10"/>
  <c r="G630" i="10"/>
  <c r="E630" i="10"/>
  <c r="G629" i="10"/>
  <c r="E629" i="10"/>
  <c r="F628" i="10"/>
  <c r="E628" i="10"/>
  <c r="L627" i="10"/>
  <c r="G627" i="10"/>
  <c r="F627" i="10"/>
  <c r="J627" i="10" s="1"/>
  <c r="E627" i="10"/>
  <c r="H624" i="10"/>
  <c r="I622" i="10"/>
  <c r="D622" i="10"/>
  <c r="D624" i="10" s="1"/>
  <c r="I619" i="10"/>
  <c r="E616" i="10"/>
  <c r="E611" i="10"/>
  <c r="E610" i="10"/>
  <c r="E609" i="10"/>
  <c r="E608" i="10"/>
  <c r="E607" i="10"/>
  <c r="E606" i="10"/>
  <c r="E605" i="10"/>
  <c r="E604" i="10"/>
  <c r="E603" i="10"/>
  <c r="E602" i="10"/>
  <c r="E601" i="10"/>
  <c r="E600" i="10"/>
  <c r="E599" i="10"/>
  <c r="E598" i="10"/>
  <c r="E597" i="10"/>
  <c r="E596" i="10"/>
  <c r="E595" i="10"/>
  <c r="E594" i="10"/>
  <c r="E593" i="10"/>
  <c r="E592" i="10"/>
  <c r="E591" i="10"/>
  <c r="E590" i="10"/>
  <c r="E589" i="10"/>
  <c r="E588" i="10"/>
  <c r="E587" i="10"/>
  <c r="E586" i="10"/>
  <c r="E585" i="10"/>
  <c r="E584" i="10"/>
  <c r="E583" i="10"/>
  <c r="E582" i="10"/>
  <c r="E581" i="10"/>
  <c r="E580" i="10"/>
  <c r="E579" i="10"/>
  <c r="E578" i="10"/>
  <c r="E577" i="10"/>
  <c r="E576" i="10"/>
  <c r="E575" i="10"/>
  <c r="E574" i="10"/>
  <c r="E573" i="10"/>
  <c r="E572" i="10"/>
  <c r="E571" i="10"/>
  <c r="E570" i="10"/>
  <c r="E569" i="10"/>
  <c r="E568" i="10"/>
  <c r="D567" i="10"/>
  <c r="E567" i="10" s="1"/>
  <c r="C567" i="10"/>
  <c r="E566" i="10"/>
  <c r="C565" i="10"/>
  <c r="D565" i="10" s="1"/>
  <c r="E565" i="10" s="1"/>
  <c r="H564" i="10"/>
  <c r="I564" i="10" s="1"/>
  <c r="J564" i="10" s="1"/>
  <c r="F565" i="10" s="1"/>
  <c r="F564" i="10"/>
  <c r="E564" i="10"/>
  <c r="G561" i="10"/>
  <c r="D559" i="10"/>
  <c r="D561" i="10" s="1"/>
  <c r="I556" i="10"/>
  <c r="J556" i="10" s="1"/>
  <c r="H556" i="10"/>
  <c r="E549" i="10"/>
  <c r="E548" i="10"/>
  <c r="E547" i="10"/>
  <c r="E546" i="10"/>
  <c r="E545" i="10"/>
  <c r="E544" i="10"/>
  <c r="E543" i="10"/>
  <c r="E542" i="10"/>
  <c r="E541" i="10"/>
  <c r="E540" i="10"/>
  <c r="E539" i="10"/>
  <c r="E538" i="10"/>
  <c r="E537" i="10"/>
  <c r="E536" i="10"/>
  <c r="E535" i="10"/>
  <c r="E534" i="10"/>
  <c r="E533" i="10"/>
  <c r="E532" i="10"/>
  <c r="E531" i="10"/>
  <c r="E530" i="10"/>
  <c r="E529" i="10"/>
  <c r="E528" i="10"/>
  <c r="E527" i="10"/>
  <c r="E526" i="10"/>
  <c r="E525" i="10"/>
  <c r="E524" i="10"/>
  <c r="E523" i="10"/>
  <c r="E522" i="10"/>
  <c r="E521" i="10"/>
  <c r="E520" i="10"/>
  <c r="E519" i="10"/>
  <c r="E518" i="10"/>
  <c r="K517" i="10"/>
  <c r="E517" i="10"/>
  <c r="E516" i="10"/>
  <c r="E515" i="10"/>
  <c r="E514" i="10"/>
  <c r="E513" i="10"/>
  <c r="E512" i="10"/>
  <c r="E511" i="10"/>
  <c r="H510" i="10"/>
  <c r="E510" i="10"/>
  <c r="E509" i="10"/>
  <c r="E508" i="10"/>
  <c r="L507" i="10"/>
  <c r="L508" i="10" s="1"/>
  <c r="L509" i="10" s="1"/>
  <c r="E507" i="10"/>
  <c r="E506" i="10"/>
  <c r="E505" i="10"/>
  <c r="E504" i="10"/>
  <c r="E503" i="10"/>
  <c r="E502" i="10"/>
  <c r="K501" i="10"/>
  <c r="E501" i="10"/>
  <c r="L500" i="10"/>
  <c r="L501" i="10" s="1"/>
  <c r="L502" i="10" s="1"/>
  <c r="L503" i="10" s="1"/>
  <c r="L504" i="10" s="1"/>
  <c r="L505" i="10" s="1"/>
  <c r="L506" i="10" s="1"/>
  <c r="G500" i="10"/>
  <c r="F500" i="10"/>
  <c r="E500" i="10"/>
  <c r="G497" i="10"/>
  <c r="D497" i="10"/>
  <c r="D495" i="10"/>
  <c r="G493" i="10"/>
  <c r="D493" i="10"/>
  <c r="J492" i="10"/>
  <c r="I492" i="10"/>
  <c r="H492" i="10"/>
  <c r="G510" i="10" s="1"/>
  <c r="F488" i="10"/>
  <c r="E482" i="10"/>
  <c r="E481" i="10"/>
  <c r="E480" i="10"/>
  <c r="E479" i="10"/>
  <c r="E478" i="10"/>
  <c r="E477" i="10"/>
  <c r="E476" i="10"/>
  <c r="E475" i="10"/>
  <c r="E474" i="10"/>
  <c r="E473" i="10"/>
  <c r="E472" i="10"/>
  <c r="E471" i="10"/>
  <c r="E470" i="10"/>
  <c r="E469" i="10"/>
  <c r="E468" i="10"/>
  <c r="E467" i="10"/>
  <c r="E466" i="10"/>
  <c r="E465" i="10"/>
  <c r="E464" i="10"/>
  <c r="E463" i="10"/>
  <c r="E462" i="10"/>
  <c r="E461" i="10"/>
  <c r="E460" i="10"/>
  <c r="E459" i="10"/>
  <c r="E458" i="10"/>
  <c r="K457" i="10"/>
  <c r="E457" i="10"/>
  <c r="E456" i="10"/>
  <c r="E455" i="10"/>
  <c r="E454" i="10"/>
  <c r="E453" i="10"/>
  <c r="E452" i="10"/>
  <c r="E451" i="10"/>
  <c r="E450" i="10"/>
  <c r="E449" i="10"/>
  <c r="E448" i="10"/>
  <c r="E447" i="10"/>
  <c r="E446" i="10"/>
  <c r="E445" i="10"/>
  <c r="E444" i="10"/>
  <c r="E443" i="10"/>
  <c r="E442" i="10"/>
  <c r="E441" i="10"/>
  <c r="E440" i="10"/>
  <c r="E439" i="10"/>
  <c r="E438" i="10"/>
  <c r="E437" i="10"/>
  <c r="E436" i="10"/>
  <c r="E435" i="10"/>
  <c r="E434" i="10"/>
  <c r="E433" i="10"/>
  <c r="E432" i="10"/>
  <c r="E431" i="10"/>
  <c r="E430" i="10"/>
  <c r="E429" i="10"/>
  <c r="E428" i="10"/>
  <c r="E427" i="10"/>
  <c r="E426" i="10"/>
  <c r="E425" i="10"/>
  <c r="E424" i="10"/>
  <c r="E423" i="10"/>
  <c r="E422" i="10"/>
  <c r="E421" i="10"/>
  <c r="K420" i="10"/>
  <c r="E420" i="10"/>
  <c r="E419" i="10"/>
  <c r="E418" i="10"/>
  <c r="E417" i="10"/>
  <c r="E416" i="10"/>
  <c r="E415" i="10"/>
  <c r="E414" i="10"/>
  <c r="E413" i="10"/>
  <c r="E412" i="10"/>
  <c r="C412" i="10"/>
  <c r="F411" i="10"/>
  <c r="E411" i="10"/>
  <c r="C411" i="10"/>
  <c r="I410" i="10"/>
  <c r="E410" i="10"/>
  <c r="G407" i="10"/>
  <c r="D405" i="10"/>
  <c r="D407" i="10" s="1"/>
  <c r="H402" i="10"/>
  <c r="D401" i="10"/>
  <c r="F410" i="10" s="1"/>
  <c r="J410" i="10" s="1"/>
  <c r="E397" i="10"/>
  <c r="E394" i="10"/>
  <c r="E393" i="10"/>
  <c r="E392" i="10"/>
  <c r="E391" i="10"/>
  <c r="E390" i="10"/>
  <c r="E389" i="10"/>
  <c r="E388" i="10"/>
  <c r="E387" i="10"/>
  <c r="E386" i="10"/>
  <c r="E385" i="10"/>
  <c r="E384" i="10"/>
  <c r="E383" i="10"/>
  <c r="E382" i="10"/>
  <c r="E381" i="10"/>
  <c r="E380" i="10"/>
  <c r="E379" i="10"/>
  <c r="E378" i="10"/>
  <c r="E377" i="10"/>
  <c r="E376" i="10"/>
  <c r="E375" i="10"/>
  <c r="E374" i="10"/>
  <c r="E373" i="10"/>
  <c r="E372" i="10"/>
  <c r="E371" i="10"/>
  <c r="E370" i="10"/>
  <c r="E369" i="10"/>
  <c r="H368" i="10"/>
  <c r="L368" i="10" s="1"/>
  <c r="F368" i="10"/>
  <c r="J368" i="10" s="1"/>
  <c r="F369" i="10" s="1"/>
  <c r="E368" i="10"/>
  <c r="G365" i="10"/>
  <c r="D365" i="10"/>
  <c r="D363" i="10"/>
  <c r="I362" i="10"/>
  <c r="I360" i="10"/>
  <c r="H360" i="10"/>
  <c r="D359" i="10"/>
  <c r="E354" i="10"/>
  <c r="K328" i="10"/>
  <c r="L311" i="10"/>
  <c r="G301" i="10"/>
  <c r="G300" i="10"/>
  <c r="G299" i="10"/>
  <c r="G298" i="10"/>
  <c r="G297" i="10"/>
  <c r="G296" i="10"/>
  <c r="G295" i="10"/>
  <c r="G294" i="10"/>
  <c r="H293" i="10"/>
  <c r="G293" i="10"/>
  <c r="J285" i="10"/>
  <c r="I285" i="10"/>
  <c r="S282" i="10"/>
  <c r="S284" i="10" s="1"/>
  <c r="E282" i="10"/>
  <c r="E278" i="10"/>
  <c r="E277" i="10"/>
  <c r="E276" i="10"/>
  <c r="E275" i="10"/>
  <c r="E274" i="10"/>
  <c r="E273" i="10"/>
  <c r="E272" i="10"/>
  <c r="E271" i="10"/>
  <c r="E270" i="10"/>
  <c r="E269" i="10"/>
  <c r="E268" i="10"/>
  <c r="E267" i="10"/>
  <c r="E266" i="10"/>
  <c r="E265" i="10"/>
  <c r="E264" i="10"/>
  <c r="E263" i="10"/>
  <c r="E262" i="10"/>
  <c r="H261" i="10"/>
  <c r="I261" i="10" s="1"/>
  <c r="J261" i="10" s="1"/>
  <c r="F262" i="10" s="1"/>
  <c r="E261" i="10"/>
  <c r="E260" i="10"/>
  <c r="E259" i="10"/>
  <c r="G258" i="10"/>
  <c r="E258" i="10"/>
  <c r="G257" i="10"/>
  <c r="E257" i="10"/>
  <c r="G256" i="10"/>
  <c r="E256" i="10"/>
  <c r="G255" i="10"/>
  <c r="F255" i="10"/>
  <c r="E255" i="10"/>
  <c r="H252" i="10"/>
  <c r="D250" i="10"/>
  <c r="D252" i="10" s="1"/>
  <c r="K247" i="10"/>
  <c r="J247" i="10"/>
  <c r="I247" i="10"/>
  <c r="E239" i="10"/>
  <c r="E238" i="10"/>
  <c r="E237" i="10"/>
  <c r="E236" i="10"/>
  <c r="E235" i="10"/>
  <c r="E234" i="10"/>
  <c r="E233" i="10"/>
  <c r="E232" i="10"/>
  <c r="E231" i="10"/>
  <c r="E230" i="10"/>
  <c r="E229" i="10"/>
  <c r="E228" i="10"/>
  <c r="E227" i="10"/>
  <c r="E226" i="10"/>
  <c r="E225" i="10"/>
  <c r="E224" i="10"/>
  <c r="E223" i="10"/>
  <c r="E222" i="10"/>
  <c r="E221" i="10"/>
  <c r="E220" i="10"/>
  <c r="E219" i="10"/>
  <c r="E218" i="10"/>
  <c r="E217" i="10"/>
  <c r="E216" i="10"/>
  <c r="H215" i="10"/>
  <c r="I215" i="10" s="1"/>
  <c r="F215" i="10"/>
  <c r="J215" i="10" s="1"/>
  <c r="F216" i="10" s="1"/>
  <c r="E215" i="10"/>
  <c r="D212" i="10"/>
  <c r="H210" i="10"/>
  <c r="D210" i="10"/>
  <c r="E196" i="10"/>
  <c r="E195" i="10"/>
  <c r="E194" i="10"/>
  <c r="E193" i="10"/>
  <c r="E192" i="10"/>
  <c r="E191" i="10"/>
  <c r="E190" i="10"/>
  <c r="E189" i="10"/>
  <c r="E188" i="10"/>
  <c r="E187" i="10"/>
  <c r="E186" i="10"/>
  <c r="E185" i="10"/>
  <c r="E184" i="10"/>
  <c r="E183" i="10"/>
  <c r="E182" i="10"/>
  <c r="E181" i="10"/>
  <c r="E180" i="10"/>
  <c r="E179" i="10"/>
  <c r="E178" i="10"/>
  <c r="E177" i="10"/>
  <c r="E176" i="10"/>
  <c r="E175" i="10"/>
  <c r="E174" i="10"/>
  <c r="E173" i="10"/>
  <c r="E172" i="10"/>
  <c r="E171" i="10"/>
  <c r="E170" i="10"/>
  <c r="E169" i="10"/>
  <c r="E168" i="10"/>
  <c r="E167" i="10"/>
  <c r="E166" i="10"/>
  <c r="E165" i="10"/>
  <c r="E164" i="10"/>
  <c r="E163" i="10"/>
  <c r="E162" i="10"/>
  <c r="E161" i="10"/>
  <c r="E160" i="10"/>
  <c r="E159" i="10"/>
  <c r="E158" i="10"/>
  <c r="E157" i="10"/>
  <c r="E156" i="10"/>
  <c r="E155" i="10"/>
  <c r="E154" i="10"/>
  <c r="E153" i="10"/>
  <c r="E152" i="10"/>
  <c r="E151" i="10"/>
  <c r="E150" i="10"/>
  <c r="E149" i="10"/>
  <c r="E148" i="10"/>
  <c r="E147" i="10"/>
  <c r="E146" i="10"/>
  <c r="E145" i="10"/>
  <c r="E144" i="10"/>
  <c r="E143" i="10"/>
  <c r="E142" i="10"/>
  <c r="E141" i="10"/>
  <c r="E140" i="10"/>
  <c r="E139" i="10"/>
  <c r="E138" i="10"/>
  <c r="E137" i="10"/>
  <c r="E136" i="10"/>
  <c r="E135" i="10"/>
  <c r="E134" i="10"/>
  <c r="E133" i="10"/>
  <c r="E132" i="10"/>
  <c r="E131" i="10"/>
  <c r="E130" i="10"/>
  <c r="E129" i="10"/>
  <c r="E128" i="10"/>
  <c r="E127" i="10"/>
  <c r="E126" i="10"/>
  <c r="E125" i="10"/>
  <c r="E124" i="10"/>
  <c r="E123" i="10"/>
  <c r="E122" i="10"/>
  <c r="E121" i="10"/>
  <c r="E120" i="10"/>
  <c r="E119" i="10"/>
  <c r="E118" i="10"/>
  <c r="E117" i="10"/>
  <c r="E116" i="10"/>
  <c r="E115" i="10"/>
  <c r="E114" i="10"/>
  <c r="E113" i="10"/>
  <c r="E112" i="10"/>
  <c r="E111" i="10"/>
  <c r="E110" i="10"/>
  <c r="E109" i="10"/>
  <c r="E108" i="10"/>
  <c r="E107" i="10"/>
  <c r="E106" i="10"/>
  <c r="E105" i="10"/>
  <c r="E104" i="10"/>
  <c r="E103" i="10"/>
  <c r="E102" i="10"/>
  <c r="E101" i="10"/>
  <c r="E100" i="10"/>
  <c r="E99" i="10"/>
  <c r="E98" i="10"/>
  <c r="E97" i="10"/>
  <c r="E96" i="10"/>
  <c r="E95" i="10"/>
  <c r="E94" i="10"/>
  <c r="E93" i="10"/>
  <c r="E92" i="10"/>
  <c r="E91" i="10"/>
  <c r="E90" i="10"/>
  <c r="E89" i="10"/>
  <c r="E88" i="10"/>
  <c r="E87" i="10"/>
  <c r="E86" i="10"/>
  <c r="E85" i="10"/>
  <c r="E84" i="10"/>
  <c r="K83" i="10"/>
  <c r="E83" i="10"/>
  <c r="E82" i="10"/>
  <c r="E81" i="10"/>
  <c r="E80" i="10"/>
  <c r="E79" i="10"/>
  <c r="E78" i="10"/>
  <c r="E77" i="10"/>
  <c r="E76" i="10"/>
  <c r="E75" i="10"/>
  <c r="K74" i="10"/>
  <c r="E74" i="10"/>
  <c r="E73" i="10"/>
  <c r="E72" i="10"/>
  <c r="E71" i="10"/>
  <c r="E70" i="10"/>
  <c r="E69" i="10"/>
  <c r="E68" i="10"/>
  <c r="E67" i="10"/>
  <c r="E66" i="10"/>
  <c r="E65" i="10"/>
  <c r="E64" i="10"/>
  <c r="E63" i="10"/>
  <c r="E62" i="10"/>
  <c r="E61" i="10"/>
  <c r="K60" i="10"/>
  <c r="E60" i="10"/>
  <c r="E59" i="10"/>
  <c r="E58" i="10"/>
  <c r="E57" i="10"/>
  <c r="E56" i="10"/>
  <c r="E55" i="10"/>
  <c r="E54" i="10"/>
  <c r="H53" i="10"/>
  <c r="F53" i="10"/>
  <c r="G53" i="10" s="1"/>
  <c r="L53" i="10" s="1"/>
  <c r="E53" i="10"/>
  <c r="G50" i="10"/>
  <c r="D50" i="10"/>
  <c r="D48" i="10"/>
  <c r="K45" i="10"/>
  <c r="I45" i="10"/>
  <c r="J45" i="10" s="1"/>
  <c r="H45" i="10"/>
  <c r="S41" i="10"/>
  <c r="F41" i="10"/>
  <c r="F40" i="10"/>
  <c r="E36" i="10"/>
  <c r="G35" i="10"/>
  <c r="K34" i="10"/>
  <c r="L34" i="10" s="1"/>
  <c r="L35" i="10" s="1"/>
  <c r="E34" i="10"/>
  <c r="K33" i="10"/>
  <c r="E33" i="10"/>
  <c r="K32" i="10"/>
  <c r="E32" i="10"/>
  <c r="E31" i="10"/>
  <c r="E30" i="10"/>
  <c r="E29" i="10"/>
  <c r="M28" i="10"/>
  <c r="E28" i="10"/>
  <c r="E27" i="10"/>
  <c r="E26" i="10"/>
  <c r="E25" i="10"/>
  <c r="K24" i="10"/>
  <c r="E24" i="10"/>
  <c r="E23" i="10"/>
  <c r="E22" i="10"/>
  <c r="E21" i="10"/>
  <c r="E20" i="10"/>
  <c r="E19" i="10"/>
  <c r="E18" i="10"/>
  <c r="K17" i="10"/>
  <c r="E17" i="10"/>
  <c r="E16" i="10"/>
  <c r="H15" i="10"/>
  <c r="F15" i="10"/>
  <c r="E15" i="10"/>
  <c r="H12" i="10"/>
  <c r="D12" i="10"/>
  <c r="D10" i="10"/>
  <c r="M7" i="10"/>
  <c r="K7" i="10"/>
  <c r="L7" i="10" s="1"/>
  <c r="J7" i="10"/>
  <c r="I7" i="10"/>
  <c r="R135" i="9"/>
  <c r="Q135" i="9"/>
  <c r="P135" i="9"/>
  <c r="O135" i="9"/>
  <c r="R126" i="9"/>
  <c r="P118" i="9"/>
  <c r="L118" i="9"/>
  <c r="AP116" i="9"/>
  <c r="AM116" i="9"/>
  <c r="AL116" i="9"/>
  <c r="AK116" i="9"/>
  <c r="AJ116" i="9"/>
  <c r="M116" i="9"/>
  <c r="O116" i="9" s="1"/>
  <c r="AO115" i="9"/>
  <c r="AK115" i="9"/>
  <c r="AJ115" i="9"/>
  <c r="AN115" i="9" s="1"/>
  <c r="M115" i="9"/>
  <c r="M118" i="9" s="1"/>
  <c r="AL114" i="9"/>
  <c r="AK114" i="9"/>
  <c r="AJ114" i="9"/>
  <c r="O114" i="9"/>
  <c r="R114" i="9" s="1"/>
  <c r="Q108" i="6" s="1"/>
  <c r="AK108" i="6" s="1"/>
  <c r="N114" i="9"/>
  <c r="AP113" i="9"/>
  <c r="AO113" i="9"/>
  <c r="AN113" i="9"/>
  <c r="AM113" i="9"/>
  <c r="AK113" i="9"/>
  <c r="AJ113" i="9"/>
  <c r="AL113" i="9" s="1"/>
  <c r="Q113" i="9"/>
  <c r="Q118" i="9" s="1"/>
  <c r="O113" i="9"/>
  <c r="N113" i="9"/>
  <c r="AL112" i="9"/>
  <c r="AK112" i="9"/>
  <c r="AJ112" i="9"/>
  <c r="AP112" i="9" s="1"/>
  <c r="AQ112" i="9" s="1"/>
  <c r="R112" i="9"/>
  <c r="Q106" i="6" s="1"/>
  <c r="O112" i="9"/>
  <c r="N112" i="9"/>
  <c r="AO111" i="9"/>
  <c r="AN111" i="9"/>
  <c r="AM111" i="9"/>
  <c r="AL111" i="9"/>
  <c r="AK111" i="9"/>
  <c r="AJ111" i="9"/>
  <c r="AP111" i="9" s="1"/>
  <c r="AQ111" i="9" s="1"/>
  <c r="R111" i="9"/>
  <c r="O111" i="9"/>
  <c r="N111" i="9"/>
  <c r="N118" i="9" s="1"/>
  <c r="V109" i="9"/>
  <c r="O108" i="9"/>
  <c r="R108" i="9" s="1"/>
  <c r="M108" i="9"/>
  <c r="AL107" i="9"/>
  <c r="AK107" i="9"/>
  <c r="AJ107" i="9"/>
  <c r="AP107" i="9" s="1"/>
  <c r="O107" i="9"/>
  <c r="N107" i="9"/>
  <c r="M107" i="9"/>
  <c r="H107" i="9"/>
  <c r="G107" i="9"/>
  <c r="F104" i="6" s="1"/>
  <c r="AK106" i="9"/>
  <c r="AJ106" i="9"/>
  <c r="P106" i="9"/>
  <c r="M106" i="9"/>
  <c r="O106" i="9" s="1"/>
  <c r="R106" i="9" s="1"/>
  <c r="Q103" i="6" s="1"/>
  <c r="AK103" i="6" s="1"/>
  <c r="L106" i="9"/>
  <c r="H106" i="9"/>
  <c r="G106" i="9"/>
  <c r="AO105" i="9"/>
  <c r="AK105" i="9"/>
  <c r="AJ105" i="9"/>
  <c r="AN105" i="9" s="1"/>
  <c r="U105" i="9"/>
  <c r="T102" i="6" s="1"/>
  <c r="Q105" i="9"/>
  <c r="P102" i="6" s="1"/>
  <c r="O105" i="9"/>
  <c r="M105" i="9"/>
  <c r="L105" i="9"/>
  <c r="H105" i="9"/>
  <c r="G105" i="9"/>
  <c r="E102" i="3" s="1"/>
  <c r="AK104" i="9"/>
  <c r="AJ104" i="9"/>
  <c r="U104" i="9"/>
  <c r="Q104" i="9"/>
  <c r="L104" i="9"/>
  <c r="H104" i="9"/>
  <c r="G104" i="9"/>
  <c r="E101" i="3" s="1"/>
  <c r="AL103" i="9"/>
  <c r="AK103" i="9"/>
  <c r="AJ103" i="9"/>
  <c r="W103" i="9"/>
  <c r="U103" i="9"/>
  <c r="X103" i="9" s="1"/>
  <c r="T103" i="9"/>
  <c r="Q103" i="9"/>
  <c r="P100" i="6" s="1"/>
  <c r="O103" i="9"/>
  <c r="H103" i="9"/>
  <c r="G103" i="9"/>
  <c r="AO102" i="9"/>
  <c r="AN102" i="9"/>
  <c r="AM102" i="9"/>
  <c r="AL102" i="9"/>
  <c r="AK102" i="9"/>
  <c r="AJ102" i="9"/>
  <c r="U102" i="9"/>
  <c r="Q102" i="9"/>
  <c r="O102" i="9"/>
  <c r="N102" i="9"/>
  <c r="L102" i="9"/>
  <c r="K102" i="9"/>
  <c r="H102" i="9"/>
  <c r="G102" i="9"/>
  <c r="AP101" i="9"/>
  <c r="AO101" i="9"/>
  <c r="AN101" i="9"/>
  <c r="AL101" i="9"/>
  <c r="AK101" i="9"/>
  <c r="AJ101" i="9"/>
  <c r="AM101" i="9" s="1"/>
  <c r="Q101" i="9"/>
  <c r="M101" i="9"/>
  <c r="I101" i="9"/>
  <c r="H98" i="6" s="1"/>
  <c r="AK100" i="9"/>
  <c r="AJ100" i="9"/>
  <c r="AP100" i="9" s="1"/>
  <c r="U100" i="9"/>
  <c r="Q100" i="9"/>
  <c r="O100" i="9"/>
  <c r="AP99" i="9"/>
  <c r="AO99" i="9"/>
  <c r="AN99" i="9"/>
  <c r="AL99" i="9"/>
  <c r="AK99" i="9"/>
  <c r="AJ99" i="9"/>
  <c r="AM99" i="9" s="1"/>
  <c r="Q99" i="9"/>
  <c r="O99" i="9"/>
  <c r="AO98" i="9"/>
  <c r="AK98" i="9"/>
  <c r="AJ98" i="9"/>
  <c r="AN98" i="9" s="1"/>
  <c r="Q98" i="9"/>
  <c r="M98" i="9"/>
  <c r="O98" i="9" s="1"/>
  <c r="H98" i="9"/>
  <c r="AP97" i="9"/>
  <c r="AK97" i="9"/>
  <c r="AJ97" i="9"/>
  <c r="Q97" i="9"/>
  <c r="O97" i="9"/>
  <c r="M97" i="9"/>
  <c r="H97" i="9"/>
  <c r="AL96" i="9"/>
  <c r="AK96" i="9"/>
  <c r="AJ96" i="9"/>
  <c r="Q96" i="9"/>
  <c r="M96" i="9"/>
  <c r="O96" i="9" s="1"/>
  <c r="L96" i="9"/>
  <c r="H96" i="9"/>
  <c r="G96" i="9"/>
  <c r="AO95" i="9"/>
  <c r="AK95" i="9"/>
  <c r="AJ95" i="9"/>
  <c r="AN95" i="9" s="1"/>
  <c r="Q95" i="9"/>
  <c r="L95" i="9"/>
  <c r="M95" i="9" s="1"/>
  <c r="O95" i="9" s="1"/>
  <c r="H95" i="9"/>
  <c r="G95" i="9"/>
  <c r="AO94" i="9"/>
  <c r="AN94" i="9"/>
  <c r="AM94" i="9"/>
  <c r="AL94" i="9"/>
  <c r="AK94" i="9"/>
  <c r="AJ94" i="9"/>
  <c r="W94" i="9"/>
  <c r="U94" i="9"/>
  <c r="Q94" i="9"/>
  <c r="P91" i="6" s="1"/>
  <c r="O94" i="9"/>
  <c r="L94" i="9"/>
  <c r="M94" i="9" s="1"/>
  <c r="H94" i="9"/>
  <c r="G94" i="9"/>
  <c r="AP93" i="9"/>
  <c r="AO93" i="9"/>
  <c r="AN93" i="9"/>
  <c r="AL93" i="9"/>
  <c r="AK93" i="9"/>
  <c r="AJ93" i="9"/>
  <c r="AM93" i="9" s="1"/>
  <c r="U93" i="9"/>
  <c r="W93" i="9" s="1"/>
  <c r="Q93" i="9"/>
  <c r="P90" i="6" s="1"/>
  <c r="O93" i="9"/>
  <c r="M93" i="9"/>
  <c r="L93" i="9"/>
  <c r="H93" i="9"/>
  <c r="G93" i="9"/>
  <c r="F90" i="6" s="1"/>
  <c r="AP92" i="9"/>
  <c r="AK92" i="9"/>
  <c r="AJ92" i="9"/>
  <c r="Q92" i="9"/>
  <c r="M92" i="9"/>
  <c r="L92" i="9"/>
  <c r="H92" i="9"/>
  <c r="G92" i="9"/>
  <c r="AP91" i="9"/>
  <c r="AO91" i="9"/>
  <c r="AN91" i="9"/>
  <c r="AM91" i="9"/>
  <c r="AK91" i="9"/>
  <c r="AJ91" i="9"/>
  <c r="AL91" i="9" s="1"/>
  <c r="U91" i="9"/>
  <c r="Q91" i="9"/>
  <c r="P88" i="6" s="1"/>
  <c r="L91" i="9"/>
  <c r="M91" i="9" s="1"/>
  <c r="L88" i="6" s="1"/>
  <c r="H91" i="9"/>
  <c r="G91" i="9"/>
  <c r="AP90" i="9"/>
  <c r="AO90" i="9"/>
  <c r="AN90" i="9"/>
  <c r="AL90" i="9"/>
  <c r="AK90" i="9"/>
  <c r="AJ90" i="9"/>
  <c r="AM90" i="9" s="1"/>
  <c r="U90" i="9"/>
  <c r="Q90" i="9"/>
  <c r="M90" i="9"/>
  <c r="O90" i="9" s="1"/>
  <c r="L90" i="9"/>
  <c r="H90" i="9"/>
  <c r="G90" i="9"/>
  <c r="AO89" i="9"/>
  <c r="AK89" i="9"/>
  <c r="AJ89" i="9"/>
  <c r="AN89" i="9" s="1"/>
  <c r="Q89" i="9"/>
  <c r="O89" i="9"/>
  <c r="H89" i="9"/>
  <c r="G89" i="9"/>
  <c r="AK88" i="9"/>
  <c r="AJ88" i="9"/>
  <c r="Q88" i="9"/>
  <c r="P85" i="6" s="1"/>
  <c r="O88" i="9"/>
  <c r="M88" i="9"/>
  <c r="H88" i="9"/>
  <c r="G88" i="9"/>
  <c r="AO87" i="9"/>
  <c r="AK87" i="9"/>
  <c r="AJ87" i="9"/>
  <c r="AN87" i="9" s="1"/>
  <c r="U87" i="9"/>
  <c r="Q87" i="9"/>
  <c r="P84" i="6" s="1"/>
  <c r="O87" i="9"/>
  <c r="N87" i="9"/>
  <c r="H87" i="9"/>
  <c r="G87" i="9"/>
  <c r="AO86" i="9"/>
  <c r="AK86" i="9"/>
  <c r="AJ86" i="9"/>
  <c r="AN86" i="9" s="1"/>
  <c r="W86" i="9"/>
  <c r="U86" i="9"/>
  <c r="Q86" i="9"/>
  <c r="O86" i="9"/>
  <c r="N86" i="9"/>
  <c r="AP85" i="9"/>
  <c r="AO85" i="9"/>
  <c r="AN85" i="9"/>
  <c r="AL85" i="9"/>
  <c r="AK85" i="9"/>
  <c r="AJ85" i="9"/>
  <c r="AM85" i="9" s="1"/>
  <c r="Q85" i="9"/>
  <c r="O85" i="9"/>
  <c r="N85" i="9"/>
  <c r="M82" i="6" s="1"/>
  <c r="H85" i="9"/>
  <c r="G85" i="9"/>
  <c r="F82" i="6" s="1"/>
  <c r="AL84" i="9"/>
  <c r="AK84" i="9"/>
  <c r="AJ84" i="9"/>
  <c r="Q84" i="9"/>
  <c r="O84" i="9"/>
  <c r="N84" i="9"/>
  <c r="H84" i="9"/>
  <c r="G84" i="9"/>
  <c r="AP83" i="9"/>
  <c r="AO83" i="9"/>
  <c r="AN83" i="9"/>
  <c r="AL83" i="9"/>
  <c r="AK83" i="9"/>
  <c r="AJ83" i="9"/>
  <c r="AM83" i="9" s="1"/>
  <c r="Q83" i="9"/>
  <c r="O83" i="9"/>
  <c r="N83" i="9"/>
  <c r="H83" i="9"/>
  <c r="G83" i="9"/>
  <c r="AP82" i="9"/>
  <c r="AO82" i="9"/>
  <c r="AN82" i="9"/>
  <c r="AM82" i="9"/>
  <c r="AL82" i="9"/>
  <c r="AK82" i="9"/>
  <c r="AJ82" i="9"/>
  <c r="W82" i="9"/>
  <c r="U82" i="9"/>
  <c r="Q82" i="9"/>
  <c r="O82" i="9"/>
  <c r="N82" i="9"/>
  <c r="M79" i="6" s="1"/>
  <c r="H82" i="9"/>
  <c r="G82" i="9"/>
  <c r="AO81" i="9"/>
  <c r="AN81" i="9"/>
  <c r="AM81" i="9"/>
  <c r="AL81" i="9"/>
  <c r="AK81" i="9"/>
  <c r="AJ81" i="9"/>
  <c r="Q81" i="9"/>
  <c r="O81" i="9"/>
  <c r="M81" i="9"/>
  <c r="L81" i="9"/>
  <c r="N81" i="9" s="1"/>
  <c r="H81" i="9"/>
  <c r="G78" i="6" s="1"/>
  <c r="G81" i="9"/>
  <c r="AL80" i="9"/>
  <c r="AK80" i="9"/>
  <c r="AJ80" i="9"/>
  <c r="AP80" i="9" s="1"/>
  <c r="W80" i="9"/>
  <c r="U80" i="9"/>
  <c r="Q80" i="9"/>
  <c r="L80" i="9"/>
  <c r="H80" i="9"/>
  <c r="G80" i="9"/>
  <c r="AK79" i="9"/>
  <c r="AJ79" i="9"/>
  <c r="Q79" i="9"/>
  <c r="P76" i="6" s="1"/>
  <c r="L79" i="9"/>
  <c r="G79" i="9"/>
  <c r="AL78" i="9"/>
  <c r="AK78" i="9"/>
  <c r="AJ78" i="9"/>
  <c r="AP78" i="9" s="1"/>
  <c r="Q78" i="9"/>
  <c r="P75" i="6" s="1"/>
  <c r="O78" i="9"/>
  <c r="M78" i="9"/>
  <c r="L78" i="9"/>
  <c r="N78" i="9" s="1"/>
  <c r="G78" i="9"/>
  <c r="AO77" i="9"/>
  <c r="AK77" i="9"/>
  <c r="AJ77" i="9"/>
  <c r="AN77" i="9" s="1"/>
  <c r="W77" i="9"/>
  <c r="U77" i="9"/>
  <c r="Q77" i="9"/>
  <c r="L77" i="9"/>
  <c r="G77" i="9"/>
  <c r="AL76" i="9"/>
  <c r="AK76" i="9"/>
  <c r="AJ76" i="9"/>
  <c r="U76" i="9"/>
  <c r="W76" i="9" s="1"/>
  <c r="Q76" i="9"/>
  <c r="M76" i="9"/>
  <c r="L76" i="9"/>
  <c r="G76" i="9"/>
  <c r="AP75" i="9"/>
  <c r="AO75" i="9"/>
  <c r="AN75" i="9"/>
  <c r="AM75" i="9"/>
  <c r="AK75" i="9"/>
  <c r="AJ75" i="9"/>
  <c r="AL75" i="9" s="1"/>
  <c r="Q75" i="9"/>
  <c r="O75" i="9"/>
  <c r="N75" i="9"/>
  <c r="G75" i="9"/>
  <c r="AO74" i="9"/>
  <c r="AK74" i="9"/>
  <c r="AJ74" i="9"/>
  <c r="AN74" i="9" s="1"/>
  <c r="Q74" i="9"/>
  <c r="M74" i="9"/>
  <c r="L74" i="9"/>
  <c r="G74" i="9"/>
  <c r="AP73" i="9"/>
  <c r="AO73" i="9"/>
  <c r="AN73" i="9"/>
  <c r="AM73" i="9"/>
  <c r="AK73" i="9"/>
  <c r="AJ73" i="9"/>
  <c r="AL73" i="9" s="1"/>
  <c r="Q73" i="9"/>
  <c r="M73" i="9"/>
  <c r="L73" i="9"/>
  <c r="I73" i="9"/>
  <c r="G73" i="9"/>
  <c r="AO72" i="9"/>
  <c r="AN72" i="9"/>
  <c r="AM72" i="9"/>
  <c r="AL72" i="9"/>
  <c r="AK72" i="9"/>
  <c r="AJ72" i="9"/>
  <c r="Q72" i="9"/>
  <c r="O72" i="9"/>
  <c r="AP71" i="9"/>
  <c r="AO71" i="9"/>
  <c r="AN71" i="9"/>
  <c r="AM71" i="9"/>
  <c r="AK71" i="9"/>
  <c r="AJ71" i="9"/>
  <c r="AL71" i="9" s="1"/>
  <c r="X71" i="9"/>
  <c r="Q71" i="9"/>
  <c r="O71" i="9"/>
  <c r="M71" i="9"/>
  <c r="N71" i="9" s="1"/>
  <c r="AO70" i="9"/>
  <c r="AN70" i="9"/>
  <c r="AM70" i="9"/>
  <c r="AL70" i="9"/>
  <c r="AK70" i="9"/>
  <c r="AJ70" i="9"/>
  <c r="W70" i="9"/>
  <c r="U70" i="9"/>
  <c r="Q70" i="9"/>
  <c r="P67" i="6" s="1"/>
  <c r="O70" i="9"/>
  <c r="AL69" i="9"/>
  <c r="AK69" i="9"/>
  <c r="AJ69" i="9"/>
  <c r="Q69" i="9"/>
  <c r="P66" i="6" s="1"/>
  <c r="O69" i="9"/>
  <c r="AO68" i="9"/>
  <c r="AN68" i="9"/>
  <c r="AM68" i="9"/>
  <c r="AL68" i="9"/>
  <c r="AK68" i="9"/>
  <c r="AJ68" i="9"/>
  <c r="Q68" i="9"/>
  <c r="O68" i="9"/>
  <c r="AP67" i="9"/>
  <c r="AO67" i="9"/>
  <c r="AN67" i="9"/>
  <c r="AM67" i="9"/>
  <c r="AK67" i="9"/>
  <c r="AJ67" i="9"/>
  <c r="AL67" i="9" s="1"/>
  <c r="U67" i="9"/>
  <c r="Q67" i="9"/>
  <c r="O67" i="9"/>
  <c r="K67" i="9"/>
  <c r="AP66" i="9"/>
  <c r="AO66" i="9"/>
  <c r="AN66" i="9"/>
  <c r="AM66" i="9"/>
  <c r="AL66" i="9"/>
  <c r="AK66" i="9"/>
  <c r="AJ66" i="9"/>
  <c r="Q66" i="9"/>
  <c r="O66" i="9"/>
  <c r="AP65" i="9"/>
  <c r="AO65" i="9"/>
  <c r="AN65" i="9"/>
  <c r="AM65" i="9"/>
  <c r="AK65" i="9"/>
  <c r="AJ65" i="9"/>
  <c r="AL65" i="9" s="1"/>
  <c r="U65" i="9"/>
  <c r="Q65" i="9"/>
  <c r="P65" i="9"/>
  <c r="O65" i="9"/>
  <c r="AL64" i="9"/>
  <c r="AK64" i="9"/>
  <c r="AJ64" i="9"/>
  <c r="U64" i="9"/>
  <c r="X64" i="9" s="1"/>
  <c r="Q64" i="9"/>
  <c r="AO63" i="9"/>
  <c r="AK63" i="9"/>
  <c r="AJ63" i="9"/>
  <c r="AN63" i="9" s="1"/>
  <c r="Q63" i="9"/>
  <c r="P60" i="6" s="1"/>
  <c r="O63" i="9"/>
  <c r="AK62" i="9"/>
  <c r="AJ62" i="9"/>
  <c r="AL62" i="9" s="1"/>
  <c r="Q62" i="9"/>
  <c r="O62" i="9"/>
  <c r="AP61" i="9"/>
  <c r="AO61" i="9"/>
  <c r="AN61" i="9"/>
  <c r="AM61" i="9"/>
  <c r="AL61" i="9"/>
  <c r="AK61" i="9"/>
  <c r="AJ61" i="9"/>
  <c r="Q61" i="9"/>
  <c r="M61" i="9"/>
  <c r="O61" i="9" s="1"/>
  <c r="N58" i="6" s="1"/>
  <c r="AO60" i="9"/>
  <c r="AN60" i="9"/>
  <c r="AM60" i="9"/>
  <c r="AL60" i="9"/>
  <c r="AK60" i="9"/>
  <c r="AJ60" i="9"/>
  <c r="Q60" i="9"/>
  <c r="P57" i="6" s="1"/>
  <c r="O60" i="9"/>
  <c r="N60" i="9"/>
  <c r="M60" i="9"/>
  <c r="AP59" i="9"/>
  <c r="AO59" i="9"/>
  <c r="AN59" i="9"/>
  <c r="AL59" i="9"/>
  <c r="AK59" i="9"/>
  <c r="AJ59" i="9"/>
  <c r="AM59" i="9" s="1"/>
  <c r="Q59" i="9"/>
  <c r="O59" i="9"/>
  <c r="AK58" i="9"/>
  <c r="AJ58" i="9"/>
  <c r="AP58" i="9" s="1"/>
  <c r="W58" i="9"/>
  <c r="U58" i="9"/>
  <c r="Q58" i="9"/>
  <c r="O58" i="9"/>
  <c r="AP57" i="9"/>
  <c r="AO57" i="9"/>
  <c r="AK57" i="9"/>
  <c r="AJ57" i="9"/>
  <c r="AN57" i="9" s="1"/>
  <c r="U57" i="9"/>
  <c r="Q57" i="9"/>
  <c r="O57" i="9"/>
  <c r="N57" i="9"/>
  <c r="AP56" i="9"/>
  <c r="AQ56" i="9" s="1"/>
  <c r="AO56" i="9"/>
  <c r="AN56" i="9"/>
  <c r="AL56" i="9"/>
  <c r="AK56" i="9"/>
  <c r="AJ56" i="9"/>
  <c r="AM56" i="9" s="1"/>
  <c r="U56" i="9"/>
  <c r="Q56" i="9"/>
  <c r="P53" i="6" s="1"/>
  <c r="P56" i="9"/>
  <c r="O56" i="9"/>
  <c r="N53" i="6" s="1"/>
  <c r="AL55" i="9"/>
  <c r="AK55" i="9"/>
  <c r="AJ55" i="9"/>
  <c r="Q55" i="9"/>
  <c r="P52" i="6" s="1"/>
  <c r="O55" i="9"/>
  <c r="AK54" i="9"/>
  <c r="AJ54" i="9"/>
  <c r="Q54" i="9"/>
  <c r="O54" i="9"/>
  <c r="AP53" i="9"/>
  <c r="AO53" i="9"/>
  <c r="AN53" i="9"/>
  <c r="AM53" i="9"/>
  <c r="AK53" i="9"/>
  <c r="AJ53" i="9"/>
  <c r="AL53" i="9" s="1"/>
  <c r="U53" i="9"/>
  <c r="X53" i="9" s="1"/>
  <c r="Q53" i="9"/>
  <c r="O53" i="9"/>
  <c r="N50" i="6" s="1"/>
  <c r="AK52" i="9"/>
  <c r="AJ52" i="9"/>
  <c r="U52" i="9"/>
  <c r="Q52" i="9"/>
  <c r="P52" i="9"/>
  <c r="O52" i="9"/>
  <c r="AP51" i="9"/>
  <c r="AO51" i="9"/>
  <c r="AN51" i="9"/>
  <c r="AL51" i="9"/>
  <c r="AK51" i="9"/>
  <c r="AJ51" i="9"/>
  <c r="AM51" i="9" s="1"/>
  <c r="Q51" i="9"/>
  <c r="O51" i="9"/>
  <c r="AK50" i="9"/>
  <c r="AJ50" i="9"/>
  <c r="AP50" i="9" s="1"/>
  <c r="Q50" i="9"/>
  <c r="P47" i="6" s="1"/>
  <c r="O50" i="9"/>
  <c r="AO49" i="9"/>
  <c r="AN49" i="9"/>
  <c r="AM49" i="9"/>
  <c r="AL49" i="9"/>
  <c r="AK49" i="9"/>
  <c r="AJ49" i="9"/>
  <c r="U49" i="9"/>
  <c r="Q49" i="9"/>
  <c r="P49" i="9"/>
  <c r="O46" i="6" s="1"/>
  <c r="O49" i="9"/>
  <c r="R49" i="9" s="1"/>
  <c r="K49" i="9"/>
  <c r="J46" i="6" s="1"/>
  <c r="AL48" i="9"/>
  <c r="AK48" i="9"/>
  <c r="AJ48" i="9"/>
  <c r="U48" i="9"/>
  <c r="W48" i="9" s="1"/>
  <c r="Q48" i="9"/>
  <c r="O48" i="9"/>
  <c r="AK47" i="9"/>
  <c r="AJ47" i="9"/>
  <c r="AP47" i="9" s="1"/>
  <c r="X47" i="9"/>
  <c r="U47" i="9"/>
  <c r="Q47" i="9"/>
  <c r="O47" i="9"/>
  <c r="N47" i="9"/>
  <c r="M44" i="6" s="1"/>
  <c r="AP46" i="9"/>
  <c r="AK46" i="9"/>
  <c r="AJ46" i="9"/>
  <c r="Q46" i="9"/>
  <c r="O46" i="9"/>
  <c r="M46" i="9"/>
  <c r="AP45" i="9"/>
  <c r="AO45" i="9"/>
  <c r="AN45" i="9"/>
  <c r="AM45" i="9"/>
  <c r="AL45" i="9"/>
  <c r="AK45" i="9"/>
  <c r="AJ45" i="9"/>
  <c r="U45" i="9"/>
  <c r="Q45" i="9"/>
  <c r="P45" i="9"/>
  <c r="O45" i="9"/>
  <c r="R45" i="9" s="1"/>
  <c r="AQ45" i="9" s="1"/>
  <c r="K45" i="9"/>
  <c r="AQ44" i="9"/>
  <c r="AK44" i="9"/>
  <c r="AJ44" i="9"/>
  <c r="AP44" i="9" s="1"/>
  <c r="U44" i="9"/>
  <c r="T41" i="6" s="1"/>
  <c r="Q44" i="9"/>
  <c r="O44" i="9"/>
  <c r="N44" i="9"/>
  <c r="AP43" i="9"/>
  <c r="AO43" i="9"/>
  <c r="AN43" i="9"/>
  <c r="AL43" i="9"/>
  <c r="AK43" i="9"/>
  <c r="AJ43" i="9"/>
  <c r="AM43" i="9" s="1"/>
  <c r="Q43" i="9"/>
  <c r="O43" i="9"/>
  <c r="AQ42" i="9"/>
  <c r="AP42" i="9"/>
  <c r="AO42" i="9"/>
  <c r="AK42" i="9"/>
  <c r="AJ42" i="9"/>
  <c r="AN42" i="9" s="1"/>
  <c r="U42" i="9"/>
  <c r="Q42" i="9"/>
  <c r="P42" i="9"/>
  <c r="O39" i="6" s="1"/>
  <c r="O42" i="9"/>
  <c r="AQ41" i="9"/>
  <c r="AP41" i="9"/>
  <c r="AO41" i="9"/>
  <c r="AN41" i="9"/>
  <c r="AM41" i="9"/>
  <c r="AL41" i="9"/>
  <c r="AK41" i="9"/>
  <c r="AJ41" i="9"/>
  <c r="W41" i="9"/>
  <c r="U41" i="9"/>
  <c r="Q41" i="9"/>
  <c r="O41" i="9"/>
  <c r="N38" i="6" s="1"/>
  <c r="AP40" i="9"/>
  <c r="AK40" i="9"/>
  <c r="AJ40" i="9"/>
  <c r="U40" i="9"/>
  <c r="Q40" i="9"/>
  <c r="P37" i="6" s="1"/>
  <c r="O40" i="9"/>
  <c r="AO39" i="9"/>
  <c r="AN39" i="9"/>
  <c r="AM39" i="9"/>
  <c r="AL39" i="9"/>
  <c r="AK39" i="9"/>
  <c r="AJ39" i="9"/>
  <c r="W39" i="9"/>
  <c r="U39" i="9"/>
  <c r="Q39" i="9"/>
  <c r="O39" i="9"/>
  <c r="AL38" i="9"/>
  <c r="AK38" i="9"/>
  <c r="AJ38" i="9"/>
  <c r="X38" i="9"/>
  <c r="U38" i="9"/>
  <c r="Q38" i="9"/>
  <c r="N38" i="9"/>
  <c r="M35" i="6" s="1"/>
  <c r="M38" i="9"/>
  <c r="O38" i="9" s="1"/>
  <c r="AK37" i="9"/>
  <c r="AJ37" i="9"/>
  <c r="AP37" i="9" s="1"/>
  <c r="Q37" i="9"/>
  <c r="O37" i="9"/>
  <c r="M37" i="9"/>
  <c r="N37" i="9" s="1"/>
  <c r="AP36" i="9"/>
  <c r="AO36" i="9"/>
  <c r="AN36" i="9"/>
  <c r="AM36" i="9"/>
  <c r="AK36" i="9"/>
  <c r="AJ36" i="9"/>
  <c r="AL36" i="9" s="1"/>
  <c r="U36" i="9"/>
  <c r="Q36" i="9"/>
  <c r="P33" i="6" s="1"/>
  <c r="P36" i="9"/>
  <c r="O36" i="9"/>
  <c r="R36" i="9" s="1"/>
  <c r="AL35" i="9"/>
  <c r="AK35" i="9"/>
  <c r="AJ35" i="9"/>
  <c r="U35" i="9"/>
  <c r="W35" i="9" s="1"/>
  <c r="Q35" i="9"/>
  <c r="O35" i="9"/>
  <c r="H35" i="9"/>
  <c r="G32" i="6" s="1"/>
  <c r="AP34" i="9"/>
  <c r="AK34" i="9"/>
  <c r="AJ34" i="9"/>
  <c r="AP33" i="9"/>
  <c r="AK33" i="9"/>
  <c r="AJ33" i="9"/>
  <c r="R33" i="9"/>
  <c r="AQ32" i="9"/>
  <c r="AK32" i="9"/>
  <c r="AJ32" i="9"/>
  <c r="AP32" i="9" s="1"/>
  <c r="AQ31" i="9"/>
  <c r="AK31" i="9"/>
  <c r="AJ31" i="9"/>
  <c r="AP31" i="9" s="1"/>
  <c r="AK30" i="9"/>
  <c r="AJ30" i="9"/>
  <c r="AP30" i="9" s="1"/>
  <c r="AQ30" i="9" s="1"/>
  <c r="AK29" i="9"/>
  <c r="AJ29" i="9"/>
  <c r="AP29" i="9" s="1"/>
  <c r="W29" i="9"/>
  <c r="U29" i="9"/>
  <c r="Q29" i="9"/>
  <c r="O29" i="9"/>
  <c r="H29" i="9"/>
  <c r="G26" i="6" s="1"/>
  <c r="AP28" i="9"/>
  <c r="AK28" i="9"/>
  <c r="AJ28" i="9"/>
  <c r="U28" i="9"/>
  <c r="Q28" i="9"/>
  <c r="O28" i="9"/>
  <c r="AP27" i="9"/>
  <c r="AO27" i="9"/>
  <c r="AN27" i="9"/>
  <c r="AM27" i="9"/>
  <c r="AK27" i="9"/>
  <c r="AJ27" i="9"/>
  <c r="AL27" i="9" s="1"/>
  <c r="Q27" i="9"/>
  <c r="O27" i="9"/>
  <c r="AP26" i="9"/>
  <c r="AO26" i="9"/>
  <c r="AK26" i="9"/>
  <c r="AJ26" i="9"/>
  <c r="AN26" i="9" s="1"/>
  <c r="U26" i="9"/>
  <c r="T23" i="6" s="1"/>
  <c r="P26" i="9"/>
  <c r="O26" i="9"/>
  <c r="L26" i="9"/>
  <c r="AO25" i="9"/>
  <c r="AN25" i="9"/>
  <c r="AM25" i="9"/>
  <c r="AL25" i="9"/>
  <c r="AK25" i="9"/>
  <c r="AJ25" i="9"/>
  <c r="AP25" i="9" s="1"/>
  <c r="Q25" i="9"/>
  <c r="O25" i="9"/>
  <c r="AP24" i="9"/>
  <c r="AO24" i="9"/>
  <c r="AN24" i="9"/>
  <c r="AL24" i="9"/>
  <c r="AK24" i="9"/>
  <c r="AJ24" i="9"/>
  <c r="AM24" i="9" s="1"/>
  <c r="U24" i="9"/>
  <c r="R24" i="9"/>
  <c r="Q24" i="9"/>
  <c r="P24" i="9"/>
  <c r="O24" i="9"/>
  <c r="AP23" i="9"/>
  <c r="AQ23" i="9" s="1"/>
  <c r="AO23" i="9"/>
  <c r="AN23" i="9"/>
  <c r="AM23" i="9"/>
  <c r="AL23" i="9"/>
  <c r="AK23" i="9"/>
  <c r="AJ23" i="9"/>
  <c r="U23" i="9"/>
  <c r="Q23" i="9"/>
  <c r="P23" i="9"/>
  <c r="O23" i="9"/>
  <c r="R23" i="9" s="1"/>
  <c r="Q20" i="6" s="1"/>
  <c r="AP22" i="9"/>
  <c r="AK22" i="9"/>
  <c r="AJ22" i="9"/>
  <c r="U22" i="9"/>
  <c r="Z22" i="9" s="1"/>
  <c r="Q22" i="9"/>
  <c r="O22" i="9"/>
  <c r="AP21" i="9"/>
  <c r="AO21" i="9"/>
  <c r="AN21" i="9"/>
  <c r="AL21" i="9"/>
  <c r="AK21" i="9"/>
  <c r="AJ21" i="9"/>
  <c r="AM21" i="9" s="1"/>
  <c r="U21" i="9"/>
  <c r="R21" i="9"/>
  <c r="Q18" i="6" s="1"/>
  <c r="AK18" i="6" s="1"/>
  <c r="Q21" i="9"/>
  <c r="P21" i="9"/>
  <c r="O18" i="6" s="1"/>
  <c r="O21" i="9"/>
  <c r="AP20" i="9"/>
  <c r="AO20" i="9"/>
  <c r="AN20" i="9"/>
  <c r="AM20" i="9"/>
  <c r="AL20" i="9"/>
  <c r="AK20" i="9"/>
  <c r="AJ20" i="9"/>
  <c r="Q20" i="9"/>
  <c r="O20" i="9"/>
  <c r="N20" i="9"/>
  <c r="I20" i="9"/>
  <c r="AO19" i="9"/>
  <c r="AN19" i="9"/>
  <c r="AM19" i="9"/>
  <c r="AL19" i="9"/>
  <c r="AK19" i="9"/>
  <c r="AJ19" i="9"/>
  <c r="AP19" i="9" s="1"/>
  <c r="AQ19" i="9" s="1"/>
  <c r="AO18" i="9"/>
  <c r="AN18" i="9"/>
  <c r="AM18" i="9"/>
  <c r="AL18" i="9"/>
  <c r="AK18" i="9"/>
  <c r="AJ18" i="9"/>
  <c r="AP18" i="9" s="1"/>
  <c r="AQ18" i="9" s="1"/>
  <c r="AO17" i="9"/>
  <c r="AN17" i="9"/>
  <c r="AM17" i="9"/>
  <c r="AL17" i="9"/>
  <c r="AK17" i="9"/>
  <c r="AJ17" i="9"/>
  <c r="AP17" i="9" s="1"/>
  <c r="AQ17" i="9" s="1"/>
  <c r="Z17" i="9"/>
  <c r="U17" i="9"/>
  <c r="Q17" i="9"/>
  <c r="O17" i="9"/>
  <c r="N17" i="9"/>
  <c r="I17" i="9"/>
  <c r="AP16" i="9"/>
  <c r="AO16" i="9"/>
  <c r="AN16" i="9"/>
  <c r="AM16" i="9"/>
  <c r="AL16" i="9"/>
  <c r="AK16" i="9"/>
  <c r="AJ16" i="9"/>
  <c r="Q16" i="9"/>
  <c r="M16" i="9"/>
  <c r="I16" i="9"/>
  <c r="AL15" i="9"/>
  <c r="AK15" i="9"/>
  <c r="AJ15" i="9"/>
  <c r="U15" i="9"/>
  <c r="W15" i="9" s="1"/>
  <c r="Q15" i="9"/>
  <c r="O15" i="9"/>
  <c r="N15" i="9"/>
  <c r="I15" i="9"/>
  <c r="AP14" i="9"/>
  <c r="AO14" i="9"/>
  <c r="AN14" i="9"/>
  <c r="AM14" i="9"/>
  <c r="AL14" i="9"/>
  <c r="AK14" i="9"/>
  <c r="AJ14" i="9"/>
  <c r="U14" i="9"/>
  <c r="X14" i="9" s="1"/>
  <c r="Q14" i="9"/>
  <c r="O14" i="9"/>
  <c r="N14" i="9"/>
  <c r="M11" i="6" s="1"/>
  <c r="I14" i="9"/>
  <c r="AO13" i="9"/>
  <c r="AN13" i="9"/>
  <c r="AM13" i="9"/>
  <c r="AL13" i="9"/>
  <c r="AK13" i="9"/>
  <c r="AJ13" i="9"/>
  <c r="AP13" i="9" s="1"/>
  <c r="Q13" i="9"/>
  <c r="O13" i="9"/>
  <c r="N13" i="9"/>
  <c r="I13" i="9"/>
  <c r="AK12" i="9"/>
  <c r="AJ12" i="9"/>
  <c r="U12" i="9"/>
  <c r="Q12" i="9"/>
  <c r="P12" i="9"/>
  <c r="M12" i="9"/>
  <c r="O12" i="9" s="1"/>
  <c r="L12" i="9"/>
  <c r="K12" i="9"/>
  <c r="I12" i="9"/>
  <c r="AP11" i="9"/>
  <c r="AO11" i="9"/>
  <c r="AN11" i="9"/>
  <c r="AM11" i="9"/>
  <c r="AL11" i="9"/>
  <c r="AK11" i="9"/>
  <c r="AJ11" i="9"/>
  <c r="Q11" i="9"/>
  <c r="P8" i="6" s="1"/>
  <c r="M11" i="9"/>
  <c r="O11" i="9" s="1"/>
  <c r="I11" i="9"/>
  <c r="AP10" i="9"/>
  <c r="AO10" i="9"/>
  <c r="AK10" i="9"/>
  <c r="AJ10" i="9"/>
  <c r="AN10" i="9" s="1"/>
  <c r="Z10" i="9"/>
  <c r="U10" i="9"/>
  <c r="Q10" i="9"/>
  <c r="O10" i="9"/>
  <c r="N10" i="9"/>
  <c r="K10" i="9"/>
  <c r="I10" i="9"/>
  <c r="AP9" i="9"/>
  <c r="AK9" i="9"/>
  <c r="AJ9" i="9"/>
  <c r="Q9" i="9"/>
  <c r="M9" i="9"/>
  <c r="L9" i="9"/>
  <c r="I9" i="9"/>
  <c r="AP8" i="9"/>
  <c r="AO8" i="9"/>
  <c r="AN8" i="9"/>
  <c r="AM8" i="9"/>
  <c r="AK8" i="9"/>
  <c r="AJ8" i="9"/>
  <c r="AL8" i="9" s="1"/>
  <c r="Q8" i="9"/>
  <c r="O8" i="9"/>
  <c r="N8" i="9"/>
  <c r="M5" i="6" s="1"/>
  <c r="I8" i="9"/>
  <c r="AO7" i="9"/>
  <c r="AN7" i="9"/>
  <c r="AM7" i="9"/>
  <c r="AL7" i="9"/>
  <c r="AK7" i="9"/>
  <c r="AJ7" i="9"/>
  <c r="AP7" i="9" s="1"/>
  <c r="AQ7" i="9" s="1"/>
  <c r="Z7" i="9"/>
  <c r="Q7" i="9"/>
  <c r="O7" i="9"/>
  <c r="N7" i="9"/>
  <c r="I7" i="9"/>
  <c r="AK6" i="9"/>
  <c r="AJ6" i="9"/>
  <c r="AL6" i="9" s="1"/>
  <c r="Q6" i="9"/>
  <c r="P3" i="6" s="1"/>
  <c r="O6" i="9"/>
  <c r="N6" i="9"/>
  <c r="I6" i="9"/>
  <c r="AP5" i="9"/>
  <c r="AO5" i="9"/>
  <c r="AK5" i="9"/>
  <c r="AJ5" i="9"/>
  <c r="AN5" i="9" s="1"/>
  <c r="R5" i="9"/>
  <c r="Q5" i="9"/>
  <c r="P5" i="9"/>
  <c r="O5" i="9"/>
  <c r="N5" i="9"/>
  <c r="K5" i="9"/>
  <c r="I5" i="9"/>
  <c r="I101" i="7"/>
  <c r="S5553" i="10" s="1"/>
  <c r="H101" i="7"/>
  <c r="S5554" i="10" s="1"/>
  <c r="F101" i="7"/>
  <c r="D101" i="7"/>
  <c r="C101" i="7"/>
  <c r="B101" i="7"/>
  <c r="I100" i="7"/>
  <c r="S5477" i="10" s="1"/>
  <c r="H100" i="7"/>
  <c r="S5478" i="10" s="1"/>
  <c r="F100" i="7"/>
  <c r="D100" i="7"/>
  <c r="C100" i="7"/>
  <c r="B100" i="7"/>
  <c r="I99" i="7"/>
  <c r="S5414" i="10" s="1"/>
  <c r="H99" i="7"/>
  <c r="S5415" i="10" s="1"/>
  <c r="F99" i="7"/>
  <c r="D99" i="7"/>
  <c r="C99" i="7"/>
  <c r="B99" i="7"/>
  <c r="I98" i="7"/>
  <c r="S5347" i="10" s="1"/>
  <c r="H98" i="7"/>
  <c r="S5348" i="10" s="1"/>
  <c r="F98" i="7"/>
  <c r="D98" i="7"/>
  <c r="C98" i="7"/>
  <c r="B98" i="7"/>
  <c r="I97" i="7"/>
  <c r="S5284" i="10" s="1"/>
  <c r="H97" i="7"/>
  <c r="S5285" i="10" s="1"/>
  <c r="F97" i="7"/>
  <c r="D97" i="7"/>
  <c r="C97" i="7"/>
  <c r="B97" i="7"/>
  <c r="I96" i="7"/>
  <c r="S5208" i="10" s="1"/>
  <c r="H96" i="7"/>
  <c r="S5209" i="10" s="1"/>
  <c r="F96" i="7"/>
  <c r="D96" i="7"/>
  <c r="C96" i="7"/>
  <c r="B96" i="7"/>
  <c r="I95" i="7"/>
  <c r="S5132" i="10" s="1"/>
  <c r="H95" i="7"/>
  <c r="S5133" i="10" s="1"/>
  <c r="F95" i="7"/>
  <c r="D95" i="7"/>
  <c r="C95" i="7"/>
  <c r="B95" i="7"/>
  <c r="I94" i="7"/>
  <c r="S5094" i="10" s="1"/>
  <c r="H94" i="7"/>
  <c r="S5095" i="10" s="1"/>
  <c r="F94" i="7"/>
  <c r="D94" i="7"/>
  <c r="C94" i="7"/>
  <c r="B94" i="7"/>
  <c r="I93" i="7"/>
  <c r="S5054" i="10" s="1"/>
  <c r="H93" i="7"/>
  <c r="S5055" i="10" s="1"/>
  <c r="F93" i="7"/>
  <c r="D93" i="7"/>
  <c r="C93" i="7"/>
  <c r="B93" i="7"/>
  <c r="I92" i="7"/>
  <c r="S5002" i="10" s="1"/>
  <c r="H92" i="7"/>
  <c r="S5003" i="10" s="1"/>
  <c r="F92" i="7"/>
  <c r="D92" i="7"/>
  <c r="C92" i="7"/>
  <c r="B92" i="7"/>
  <c r="I91" i="7"/>
  <c r="S4962" i="10" s="1"/>
  <c r="H91" i="7"/>
  <c r="S4963" i="10" s="1"/>
  <c r="F91" i="7"/>
  <c r="D91" i="7"/>
  <c r="C91" i="7"/>
  <c r="B91" i="7"/>
  <c r="I90" i="7"/>
  <c r="S4896" i="10" s="1"/>
  <c r="H90" i="7"/>
  <c r="S4897" i="10" s="1"/>
  <c r="F90" i="7"/>
  <c r="D90" i="7"/>
  <c r="C90" i="7"/>
  <c r="B90" i="7"/>
  <c r="I89" i="7"/>
  <c r="S4834" i="10" s="1"/>
  <c r="H89" i="7"/>
  <c r="S4835" i="10" s="1"/>
  <c r="F89" i="7"/>
  <c r="D89" i="7"/>
  <c r="C89" i="7"/>
  <c r="B89" i="7"/>
  <c r="I88" i="7"/>
  <c r="S4769" i="10" s="1"/>
  <c r="H88" i="7"/>
  <c r="S4770" i="10" s="1"/>
  <c r="F88" i="7"/>
  <c r="D88" i="7"/>
  <c r="C88" i="7"/>
  <c r="B88" i="7"/>
  <c r="I87" i="7"/>
  <c r="S4731" i="10" s="1"/>
  <c r="H87" i="7"/>
  <c r="S4732" i="10" s="1"/>
  <c r="F87" i="7"/>
  <c r="D87" i="7"/>
  <c r="C87" i="7"/>
  <c r="B87" i="7"/>
  <c r="I86" i="7"/>
  <c r="S4667" i="10" s="1"/>
  <c r="H86" i="7"/>
  <c r="S4668" i="10" s="1"/>
  <c r="F86" i="7"/>
  <c r="D86" i="7"/>
  <c r="C86" i="7"/>
  <c r="B86" i="7"/>
  <c r="I85" i="7"/>
  <c r="S4591" i="10" s="1"/>
  <c r="H85" i="7"/>
  <c r="S4592" i="10" s="1"/>
  <c r="F85" i="7"/>
  <c r="D85" i="7"/>
  <c r="C85" i="7"/>
  <c r="B85" i="7"/>
  <c r="I84" i="7"/>
  <c r="S4539" i="10" s="1"/>
  <c r="H84" i="7"/>
  <c r="S4540" i="10" s="1"/>
  <c r="F84" i="7"/>
  <c r="D84" i="7"/>
  <c r="C84" i="7"/>
  <c r="B84" i="7"/>
  <c r="I83" i="7"/>
  <c r="S4498" i="10" s="1"/>
  <c r="H83" i="7"/>
  <c r="S4499" i="10" s="1"/>
  <c r="F83" i="7"/>
  <c r="D83" i="7"/>
  <c r="C83" i="7"/>
  <c r="B83" i="7"/>
  <c r="I82" i="7"/>
  <c r="S4432" i="10" s="1"/>
  <c r="H82" i="7"/>
  <c r="S4433" i="10" s="1"/>
  <c r="F82" i="7"/>
  <c r="D82" i="7"/>
  <c r="C82" i="7"/>
  <c r="B82" i="7"/>
  <c r="I81" i="7"/>
  <c r="S4404" i="10" s="1"/>
  <c r="H81" i="7"/>
  <c r="S4405" i="10" s="1"/>
  <c r="F81" i="7"/>
  <c r="D81" i="7"/>
  <c r="C81" i="7"/>
  <c r="B81" i="7"/>
  <c r="I80" i="7"/>
  <c r="S4351" i="10" s="1"/>
  <c r="H80" i="7"/>
  <c r="S4352" i="10" s="1"/>
  <c r="F80" i="7"/>
  <c r="D80" i="7"/>
  <c r="C80" i="7"/>
  <c r="B80" i="7"/>
  <c r="I79" i="7"/>
  <c r="S4286" i="10" s="1"/>
  <c r="H79" i="7"/>
  <c r="S4287" i="10" s="1"/>
  <c r="F79" i="7"/>
  <c r="D79" i="7"/>
  <c r="C79" i="7"/>
  <c r="B79" i="7"/>
  <c r="I78" i="7"/>
  <c r="S4224" i="10" s="1"/>
  <c r="H78" i="7"/>
  <c r="S4225" i="10" s="1"/>
  <c r="F78" i="7"/>
  <c r="D78" i="7"/>
  <c r="C78" i="7"/>
  <c r="B78" i="7"/>
  <c r="I77" i="7"/>
  <c r="S4173" i="10" s="1"/>
  <c r="H77" i="7"/>
  <c r="S4174" i="10" s="1"/>
  <c r="F77" i="7"/>
  <c r="D77" i="7"/>
  <c r="C77" i="7"/>
  <c r="B77" i="7"/>
  <c r="I76" i="7"/>
  <c r="S4109" i="10" s="1"/>
  <c r="H76" i="7"/>
  <c r="S4110" i="10" s="1"/>
  <c r="F76" i="7"/>
  <c r="D76" i="7"/>
  <c r="C76" i="7"/>
  <c r="B76" i="7"/>
  <c r="I75" i="7"/>
  <c r="S4056" i="10" s="1"/>
  <c r="H75" i="7"/>
  <c r="S4057" i="10" s="1"/>
  <c r="F75" i="7"/>
  <c r="D75" i="7"/>
  <c r="C75" i="7"/>
  <c r="B75" i="7"/>
  <c r="I74" i="7"/>
  <c r="S3991" i="10" s="1"/>
  <c r="H74" i="7"/>
  <c r="S3992" i="10" s="1"/>
  <c r="F74" i="7"/>
  <c r="D74" i="7"/>
  <c r="C74" i="7"/>
  <c r="B74" i="7"/>
  <c r="I73" i="7"/>
  <c r="S3949" i="10" s="1"/>
  <c r="H73" i="7"/>
  <c r="S3950" i="10" s="1"/>
  <c r="F73" i="7"/>
  <c r="D73" i="7"/>
  <c r="C73" i="7"/>
  <c r="B73" i="7"/>
  <c r="I72" i="7"/>
  <c r="S3907" i="10" s="1"/>
  <c r="H72" i="7"/>
  <c r="S3908" i="10" s="1"/>
  <c r="F72" i="7"/>
  <c r="D72" i="7"/>
  <c r="C72" i="7"/>
  <c r="B72" i="7"/>
  <c r="I71" i="7"/>
  <c r="S3841" i="10" s="1"/>
  <c r="H71" i="7"/>
  <c r="S3842" i="10" s="1"/>
  <c r="F71" i="7"/>
  <c r="D71" i="7"/>
  <c r="C71" i="7"/>
  <c r="B71" i="7"/>
  <c r="I70" i="7"/>
  <c r="S3799" i="10" s="1"/>
  <c r="H70" i="7"/>
  <c r="S3800" i="10" s="1"/>
  <c r="F70" i="7"/>
  <c r="D70" i="7"/>
  <c r="C70" i="7"/>
  <c r="B70" i="7"/>
  <c r="I69" i="7"/>
  <c r="S3758" i="10" s="1"/>
  <c r="H69" i="7"/>
  <c r="S3759" i="10" s="1"/>
  <c r="F69" i="7"/>
  <c r="D69" i="7"/>
  <c r="C69" i="7"/>
  <c r="B69" i="7"/>
  <c r="I68" i="7"/>
  <c r="S3692" i="10" s="1"/>
  <c r="H68" i="7"/>
  <c r="S3693" i="10" s="1"/>
  <c r="F68" i="7"/>
  <c r="D68" i="7"/>
  <c r="C68" i="7"/>
  <c r="B68" i="7"/>
  <c r="I67" i="7"/>
  <c r="S3626" i="10" s="1"/>
  <c r="H67" i="7"/>
  <c r="S3627" i="10" s="1"/>
  <c r="F67" i="7"/>
  <c r="D67" i="7"/>
  <c r="C67" i="7"/>
  <c r="B67" i="7"/>
  <c r="I66" i="7"/>
  <c r="S3582" i="10" s="1"/>
  <c r="H66" i="7"/>
  <c r="S3583" i="10" s="1"/>
  <c r="F66" i="7"/>
  <c r="D66" i="7"/>
  <c r="C66" i="7"/>
  <c r="B66" i="7"/>
  <c r="I65" i="7"/>
  <c r="S3540" i="10" s="1"/>
  <c r="H65" i="7"/>
  <c r="S3541" i="10" s="1"/>
  <c r="F65" i="7"/>
  <c r="D65" i="7"/>
  <c r="C65" i="7"/>
  <c r="B65" i="7"/>
  <c r="I64" i="7"/>
  <c r="S3474" i="10" s="1"/>
  <c r="H64" i="7"/>
  <c r="S3475" i="10" s="1"/>
  <c r="F64" i="7"/>
  <c r="D64" i="7"/>
  <c r="C64" i="7"/>
  <c r="B64" i="7"/>
  <c r="I63" i="7"/>
  <c r="S3436" i="10" s="1"/>
  <c r="H63" i="7"/>
  <c r="S3437" i="10" s="1"/>
  <c r="F63" i="7"/>
  <c r="D63" i="7"/>
  <c r="C63" i="7"/>
  <c r="B63" i="7"/>
  <c r="I62" i="7"/>
  <c r="S3370" i="10" s="1"/>
  <c r="H62" i="7"/>
  <c r="S3371" i="10" s="1"/>
  <c r="F62" i="7"/>
  <c r="D62" i="7"/>
  <c r="C62" i="7"/>
  <c r="B62" i="7"/>
  <c r="I61" i="7"/>
  <c r="S3304" i="10" s="1"/>
  <c r="H61" i="7"/>
  <c r="S3305" i="10" s="1"/>
  <c r="F61" i="7"/>
  <c r="D61" i="7"/>
  <c r="C61" i="7"/>
  <c r="B61" i="7"/>
  <c r="I60" i="7"/>
  <c r="S3264" i="10" s="1"/>
  <c r="H60" i="7"/>
  <c r="S3265" i="10" s="1"/>
  <c r="F60" i="7"/>
  <c r="D60" i="7"/>
  <c r="C60" i="7"/>
  <c r="B60" i="7"/>
  <c r="I59" i="7"/>
  <c r="S3235" i="10" s="1"/>
  <c r="H59" i="7"/>
  <c r="S3236" i="10" s="1"/>
  <c r="F59" i="7"/>
  <c r="D59" i="7"/>
  <c r="C59" i="7"/>
  <c r="B59" i="7"/>
  <c r="I58" i="7"/>
  <c r="S3157" i="10" s="1"/>
  <c r="H58" i="7"/>
  <c r="S3158" i="10" s="1"/>
  <c r="F58" i="7"/>
  <c r="D58" i="7"/>
  <c r="C58" i="7"/>
  <c r="B58" i="7"/>
  <c r="I57" i="7"/>
  <c r="S3073" i="10" s="1"/>
  <c r="H57" i="7"/>
  <c r="S3074" i="10" s="1"/>
  <c r="F57" i="7"/>
  <c r="D57" i="7"/>
  <c r="C57" i="7"/>
  <c r="B57" i="7"/>
  <c r="I56" i="7"/>
  <c r="S2982" i="10" s="1"/>
  <c r="H56" i="7"/>
  <c r="S2983" i="10" s="1"/>
  <c r="F56" i="7"/>
  <c r="D56" i="7"/>
  <c r="C56" i="7"/>
  <c r="B56" i="7"/>
  <c r="I55" i="7"/>
  <c r="S2930" i="10" s="1"/>
  <c r="H55" i="7"/>
  <c r="S2931" i="10" s="1"/>
  <c r="F55" i="7"/>
  <c r="D55" i="7"/>
  <c r="C55" i="7"/>
  <c r="B55" i="7"/>
  <c r="I54" i="7"/>
  <c r="S2864" i="10" s="1"/>
  <c r="H54" i="7"/>
  <c r="S2865" i="10" s="1"/>
  <c r="F54" i="7"/>
  <c r="D54" i="7"/>
  <c r="C54" i="7"/>
  <c r="B54" i="7"/>
  <c r="I53" i="7"/>
  <c r="S2809" i="10" s="1"/>
  <c r="H53" i="7"/>
  <c r="S2810" i="10" s="1"/>
  <c r="F53" i="7"/>
  <c r="D53" i="7"/>
  <c r="C53" i="7"/>
  <c r="B53" i="7"/>
  <c r="I52" i="7"/>
  <c r="S2739" i="10" s="1"/>
  <c r="H52" i="7"/>
  <c r="S2740" i="10" s="1"/>
  <c r="F52" i="7"/>
  <c r="D52" i="7"/>
  <c r="C52" i="7"/>
  <c r="B52" i="7"/>
  <c r="I51" i="7"/>
  <c r="S2692" i="10" s="1"/>
  <c r="H51" i="7"/>
  <c r="S2693" i="10" s="1"/>
  <c r="F51" i="7"/>
  <c r="D51" i="7"/>
  <c r="C51" i="7"/>
  <c r="B51" i="7"/>
  <c r="I50" i="7"/>
  <c r="S2647" i="10" s="1"/>
  <c r="H50" i="7"/>
  <c r="S2648" i="10" s="1"/>
  <c r="F50" i="7"/>
  <c r="D50" i="7"/>
  <c r="C50" i="7"/>
  <c r="B50" i="7"/>
  <c r="I49" i="7"/>
  <c r="S2605" i="10" s="1"/>
  <c r="H49" i="7"/>
  <c r="S2606" i="10" s="1"/>
  <c r="F49" i="7"/>
  <c r="D49" i="7"/>
  <c r="C49" i="7"/>
  <c r="B49" i="7"/>
  <c r="I48" i="7"/>
  <c r="S2561" i="10" s="1"/>
  <c r="H48" i="7"/>
  <c r="S2562" i="10" s="1"/>
  <c r="F48" i="7"/>
  <c r="D48" i="7"/>
  <c r="C48" i="7"/>
  <c r="B48" i="7"/>
  <c r="I47" i="7"/>
  <c r="S2519" i="10" s="1"/>
  <c r="H47" i="7"/>
  <c r="S2520" i="10" s="1"/>
  <c r="F47" i="7"/>
  <c r="D47" i="7"/>
  <c r="C47" i="7"/>
  <c r="B47" i="7"/>
  <c r="I46" i="7"/>
  <c r="S2478" i="10" s="1"/>
  <c r="H46" i="7"/>
  <c r="S2479" i="10" s="1"/>
  <c r="F46" i="7"/>
  <c r="D46" i="7"/>
  <c r="C46" i="7"/>
  <c r="B46" i="7"/>
  <c r="I45" i="7"/>
  <c r="S2437" i="10" s="1"/>
  <c r="H45" i="7"/>
  <c r="S2438" i="10" s="1"/>
  <c r="F45" i="7"/>
  <c r="D45" i="7"/>
  <c r="C45" i="7"/>
  <c r="B45" i="7"/>
  <c r="I44" i="7"/>
  <c r="S2384" i="10" s="1"/>
  <c r="H44" i="7"/>
  <c r="S2385" i="10" s="1"/>
  <c r="F44" i="7"/>
  <c r="D44" i="7"/>
  <c r="C44" i="7"/>
  <c r="B44" i="7"/>
  <c r="I43" i="7"/>
  <c r="S2318" i="10" s="1"/>
  <c r="H43" i="7"/>
  <c r="S2319" i="10" s="1"/>
  <c r="F43" i="7"/>
  <c r="D43" i="7"/>
  <c r="C43" i="7"/>
  <c r="B43" i="7"/>
  <c r="I42" i="7"/>
  <c r="S2279" i="10" s="1"/>
  <c r="H42" i="7"/>
  <c r="S2280" i="10" s="1"/>
  <c r="F42" i="7"/>
  <c r="D42" i="7"/>
  <c r="C42" i="7"/>
  <c r="B42" i="7"/>
  <c r="F41" i="7"/>
  <c r="D41" i="7"/>
  <c r="C41" i="7"/>
  <c r="B41" i="7"/>
  <c r="F40" i="7"/>
  <c r="D40" i="7"/>
  <c r="C40" i="7"/>
  <c r="B40" i="7"/>
  <c r="I39" i="7"/>
  <c r="S2133" i="10" s="1"/>
  <c r="H39" i="7"/>
  <c r="S2134" i="10" s="1"/>
  <c r="F39" i="7"/>
  <c r="D39" i="7"/>
  <c r="C39" i="7"/>
  <c r="B39" i="7"/>
  <c r="I38" i="7"/>
  <c r="S2091" i="10" s="1"/>
  <c r="H38" i="7"/>
  <c r="S2092" i="10" s="1"/>
  <c r="F38" i="7"/>
  <c r="D38" i="7"/>
  <c r="C38" i="7"/>
  <c r="B38" i="7"/>
  <c r="I37" i="7"/>
  <c r="S2043" i="10" s="1"/>
  <c r="H37" i="7"/>
  <c r="S2044" i="10" s="1"/>
  <c r="F37" i="7"/>
  <c r="D37" i="7"/>
  <c r="C37" i="7"/>
  <c r="B37" i="7"/>
  <c r="I36" i="7"/>
  <c r="S2002" i="10" s="1"/>
  <c r="H36" i="7"/>
  <c r="S2003" i="10" s="1"/>
  <c r="F36" i="7"/>
  <c r="D36" i="7"/>
  <c r="C36" i="7"/>
  <c r="B36" i="7"/>
  <c r="I35" i="7"/>
  <c r="S1958" i="10" s="1"/>
  <c r="H35" i="7"/>
  <c r="S1959" i="10" s="1"/>
  <c r="F35" i="7"/>
  <c r="D35" i="7"/>
  <c r="C35" i="7"/>
  <c r="B35" i="7"/>
  <c r="I34" i="7"/>
  <c r="S1915" i="10" s="1"/>
  <c r="H34" i="7"/>
  <c r="S1916" i="10" s="1"/>
  <c r="F34" i="7"/>
  <c r="D34" i="7"/>
  <c r="C34" i="7"/>
  <c r="B34" i="7"/>
  <c r="I33" i="7"/>
  <c r="S1868" i="10" s="1"/>
  <c r="H33" i="7"/>
  <c r="S1869" i="10" s="1"/>
  <c r="F33" i="7"/>
  <c r="D33" i="7"/>
  <c r="C33" i="7"/>
  <c r="B33" i="7"/>
  <c r="I32" i="7"/>
  <c r="S1790" i="10" s="1"/>
  <c r="H32" i="7"/>
  <c r="S1791" i="10" s="1"/>
  <c r="F32" i="7"/>
  <c r="D32" i="7"/>
  <c r="C32" i="7"/>
  <c r="B32" i="7"/>
  <c r="I31" i="7"/>
  <c r="S1749" i="10" s="1"/>
  <c r="H31" i="7"/>
  <c r="S1750" i="10" s="1"/>
  <c r="F31" i="7"/>
  <c r="D31" i="7"/>
  <c r="C31" i="7"/>
  <c r="B31" i="7"/>
  <c r="I30" i="7"/>
  <c r="S1705" i="10" s="1"/>
  <c r="H30" i="7"/>
  <c r="S1706" i="10" s="1"/>
  <c r="F30" i="7"/>
  <c r="D30" i="7"/>
  <c r="C30" i="7"/>
  <c r="B30" i="7"/>
  <c r="I29" i="7"/>
  <c r="S1664" i="10" s="1"/>
  <c r="H29" i="7"/>
  <c r="S1665" i="10" s="1"/>
  <c r="F29" i="7"/>
  <c r="D29" i="7"/>
  <c r="C29" i="7"/>
  <c r="B29" i="7"/>
  <c r="I28" i="7"/>
  <c r="S1624" i="10" s="1"/>
  <c r="H28" i="7"/>
  <c r="S1625" i="10" s="1"/>
  <c r="F28" i="7"/>
  <c r="D28" i="7"/>
  <c r="C28" i="7"/>
  <c r="B28" i="7"/>
  <c r="I27" i="7"/>
  <c r="S1584" i="10" s="1"/>
  <c r="H27" i="7"/>
  <c r="S1585" i="10" s="1"/>
  <c r="F27" i="7"/>
  <c r="D27" i="7"/>
  <c r="C27" i="7"/>
  <c r="B27" i="7"/>
  <c r="I26" i="7"/>
  <c r="S1544" i="10" s="1"/>
  <c r="H26" i="7"/>
  <c r="S1545" i="10" s="1"/>
  <c r="F26" i="7"/>
  <c r="D26" i="7"/>
  <c r="C26" i="7"/>
  <c r="B26" i="7"/>
  <c r="I25" i="7"/>
  <c r="S1504" i="10" s="1"/>
  <c r="H25" i="7"/>
  <c r="S1505" i="10" s="1"/>
  <c r="F25" i="7"/>
  <c r="D25" i="7"/>
  <c r="C25" i="7"/>
  <c r="B25" i="7"/>
  <c r="I24" i="7"/>
  <c r="S1438" i="10" s="1"/>
  <c r="H24" i="7"/>
  <c r="S1439" i="10" s="1"/>
  <c r="F24" i="7"/>
  <c r="D24" i="7"/>
  <c r="C24" i="7"/>
  <c r="B24" i="7"/>
  <c r="I23" i="7"/>
  <c r="S1237" i="10" s="1"/>
  <c r="H23" i="7"/>
  <c r="S1238" i="10" s="1"/>
  <c r="F23" i="7"/>
  <c r="D23" i="7"/>
  <c r="C23" i="7"/>
  <c r="B23" i="7"/>
  <c r="I22" i="7"/>
  <c r="S1164" i="10" s="1"/>
  <c r="H22" i="7"/>
  <c r="S1165" i="10" s="1"/>
  <c r="F22" i="7"/>
  <c r="D22" i="7"/>
  <c r="C22" i="7"/>
  <c r="B22" i="7"/>
  <c r="I21" i="7"/>
  <c r="S1124" i="10" s="1"/>
  <c r="H21" i="7"/>
  <c r="S1125" i="10" s="1"/>
  <c r="F21" i="7"/>
  <c r="D21" i="7"/>
  <c r="C21" i="7"/>
  <c r="B21" i="7"/>
  <c r="I20" i="7"/>
  <c r="S1083" i="10" s="1"/>
  <c r="H20" i="7"/>
  <c r="S1084" i="10" s="1"/>
  <c r="F20" i="7"/>
  <c r="D20" i="7"/>
  <c r="C20" i="7"/>
  <c r="B20" i="7"/>
  <c r="I19" i="7"/>
  <c r="S1044" i="10" s="1"/>
  <c r="S1046" i="10" s="1"/>
  <c r="H19" i="7"/>
  <c r="S1045" i="10" s="1"/>
  <c r="F19" i="7"/>
  <c r="D19" i="7"/>
  <c r="C19" i="7"/>
  <c r="B19" i="7"/>
  <c r="I18" i="7"/>
  <c r="S1004" i="10" s="1"/>
  <c r="H18" i="7"/>
  <c r="S1005" i="10" s="1"/>
  <c r="F18" i="7"/>
  <c r="D18" i="7"/>
  <c r="C18" i="7"/>
  <c r="B18" i="7"/>
  <c r="I17" i="7"/>
  <c r="S951" i="10" s="1"/>
  <c r="S953" i="10" s="1"/>
  <c r="H17" i="7"/>
  <c r="S952" i="10" s="1"/>
  <c r="F17" i="7"/>
  <c r="D17" i="7"/>
  <c r="C17" i="7"/>
  <c r="B17" i="7"/>
  <c r="I16" i="7"/>
  <c r="S911" i="10" s="1"/>
  <c r="H16" i="7"/>
  <c r="S912" i="10" s="1"/>
  <c r="F16" i="7"/>
  <c r="D16" i="7"/>
  <c r="C16" i="7"/>
  <c r="B16" i="7"/>
  <c r="I15" i="7"/>
  <c r="S871" i="10" s="1"/>
  <c r="S874" i="10" s="1"/>
  <c r="H15" i="7"/>
  <c r="S872" i="10" s="1"/>
  <c r="F15" i="7"/>
  <c r="D15" i="7"/>
  <c r="C15" i="7"/>
  <c r="B15" i="7"/>
  <c r="I14" i="7"/>
  <c r="S830" i="10" s="1"/>
  <c r="H14" i="7"/>
  <c r="S831" i="10" s="1"/>
  <c r="F14" i="7"/>
  <c r="D14" i="7"/>
  <c r="C14" i="7"/>
  <c r="B14" i="7"/>
  <c r="I13" i="7"/>
  <c r="S756" i="10" s="1"/>
  <c r="S759" i="10" s="1"/>
  <c r="H13" i="7"/>
  <c r="S757" i="10" s="1"/>
  <c r="F13" i="7"/>
  <c r="D13" i="7"/>
  <c r="C13" i="7"/>
  <c r="B13" i="7"/>
  <c r="I12" i="7"/>
  <c r="S692" i="10" s="1"/>
  <c r="H12" i="7"/>
  <c r="S693" i="10" s="1"/>
  <c r="F12" i="7"/>
  <c r="D12" i="7"/>
  <c r="C12" i="7"/>
  <c r="B12" i="7"/>
  <c r="I11" i="7"/>
  <c r="S616" i="10" s="1"/>
  <c r="H11" i="7"/>
  <c r="S617" i="10" s="1"/>
  <c r="F11" i="7"/>
  <c r="D11" i="7"/>
  <c r="C11" i="7"/>
  <c r="B11" i="7"/>
  <c r="I10" i="7"/>
  <c r="S553" i="10" s="1"/>
  <c r="H10" i="7"/>
  <c r="S554" i="10" s="1"/>
  <c r="F10" i="7"/>
  <c r="D10" i="7"/>
  <c r="C10" i="7"/>
  <c r="B10" i="7"/>
  <c r="I9" i="7"/>
  <c r="S489" i="10" s="1"/>
  <c r="H9" i="7"/>
  <c r="S490" i="10" s="1"/>
  <c r="F9" i="7"/>
  <c r="D9" i="7"/>
  <c r="C9" i="7"/>
  <c r="B9" i="7"/>
  <c r="I8" i="7"/>
  <c r="S399" i="10" s="1"/>
  <c r="H8" i="7"/>
  <c r="S400" i="10" s="1"/>
  <c r="F8" i="7"/>
  <c r="D8" i="7"/>
  <c r="C8" i="7"/>
  <c r="B8" i="7"/>
  <c r="I7" i="7"/>
  <c r="S357" i="10" s="1"/>
  <c r="H7" i="7"/>
  <c r="S358" i="10" s="1"/>
  <c r="F7" i="7"/>
  <c r="D7" i="7"/>
  <c r="C7" i="7"/>
  <c r="B7" i="7"/>
  <c r="I6" i="7"/>
  <c r="H6" i="7"/>
  <c r="S283" i="10" s="1"/>
  <c r="F6" i="7"/>
  <c r="D6" i="7"/>
  <c r="C6" i="7"/>
  <c r="B6" i="7"/>
  <c r="I5" i="7"/>
  <c r="S244" i="10" s="1"/>
  <c r="H5" i="7"/>
  <c r="S245" i="10" s="1"/>
  <c r="F5" i="7"/>
  <c r="D5" i="7"/>
  <c r="C5" i="7"/>
  <c r="B5" i="7"/>
  <c r="I4" i="7"/>
  <c r="S204" i="10" s="1"/>
  <c r="H4" i="7"/>
  <c r="S205" i="10" s="1"/>
  <c r="F4" i="7"/>
  <c r="D4" i="7"/>
  <c r="C4" i="7"/>
  <c r="B4" i="7"/>
  <c r="I3" i="7"/>
  <c r="H3" i="7"/>
  <c r="S42" i="10" s="1"/>
  <c r="F3" i="7"/>
  <c r="D3" i="7"/>
  <c r="C3" i="7"/>
  <c r="B3" i="7"/>
  <c r="I2" i="7"/>
  <c r="S4" i="10" s="1"/>
  <c r="H2" i="7"/>
  <c r="S5" i="10" s="1"/>
  <c r="F2" i="7"/>
  <c r="D2" i="7"/>
  <c r="C2" i="7"/>
  <c r="B2" i="7"/>
  <c r="AU112" i="6"/>
  <c r="AU111" i="6"/>
  <c r="AU110" i="6"/>
  <c r="AN110" i="6"/>
  <c r="AI110" i="6"/>
  <c r="AB110" i="6"/>
  <c r="Z110" i="6"/>
  <c r="V110" i="6"/>
  <c r="U110" i="6"/>
  <c r="T110" i="6"/>
  <c r="S110" i="6"/>
  <c r="R110" i="6"/>
  <c r="P110" i="6"/>
  <c r="O110" i="6"/>
  <c r="M110" i="6"/>
  <c r="L110" i="6"/>
  <c r="K110" i="6"/>
  <c r="J110" i="6"/>
  <c r="I110" i="6"/>
  <c r="H110" i="6"/>
  <c r="G110" i="6"/>
  <c r="F110" i="6"/>
  <c r="E110" i="6"/>
  <c r="D110" i="6"/>
  <c r="B110" i="6"/>
  <c r="A110" i="6"/>
  <c r="AH110" i="6" s="1"/>
  <c r="AU109" i="6"/>
  <c r="AN109" i="6"/>
  <c r="AF109" i="6"/>
  <c r="V109" i="6"/>
  <c r="U109" i="6"/>
  <c r="T109" i="6"/>
  <c r="S109" i="6"/>
  <c r="R109" i="6"/>
  <c r="P109" i="6"/>
  <c r="O109" i="6"/>
  <c r="M109" i="6"/>
  <c r="K109" i="6"/>
  <c r="J109" i="6"/>
  <c r="I109" i="6"/>
  <c r="H109" i="6"/>
  <c r="G109" i="6"/>
  <c r="F109" i="6"/>
  <c r="E109" i="6"/>
  <c r="D109" i="6"/>
  <c r="B109" i="6"/>
  <c r="A109" i="6"/>
  <c r="AG109" i="6" s="1"/>
  <c r="AU108" i="6"/>
  <c r="AN108" i="6"/>
  <c r="AJ108" i="6"/>
  <c r="AI108" i="6"/>
  <c r="AG108" i="6"/>
  <c r="AF108" i="6"/>
  <c r="AE108" i="6"/>
  <c r="AD108" i="6"/>
  <c r="AB108" i="6"/>
  <c r="AA108" i="6"/>
  <c r="Y108" i="6"/>
  <c r="X108" i="6"/>
  <c r="W108" i="6"/>
  <c r="V108" i="6"/>
  <c r="U108" i="6"/>
  <c r="T108" i="6"/>
  <c r="S108" i="6"/>
  <c r="R108" i="6"/>
  <c r="P108" i="6"/>
  <c r="O108" i="6"/>
  <c r="N108" i="6"/>
  <c r="M108" i="6"/>
  <c r="L108" i="6"/>
  <c r="K108" i="6"/>
  <c r="J108" i="6"/>
  <c r="I108" i="6"/>
  <c r="H108" i="6"/>
  <c r="G108" i="6"/>
  <c r="F108" i="6"/>
  <c r="E108" i="6"/>
  <c r="D108" i="6"/>
  <c r="B108" i="6"/>
  <c r="A108" i="6"/>
  <c r="AC108" i="6" s="1"/>
  <c r="AU107" i="6"/>
  <c r="AN107" i="6"/>
  <c r="AJ107" i="6"/>
  <c r="AG107" i="6"/>
  <c r="AE107" i="6"/>
  <c r="AD107" i="6"/>
  <c r="AC107" i="6"/>
  <c r="AB107" i="6"/>
  <c r="Y107" i="6"/>
  <c r="W107" i="6"/>
  <c r="V107" i="6"/>
  <c r="U107" i="6"/>
  <c r="T107" i="6"/>
  <c r="S107" i="6"/>
  <c r="R107" i="6"/>
  <c r="P107" i="6"/>
  <c r="O107" i="6"/>
  <c r="N107" i="6"/>
  <c r="M107" i="6"/>
  <c r="L107" i="6"/>
  <c r="K107" i="6"/>
  <c r="J107" i="6"/>
  <c r="I107" i="6"/>
  <c r="H107" i="6"/>
  <c r="G107" i="6"/>
  <c r="F107" i="6"/>
  <c r="E107" i="6"/>
  <c r="D107" i="6"/>
  <c r="B107" i="6"/>
  <c r="A107" i="6"/>
  <c r="AI107" i="6" s="1"/>
  <c r="AU106" i="6"/>
  <c r="AN106" i="6"/>
  <c r="AB106" i="6"/>
  <c r="Z106" i="6"/>
  <c r="V106" i="6"/>
  <c r="U106" i="6"/>
  <c r="T106" i="6"/>
  <c r="S106" i="6"/>
  <c r="R106" i="6"/>
  <c r="P106" i="6"/>
  <c r="O106" i="6"/>
  <c r="N106" i="6"/>
  <c r="M106" i="6"/>
  <c r="L106" i="6"/>
  <c r="K106" i="6"/>
  <c r="J106" i="6"/>
  <c r="I106" i="6"/>
  <c r="H106" i="6"/>
  <c r="G106" i="6"/>
  <c r="F106" i="6"/>
  <c r="E106" i="6"/>
  <c r="D106" i="6"/>
  <c r="B106" i="6"/>
  <c r="A106" i="6"/>
  <c r="AH106" i="6" s="1"/>
  <c r="AU105" i="6"/>
  <c r="AN105" i="6"/>
  <c r="AG105" i="6"/>
  <c r="Z105" i="6"/>
  <c r="Y105" i="6"/>
  <c r="X105" i="6"/>
  <c r="V105" i="6"/>
  <c r="U105" i="6"/>
  <c r="T105" i="6"/>
  <c r="S105" i="6"/>
  <c r="R105" i="6"/>
  <c r="Q105" i="6"/>
  <c r="P105" i="6"/>
  <c r="O105" i="6"/>
  <c r="N105" i="6"/>
  <c r="M105" i="6"/>
  <c r="L105" i="6"/>
  <c r="K105" i="6"/>
  <c r="J105" i="6"/>
  <c r="I105" i="6"/>
  <c r="H105" i="6"/>
  <c r="G105" i="6"/>
  <c r="F105" i="6"/>
  <c r="E105" i="6"/>
  <c r="D105" i="6"/>
  <c r="B105" i="6"/>
  <c r="A105" i="6"/>
  <c r="AU104" i="6"/>
  <c r="AN104" i="6"/>
  <c r="AM104" i="6"/>
  <c r="AG104" i="6"/>
  <c r="AF104" i="6"/>
  <c r="AE104" i="6"/>
  <c r="Y104" i="6"/>
  <c r="X104" i="6"/>
  <c r="W104" i="6"/>
  <c r="V104" i="6"/>
  <c r="U104" i="6"/>
  <c r="T104" i="6"/>
  <c r="S104" i="6"/>
  <c r="R104" i="6"/>
  <c r="P104" i="6"/>
  <c r="N104" i="6"/>
  <c r="M104" i="6"/>
  <c r="L104" i="6"/>
  <c r="K104" i="6"/>
  <c r="J104" i="6"/>
  <c r="I104" i="6"/>
  <c r="H104" i="6"/>
  <c r="G104" i="6"/>
  <c r="E104" i="6"/>
  <c r="D104" i="6"/>
  <c r="B104" i="6"/>
  <c r="A104" i="6"/>
  <c r="AD104" i="6" s="1"/>
  <c r="AU103" i="6"/>
  <c r="AN103" i="6"/>
  <c r="AM103" i="6"/>
  <c r="AJ103" i="6"/>
  <c r="AI103" i="6"/>
  <c r="AG103" i="6"/>
  <c r="AF103" i="6"/>
  <c r="AE103" i="6"/>
  <c r="AD103" i="6"/>
  <c r="AB103" i="6"/>
  <c r="AA103" i="6"/>
  <c r="Y103" i="6"/>
  <c r="X103" i="6"/>
  <c r="W103" i="6"/>
  <c r="V103" i="6"/>
  <c r="U103" i="6"/>
  <c r="T103" i="6"/>
  <c r="S103" i="6"/>
  <c r="R103" i="6"/>
  <c r="P103" i="6"/>
  <c r="O103" i="6"/>
  <c r="N103" i="6"/>
  <c r="M103" i="6"/>
  <c r="L103" i="6"/>
  <c r="K103" i="6"/>
  <c r="J103" i="6"/>
  <c r="I103" i="6"/>
  <c r="H103" i="6"/>
  <c r="G103" i="6"/>
  <c r="F103" i="6"/>
  <c r="E103" i="6"/>
  <c r="D103" i="6"/>
  <c r="B103" i="6"/>
  <c r="A103" i="6"/>
  <c r="AC103" i="6" s="1"/>
  <c r="AU102" i="6"/>
  <c r="AN102" i="6"/>
  <c r="AM102" i="6"/>
  <c r="AF102" i="6"/>
  <c r="AE102" i="6"/>
  <c r="AD102" i="6"/>
  <c r="AC102" i="6"/>
  <c r="X102" i="6"/>
  <c r="W102" i="6"/>
  <c r="V102" i="6"/>
  <c r="U102" i="6"/>
  <c r="S102" i="6"/>
  <c r="R102" i="6"/>
  <c r="N102" i="6"/>
  <c r="M102" i="6"/>
  <c r="L102" i="6"/>
  <c r="K102" i="6"/>
  <c r="J102" i="6"/>
  <c r="I102" i="6"/>
  <c r="H102" i="6"/>
  <c r="G102" i="6"/>
  <c r="F102" i="6"/>
  <c r="E102" i="6"/>
  <c r="D102" i="6"/>
  <c r="B102" i="6"/>
  <c r="A102" i="6"/>
  <c r="AJ102" i="6" s="1"/>
  <c r="AU101" i="6"/>
  <c r="AN101" i="6"/>
  <c r="AM101" i="6"/>
  <c r="AJ101" i="6"/>
  <c r="AG101" i="6"/>
  <c r="AE101" i="6"/>
  <c r="AD101" i="6"/>
  <c r="AC101" i="6"/>
  <c r="AB101" i="6"/>
  <c r="Y101" i="6"/>
  <c r="W101" i="6"/>
  <c r="V101" i="6"/>
  <c r="U101" i="6"/>
  <c r="T101" i="6"/>
  <c r="S101" i="6"/>
  <c r="R101" i="6"/>
  <c r="P101" i="6"/>
  <c r="J101" i="6"/>
  <c r="I101" i="6"/>
  <c r="H101" i="6"/>
  <c r="G101" i="6"/>
  <c r="F101" i="6"/>
  <c r="E101" i="6"/>
  <c r="D101" i="6"/>
  <c r="B101" i="6"/>
  <c r="A101" i="6"/>
  <c r="AI101" i="6" s="1"/>
  <c r="AU100" i="6"/>
  <c r="AN100" i="6"/>
  <c r="AM100" i="6"/>
  <c r="AJ100" i="6"/>
  <c r="AI100" i="6"/>
  <c r="AG100" i="6"/>
  <c r="AF100" i="6"/>
  <c r="AD100" i="6"/>
  <c r="AC100" i="6"/>
  <c r="AB100" i="6"/>
  <c r="AA100" i="6"/>
  <c r="Y100" i="6"/>
  <c r="X100" i="6"/>
  <c r="V100" i="6"/>
  <c r="U100" i="6"/>
  <c r="T100" i="6"/>
  <c r="S100" i="6"/>
  <c r="R100" i="6"/>
  <c r="N100" i="6"/>
  <c r="M100" i="6"/>
  <c r="L100" i="6"/>
  <c r="K100" i="6"/>
  <c r="J100" i="6"/>
  <c r="I100" i="6"/>
  <c r="H100" i="6"/>
  <c r="G100" i="6"/>
  <c r="F100" i="6"/>
  <c r="E100" i="6"/>
  <c r="D100" i="6"/>
  <c r="B100" i="6"/>
  <c r="A100" i="6"/>
  <c r="AH100" i="6" s="1"/>
  <c r="AU99" i="6"/>
  <c r="AN99" i="6"/>
  <c r="AM99" i="6"/>
  <c r="AJ99" i="6"/>
  <c r="AH99" i="6"/>
  <c r="AC99" i="6"/>
  <c r="AB99" i="6"/>
  <c r="AA99" i="6"/>
  <c r="Z99" i="6"/>
  <c r="V99" i="6"/>
  <c r="U99" i="6"/>
  <c r="T99" i="6"/>
  <c r="S99" i="6"/>
  <c r="R99" i="6"/>
  <c r="P99" i="6"/>
  <c r="N99" i="6"/>
  <c r="M99" i="6"/>
  <c r="L99" i="6"/>
  <c r="K99" i="6"/>
  <c r="J99" i="6"/>
  <c r="I99" i="6"/>
  <c r="H99" i="6"/>
  <c r="G99" i="6"/>
  <c r="F99" i="6"/>
  <c r="E99" i="6"/>
  <c r="D99" i="6"/>
  <c r="B99" i="6"/>
  <c r="A99" i="6"/>
  <c r="AU98" i="6"/>
  <c r="AN98" i="6"/>
  <c r="AM98" i="6"/>
  <c r="AJ98" i="6"/>
  <c r="AI98" i="6"/>
  <c r="AG98" i="6"/>
  <c r="AB98" i="6"/>
  <c r="AA98" i="6"/>
  <c r="Z98" i="6"/>
  <c r="Y98" i="6"/>
  <c r="V98" i="6"/>
  <c r="U98" i="6"/>
  <c r="P98" i="6"/>
  <c r="N98" i="6"/>
  <c r="M98" i="6"/>
  <c r="L98" i="6"/>
  <c r="K98" i="6"/>
  <c r="J98" i="6"/>
  <c r="I98" i="6"/>
  <c r="G98" i="6"/>
  <c r="F98" i="6"/>
  <c r="E98" i="6"/>
  <c r="D98" i="6"/>
  <c r="B98" i="6"/>
  <c r="A98" i="6"/>
  <c r="AU97" i="6"/>
  <c r="AN97" i="6"/>
  <c r="AM97" i="6"/>
  <c r="AI97" i="6"/>
  <c r="AH97" i="6"/>
  <c r="AF97" i="6"/>
  <c r="Z97" i="6"/>
  <c r="X97" i="6"/>
  <c r="V97" i="6"/>
  <c r="U97" i="6"/>
  <c r="S97" i="6"/>
  <c r="R97" i="6"/>
  <c r="P97" i="6"/>
  <c r="N97" i="6"/>
  <c r="M97" i="6"/>
  <c r="L97" i="6"/>
  <c r="K97" i="6"/>
  <c r="J97" i="6"/>
  <c r="I97" i="6"/>
  <c r="H97" i="6"/>
  <c r="G97" i="6"/>
  <c r="F97" i="6"/>
  <c r="E97" i="6"/>
  <c r="D97" i="6"/>
  <c r="B97" i="6"/>
  <c r="A97" i="6"/>
  <c r="AA97" i="6" s="1"/>
  <c r="AU96" i="6"/>
  <c r="AN96" i="6"/>
  <c r="AM96" i="6"/>
  <c r="AG96" i="6"/>
  <c r="AE96" i="6"/>
  <c r="Y96" i="6"/>
  <c r="W96" i="6"/>
  <c r="V96" i="6"/>
  <c r="U96" i="6"/>
  <c r="P96" i="6"/>
  <c r="N96" i="6"/>
  <c r="M96" i="6"/>
  <c r="L96" i="6"/>
  <c r="K96" i="6"/>
  <c r="J96" i="6"/>
  <c r="I96" i="6"/>
  <c r="H96" i="6"/>
  <c r="G96" i="6"/>
  <c r="F96" i="6"/>
  <c r="E96" i="6"/>
  <c r="D96" i="6"/>
  <c r="B96" i="6"/>
  <c r="A96" i="6"/>
  <c r="Z96" i="6" s="1"/>
  <c r="AU95" i="6"/>
  <c r="AN95" i="6"/>
  <c r="AM95" i="6"/>
  <c r="AJ95" i="6"/>
  <c r="AI95" i="6"/>
  <c r="AG95" i="6"/>
  <c r="AF95" i="6"/>
  <c r="AE95" i="6"/>
  <c r="AD95" i="6"/>
  <c r="AB95" i="6"/>
  <c r="AA95" i="6"/>
  <c r="Y95" i="6"/>
  <c r="X95" i="6"/>
  <c r="W95" i="6"/>
  <c r="V95" i="6"/>
  <c r="U95" i="6"/>
  <c r="S95" i="6"/>
  <c r="P95" i="6"/>
  <c r="N95" i="6"/>
  <c r="M95" i="6"/>
  <c r="L95" i="6"/>
  <c r="K95" i="6"/>
  <c r="J95" i="6"/>
  <c r="I95" i="6"/>
  <c r="H95" i="6"/>
  <c r="G95" i="6"/>
  <c r="F95" i="6"/>
  <c r="E95" i="6"/>
  <c r="D95" i="6"/>
  <c r="B95" i="6"/>
  <c r="A95" i="6"/>
  <c r="AC95" i="6" s="1"/>
  <c r="AU94" i="6"/>
  <c r="AN94" i="6"/>
  <c r="AM94" i="6"/>
  <c r="AF94" i="6"/>
  <c r="AE94" i="6"/>
  <c r="AD94" i="6"/>
  <c r="AC94" i="6"/>
  <c r="X94" i="6"/>
  <c r="W94" i="6"/>
  <c r="V94" i="6"/>
  <c r="U94" i="6"/>
  <c r="P94" i="6"/>
  <c r="N94" i="6"/>
  <c r="M94" i="6"/>
  <c r="L94" i="6"/>
  <c r="K94" i="6"/>
  <c r="J94" i="6"/>
  <c r="I94" i="6"/>
  <c r="H94" i="6"/>
  <c r="G94" i="6"/>
  <c r="F94" i="6"/>
  <c r="E94" i="6"/>
  <c r="D94" i="6"/>
  <c r="B94" i="6"/>
  <c r="A94" i="6"/>
  <c r="AJ94" i="6" s="1"/>
  <c r="AU93" i="6"/>
  <c r="AN93" i="6"/>
  <c r="AM93" i="6"/>
  <c r="AJ93" i="6"/>
  <c r="AG93" i="6"/>
  <c r="AE93" i="6"/>
  <c r="AD93" i="6"/>
  <c r="AC93" i="6"/>
  <c r="AB93" i="6"/>
  <c r="Y93" i="6"/>
  <c r="W93" i="6"/>
  <c r="V93" i="6"/>
  <c r="U93" i="6"/>
  <c r="P93" i="6"/>
  <c r="N93" i="6"/>
  <c r="M93" i="6"/>
  <c r="L93" i="6"/>
  <c r="K93" i="6"/>
  <c r="J93" i="6"/>
  <c r="I93" i="6"/>
  <c r="H93" i="6"/>
  <c r="G93" i="6"/>
  <c r="F93" i="6"/>
  <c r="E93" i="6"/>
  <c r="D93" i="6"/>
  <c r="B93" i="6"/>
  <c r="A93" i="6"/>
  <c r="AI93" i="6" s="1"/>
  <c r="AU92" i="6"/>
  <c r="AN92" i="6"/>
  <c r="AM92" i="6"/>
  <c r="AJ92" i="6"/>
  <c r="AI92" i="6"/>
  <c r="AG92" i="6"/>
  <c r="AF92" i="6"/>
  <c r="AD92" i="6"/>
  <c r="AC92" i="6"/>
  <c r="AB92" i="6"/>
  <c r="AA92" i="6"/>
  <c r="Y92" i="6"/>
  <c r="X92" i="6"/>
  <c r="V92" i="6"/>
  <c r="U92" i="6"/>
  <c r="P92" i="6"/>
  <c r="M92" i="6"/>
  <c r="L92" i="6"/>
  <c r="K92" i="6"/>
  <c r="J92" i="6"/>
  <c r="I92" i="6"/>
  <c r="H92" i="6"/>
  <c r="G92" i="6"/>
  <c r="F92" i="6"/>
  <c r="E92" i="6"/>
  <c r="D92" i="6"/>
  <c r="B92" i="6"/>
  <c r="A92" i="6"/>
  <c r="AH92" i="6" s="1"/>
  <c r="AU91" i="6"/>
  <c r="AN91" i="6"/>
  <c r="AM91" i="6"/>
  <c r="AJ91" i="6"/>
  <c r="AI91" i="6"/>
  <c r="AH91" i="6"/>
  <c r="AB91" i="6"/>
  <c r="Z91" i="6"/>
  <c r="V91" i="6"/>
  <c r="U91" i="6"/>
  <c r="T91" i="6"/>
  <c r="S91" i="6"/>
  <c r="R91" i="6"/>
  <c r="M91" i="6"/>
  <c r="L91" i="6"/>
  <c r="K91" i="6"/>
  <c r="J91" i="6"/>
  <c r="I91" i="6"/>
  <c r="H91" i="6"/>
  <c r="G91" i="6"/>
  <c r="F91" i="6"/>
  <c r="E91" i="6"/>
  <c r="D91" i="6"/>
  <c r="B91" i="6"/>
  <c r="A91" i="6"/>
  <c r="AU90" i="6"/>
  <c r="AN90" i="6"/>
  <c r="AM90" i="6"/>
  <c r="AA90" i="6"/>
  <c r="V90" i="6"/>
  <c r="U90" i="6"/>
  <c r="S90" i="6"/>
  <c r="R90" i="6"/>
  <c r="N90" i="6"/>
  <c r="M90" i="6"/>
  <c r="L90" i="6"/>
  <c r="K90" i="6"/>
  <c r="J90" i="6"/>
  <c r="I90" i="6"/>
  <c r="H90" i="6"/>
  <c r="G90" i="6"/>
  <c r="E90" i="6"/>
  <c r="D90" i="6"/>
  <c r="B90" i="6"/>
  <c r="A90" i="6"/>
  <c r="AH90" i="6" s="1"/>
  <c r="AU89" i="6"/>
  <c r="AN89" i="6"/>
  <c r="AM89" i="6"/>
  <c r="V89" i="6"/>
  <c r="U89" i="6"/>
  <c r="P89" i="6"/>
  <c r="M89" i="6"/>
  <c r="K89" i="6"/>
  <c r="J89" i="6"/>
  <c r="I89" i="6"/>
  <c r="H89" i="6"/>
  <c r="G89" i="6"/>
  <c r="F89" i="6"/>
  <c r="E89" i="6"/>
  <c r="D89" i="6"/>
  <c r="B89" i="6"/>
  <c r="A89" i="6"/>
  <c r="AU88" i="6"/>
  <c r="AN88" i="6"/>
  <c r="AM88" i="6"/>
  <c r="AH88" i="6"/>
  <c r="Z88" i="6"/>
  <c r="V88" i="6"/>
  <c r="U88" i="6"/>
  <c r="T88" i="6"/>
  <c r="S88" i="6"/>
  <c r="R88" i="6"/>
  <c r="M88" i="6"/>
  <c r="K88" i="6"/>
  <c r="J88" i="6"/>
  <c r="I88" i="6"/>
  <c r="H88" i="6"/>
  <c r="G88" i="6"/>
  <c r="F88" i="6"/>
  <c r="E88" i="6"/>
  <c r="D88" i="6"/>
  <c r="B88" i="6"/>
  <c r="A88" i="6"/>
  <c r="AE88" i="6" s="1"/>
  <c r="AU87" i="6"/>
  <c r="AN87" i="6"/>
  <c r="AM87" i="6"/>
  <c r="AJ87" i="6"/>
  <c r="AI87" i="6"/>
  <c r="AG87" i="6"/>
  <c r="AF87" i="6"/>
  <c r="AE87" i="6"/>
  <c r="AD87" i="6"/>
  <c r="AB87" i="6"/>
  <c r="AA87" i="6"/>
  <c r="Y87" i="6"/>
  <c r="X87" i="6"/>
  <c r="W87" i="6"/>
  <c r="V87" i="6"/>
  <c r="U87" i="6"/>
  <c r="T87" i="6"/>
  <c r="S87" i="6"/>
  <c r="R87" i="6"/>
  <c r="P87" i="6"/>
  <c r="N87" i="6"/>
  <c r="M87" i="6"/>
  <c r="L87" i="6"/>
  <c r="K87" i="6"/>
  <c r="J87" i="6"/>
  <c r="I87" i="6"/>
  <c r="H87" i="6"/>
  <c r="G87" i="6"/>
  <c r="F87" i="6"/>
  <c r="E87" i="6"/>
  <c r="D87" i="6"/>
  <c r="B87" i="6"/>
  <c r="A87" i="6"/>
  <c r="AC87" i="6" s="1"/>
  <c r="AU86" i="6"/>
  <c r="AN86" i="6"/>
  <c r="AM86" i="6"/>
  <c r="AF86" i="6"/>
  <c r="AE86" i="6"/>
  <c r="AD86" i="6"/>
  <c r="AC86" i="6"/>
  <c r="X86" i="6"/>
  <c r="W86" i="6"/>
  <c r="V86" i="6"/>
  <c r="U86" i="6"/>
  <c r="P86" i="6"/>
  <c r="N86" i="6"/>
  <c r="M86" i="6"/>
  <c r="L86" i="6"/>
  <c r="K86" i="6"/>
  <c r="J86" i="6"/>
  <c r="I86" i="6"/>
  <c r="H86" i="6"/>
  <c r="G86" i="6"/>
  <c r="F86" i="6"/>
  <c r="E86" i="6"/>
  <c r="D86" i="6"/>
  <c r="B86" i="6"/>
  <c r="A86" i="6"/>
  <c r="AJ86" i="6" s="1"/>
  <c r="AU85" i="6"/>
  <c r="AN85" i="6"/>
  <c r="AM85" i="6"/>
  <c r="AJ85" i="6"/>
  <c r="AG85" i="6"/>
  <c r="AE85" i="6"/>
  <c r="AD85" i="6"/>
  <c r="AC85" i="6"/>
  <c r="AB85" i="6"/>
  <c r="Y85" i="6"/>
  <c r="W85" i="6"/>
  <c r="V85" i="6"/>
  <c r="U85" i="6"/>
  <c r="N85" i="6"/>
  <c r="M85" i="6"/>
  <c r="L85" i="6"/>
  <c r="K85" i="6"/>
  <c r="J85" i="6"/>
  <c r="I85" i="6"/>
  <c r="H85" i="6"/>
  <c r="G85" i="6"/>
  <c r="F85" i="6"/>
  <c r="E85" i="6"/>
  <c r="D85" i="6"/>
  <c r="B85" i="6"/>
  <c r="A85" i="6"/>
  <c r="AI85" i="6" s="1"/>
  <c r="AU84" i="6"/>
  <c r="AN84" i="6"/>
  <c r="AM84" i="6"/>
  <c r="AJ84" i="6"/>
  <c r="AI84" i="6"/>
  <c r="AG84" i="6"/>
  <c r="AF84" i="6"/>
  <c r="AD84" i="6"/>
  <c r="AC84" i="6"/>
  <c r="AB84" i="6"/>
  <c r="AA84" i="6"/>
  <c r="Y84" i="6"/>
  <c r="X84" i="6"/>
  <c r="V84" i="6"/>
  <c r="U84" i="6"/>
  <c r="T84" i="6"/>
  <c r="S84" i="6"/>
  <c r="R84" i="6"/>
  <c r="N84" i="6"/>
  <c r="M84" i="6"/>
  <c r="L84" i="6"/>
  <c r="K84" i="6"/>
  <c r="J84" i="6"/>
  <c r="I84" i="6"/>
  <c r="H84" i="6"/>
  <c r="G84" i="6"/>
  <c r="F84" i="6"/>
  <c r="E84" i="6"/>
  <c r="D84" i="6"/>
  <c r="B84" i="6"/>
  <c r="A84" i="6"/>
  <c r="AH84" i="6" s="1"/>
  <c r="AU83" i="6"/>
  <c r="AN83" i="6"/>
  <c r="AM83" i="6"/>
  <c r="AJ83" i="6"/>
  <c r="AH83" i="6"/>
  <c r="AC83" i="6"/>
  <c r="AB83" i="6"/>
  <c r="AA83" i="6"/>
  <c r="Z83" i="6"/>
  <c r="V83" i="6"/>
  <c r="U83" i="6"/>
  <c r="T83" i="6"/>
  <c r="S83" i="6"/>
  <c r="R83" i="6"/>
  <c r="P83" i="6"/>
  <c r="N83" i="6"/>
  <c r="M83" i="6"/>
  <c r="L83" i="6"/>
  <c r="K83" i="6"/>
  <c r="J83" i="6"/>
  <c r="I83" i="6"/>
  <c r="H83" i="6"/>
  <c r="G83" i="6"/>
  <c r="F83" i="6"/>
  <c r="E83" i="6"/>
  <c r="D83" i="6"/>
  <c r="B83" i="6"/>
  <c r="A83" i="6"/>
  <c r="AU82" i="6"/>
  <c r="AN82" i="6"/>
  <c r="AM82" i="6"/>
  <c r="AA82" i="6"/>
  <c r="V82" i="6"/>
  <c r="U82" i="6"/>
  <c r="P82" i="6"/>
  <c r="N82" i="6"/>
  <c r="L82" i="6"/>
  <c r="K82" i="6"/>
  <c r="J82" i="6"/>
  <c r="I82" i="6"/>
  <c r="H82" i="6"/>
  <c r="G82" i="6"/>
  <c r="E82" i="6"/>
  <c r="D82" i="6"/>
  <c r="B82" i="6"/>
  <c r="A82" i="6"/>
  <c r="AH82" i="6" s="1"/>
  <c r="AU81" i="6"/>
  <c r="AN81" i="6"/>
  <c r="AM81" i="6"/>
  <c r="AI81" i="6"/>
  <c r="AA81" i="6"/>
  <c r="Y81" i="6"/>
  <c r="V81" i="6"/>
  <c r="U81" i="6"/>
  <c r="P81" i="6"/>
  <c r="N81" i="6"/>
  <c r="M81" i="6"/>
  <c r="L81" i="6"/>
  <c r="K81" i="6"/>
  <c r="J81" i="6"/>
  <c r="I81" i="6"/>
  <c r="H81" i="6"/>
  <c r="G81" i="6"/>
  <c r="F81" i="6"/>
  <c r="E81" i="6"/>
  <c r="D81" i="6"/>
  <c r="B81" i="6"/>
  <c r="A81" i="6"/>
  <c r="AF81" i="6" s="1"/>
  <c r="AU80" i="6"/>
  <c r="AN80" i="6"/>
  <c r="AM80" i="6"/>
  <c r="AH80" i="6"/>
  <c r="AF80" i="6"/>
  <c r="AE80" i="6"/>
  <c r="Z80" i="6"/>
  <c r="Y80" i="6"/>
  <c r="X80" i="6"/>
  <c r="V80" i="6"/>
  <c r="U80" i="6"/>
  <c r="P80" i="6"/>
  <c r="M80" i="6"/>
  <c r="L80" i="6"/>
  <c r="K80" i="6"/>
  <c r="J80" i="6"/>
  <c r="I80" i="6"/>
  <c r="H80" i="6"/>
  <c r="G80" i="6"/>
  <c r="F80" i="6"/>
  <c r="E80" i="6"/>
  <c r="D80" i="6"/>
  <c r="B80" i="6"/>
  <c r="A80" i="6"/>
  <c r="AU79" i="6"/>
  <c r="AN79" i="6"/>
  <c r="AM79" i="6"/>
  <c r="AJ79" i="6"/>
  <c r="AI79" i="6"/>
  <c r="AG79" i="6"/>
  <c r="AF79" i="6"/>
  <c r="AE79" i="6"/>
  <c r="AD79" i="6"/>
  <c r="AB79" i="6"/>
  <c r="AA79" i="6"/>
  <c r="Y79" i="6"/>
  <c r="X79" i="6"/>
  <c r="W79" i="6"/>
  <c r="V79" i="6"/>
  <c r="U79" i="6"/>
  <c r="T79" i="6"/>
  <c r="S79" i="6"/>
  <c r="R79" i="6"/>
  <c r="P79" i="6"/>
  <c r="N79" i="6"/>
  <c r="L79" i="6"/>
  <c r="K79" i="6"/>
  <c r="J79" i="6"/>
  <c r="I79" i="6"/>
  <c r="H79" i="6"/>
  <c r="G79" i="6"/>
  <c r="F79" i="6"/>
  <c r="E79" i="6"/>
  <c r="D79" i="6"/>
  <c r="B79" i="6"/>
  <c r="A79" i="6"/>
  <c r="AC79" i="6" s="1"/>
  <c r="AU78" i="6"/>
  <c r="AN78" i="6"/>
  <c r="AM78" i="6"/>
  <c r="AF78" i="6"/>
  <c r="AE78" i="6"/>
  <c r="AD78" i="6"/>
  <c r="AC78" i="6"/>
  <c r="X78" i="6"/>
  <c r="W78" i="6"/>
  <c r="V78" i="6"/>
  <c r="U78" i="6"/>
  <c r="P78" i="6"/>
  <c r="N78" i="6"/>
  <c r="M78" i="6"/>
  <c r="L78" i="6"/>
  <c r="K78" i="6"/>
  <c r="J78" i="6"/>
  <c r="I78" i="6"/>
  <c r="H78" i="6"/>
  <c r="F78" i="6"/>
  <c r="E78" i="6"/>
  <c r="D78" i="6"/>
  <c r="B78" i="6"/>
  <c r="A78" i="6"/>
  <c r="AJ78" i="6" s="1"/>
  <c r="AU77" i="6"/>
  <c r="AN77" i="6"/>
  <c r="AM77" i="6"/>
  <c r="AJ77" i="6"/>
  <c r="AG77" i="6"/>
  <c r="AE77" i="6"/>
  <c r="AD77" i="6"/>
  <c r="AC77" i="6"/>
  <c r="AB77" i="6"/>
  <c r="Y77" i="6"/>
  <c r="W77" i="6"/>
  <c r="V77" i="6"/>
  <c r="U77" i="6"/>
  <c r="T77" i="6"/>
  <c r="S77" i="6"/>
  <c r="R77" i="6"/>
  <c r="P77" i="6"/>
  <c r="N77" i="6"/>
  <c r="L77" i="6"/>
  <c r="J77" i="6"/>
  <c r="I77" i="6"/>
  <c r="H77" i="6"/>
  <c r="G77" i="6"/>
  <c r="F77" i="6"/>
  <c r="E77" i="6"/>
  <c r="D77" i="6"/>
  <c r="B77" i="6"/>
  <c r="A77" i="6"/>
  <c r="AI77" i="6" s="1"/>
  <c r="AU76" i="6"/>
  <c r="AN76" i="6"/>
  <c r="AM76" i="6"/>
  <c r="AJ76" i="6"/>
  <c r="AI76" i="6"/>
  <c r="AG76" i="6"/>
  <c r="AF76" i="6"/>
  <c r="AD76" i="6"/>
  <c r="AC76" i="6"/>
  <c r="AB76" i="6"/>
  <c r="AA76" i="6"/>
  <c r="Y76" i="6"/>
  <c r="X76" i="6"/>
  <c r="V76" i="6"/>
  <c r="U76" i="6"/>
  <c r="K76" i="6"/>
  <c r="J76" i="6"/>
  <c r="I76" i="6"/>
  <c r="H76" i="6"/>
  <c r="F76" i="6"/>
  <c r="E76" i="6"/>
  <c r="D76" i="6"/>
  <c r="B76" i="6"/>
  <c r="A76" i="6"/>
  <c r="AH76" i="6" s="1"/>
  <c r="AU75" i="6"/>
  <c r="AN75" i="6"/>
  <c r="AM75" i="6"/>
  <c r="AI75" i="6"/>
  <c r="AE75" i="6"/>
  <c r="AB75" i="6"/>
  <c r="Z75" i="6"/>
  <c r="V75" i="6"/>
  <c r="U75" i="6"/>
  <c r="M75" i="6"/>
  <c r="L75" i="6"/>
  <c r="K75" i="6"/>
  <c r="J75" i="6"/>
  <c r="I75" i="6"/>
  <c r="H75" i="6"/>
  <c r="F75" i="6"/>
  <c r="E75" i="6"/>
  <c r="D75" i="6"/>
  <c r="B75" i="6"/>
  <c r="A75" i="6"/>
  <c r="AC75" i="6" s="1"/>
  <c r="AU74" i="6"/>
  <c r="AN74" i="6"/>
  <c r="AM74" i="6"/>
  <c r="AI74" i="6"/>
  <c r="AG74" i="6"/>
  <c r="AD74" i="6"/>
  <c r="AB74" i="6"/>
  <c r="AA74" i="6"/>
  <c r="Z74" i="6"/>
  <c r="V74" i="6"/>
  <c r="U74" i="6"/>
  <c r="T74" i="6"/>
  <c r="S74" i="6"/>
  <c r="R74" i="6"/>
  <c r="P74" i="6"/>
  <c r="K74" i="6"/>
  <c r="J74" i="6"/>
  <c r="I74" i="6"/>
  <c r="H74" i="6"/>
  <c r="F74" i="6"/>
  <c r="E74" i="6"/>
  <c r="D74" i="6"/>
  <c r="B74" i="6"/>
  <c r="A74" i="6"/>
  <c r="AU73" i="6"/>
  <c r="AN73" i="6"/>
  <c r="AM73" i="6"/>
  <c r="AI73" i="6"/>
  <c r="AG73" i="6"/>
  <c r="AF73" i="6"/>
  <c r="AC73" i="6"/>
  <c r="AA73" i="6"/>
  <c r="Z73" i="6"/>
  <c r="Y73" i="6"/>
  <c r="X73" i="6"/>
  <c r="V73" i="6"/>
  <c r="U73" i="6"/>
  <c r="T73" i="6"/>
  <c r="S73" i="6"/>
  <c r="R73" i="6"/>
  <c r="P73" i="6"/>
  <c r="K73" i="6"/>
  <c r="J73" i="6"/>
  <c r="I73" i="6"/>
  <c r="H73" i="6"/>
  <c r="F73" i="6"/>
  <c r="E73" i="6"/>
  <c r="D73" i="6"/>
  <c r="B73" i="6"/>
  <c r="A73" i="6"/>
  <c r="AU72" i="6"/>
  <c r="AN72" i="6"/>
  <c r="AM72" i="6"/>
  <c r="AF72" i="6"/>
  <c r="Y72" i="6"/>
  <c r="V72" i="6"/>
  <c r="U72" i="6"/>
  <c r="R72" i="6"/>
  <c r="P72" i="6"/>
  <c r="N72" i="6"/>
  <c r="M72" i="6"/>
  <c r="L72" i="6"/>
  <c r="K72" i="6"/>
  <c r="J72" i="6"/>
  <c r="I72" i="6"/>
  <c r="H72" i="6"/>
  <c r="G72" i="6"/>
  <c r="F72" i="6"/>
  <c r="E72" i="6"/>
  <c r="D72" i="6"/>
  <c r="B72" i="6"/>
  <c r="A72" i="6"/>
  <c r="Z72" i="6" s="1"/>
  <c r="AU71" i="6"/>
  <c r="AN71" i="6"/>
  <c r="AM71" i="6"/>
  <c r="AJ71" i="6"/>
  <c r="AI71" i="6"/>
  <c r="AG71" i="6"/>
  <c r="AF71" i="6"/>
  <c r="AE71" i="6"/>
  <c r="AD71" i="6"/>
  <c r="AB71" i="6"/>
  <c r="AA71" i="6"/>
  <c r="Y71" i="6"/>
  <c r="X71" i="6"/>
  <c r="W71" i="6"/>
  <c r="V71" i="6"/>
  <c r="U71" i="6"/>
  <c r="P71" i="6"/>
  <c r="M71" i="6"/>
  <c r="K71" i="6"/>
  <c r="J71" i="6"/>
  <c r="I71" i="6"/>
  <c r="H71" i="6"/>
  <c r="F71" i="6"/>
  <c r="E71" i="6"/>
  <c r="D71" i="6"/>
  <c r="B71" i="6"/>
  <c r="A71" i="6"/>
  <c r="AC71" i="6" s="1"/>
  <c r="AU70" i="6"/>
  <c r="AN70" i="6"/>
  <c r="AM70" i="6"/>
  <c r="AF70" i="6"/>
  <c r="AD70" i="6"/>
  <c r="Z70" i="6"/>
  <c r="X70" i="6"/>
  <c r="W70" i="6"/>
  <c r="V70" i="6"/>
  <c r="U70" i="6"/>
  <c r="P70" i="6"/>
  <c r="K70" i="6"/>
  <c r="J70" i="6"/>
  <c r="I70" i="6"/>
  <c r="H70" i="6"/>
  <c r="F70" i="6"/>
  <c r="E70" i="6"/>
  <c r="D70" i="6"/>
  <c r="B70" i="6"/>
  <c r="A70" i="6"/>
  <c r="AE70" i="6" s="1"/>
  <c r="AU69" i="6"/>
  <c r="AN69" i="6"/>
  <c r="AM69" i="6"/>
  <c r="AJ69" i="6"/>
  <c r="AG69" i="6"/>
  <c r="AE69" i="6"/>
  <c r="AD69" i="6"/>
  <c r="AC69" i="6"/>
  <c r="AB69" i="6"/>
  <c r="Y69" i="6"/>
  <c r="W69" i="6"/>
  <c r="V69" i="6"/>
  <c r="U69" i="6"/>
  <c r="P69" i="6"/>
  <c r="N69" i="6"/>
  <c r="M69" i="6"/>
  <c r="L69" i="6"/>
  <c r="K69" i="6"/>
  <c r="J69" i="6"/>
  <c r="I69" i="6"/>
  <c r="H69" i="6"/>
  <c r="G69" i="6"/>
  <c r="F69" i="6"/>
  <c r="E69" i="6"/>
  <c r="D69" i="6"/>
  <c r="B69" i="6"/>
  <c r="A69" i="6"/>
  <c r="AI69" i="6" s="1"/>
  <c r="AU68" i="6"/>
  <c r="AN68" i="6"/>
  <c r="AM68" i="6"/>
  <c r="AJ68" i="6"/>
  <c r="AI68" i="6"/>
  <c r="AG68" i="6"/>
  <c r="AF68" i="6"/>
  <c r="AD68" i="6"/>
  <c r="AC68" i="6"/>
  <c r="AB68" i="6"/>
  <c r="AA68" i="6"/>
  <c r="Y68" i="6"/>
  <c r="X68" i="6"/>
  <c r="V68" i="6"/>
  <c r="U68" i="6"/>
  <c r="T68" i="6"/>
  <c r="S68" i="6"/>
  <c r="R68" i="6"/>
  <c r="P68" i="6"/>
  <c r="N68" i="6"/>
  <c r="M68" i="6"/>
  <c r="L68" i="6"/>
  <c r="K68" i="6"/>
  <c r="J68" i="6"/>
  <c r="I68" i="6"/>
  <c r="H68" i="6"/>
  <c r="G68" i="6"/>
  <c r="F68" i="6"/>
  <c r="E68" i="6"/>
  <c r="D68" i="6"/>
  <c r="B68" i="6"/>
  <c r="A68" i="6"/>
  <c r="AH68" i="6" s="1"/>
  <c r="AU67" i="6"/>
  <c r="AN67" i="6"/>
  <c r="AM67" i="6"/>
  <c r="AJ67" i="6"/>
  <c r="AC67" i="6"/>
  <c r="AA67" i="6"/>
  <c r="W67" i="6"/>
  <c r="V67" i="6"/>
  <c r="U67" i="6"/>
  <c r="T67" i="6"/>
  <c r="S67" i="6"/>
  <c r="R67" i="6"/>
  <c r="M67" i="6"/>
  <c r="L67" i="6"/>
  <c r="K67" i="6"/>
  <c r="J67" i="6"/>
  <c r="I67" i="6"/>
  <c r="H67" i="6"/>
  <c r="G67" i="6"/>
  <c r="F67" i="6"/>
  <c r="E67" i="6"/>
  <c r="D67" i="6"/>
  <c r="B67" i="6"/>
  <c r="A67" i="6"/>
  <c r="AE67" i="6" s="1"/>
  <c r="AU66" i="6"/>
  <c r="AN66" i="6"/>
  <c r="AM66" i="6"/>
  <c r="AJ66" i="6"/>
  <c r="AH66" i="6"/>
  <c r="AD66" i="6"/>
  <c r="AA66" i="6"/>
  <c r="Y66" i="6"/>
  <c r="V66" i="6"/>
  <c r="U66" i="6"/>
  <c r="N66" i="6"/>
  <c r="M66" i="6"/>
  <c r="L66" i="6"/>
  <c r="K66" i="6"/>
  <c r="J66" i="6"/>
  <c r="I66" i="6"/>
  <c r="H66" i="6"/>
  <c r="G66" i="6"/>
  <c r="F66" i="6"/>
  <c r="E66" i="6"/>
  <c r="D66" i="6"/>
  <c r="B66" i="6"/>
  <c r="A66" i="6"/>
  <c r="AB66" i="6" s="1"/>
  <c r="AU65" i="6"/>
  <c r="AN65" i="6"/>
  <c r="AM65" i="6"/>
  <c r="AI65" i="6"/>
  <c r="AG65" i="6"/>
  <c r="AC65" i="6"/>
  <c r="Z65" i="6"/>
  <c r="X65" i="6"/>
  <c r="V65" i="6"/>
  <c r="U65" i="6"/>
  <c r="P65" i="6"/>
  <c r="N65" i="6"/>
  <c r="M65" i="6"/>
  <c r="L65" i="6"/>
  <c r="K65" i="6"/>
  <c r="J65" i="6"/>
  <c r="I65" i="6"/>
  <c r="H65" i="6"/>
  <c r="G65" i="6"/>
  <c r="F65" i="6"/>
  <c r="E65" i="6"/>
  <c r="D65" i="6"/>
  <c r="B65" i="6"/>
  <c r="A65" i="6"/>
  <c r="AA65" i="6" s="1"/>
  <c r="AU64" i="6"/>
  <c r="AN64" i="6"/>
  <c r="AM64" i="6"/>
  <c r="AH64" i="6"/>
  <c r="AF64" i="6"/>
  <c r="Y64" i="6"/>
  <c r="W64" i="6"/>
  <c r="V64" i="6"/>
  <c r="U64" i="6"/>
  <c r="T64" i="6"/>
  <c r="S64" i="6"/>
  <c r="R64" i="6"/>
  <c r="P64" i="6"/>
  <c r="M64" i="6"/>
  <c r="L64" i="6"/>
  <c r="K64" i="6"/>
  <c r="J64" i="6"/>
  <c r="I64" i="6"/>
  <c r="H64" i="6"/>
  <c r="G64" i="6"/>
  <c r="F64" i="6"/>
  <c r="E64" i="6"/>
  <c r="D64" i="6"/>
  <c r="B64" i="6"/>
  <c r="A64" i="6"/>
  <c r="Z64" i="6" s="1"/>
  <c r="AU63" i="6"/>
  <c r="AN63" i="6"/>
  <c r="AM63" i="6"/>
  <c r="AJ63" i="6"/>
  <c r="AI63" i="6"/>
  <c r="AG63" i="6"/>
  <c r="AF63" i="6"/>
  <c r="AE63" i="6"/>
  <c r="AD63" i="6"/>
  <c r="AC63" i="6"/>
  <c r="AB63" i="6"/>
  <c r="AA63" i="6"/>
  <c r="Y63" i="6"/>
  <c r="X63" i="6"/>
  <c r="W63" i="6"/>
  <c r="V63" i="6"/>
  <c r="U63" i="6"/>
  <c r="P63" i="6"/>
  <c r="N63" i="6"/>
  <c r="M63" i="6"/>
  <c r="L63" i="6"/>
  <c r="K63" i="6"/>
  <c r="J63" i="6"/>
  <c r="I63" i="6"/>
  <c r="H63" i="6"/>
  <c r="G63" i="6"/>
  <c r="F63" i="6"/>
  <c r="E63" i="6"/>
  <c r="D63" i="6"/>
  <c r="B63" i="6"/>
  <c r="A63" i="6"/>
  <c r="AH63" i="6" s="1"/>
  <c r="AU62" i="6"/>
  <c r="AN62" i="6"/>
  <c r="AM62" i="6"/>
  <c r="W62" i="6"/>
  <c r="V62" i="6"/>
  <c r="U62" i="6"/>
  <c r="T62" i="6"/>
  <c r="S62" i="6"/>
  <c r="R62" i="6"/>
  <c r="P62" i="6"/>
  <c r="O62" i="6"/>
  <c r="N62" i="6"/>
  <c r="M62" i="6"/>
  <c r="L62" i="6"/>
  <c r="K62" i="6"/>
  <c r="J62" i="6"/>
  <c r="I62" i="6"/>
  <c r="H62" i="6"/>
  <c r="G62" i="6"/>
  <c r="F62" i="6"/>
  <c r="E62" i="6"/>
  <c r="D62" i="6"/>
  <c r="B62" i="6"/>
  <c r="A62" i="6"/>
  <c r="AC62" i="6" s="1"/>
  <c r="AU61" i="6"/>
  <c r="AN61" i="6"/>
  <c r="AM61" i="6"/>
  <c r="AJ61" i="6"/>
  <c r="AG61" i="6"/>
  <c r="AE61" i="6"/>
  <c r="AD61" i="6"/>
  <c r="AC61" i="6"/>
  <c r="AB61" i="6"/>
  <c r="Y61" i="6"/>
  <c r="W61" i="6"/>
  <c r="V61" i="6"/>
  <c r="U61" i="6"/>
  <c r="T61" i="6"/>
  <c r="S61" i="6"/>
  <c r="R61" i="6"/>
  <c r="P61" i="6"/>
  <c r="N61" i="6"/>
  <c r="M61" i="6"/>
  <c r="L61" i="6"/>
  <c r="K61" i="6"/>
  <c r="J61" i="6"/>
  <c r="I61" i="6"/>
  <c r="H61" i="6"/>
  <c r="G61" i="6"/>
  <c r="F61" i="6"/>
  <c r="E61" i="6"/>
  <c r="D61" i="6"/>
  <c r="B61" i="6"/>
  <c r="A61" i="6"/>
  <c r="AI61" i="6" s="1"/>
  <c r="AU60" i="6"/>
  <c r="AN60" i="6"/>
  <c r="AJ60" i="6"/>
  <c r="AI60" i="6"/>
  <c r="AE60" i="6"/>
  <c r="AB60" i="6"/>
  <c r="Z60" i="6"/>
  <c r="W60" i="6"/>
  <c r="V60" i="6"/>
  <c r="U60" i="6"/>
  <c r="M60" i="6"/>
  <c r="L60" i="6"/>
  <c r="K60" i="6"/>
  <c r="J60" i="6"/>
  <c r="I60" i="6"/>
  <c r="H60" i="6"/>
  <c r="G60" i="6"/>
  <c r="F60" i="6"/>
  <c r="E60" i="6"/>
  <c r="D60" i="6"/>
  <c r="B60" i="6"/>
  <c r="A60" i="6"/>
  <c r="AC60" i="6" s="1"/>
  <c r="AU59" i="6"/>
  <c r="AN59" i="6"/>
  <c r="AM59" i="6"/>
  <c r="AI59" i="6"/>
  <c r="AH59" i="6"/>
  <c r="AG59" i="6"/>
  <c r="AB59" i="6"/>
  <c r="Z59" i="6"/>
  <c r="V59" i="6"/>
  <c r="U59" i="6"/>
  <c r="P59" i="6"/>
  <c r="N59" i="6"/>
  <c r="M59" i="6"/>
  <c r="L59" i="6"/>
  <c r="K59" i="6"/>
  <c r="J59" i="6"/>
  <c r="I59" i="6"/>
  <c r="H59" i="6"/>
  <c r="G59" i="6"/>
  <c r="F59" i="6"/>
  <c r="E59" i="6"/>
  <c r="D59" i="6"/>
  <c r="B59" i="6"/>
  <c r="A59" i="6"/>
  <c r="AA59" i="6" s="1"/>
  <c r="AU58" i="6"/>
  <c r="AN58" i="6"/>
  <c r="AJ58" i="6"/>
  <c r="AG58" i="6"/>
  <c r="Z58" i="6"/>
  <c r="X58" i="6"/>
  <c r="V58" i="6"/>
  <c r="U58" i="6"/>
  <c r="P58" i="6"/>
  <c r="M58" i="6"/>
  <c r="L58" i="6"/>
  <c r="K58" i="6"/>
  <c r="J58" i="6"/>
  <c r="I58" i="6"/>
  <c r="H58" i="6"/>
  <c r="G58" i="6"/>
  <c r="F58" i="6"/>
  <c r="E58" i="6"/>
  <c r="D58" i="6"/>
  <c r="B58" i="6"/>
  <c r="A58" i="6"/>
  <c r="AB58" i="6" s="1"/>
  <c r="AU57" i="6"/>
  <c r="AN57" i="6"/>
  <c r="AM57" i="6"/>
  <c r="AJ57" i="6"/>
  <c r="AI57" i="6"/>
  <c r="AG57" i="6"/>
  <c r="AF57" i="6"/>
  <c r="AE57" i="6"/>
  <c r="AD57" i="6"/>
  <c r="AC57" i="6"/>
  <c r="AB57" i="6"/>
  <c r="AA57" i="6"/>
  <c r="Y57" i="6"/>
  <c r="X57" i="6"/>
  <c r="W57" i="6"/>
  <c r="V57" i="6"/>
  <c r="U57" i="6"/>
  <c r="N57" i="6"/>
  <c r="M57" i="6"/>
  <c r="L57" i="6"/>
  <c r="K57" i="6"/>
  <c r="J57" i="6"/>
  <c r="I57" i="6"/>
  <c r="H57" i="6"/>
  <c r="G57" i="6"/>
  <c r="F57" i="6"/>
  <c r="E57" i="6"/>
  <c r="D57" i="6"/>
  <c r="B57" i="6"/>
  <c r="A57" i="6"/>
  <c r="AH57" i="6" s="1"/>
  <c r="AU56" i="6"/>
  <c r="AN56" i="6"/>
  <c r="AM56" i="6"/>
  <c r="AD56" i="6"/>
  <c r="Z56" i="6"/>
  <c r="W56" i="6"/>
  <c r="V56" i="6"/>
  <c r="U56" i="6"/>
  <c r="P56" i="6"/>
  <c r="N56" i="6"/>
  <c r="M56" i="6"/>
  <c r="L56" i="6"/>
  <c r="K56" i="6"/>
  <c r="J56" i="6"/>
  <c r="I56" i="6"/>
  <c r="H56" i="6"/>
  <c r="G56" i="6"/>
  <c r="F56" i="6"/>
  <c r="E56" i="6"/>
  <c r="D56" i="6"/>
  <c r="B56" i="6"/>
  <c r="A56" i="6"/>
  <c r="AE56" i="6" s="1"/>
  <c r="AU55" i="6"/>
  <c r="AN55" i="6"/>
  <c r="AM55" i="6"/>
  <c r="AJ55" i="6"/>
  <c r="AG55" i="6"/>
  <c r="AE55" i="6"/>
  <c r="AD55" i="6"/>
  <c r="AC55" i="6"/>
  <c r="AB55" i="6"/>
  <c r="Y55" i="6"/>
  <c r="W55" i="6"/>
  <c r="V55" i="6"/>
  <c r="U55" i="6"/>
  <c r="T55" i="6"/>
  <c r="S55" i="6"/>
  <c r="R55" i="6"/>
  <c r="P55" i="6"/>
  <c r="N55" i="6"/>
  <c r="M55" i="6"/>
  <c r="L55" i="6"/>
  <c r="K55" i="6"/>
  <c r="J55" i="6"/>
  <c r="I55" i="6"/>
  <c r="H55" i="6"/>
  <c r="G55" i="6"/>
  <c r="F55" i="6"/>
  <c r="E55" i="6"/>
  <c r="D55" i="6"/>
  <c r="B55" i="6"/>
  <c r="A55" i="6"/>
  <c r="AI55" i="6" s="1"/>
  <c r="AU54" i="6"/>
  <c r="AN54" i="6"/>
  <c r="AM54" i="6"/>
  <c r="AJ54" i="6"/>
  <c r="AI54" i="6"/>
  <c r="AG54" i="6"/>
  <c r="AF54" i="6"/>
  <c r="AD54" i="6"/>
  <c r="AC54" i="6"/>
  <c r="AB54" i="6"/>
  <c r="AA54" i="6"/>
  <c r="Y54" i="6"/>
  <c r="X54" i="6"/>
  <c r="V54" i="6"/>
  <c r="U54" i="6"/>
  <c r="T54" i="6"/>
  <c r="S54" i="6"/>
  <c r="R54" i="6"/>
  <c r="P54" i="6"/>
  <c r="N54" i="6"/>
  <c r="M54" i="6"/>
  <c r="L54" i="6"/>
  <c r="K54" i="6"/>
  <c r="I54" i="6"/>
  <c r="H54" i="6"/>
  <c r="G54" i="6"/>
  <c r="F54" i="6"/>
  <c r="E54" i="6"/>
  <c r="D54" i="6"/>
  <c r="B54" i="6"/>
  <c r="A54" i="6"/>
  <c r="AH54" i="6" s="1"/>
  <c r="AU53" i="6"/>
  <c r="AN53" i="6"/>
  <c r="AM53" i="6"/>
  <c r="AJ53" i="6"/>
  <c r="AK53" i="6" s="1"/>
  <c r="AI53" i="6"/>
  <c r="AH53" i="6"/>
  <c r="AC53" i="6"/>
  <c r="AA53" i="6"/>
  <c r="W53" i="6"/>
  <c r="V53" i="6"/>
  <c r="U53" i="6"/>
  <c r="T53" i="6"/>
  <c r="S53" i="6"/>
  <c r="R53" i="6"/>
  <c r="Q53" i="6"/>
  <c r="O53" i="6"/>
  <c r="M53" i="6"/>
  <c r="L53" i="6"/>
  <c r="K53" i="6"/>
  <c r="J53" i="6"/>
  <c r="I53" i="6"/>
  <c r="H53" i="6"/>
  <c r="G53" i="6"/>
  <c r="F53" i="6"/>
  <c r="E53" i="6"/>
  <c r="D53" i="6"/>
  <c r="B53" i="6"/>
  <c r="A53" i="6"/>
  <c r="AB53" i="6" s="1"/>
  <c r="AU52" i="6"/>
  <c r="AN52" i="6"/>
  <c r="AM52" i="6"/>
  <c r="AI52" i="6"/>
  <c r="AB52" i="6"/>
  <c r="Z52" i="6"/>
  <c r="V52" i="6"/>
  <c r="U52" i="6"/>
  <c r="S52" i="6"/>
  <c r="N52" i="6"/>
  <c r="M52" i="6"/>
  <c r="L52" i="6"/>
  <c r="K52" i="6"/>
  <c r="J52" i="6"/>
  <c r="I52" i="6"/>
  <c r="H52" i="6"/>
  <c r="G52" i="6"/>
  <c r="F52" i="6"/>
  <c r="E52" i="6"/>
  <c r="D52" i="6"/>
  <c r="B52" i="6"/>
  <c r="A52" i="6"/>
  <c r="AD52" i="6" s="1"/>
  <c r="AU51" i="6"/>
  <c r="AN51" i="6"/>
  <c r="AM51" i="6"/>
  <c r="AH51" i="6"/>
  <c r="AA51" i="6"/>
  <c r="Y51" i="6"/>
  <c r="V51" i="6"/>
  <c r="U51" i="6"/>
  <c r="P51" i="6"/>
  <c r="N51" i="6"/>
  <c r="M51" i="6"/>
  <c r="L51" i="6"/>
  <c r="K51" i="6"/>
  <c r="J51" i="6"/>
  <c r="I51" i="6"/>
  <c r="H51" i="6"/>
  <c r="G51" i="6"/>
  <c r="F51" i="6"/>
  <c r="E51" i="6"/>
  <c r="D51" i="6"/>
  <c r="B51" i="6"/>
  <c r="A51" i="6"/>
  <c r="AC51" i="6" s="1"/>
  <c r="AU50" i="6"/>
  <c r="AN50" i="6"/>
  <c r="AM50" i="6"/>
  <c r="AJ50" i="6"/>
  <c r="AG50" i="6"/>
  <c r="AF50" i="6"/>
  <c r="AE50" i="6"/>
  <c r="Z50" i="6"/>
  <c r="X50" i="6"/>
  <c r="V50" i="6"/>
  <c r="U50" i="6"/>
  <c r="T50" i="6"/>
  <c r="S50" i="6"/>
  <c r="R50" i="6"/>
  <c r="Q50" i="6"/>
  <c r="P50" i="6"/>
  <c r="M50" i="6"/>
  <c r="L50" i="6"/>
  <c r="K50" i="6"/>
  <c r="J50" i="6"/>
  <c r="I50" i="6"/>
  <c r="H50" i="6"/>
  <c r="G50" i="6"/>
  <c r="F50" i="6"/>
  <c r="E50" i="6"/>
  <c r="D50" i="6"/>
  <c r="B50" i="6"/>
  <c r="A50" i="6"/>
  <c r="Y50" i="6" s="1"/>
  <c r="AU49" i="6"/>
  <c r="AN49" i="6"/>
  <c r="AM49" i="6"/>
  <c r="AJ49" i="6"/>
  <c r="AI49" i="6"/>
  <c r="AG49" i="6"/>
  <c r="AF49" i="6"/>
  <c r="AE49" i="6"/>
  <c r="AD49" i="6"/>
  <c r="AB49" i="6"/>
  <c r="AA49" i="6"/>
  <c r="Y49" i="6"/>
  <c r="X49" i="6"/>
  <c r="W49" i="6"/>
  <c r="V49" i="6"/>
  <c r="U49" i="6"/>
  <c r="T49" i="6"/>
  <c r="S49" i="6"/>
  <c r="R49" i="6"/>
  <c r="Q49" i="6"/>
  <c r="AK49" i="6" s="1"/>
  <c r="P49" i="6"/>
  <c r="O49" i="6"/>
  <c r="N49" i="6"/>
  <c r="M49" i="6"/>
  <c r="L49" i="6"/>
  <c r="K49" i="6"/>
  <c r="J49" i="6"/>
  <c r="I49" i="6"/>
  <c r="H49" i="6"/>
  <c r="G49" i="6"/>
  <c r="F49" i="6"/>
  <c r="E49" i="6"/>
  <c r="D49" i="6"/>
  <c r="B49" i="6"/>
  <c r="A49" i="6"/>
  <c r="AC49" i="6" s="1"/>
  <c r="AU48" i="6"/>
  <c r="AN48" i="6"/>
  <c r="AM48" i="6"/>
  <c r="AI48" i="6"/>
  <c r="AH48" i="6"/>
  <c r="AE48" i="6"/>
  <c r="AC48" i="6"/>
  <c r="AA48" i="6"/>
  <c r="Z48" i="6"/>
  <c r="X48" i="6"/>
  <c r="W48" i="6"/>
  <c r="V48" i="6"/>
  <c r="U48" i="6"/>
  <c r="P48" i="6"/>
  <c r="N48" i="6"/>
  <c r="M48" i="6"/>
  <c r="L48" i="6"/>
  <c r="K48" i="6"/>
  <c r="J48" i="6"/>
  <c r="I48" i="6"/>
  <c r="H48" i="6"/>
  <c r="G48" i="6"/>
  <c r="F48" i="6"/>
  <c r="E48" i="6"/>
  <c r="D48" i="6"/>
  <c r="B48" i="6"/>
  <c r="A48" i="6"/>
  <c r="AU47" i="6"/>
  <c r="AN47" i="6"/>
  <c r="AM47" i="6"/>
  <c r="V47" i="6"/>
  <c r="U47" i="6"/>
  <c r="N47" i="6"/>
  <c r="M47" i="6"/>
  <c r="L47" i="6"/>
  <c r="K47" i="6"/>
  <c r="J47" i="6"/>
  <c r="I47" i="6"/>
  <c r="H47" i="6"/>
  <c r="G47" i="6"/>
  <c r="F47" i="6"/>
  <c r="E47" i="6"/>
  <c r="D47" i="6"/>
  <c r="B47" i="6"/>
  <c r="A47" i="6"/>
  <c r="AU46" i="6"/>
  <c r="AN46" i="6"/>
  <c r="AM46" i="6"/>
  <c r="AJ46" i="6"/>
  <c r="AI46" i="6"/>
  <c r="AG46" i="6"/>
  <c r="AF46" i="6"/>
  <c r="AD46" i="6"/>
  <c r="AC46" i="6"/>
  <c r="AB46" i="6"/>
  <c r="AA46" i="6"/>
  <c r="Y46" i="6"/>
  <c r="X46" i="6"/>
  <c r="V46" i="6"/>
  <c r="U46" i="6"/>
  <c r="T46" i="6"/>
  <c r="S46" i="6"/>
  <c r="R46" i="6"/>
  <c r="Q46" i="6"/>
  <c r="AK46" i="6" s="1"/>
  <c r="P46" i="6"/>
  <c r="N46" i="6"/>
  <c r="M46" i="6"/>
  <c r="L46" i="6"/>
  <c r="K46" i="6"/>
  <c r="I46" i="6"/>
  <c r="H46" i="6"/>
  <c r="G46" i="6"/>
  <c r="F46" i="6"/>
  <c r="E46" i="6"/>
  <c r="D46" i="6"/>
  <c r="B46" i="6"/>
  <c r="A46" i="6"/>
  <c r="AH46" i="6" s="1"/>
  <c r="AU45" i="6"/>
  <c r="AN45" i="6"/>
  <c r="AM45" i="6"/>
  <c r="AJ45" i="6"/>
  <c r="AH45" i="6"/>
  <c r="AF45" i="6"/>
  <c r="AE45" i="6"/>
  <c r="AB45" i="6"/>
  <c r="Z45" i="6"/>
  <c r="W45" i="6"/>
  <c r="V45" i="6"/>
  <c r="U45" i="6"/>
  <c r="T45" i="6"/>
  <c r="S45" i="6"/>
  <c r="R45" i="6"/>
  <c r="P45" i="6"/>
  <c r="M45" i="6"/>
  <c r="L45" i="6"/>
  <c r="K45" i="6"/>
  <c r="I45" i="6"/>
  <c r="H45" i="6"/>
  <c r="G45" i="6"/>
  <c r="F45" i="6"/>
  <c r="E45" i="6"/>
  <c r="D45" i="6"/>
  <c r="B45" i="6"/>
  <c r="A45" i="6"/>
  <c r="AA45" i="6" s="1"/>
  <c r="AU44" i="6"/>
  <c r="AN44" i="6"/>
  <c r="AM44" i="6"/>
  <c r="AJ44" i="6"/>
  <c r="AI44" i="6"/>
  <c r="AH44" i="6"/>
  <c r="AG44" i="6"/>
  <c r="AE44" i="6"/>
  <c r="AD44" i="6"/>
  <c r="AA44" i="6"/>
  <c r="Z44" i="6"/>
  <c r="Y44" i="6"/>
  <c r="W44" i="6"/>
  <c r="V44" i="6"/>
  <c r="U44" i="6"/>
  <c r="T44" i="6"/>
  <c r="S44" i="6"/>
  <c r="R44" i="6"/>
  <c r="P44" i="6"/>
  <c r="N44" i="6"/>
  <c r="L44" i="6"/>
  <c r="K44" i="6"/>
  <c r="J44" i="6"/>
  <c r="I44" i="6"/>
  <c r="H44" i="6"/>
  <c r="G44" i="6"/>
  <c r="F44" i="6"/>
  <c r="E44" i="6"/>
  <c r="D44" i="6"/>
  <c r="B44" i="6"/>
  <c r="A44" i="6"/>
  <c r="AU43" i="6"/>
  <c r="AN43" i="6"/>
  <c r="AF43" i="6"/>
  <c r="Z43" i="6"/>
  <c r="V43" i="6"/>
  <c r="U43" i="6"/>
  <c r="P43" i="6"/>
  <c r="M43" i="6"/>
  <c r="L43" i="6"/>
  <c r="K43" i="6"/>
  <c r="J43" i="6"/>
  <c r="I43" i="6"/>
  <c r="H43" i="6"/>
  <c r="G43" i="6"/>
  <c r="F43" i="6"/>
  <c r="E43" i="6"/>
  <c r="D43" i="6"/>
  <c r="B43" i="6"/>
  <c r="A43" i="6"/>
  <c r="AB43" i="6" s="1"/>
  <c r="AU42" i="6"/>
  <c r="AN42" i="6"/>
  <c r="AM42" i="6"/>
  <c r="AJ42" i="6"/>
  <c r="AI42" i="6"/>
  <c r="AG42" i="6"/>
  <c r="AF42" i="6"/>
  <c r="AE42" i="6"/>
  <c r="AD42" i="6"/>
  <c r="AB42" i="6"/>
  <c r="AA42" i="6"/>
  <c r="Y42" i="6"/>
  <c r="X42" i="6"/>
  <c r="W42" i="6"/>
  <c r="V42" i="6"/>
  <c r="U42" i="6"/>
  <c r="T42" i="6"/>
  <c r="S42" i="6"/>
  <c r="R42" i="6"/>
  <c r="Q42" i="6"/>
  <c r="AK42" i="6" s="1"/>
  <c r="P42" i="6"/>
  <c r="O42" i="6"/>
  <c r="N42" i="6"/>
  <c r="M42" i="6"/>
  <c r="L42" i="6"/>
  <c r="K42" i="6"/>
  <c r="J42" i="6"/>
  <c r="I42" i="6"/>
  <c r="H42" i="6"/>
  <c r="G42" i="6"/>
  <c r="F42" i="6"/>
  <c r="E42" i="6"/>
  <c r="D42" i="6"/>
  <c r="B42" i="6"/>
  <c r="A42" i="6"/>
  <c r="AC42" i="6" s="1"/>
  <c r="AU41" i="6"/>
  <c r="AN41" i="6"/>
  <c r="AM41" i="6"/>
  <c r="AI41" i="6"/>
  <c r="AF41" i="6"/>
  <c r="AE41" i="6"/>
  <c r="AD41" i="6"/>
  <c r="AA41" i="6"/>
  <c r="X41" i="6"/>
  <c r="V41" i="6"/>
  <c r="U41" i="6"/>
  <c r="S41" i="6"/>
  <c r="R41" i="6"/>
  <c r="Q41" i="6"/>
  <c r="P41" i="6"/>
  <c r="N41" i="6"/>
  <c r="M41" i="6"/>
  <c r="L41" i="6"/>
  <c r="K41" i="6"/>
  <c r="J41" i="6"/>
  <c r="I41" i="6"/>
  <c r="H41" i="6"/>
  <c r="G41" i="6"/>
  <c r="F41" i="6"/>
  <c r="E41" i="6"/>
  <c r="D41" i="6"/>
  <c r="B41" i="6"/>
  <c r="A41" i="6"/>
  <c r="Z41" i="6" s="1"/>
  <c r="AU40" i="6"/>
  <c r="AN40" i="6"/>
  <c r="AM40" i="6"/>
  <c r="AJ40" i="6"/>
  <c r="AH40" i="6"/>
  <c r="AG40" i="6"/>
  <c r="AE40" i="6"/>
  <c r="AD40" i="6"/>
  <c r="AB40" i="6"/>
  <c r="Z40" i="6"/>
  <c r="Y40" i="6"/>
  <c r="W40" i="6"/>
  <c r="V40" i="6"/>
  <c r="U40" i="6"/>
  <c r="P40" i="6"/>
  <c r="N40" i="6"/>
  <c r="M40" i="6"/>
  <c r="L40" i="6"/>
  <c r="K40" i="6"/>
  <c r="J40" i="6"/>
  <c r="I40" i="6"/>
  <c r="H40" i="6"/>
  <c r="G40" i="6"/>
  <c r="F40" i="6"/>
  <c r="E40" i="6"/>
  <c r="D40" i="6"/>
  <c r="B40" i="6"/>
  <c r="A40" i="6"/>
  <c r="AU39" i="6"/>
  <c r="AN39" i="6"/>
  <c r="AM39" i="6"/>
  <c r="AJ39" i="6"/>
  <c r="AI39" i="6"/>
  <c r="AG39" i="6"/>
  <c r="AF39" i="6"/>
  <c r="AD39" i="6"/>
  <c r="AC39" i="6"/>
  <c r="AB39" i="6"/>
  <c r="AA39" i="6"/>
  <c r="Y39" i="6"/>
  <c r="X39" i="6"/>
  <c r="V39" i="6"/>
  <c r="U39" i="6"/>
  <c r="T39" i="6"/>
  <c r="S39" i="6"/>
  <c r="R39" i="6"/>
  <c r="Q39" i="6"/>
  <c r="AK39" i="6" s="1"/>
  <c r="P39" i="6"/>
  <c r="N39" i="6"/>
  <c r="M39" i="6"/>
  <c r="L39" i="6"/>
  <c r="K39" i="6"/>
  <c r="J39" i="6"/>
  <c r="I39" i="6"/>
  <c r="H39" i="6"/>
  <c r="G39" i="6"/>
  <c r="F39" i="6"/>
  <c r="E39" i="6"/>
  <c r="D39" i="6"/>
  <c r="B39" i="6"/>
  <c r="A39" i="6"/>
  <c r="AH39" i="6" s="1"/>
  <c r="AU38" i="6"/>
  <c r="AN38" i="6"/>
  <c r="AM38" i="6"/>
  <c r="AJ38" i="6"/>
  <c r="AK38" i="6" s="1"/>
  <c r="AH38" i="6"/>
  <c r="AE38" i="6"/>
  <c r="Z38" i="6"/>
  <c r="W38" i="6"/>
  <c r="V38" i="6"/>
  <c r="U38" i="6"/>
  <c r="T38" i="6"/>
  <c r="S38" i="6"/>
  <c r="R38" i="6"/>
  <c r="Q38" i="6"/>
  <c r="P38" i="6"/>
  <c r="M38" i="6"/>
  <c r="L38" i="6"/>
  <c r="K38" i="6"/>
  <c r="J38" i="6"/>
  <c r="I38" i="6"/>
  <c r="H38" i="6"/>
  <c r="G38" i="6"/>
  <c r="F38" i="6"/>
  <c r="E38" i="6"/>
  <c r="D38" i="6"/>
  <c r="B38" i="6"/>
  <c r="A38" i="6"/>
  <c r="AA38" i="6" s="1"/>
  <c r="AU37" i="6"/>
  <c r="AN37" i="6"/>
  <c r="AM37" i="6"/>
  <c r="AH37" i="6"/>
  <c r="W37" i="6"/>
  <c r="V37" i="6"/>
  <c r="U37" i="6"/>
  <c r="T37" i="6"/>
  <c r="S37" i="6"/>
  <c r="R37" i="6"/>
  <c r="Q37" i="6"/>
  <c r="N37" i="6"/>
  <c r="M37" i="6"/>
  <c r="L37" i="6"/>
  <c r="K37" i="6"/>
  <c r="J37" i="6"/>
  <c r="I37" i="6"/>
  <c r="H37" i="6"/>
  <c r="G37" i="6"/>
  <c r="F37" i="6"/>
  <c r="E37" i="6"/>
  <c r="D37" i="6"/>
  <c r="B37" i="6"/>
  <c r="A37" i="6"/>
  <c r="AA37" i="6" s="1"/>
  <c r="AU36" i="6"/>
  <c r="AN36" i="6"/>
  <c r="AM36" i="6"/>
  <c r="AF36" i="6"/>
  <c r="Z36" i="6"/>
  <c r="V36" i="6"/>
  <c r="U36" i="6"/>
  <c r="T36" i="6"/>
  <c r="S36" i="6"/>
  <c r="R36" i="6"/>
  <c r="P36" i="6"/>
  <c r="M36" i="6"/>
  <c r="L36" i="6"/>
  <c r="K36" i="6"/>
  <c r="J36" i="6"/>
  <c r="I36" i="6"/>
  <c r="H36" i="6"/>
  <c r="G36" i="6"/>
  <c r="F36" i="6"/>
  <c r="E36" i="6"/>
  <c r="D36" i="6"/>
  <c r="B36" i="6"/>
  <c r="A36" i="6"/>
  <c r="AA36" i="6" s="1"/>
  <c r="AU35" i="6"/>
  <c r="AN35" i="6"/>
  <c r="AJ35" i="6"/>
  <c r="AI35" i="6"/>
  <c r="AG35" i="6"/>
  <c r="AF35" i="6"/>
  <c r="AE35" i="6"/>
  <c r="AD35" i="6"/>
  <c r="AB35" i="6"/>
  <c r="AA35" i="6"/>
  <c r="Y35" i="6"/>
  <c r="X35" i="6"/>
  <c r="W35" i="6"/>
  <c r="V35" i="6"/>
  <c r="U35" i="6"/>
  <c r="T35" i="6"/>
  <c r="S35" i="6"/>
  <c r="R35" i="6"/>
  <c r="Q35" i="6"/>
  <c r="AK35" i="6" s="1"/>
  <c r="P35" i="6"/>
  <c r="N35" i="6"/>
  <c r="L35" i="6"/>
  <c r="K35" i="6"/>
  <c r="J35" i="6"/>
  <c r="I35" i="6"/>
  <c r="H35" i="6"/>
  <c r="G35" i="6"/>
  <c r="F35" i="6"/>
  <c r="E35" i="6"/>
  <c r="D35" i="6"/>
  <c r="B35" i="6"/>
  <c r="A35" i="6"/>
  <c r="AC35" i="6" s="1"/>
  <c r="AU34" i="6"/>
  <c r="AN34" i="6"/>
  <c r="AM34" i="6"/>
  <c r="V34" i="6"/>
  <c r="U34" i="6"/>
  <c r="P34" i="6"/>
  <c r="N34" i="6"/>
  <c r="M34" i="6"/>
  <c r="L34" i="6"/>
  <c r="K34" i="6"/>
  <c r="I34" i="6"/>
  <c r="H34" i="6"/>
  <c r="G34" i="6"/>
  <c r="F34" i="6"/>
  <c r="E34" i="6"/>
  <c r="D34" i="6"/>
  <c r="B34" i="6"/>
  <c r="A34" i="6"/>
  <c r="AU33" i="6"/>
  <c r="AN33" i="6"/>
  <c r="AM33" i="6"/>
  <c r="AH33" i="6"/>
  <c r="AE33" i="6"/>
  <c r="Z33" i="6"/>
  <c r="W33" i="6"/>
  <c r="V33" i="6"/>
  <c r="U33" i="6"/>
  <c r="T33" i="6"/>
  <c r="S33" i="6"/>
  <c r="R33" i="6"/>
  <c r="Q33" i="6"/>
  <c r="O33" i="6"/>
  <c r="N33" i="6"/>
  <c r="M33" i="6"/>
  <c r="L33" i="6"/>
  <c r="K33" i="6"/>
  <c r="J33" i="6"/>
  <c r="I33" i="6"/>
  <c r="H33" i="6"/>
  <c r="G33" i="6"/>
  <c r="F33" i="6"/>
  <c r="E33" i="6"/>
  <c r="D33" i="6"/>
  <c r="B33" i="6"/>
  <c r="A33" i="6"/>
  <c r="AB33" i="6" s="1"/>
  <c r="AU32" i="6"/>
  <c r="AN32" i="6"/>
  <c r="AM32" i="6"/>
  <c r="AJ32" i="6"/>
  <c r="AI32" i="6"/>
  <c r="AG32" i="6"/>
  <c r="AF32" i="6"/>
  <c r="AD32" i="6"/>
  <c r="AC32" i="6"/>
  <c r="AB32" i="6"/>
  <c r="AA32" i="6"/>
  <c r="Y32" i="6"/>
  <c r="X32" i="6"/>
  <c r="V32" i="6"/>
  <c r="U32" i="6"/>
  <c r="T32" i="6"/>
  <c r="S32" i="6"/>
  <c r="R32" i="6"/>
  <c r="Q32" i="6"/>
  <c r="AK32" i="6" s="1"/>
  <c r="P32" i="6"/>
  <c r="N32" i="6"/>
  <c r="M32" i="6"/>
  <c r="L32" i="6"/>
  <c r="K32" i="6"/>
  <c r="J32" i="6"/>
  <c r="I32" i="6"/>
  <c r="H32" i="6"/>
  <c r="F32" i="6"/>
  <c r="E32" i="6"/>
  <c r="D32" i="6"/>
  <c r="B32" i="6"/>
  <c r="A32" i="6"/>
  <c r="AH32" i="6" s="1"/>
  <c r="AU31" i="6"/>
  <c r="AN31" i="6"/>
  <c r="AM31" i="6"/>
  <c r="AJ31" i="6"/>
  <c r="AK31" i="6" s="1"/>
  <c r="AI31" i="6"/>
  <c r="AH31" i="6"/>
  <c r="AF31" i="6"/>
  <c r="AE31" i="6"/>
  <c r="AB31" i="6"/>
  <c r="Z31" i="6"/>
  <c r="X31" i="6"/>
  <c r="W31" i="6"/>
  <c r="V31" i="6"/>
  <c r="U31" i="6"/>
  <c r="T31" i="6"/>
  <c r="S31" i="6"/>
  <c r="R31" i="6"/>
  <c r="Q31" i="6"/>
  <c r="P31" i="6"/>
  <c r="O31" i="6"/>
  <c r="N31" i="6"/>
  <c r="M31" i="6"/>
  <c r="L31" i="6"/>
  <c r="K31" i="6"/>
  <c r="J31" i="6"/>
  <c r="I31" i="6"/>
  <c r="H31" i="6"/>
  <c r="G31" i="6"/>
  <c r="F31" i="6"/>
  <c r="E31" i="6"/>
  <c r="D31" i="6"/>
  <c r="B31" i="6"/>
  <c r="A31" i="6"/>
  <c r="AU30" i="6"/>
  <c r="AN30" i="6"/>
  <c r="AM30" i="6"/>
  <c r="AI30" i="6"/>
  <c r="AG30" i="6"/>
  <c r="AD30" i="6"/>
  <c r="Y30" i="6"/>
  <c r="V30" i="6"/>
  <c r="U30" i="6"/>
  <c r="T30" i="6"/>
  <c r="S30" i="6"/>
  <c r="R30" i="6"/>
  <c r="Q30" i="6"/>
  <c r="P30" i="6"/>
  <c r="O30" i="6"/>
  <c r="N30" i="6"/>
  <c r="M30" i="6"/>
  <c r="L30" i="6"/>
  <c r="K30" i="6"/>
  <c r="J30" i="6"/>
  <c r="I30" i="6"/>
  <c r="H30" i="6"/>
  <c r="G30" i="6"/>
  <c r="F30" i="6"/>
  <c r="E30" i="6"/>
  <c r="D30" i="6"/>
  <c r="B30" i="6"/>
  <c r="A30" i="6"/>
  <c r="AJ30" i="6" s="1"/>
  <c r="AU29" i="6"/>
  <c r="AN29" i="6"/>
  <c r="AM29" i="6"/>
  <c r="AI29" i="6"/>
  <c r="AH29" i="6"/>
  <c r="AG29" i="6"/>
  <c r="AF29" i="6"/>
  <c r="AD29" i="6"/>
  <c r="AC29" i="6"/>
  <c r="Z29" i="6"/>
  <c r="Y29" i="6"/>
  <c r="X29" i="6"/>
  <c r="V29" i="6"/>
  <c r="U29" i="6"/>
  <c r="T29" i="6"/>
  <c r="S29" i="6"/>
  <c r="R29" i="6"/>
  <c r="Q29" i="6"/>
  <c r="P29" i="6"/>
  <c r="O29" i="6"/>
  <c r="N29" i="6"/>
  <c r="M29" i="6"/>
  <c r="L29" i="6"/>
  <c r="K29" i="6"/>
  <c r="J29" i="6"/>
  <c r="I29" i="6"/>
  <c r="H29" i="6"/>
  <c r="G29" i="6"/>
  <c r="F29" i="6"/>
  <c r="E29" i="6"/>
  <c r="D29" i="6"/>
  <c r="B29" i="6"/>
  <c r="A29" i="6"/>
  <c r="AU28" i="6"/>
  <c r="AN28" i="6"/>
  <c r="AM28" i="6"/>
  <c r="AJ28" i="6"/>
  <c r="AG28" i="6"/>
  <c r="AE28" i="6"/>
  <c r="AB28" i="6"/>
  <c r="Y28" i="6"/>
  <c r="W28" i="6"/>
  <c r="V28" i="6"/>
  <c r="U28" i="6"/>
  <c r="T28" i="6"/>
  <c r="S28" i="6"/>
  <c r="R28" i="6"/>
  <c r="Q28" i="6"/>
  <c r="AK28" i="6" s="1"/>
  <c r="P28" i="6"/>
  <c r="O28" i="6"/>
  <c r="N28" i="6"/>
  <c r="M28" i="6"/>
  <c r="L28" i="6"/>
  <c r="K28" i="6"/>
  <c r="J28" i="6"/>
  <c r="I28" i="6"/>
  <c r="H28" i="6"/>
  <c r="G28" i="6"/>
  <c r="F28" i="6"/>
  <c r="E28" i="6"/>
  <c r="D28" i="6"/>
  <c r="B28" i="6"/>
  <c r="A28" i="6"/>
  <c r="AH28" i="6" s="1"/>
  <c r="AU27" i="6"/>
  <c r="AN27" i="6"/>
  <c r="AM27" i="6"/>
  <c r="AJ27" i="6"/>
  <c r="AI27" i="6"/>
  <c r="AG27" i="6"/>
  <c r="AF27" i="6"/>
  <c r="AE27" i="6"/>
  <c r="AD27" i="6"/>
  <c r="AB27" i="6"/>
  <c r="AA27" i="6"/>
  <c r="Y27" i="6"/>
  <c r="X27" i="6"/>
  <c r="W27" i="6"/>
  <c r="V27" i="6"/>
  <c r="U27" i="6"/>
  <c r="T27" i="6"/>
  <c r="S27" i="6"/>
  <c r="R27" i="6"/>
  <c r="Q27" i="6"/>
  <c r="AK27" i="6" s="1"/>
  <c r="P27" i="6"/>
  <c r="O27" i="6"/>
  <c r="N27" i="6"/>
  <c r="M27" i="6"/>
  <c r="L27" i="6"/>
  <c r="K27" i="6"/>
  <c r="J27" i="6"/>
  <c r="I27" i="6"/>
  <c r="H27" i="6"/>
  <c r="G27" i="6"/>
  <c r="F27" i="6"/>
  <c r="E27" i="6"/>
  <c r="D27" i="6"/>
  <c r="B27" i="6"/>
  <c r="A27" i="6"/>
  <c r="AC27" i="6" s="1"/>
  <c r="AU26" i="6"/>
  <c r="AN26" i="6"/>
  <c r="AM26" i="6"/>
  <c r="AE26" i="6"/>
  <c r="Z26" i="6"/>
  <c r="V26" i="6"/>
  <c r="U26" i="6"/>
  <c r="T26" i="6"/>
  <c r="S26" i="6"/>
  <c r="R26" i="6"/>
  <c r="P26" i="6"/>
  <c r="N26" i="6"/>
  <c r="M26" i="6"/>
  <c r="L26" i="6"/>
  <c r="K26" i="6"/>
  <c r="J26" i="6"/>
  <c r="I26" i="6"/>
  <c r="H26" i="6"/>
  <c r="F26" i="6"/>
  <c r="E26" i="6"/>
  <c r="D26" i="6"/>
  <c r="B26" i="6"/>
  <c r="A26" i="6"/>
  <c r="AA26" i="6" s="1"/>
  <c r="AU25" i="6"/>
  <c r="AN25" i="6"/>
  <c r="AJ25" i="6"/>
  <c r="AI25" i="6"/>
  <c r="AG25" i="6"/>
  <c r="AF25" i="6"/>
  <c r="AD25" i="6"/>
  <c r="AC25" i="6"/>
  <c r="AB25" i="6"/>
  <c r="AA25" i="6"/>
  <c r="Y25" i="6"/>
  <c r="X25" i="6"/>
  <c r="V25" i="6"/>
  <c r="U25" i="6"/>
  <c r="T25" i="6"/>
  <c r="S25" i="6"/>
  <c r="R25" i="6"/>
  <c r="P25" i="6"/>
  <c r="N25" i="6"/>
  <c r="M25" i="6"/>
  <c r="L25" i="6"/>
  <c r="K25" i="6"/>
  <c r="J25" i="6"/>
  <c r="I25" i="6"/>
  <c r="H25" i="6"/>
  <c r="G25" i="6"/>
  <c r="F25" i="6"/>
  <c r="E25" i="6"/>
  <c r="D25" i="6"/>
  <c r="B25" i="6"/>
  <c r="A25" i="6"/>
  <c r="AH25" i="6" s="1"/>
  <c r="AU24" i="6"/>
  <c r="AN24" i="6"/>
  <c r="AM24" i="6"/>
  <c r="AJ24" i="6"/>
  <c r="AH24" i="6"/>
  <c r="AE24" i="6"/>
  <c r="Z24" i="6"/>
  <c r="W24" i="6"/>
  <c r="V24" i="6"/>
  <c r="U24" i="6"/>
  <c r="P24" i="6"/>
  <c r="N24" i="6"/>
  <c r="M24" i="6"/>
  <c r="L24" i="6"/>
  <c r="K24" i="6"/>
  <c r="J24" i="6"/>
  <c r="I24" i="6"/>
  <c r="H24" i="6"/>
  <c r="G24" i="6"/>
  <c r="F24" i="6"/>
  <c r="E24" i="6"/>
  <c r="D24" i="6"/>
  <c r="B24" i="6"/>
  <c r="A24" i="6"/>
  <c r="AA24" i="6" s="1"/>
  <c r="AU23" i="6"/>
  <c r="AN23" i="6"/>
  <c r="AI23" i="6"/>
  <c r="AG23" i="6"/>
  <c r="AA23" i="6"/>
  <c r="Y23" i="6"/>
  <c r="V23" i="6"/>
  <c r="U23" i="6"/>
  <c r="S23" i="6"/>
  <c r="R23" i="6"/>
  <c r="P23" i="6"/>
  <c r="N23" i="6"/>
  <c r="M23" i="6"/>
  <c r="L23" i="6"/>
  <c r="K23" i="6"/>
  <c r="J23" i="6"/>
  <c r="I23" i="6"/>
  <c r="H23" i="6"/>
  <c r="G23" i="6"/>
  <c r="F23" i="6"/>
  <c r="E23" i="6"/>
  <c r="D23" i="6"/>
  <c r="B23" i="6"/>
  <c r="A23" i="6"/>
  <c r="AC23" i="6" s="1"/>
  <c r="AU22" i="6"/>
  <c r="AN22" i="6"/>
  <c r="AM22" i="6"/>
  <c r="AJ22" i="6"/>
  <c r="AH22" i="6"/>
  <c r="AG22" i="6"/>
  <c r="AF22" i="6"/>
  <c r="AE22" i="6"/>
  <c r="AC22" i="6"/>
  <c r="Z22" i="6"/>
  <c r="Y22" i="6"/>
  <c r="X22" i="6"/>
  <c r="W22" i="6"/>
  <c r="V22" i="6"/>
  <c r="U22" i="6"/>
  <c r="P22" i="6"/>
  <c r="N22" i="6"/>
  <c r="M22" i="6"/>
  <c r="L22" i="6"/>
  <c r="K22" i="6"/>
  <c r="J22" i="6"/>
  <c r="I22" i="6"/>
  <c r="H22" i="6"/>
  <c r="G22" i="6"/>
  <c r="F22" i="6"/>
  <c r="E22" i="6"/>
  <c r="D22" i="6"/>
  <c r="B22" i="6"/>
  <c r="A22" i="6"/>
  <c r="AU21" i="6"/>
  <c r="AN21" i="6"/>
  <c r="AM21" i="6"/>
  <c r="AJ21" i="6"/>
  <c r="AI21" i="6"/>
  <c r="AG21" i="6"/>
  <c r="AF21" i="6"/>
  <c r="AE21" i="6"/>
  <c r="AD21" i="6"/>
  <c r="AB21" i="6"/>
  <c r="AA21" i="6"/>
  <c r="Y21" i="6"/>
  <c r="X21" i="6"/>
  <c r="W21" i="6"/>
  <c r="V21" i="6"/>
  <c r="U21" i="6"/>
  <c r="T21" i="6"/>
  <c r="S21" i="6"/>
  <c r="R21" i="6"/>
  <c r="Q21" i="6"/>
  <c r="AK21" i="6" s="1"/>
  <c r="P21" i="6"/>
  <c r="O21" i="6"/>
  <c r="N21" i="6"/>
  <c r="M21" i="6"/>
  <c r="L21" i="6"/>
  <c r="K21" i="6"/>
  <c r="J21" i="6"/>
  <c r="I21" i="6"/>
  <c r="H21" i="6"/>
  <c r="G21" i="6"/>
  <c r="F21" i="6"/>
  <c r="E21" i="6"/>
  <c r="D21" i="6"/>
  <c r="B21" i="6"/>
  <c r="A21" i="6"/>
  <c r="AC21" i="6" s="1"/>
  <c r="AU20" i="6"/>
  <c r="AN20" i="6"/>
  <c r="AM20" i="6"/>
  <c r="AH20" i="6"/>
  <c r="AE20" i="6"/>
  <c r="Z20" i="6"/>
  <c r="W20" i="6"/>
  <c r="V20" i="6"/>
  <c r="U20" i="6"/>
  <c r="T20" i="6"/>
  <c r="S20" i="6"/>
  <c r="R20" i="6"/>
  <c r="P20" i="6"/>
  <c r="O20" i="6"/>
  <c r="N20" i="6"/>
  <c r="M20" i="6"/>
  <c r="L20" i="6"/>
  <c r="K20" i="6"/>
  <c r="J20" i="6"/>
  <c r="I20" i="6"/>
  <c r="H20" i="6"/>
  <c r="G20" i="6"/>
  <c r="F20" i="6"/>
  <c r="E20" i="6"/>
  <c r="D20" i="6"/>
  <c r="B20" i="6"/>
  <c r="A20" i="6"/>
  <c r="AA20" i="6" s="1"/>
  <c r="AU19" i="6"/>
  <c r="AN19" i="6"/>
  <c r="AM19" i="6"/>
  <c r="AJ19" i="6"/>
  <c r="AH19" i="6"/>
  <c r="AG19" i="6"/>
  <c r="AE19" i="6"/>
  <c r="AD19" i="6"/>
  <c r="AC19" i="6"/>
  <c r="Z19" i="6"/>
  <c r="Y19" i="6"/>
  <c r="W19" i="6"/>
  <c r="V19" i="6"/>
  <c r="U19" i="6"/>
  <c r="T19" i="6"/>
  <c r="S19" i="6"/>
  <c r="R19" i="6"/>
  <c r="P19" i="6"/>
  <c r="N19" i="6"/>
  <c r="M19" i="6"/>
  <c r="L19" i="6"/>
  <c r="K19" i="6"/>
  <c r="J19" i="6"/>
  <c r="I19" i="6"/>
  <c r="H19" i="6"/>
  <c r="G19" i="6"/>
  <c r="F19" i="6"/>
  <c r="E19" i="6"/>
  <c r="D19" i="6"/>
  <c r="B19" i="6"/>
  <c r="A19" i="6"/>
  <c r="AU18" i="6"/>
  <c r="AN18" i="6"/>
  <c r="AM18" i="6"/>
  <c r="AJ18" i="6"/>
  <c r="AI18" i="6"/>
  <c r="AG18" i="6"/>
  <c r="AF18" i="6"/>
  <c r="AD18" i="6"/>
  <c r="AC18" i="6"/>
  <c r="AB18" i="6"/>
  <c r="AA18" i="6"/>
  <c r="Y18" i="6"/>
  <c r="X18" i="6"/>
  <c r="V18" i="6"/>
  <c r="U18" i="6"/>
  <c r="T18" i="6"/>
  <c r="S18" i="6"/>
  <c r="R18" i="6"/>
  <c r="P18" i="6"/>
  <c r="N18" i="6"/>
  <c r="M18" i="6"/>
  <c r="L18" i="6"/>
  <c r="K18" i="6"/>
  <c r="J18" i="6"/>
  <c r="I18" i="6"/>
  <c r="H18" i="6"/>
  <c r="G18" i="6"/>
  <c r="F18" i="6"/>
  <c r="E18" i="6"/>
  <c r="D18" i="6"/>
  <c r="B18" i="6"/>
  <c r="A18" i="6"/>
  <c r="AH18" i="6" s="1"/>
  <c r="AU17" i="6"/>
  <c r="AN17" i="6"/>
  <c r="AM17" i="6"/>
  <c r="AJ17" i="6"/>
  <c r="AH17" i="6"/>
  <c r="AE17" i="6"/>
  <c r="AB17" i="6"/>
  <c r="Z17" i="6"/>
  <c r="W17" i="6"/>
  <c r="V17" i="6"/>
  <c r="U17" i="6"/>
  <c r="R17" i="6"/>
  <c r="P17" i="6"/>
  <c r="M17" i="6"/>
  <c r="L17" i="6"/>
  <c r="K17" i="6"/>
  <c r="J17" i="6"/>
  <c r="I17" i="6"/>
  <c r="H17" i="6"/>
  <c r="G17" i="6"/>
  <c r="F17" i="6"/>
  <c r="E17" i="6"/>
  <c r="D17" i="6"/>
  <c r="B17" i="6"/>
  <c r="A17" i="6"/>
  <c r="AA17" i="6" s="1"/>
  <c r="AU16" i="6"/>
  <c r="AN16" i="6"/>
  <c r="AM16" i="6"/>
  <c r="AG16" i="6"/>
  <c r="V16" i="6"/>
  <c r="U16" i="6"/>
  <c r="T16" i="6"/>
  <c r="S16" i="6"/>
  <c r="R16" i="6"/>
  <c r="Q16" i="6"/>
  <c r="P16" i="6"/>
  <c r="O16" i="6"/>
  <c r="N16" i="6"/>
  <c r="M16" i="6"/>
  <c r="L16" i="6"/>
  <c r="K16" i="6"/>
  <c r="J16" i="6"/>
  <c r="I16" i="6"/>
  <c r="H16" i="6"/>
  <c r="G16" i="6"/>
  <c r="F16" i="6"/>
  <c r="E16" i="6"/>
  <c r="D16" i="6"/>
  <c r="B16" i="6"/>
  <c r="A16" i="6"/>
  <c r="AJ16" i="6" s="1"/>
  <c r="AU15" i="6"/>
  <c r="AN15" i="6"/>
  <c r="AM15" i="6"/>
  <c r="AI15" i="6"/>
  <c r="AH15" i="6"/>
  <c r="AG15" i="6"/>
  <c r="AF15" i="6"/>
  <c r="AC15" i="6"/>
  <c r="Z15" i="6"/>
  <c r="Y15" i="6"/>
  <c r="X15" i="6"/>
  <c r="V15" i="6"/>
  <c r="U15" i="6"/>
  <c r="T15" i="6"/>
  <c r="S15" i="6"/>
  <c r="R15" i="6"/>
  <c r="Q15" i="6"/>
  <c r="P15" i="6"/>
  <c r="O15" i="6"/>
  <c r="N15" i="6"/>
  <c r="M15" i="6"/>
  <c r="L15" i="6"/>
  <c r="K15" i="6"/>
  <c r="J15" i="6"/>
  <c r="I15" i="6"/>
  <c r="H15" i="6"/>
  <c r="G15" i="6"/>
  <c r="F15" i="6"/>
  <c r="E15" i="6"/>
  <c r="D15" i="6"/>
  <c r="B15" i="6"/>
  <c r="A15" i="6"/>
  <c r="AU14" i="6"/>
  <c r="AN14" i="6"/>
  <c r="AM14" i="6"/>
  <c r="AJ14" i="6"/>
  <c r="AG14" i="6"/>
  <c r="AE14" i="6"/>
  <c r="AC14" i="6"/>
  <c r="AB14" i="6"/>
  <c r="Y14" i="6"/>
  <c r="W14" i="6"/>
  <c r="V14" i="6"/>
  <c r="U14" i="6"/>
  <c r="T14" i="6"/>
  <c r="S14" i="6"/>
  <c r="R14" i="6"/>
  <c r="Q14" i="6"/>
  <c r="AK14" i="6" s="1"/>
  <c r="P14" i="6"/>
  <c r="N14" i="6"/>
  <c r="M14" i="6"/>
  <c r="L14" i="6"/>
  <c r="K14" i="6"/>
  <c r="J14" i="6"/>
  <c r="I14" i="6"/>
  <c r="H14" i="6"/>
  <c r="G14" i="6"/>
  <c r="F14" i="6"/>
  <c r="E14" i="6"/>
  <c r="D14" i="6"/>
  <c r="B14" i="6"/>
  <c r="A14" i="6"/>
  <c r="AH14" i="6" s="1"/>
  <c r="AU13" i="6"/>
  <c r="AN13" i="6"/>
  <c r="AM13" i="6"/>
  <c r="AJ13" i="6"/>
  <c r="AI13" i="6"/>
  <c r="AG13" i="6"/>
  <c r="AF13" i="6"/>
  <c r="AE13" i="6"/>
  <c r="AD13" i="6"/>
  <c r="AB13" i="6"/>
  <c r="AA13" i="6"/>
  <c r="Y13" i="6"/>
  <c r="X13" i="6"/>
  <c r="W13" i="6"/>
  <c r="V13" i="6"/>
  <c r="U13" i="6"/>
  <c r="P13" i="6"/>
  <c r="L13" i="6"/>
  <c r="K13" i="6"/>
  <c r="I13" i="6"/>
  <c r="H13" i="6"/>
  <c r="G13" i="6"/>
  <c r="F13" i="6"/>
  <c r="E13" i="6"/>
  <c r="D13" i="6"/>
  <c r="B13" i="6"/>
  <c r="A13" i="6"/>
  <c r="AC13" i="6" s="1"/>
  <c r="AU12" i="6"/>
  <c r="AN12" i="6"/>
  <c r="AM12" i="6"/>
  <c r="AI12" i="6"/>
  <c r="AH12" i="6"/>
  <c r="AF12" i="6"/>
  <c r="AE12" i="6"/>
  <c r="AD12" i="6"/>
  <c r="AA12" i="6"/>
  <c r="Z12" i="6"/>
  <c r="X12" i="6"/>
  <c r="W12" i="6"/>
  <c r="V12" i="6"/>
  <c r="U12" i="6"/>
  <c r="T12" i="6"/>
  <c r="S12" i="6"/>
  <c r="R12" i="6"/>
  <c r="P12" i="6"/>
  <c r="N12" i="6"/>
  <c r="M12" i="6"/>
  <c r="L12" i="6"/>
  <c r="K12" i="6"/>
  <c r="I12" i="6"/>
  <c r="H12" i="6"/>
  <c r="G12" i="6"/>
  <c r="F12" i="6"/>
  <c r="E12" i="6"/>
  <c r="D12" i="6"/>
  <c r="B12" i="6"/>
  <c r="A12" i="6"/>
  <c r="AU11" i="6"/>
  <c r="AN11" i="6"/>
  <c r="AM11" i="6"/>
  <c r="V11" i="6"/>
  <c r="U11" i="6"/>
  <c r="T11" i="6"/>
  <c r="S11" i="6"/>
  <c r="R11" i="6"/>
  <c r="P11" i="6"/>
  <c r="N11" i="6"/>
  <c r="L11" i="6"/>
  <c r="K11" i="6"/>
  <c r="I11" i="6"/>
  <c r="H11" i="6"/>
  <c r="G11" i="6"/>
  <c r="F11" i="6"/>
  <c r="E11" i="6"/>
  <c r="D11" i="6"/>
  <c r="B11" i="6"/>
  <c r="A11" i="6"/>
  <c r="AU10" i="6"/>
  <c r="AN10" i="6"/>
  <c r="AM10" i="6"/>
  <c r="AJ10" i="6"/>
  <c r="AI10" i="6"/>
  <c r="AG10" i="6"/>
  <c r="AF10" i="6"/>
  <c r="AD10" i="6"/>
  <c r="AC10" i="6"/>
  <c r="AB10" i="6"/>
  <c r="AA10" i="6"/>
  <c r="Y10" i="6"/>
  <c r="X10" i="6"/>
  <c r="V10" i="6"/>
  <c r="U10" i="6"/>
  <c r="P10" i="6"/>
  <c r="N10" i="6"/>
  <c r="M10" i="6"/>
  <c r="L10" i="6"/>
  <c r="K10" i="6"/>
  <c r="I10" i="6"/>
  <c r="H10" i="6"/>
  <c r="G10" i="6"/>
  <c r="F10" i="6"/>
  <c r="E10" i="6"/>
  <c r="D10" i="6"/>
  <c r="B10" i="6"/>
  <c r="A10" i="6"/>
  <c r="AH10" i="6" s="1"/>
  <c r="AU9" i="6"/>
  <c r="AN9" i="6"/>
  <c r="AM9" i="6"/>
  <c r="AI9" i="6"/>
  <c r="AF9" i="6"/>
  <c r="AA9" i="6"/>
  <c r="X9" i="6"/>
  <c r="V9" i="6"/>
  <c r="U9" i="6"/>
  <c r="T9" i="6"/>
  <c r="S9" i="6"/>
  <c r="R9" i="6"/>
  <c r="P9" i="6"/>
  <c r="O9" i="6"/>
  <c r="M9" i="6"/>
  <c r="L9" i="6"/>
  <c r="K9" i="6"/>
  <c r="J9" i="6"/>
  <c r="I9" i="6"/>
  <c r="H9" i="6"/>
  <c r="G9" i="6"/>
  <c r="F9" i="6"/>
  <c r="E9" i="6"/>
  <c r="D9" i="6"/>
  <c r="B9" i="6"/>
  <c r="A9" i="6"/>
  <c r="AB9" i="6" s="1"/>
  <c r="AU8" i="6"/>
  <c r="AN8" i="6"/>
  <c r="AM8" i="6"/>
  <c r="AH8" i="6"/>
  <c r="W8" i="6"/>
  <c r="V8" i="6"/>
  <c r="U8" i="6"/>
  <c r="N8" i="6"/>
  <c r="M8" i="6"/>
  <c r="L8" i="6"/>
  <c r="K8" i="6"/>
  <c r="I8" i="6"/>
  <c r="H8" i="6"/>
  <c r="G8" i="6"/>
  <c r="F8" i="6"/>
  <c r="E8" i="6"/>
  <c r="D8" i="6"/>
  <c r="B8" i="6"/>
  <c r="A8" i="6"/>
  <c r="AA8" i="6" s="1"/>
  <c r="AU7" i="6"/>
  <c r="AN7" i="6"/>
  <c r="AM7" i="6"/>
  <c r="AF7" i="6"/>
  <c r="Z7" i="6"/>
  <c r="V7" i="6"/>
  <c r="U7" i="6"/>
  <c r="T7" i="6"/>
  <c r="S7" i="6"/>
  <c r="R7" i="6"/>
  <c r="P7" i="6"/>
  <c r="N7" i="6"/>
  <c r="M7" i="6"/>
  <c r="L7" i="6"/>
  <c r="K7" i="6"/>
  <c r="J7" i="6"/>
  <c r="I7" i="6"/>
  <c r="H7" i="6"/>
  <c r="G7" i="6"/>
  <c r="F7" i="6"/>
  <c r="E7" i="6"/>
  <c r="D7" i="6"/>
  <c r="B7" i="6"/>
  <c r="A7" i="6"/>
  <c r="AA7" i="6" s="1"/>
  <c r="AU6" i="6"/>
  <c r="AN6" i="6"/>
  <c r="AM6" i="6"/>
  <c r="V6" i="6"/>
  <c r="U6" i="6"/>
  <c r="P6" i="6"/>
  <c r="L6" i="6"/>
  <c r="K6" i="6"/>
  <c r="I6" i="6"/>
  <c r="H6" i="6"/>
  <c r="G6" i="6"/>
  <c r="F6" i="6"/>
  <c r="E6" i="6"/>
  <c r="D6" i="6"/>
  <c r="B6" i="6"/>
  <c r="A6" i="6"/>
  <c r="AU5" i="6"/>
  <c r="AN5" i="6"/>
  <c r="AM5" i="6"/>
  <c r="AJ5" i="6"/>
  <c r="AI5" i="6"/>
  <c r="AG5" i="6"/>
  <c r="AF5" i="6"/>
  <c r="AE5" i="6"/>
  <c r="AD5" i="6"/>
  <c r="AB5" i="6"/>
  <c r="AA5" i="6"/>
  <c r="Y5" i="6"/>
  <c r="X5" i="6"/>
  <c r="W5" i="6"/>
  <c r="V5" i="6"/>
  <c r="U5" i="6"/>
  <c r="T5" i="6"/>
  <c r="S5" i="6"/>
  <c r="R5" i="6"/>
  <c r="P5" i="6"/>
  <c r="N5" i="6"/>
  <c r="L5" i="6"/>
  <c r="K5" i="6"/>
  <c r="I5" i="6"/>
  <c r="H5" i="6"/>
  <c r="G5" i="6"/>
  <c r="F5" i="6"/>
  <c r="E5" i="6"/>
  <c r="D5" i="6"/>
  <c r="B5" i="6"/>
  <c r="A5" i="6"/>
  <c r="AC5" i="6" s="1"/>
  <c r="AU4" i="6"/>
  <c r="AN4" i="6"/>
  <c r="AM4" i="6"/>
  <c r="AF4" i="6"/>
  <c r="V4" i="6"/>
  <c r="U4" i="6"/>
  <c r="T4" i="6"/>
  <c r="S4" i="6"/>
  <c r="R4" i="6"/>
  <c r="Q4" i="6"/>
  <c r="P4" i="6"/>
  <c r="N4" i="6"/>
  <c r="M4" i="6"/>
  <c r="L4" i="6"/>
  <c r="K4" i="6"/>
  <c r="J4" i="6"/>
  <c r="I4" i="6"/>
  <c r="H4" i="6"/>
  <c r="G4" i="6"/>
  <c r="F4" i="6"/>
  <c r="E4" i="6"/>
  <c r="D4" i="6"/>
  <c r="B4" i="6"/>
  <c r="A4" i="6"/>
  <c r="Z4" i="6" s="1"/>
  <c r="AU3" i="6"/>
  <c r="AN3" i="6"/>
  <c r="AM3" i="6"/>
  <c r="AJ3" i="6"/>
  <c r="AH3" i="6"/>
  <c r="AG3" i="6"/>
  <c r="AE3" i="6"/>
  <c r="AC3" i="6"/>
  <c r="AB3" i="6"/>
  <c r="Z3" i="6"/>
  <c r="Y3" i="6"/>
  <c r="W3" i="6"/>
  <c r="V3" i="6"/>
  <c r="U3" i="6"/>
  <c r="N3" i="6"/>
  <c r="M3" i="6"/>
  <c r="L3" i="6"/>
  <c r="K3" i="6"/>
  <c r="I3" i="6"/>
  <c r="H3" i="6"/>
  <c r="G3" i="6"/>
  <c r="F3" i="6"/>
  <c r="E3" i="6"/>
  <c r="D3" i="6"/>
  <c r="B3" i="6"/>
  <c r="A3" i="6"/>
  <c r="AU2" i="6"/>
  <c r="AN2" i="6"/>
  <c r="AM2" i="6"/>
  <c r="AJ2" i="6"/>
  <c r="AI2" i="6"/>
  <c r="AG2" i="6"/>
  <c r="AF2" i="6"/>
  <c r="AD2" i="6"/>
  <c r="AC2" i="6"/>
  <c r="AB2" i="6"/>
  <c r="AA2" i="6"/>
  <c r="Y2" i="6"/>
  <c r="X2" i="6"/>
  <c r="V2" i="6"/>
  <c r="U2" i="6"/>
  <c r="T2" i="6"/>
  <c r="S2" i="6"/>
  <c r="R2" i="6"/>
  <c r="Q2" i="6"/>
  <c r="AK2" i="6" s="1"/>
  <c r="P2" i="6"/>
  <c r="N2" i="6"/>
  <c r="M2" i="6"/>
  <c r="L2" i="6"/>
  <c r="K2" i="6"/>
  <c r="J2" i="6"/>
  <c r="I2" i="6"/>
  <c r="H2" i="6"/>
  <c r="G2" i="6"/>
  <c r="F2" i="6"/>
  <c r="E2" i="6"/>
  <c r="D2" i="6"/>
  <c r="B2" i="6"/>
  <c r="A2" i="6"/>
  <c r="AH2" i="6" s="1"/>
  <c r="E9" i="5"/>
  <c r="D9" i="5"/>
  <c r="C9" i="5"/>
  <c r="B9" i="5"/>
  <c r="E8" i="5"/>
  <c r="D8" i="5"/>
  <c r="C8" i="5"/>
  <c r="B8" i="5"/>
  <c r="E7" i="5"/>
  <c r="D7" i="5"/>
  <c r="C7" i="5"/>
  <c r="B7" i="5"/>
  <c r="E6" i="5"/>
  <c r="D6" i="5"/>
  <c r="C6" i="5"/>
  <c r="B6" i="5"/>
  <c r="E5" i="5"/>
  <c r="D5" i="5"/>
  <c r="C5" i="5"/>
  <c r="B5" i="5"/>
  <c r="E4" i="5"/>
  <c r="D4" i="5"/>
  <c r="C4" i="5"/>
  <c r="B4" i="5"/>
  <c r="E3" i="5"/>
  <c r="D3" i="5"/>
  <c r="C3" i="5"/>
  <c r="B3" i="5"/>
  <c r="E2" i="5"/>
  <c r="D2" i="5"/>
  <c r="C2" i="5"/>
  <c r="B2" i="5"/>
  <c r="V110" i="3"/>
  <c r="U110" i="3"/>
  <c r="S110" i="3"/>
  <c r="R110" i="3"/>
  <c r="Q110" i="3"/>
  <c r="P110" i="3"/>
  <c r="T110" i="3" s="1"/>
  <c r="O110" i="3"/>
  <c r="N110" i="3"/>
  <c r="M110" i="3"/>
  <c r="L110" i="3"/>
  <c r="H110" i="3"/>
  <c r="G110" i="3"/>
  <c r="F110" i="3"/>
  <c r="E110" i="3"/>
  <c r="D110" i="3"/>
  <c r="C110" i="3"/>
  <c r="B110" i="3"/>
  <c r="V109" i="3"/>
  <c r="R109" i="3"/>
  <c r="Q109" i="3"/>
  <c r="P109" i="3"/>
  <c r="T109" i="3" s="1"/>
  <c r="O109" i="3"/>
  <c r="N109" i="3"/>
  <c r="U109" i="3" s="1"/>
  <c r="M109" i="3"/>
  <c r="L109" i="3"/>
  <c r="G109" i="3"/>
  <c r="F109" i="3"/>
  <c r="E109" i="3"/>
  <c r="D109" i="3"/>
  <c r="C109" i="3"/>
  <c r="B109" i="3"/>
  <c r="S108" i="3"/>
  <c r="R108" i="3"/>
  <c r="Q108" i="3"/>
  <c r="V108" i="3" s="1"/>
  <c r="P108" i="3"/>
  <c r="T108" i="3" s="1"/>
  <c r="O108" i="3"/>
  <c r="N108" i="3"/>
  <c r="M108" i="3"/>
  <c r="L108" i="3"/>
  <c r="I108" i="3"/>
  <c r="H108" i="3"/>
  <c r="G108" i="3"/>
  <c r="F108" i="3"/>
  <c r="E108" i="3"/>
  <c r="D108" i="3"/>
  <c r="C108" i="3"/>
  <c r="B108" i="3"/>
  <c r="V107" i="3"/>
  <c r="U107" i="3"/>
  <c r="T107" i="3"/>
  <c r="S107" i="3"/>
  <c r="R107" i="3"/>
  <c r="Q107" i="3"/>
  <c r="P107" i="3"/>
  <c r="O107" i="3"/>
  <c r="N107" i="3"/>
  <c r="M107" i="3"/>
  <c r="L107" i="3"/>
  <c r="H107" i="3"/>
  <c r="G107" i="3"/>
  <c r="F107" i="3"/>
  <c r="E107" i="3"/>
  <c r="D107" i="3"/>
  <c r="C107" i="3"/>
  <c r="B107" i="3"/>
  <c r="U106" i="3"/>
  <c r="T106" i="3"/>
  <c r="S106" i="3"/>
  <c r="R106" i="3"/>
  <c r="Q106" i="3"/>
  <c r="V106" i="3" s="1"/>
  <c r="P106" i="3"/>
  <c r="O106" i="3"/>
  <c r="N106" i="3"/>
  <c r="M106" i="3"/>
  <c r="L106" i="3"/>
  <c r="H106" i="3"/>
  <c r="G106" i="3"/>
  <c r="F106" i="3"/>
  <c r="E106" i="3"/>
  <c r="D106" i="3"/>
  <c r="C106" i="3"/>
  <c r="B106" i="3"/>
  <c r="U105" i="3"/>
  <c r="T105" i="3"/>
  <c r="S105" i="3"/>
  <c r="R105" i="3"/>
  <c r="Q105" i="3"/>
  <c r="P105" i="3"/>
  <c r="O105" i="3"/>
  <c r="N105" i="3"/>
  <c r="M105" i="3"/>
  <c r="L105" i="3"/>
  <c r="I105" i="3"/>
  <c r="H105" i="3"/>
  <c r="G105" i="3"/>
  <c r="F105" i="3"/>
  <c r="E105" i="3"/>
  <c r="D105" i="3"/>
  <c r="C105" i="3"/>
  <c r="B105" i="3"/>
  <c r="R104" i="3"/>
  <c r="Q104" i="3"/>
  <c r="V104" i="3" s="1"/>
  <c r="P104" i="3"/>
  <c r="O104" i="3"/>
  <c r="S104" i="3" s="1"/>
  <c r="N104" i="3"/>
  <c r="M104" i="3"/>
  <c r="L104" i="3"/>
  <c r="H104" i="3"/>
  <c r="G104" i="3"/>
  <c r="F104" i="3"/>
  <c r="U104" i="3" s="1"/>
  <c r="E104" i="3"/>
  <c r="D104" i="3"/>
  <c r="C104" i="3"/>
  <c r="B104" i="3"/>
  <c r="V103" i="3"/>
  <c r="U103" i="3"/>
  <c r="R103" i="3"/>
  <c r="Q103" i="3"/>
  <c r="P103" i="3"/>
  <c r="T103" i="3" s="1"/>
  <c r="O103" i="3"/>
  <c r="N103" i="3"/>
  <c r="M103" i="3"/>
  <c r="L103" i="3"/>
  <c r="I103" i="3"/>
  <c r="H103" i="3"/>
  <c r="S103" i="3" s="1"/>
  <c r="G103" i="3"/>
  <c r="F103" i="3"/>
  <c r="E103" i="3"/>
  <c r="D103" i="3"/>
  <c r="C103" i="3"/>
  <c r="B103" i="3"/>
  <c r="V102" i="3"/>
  <c r="R102" i="3"/>
  <c r="Q102" i="3"/>
  <c r="P102" i="3"/>
  <c r="O102" i="3"/>
  <c r="N102" i="3"/>
  <c r="U102" i="3" s="1"/>
  <c r="M102" i="3"/>
  <c r="L102" i="3"/>
  <c r="H102" i="3"/>
  <c r="S102" i="3" s="1"/>
  <c r="G102" i="3"/>
  <c r="F102" i="3"/>
  <c r="D102" i="3"/>
  <c r="C102" i="3"/>
  <c r="B102" i="3"/>
  <c r="V101" i="3"/>
  <c r="R101" i="3"/>
  <c r="Q101" i="3"/>
  <c r="P101" i="3"/>
  <c r="O101" i="3"/>
  <c r="N101" i="3"/>
  <c r="U101" i="3" s="1"/>
  <c r="M101" i="3"/>
  <c r="L101" i="3"/>
  <c r="F101" i="3"/>
  <c r="D101" i="3"/>
  <c r="C101" i="3"/>
  <c r="B101" i="3"/>
  <c r="R100" i="3"/>
  <c r="Q100" i="3"/>
  <c r="P100" i="3"/>
  <c r="O100" i="3"/>
  <c r="N100" i="3"/>
  <c r="U100" i="3" s="1"/>
  <c r="M100" i="3"/>
  <c r="L100" i="3"/>
  <c r="G100" i="3"/>
  <c r="F100" i="3"/>
  <c r="E100" i="3"/>
  <c r="V100" i="3" s="1"/>
  <c r="D100" i="3"/>
  <c r="C100" i="3"/>
  <c r="B100" i="3"/>
  <c r="S99" i="3"/>
  <c r="R99" i="3"/>
  <c r="Q99" i="3"/>
  <c r="V99" i="3" s="1"/>
  <c r="P99" i="3"/>
  <c r="O99" i="3"/>
  <c r="N99" i="3"/>
  <c r="U99" i="3" s="1"/>
  <c r="M99" i="3"/>
  <c r="L99" i="3"/>
  <c r="H99" i="3"/>
  <c r="G99" i="3"/>
  <c r="F99" i="3"/>
  <c r="E99" i="3"/>
  <c r="D99" i="3"/>
  <c r="C99" i="3"/>
  <c r="B99" i="3"/>
  <c r="V98" i="3"/>
  <c r="U98" i="3"/>
  <c r="R98" i="3"/>
  <c r="Q98" i="3"/>
  <c r="P98" i="3"/>
  <c r="O98" i="3"/>
  <c r="N98" i="3"/>
  <c r="M98" i="3"/>
  <c r="L98" i="3"/>
  <c r="H98" i="3"/>
  <c r="G98" i="3"/>
  <c r="F98" i="3"/>
  <c r="E98" i="3"/>
  <c r="D98" i="3"/>
  <c r="C98" i="3"/>
  <c r="B98" i="3"/>
  <c r="R97" i="3"/>
  <c r="Q97" i="3"/>
  <c r="V97" i="3" s="1"/>
  <c r="P97" i="3"/>
  <c r="O97" i="3"/>
  <c r="N97" i="3"/>
  <c r="M97" i="3"/>
  <c r="L97" i="3"/>
  <c r="H97" i="3"/>
  <c r="G97" i="3"/>
  <c r="F97" i="3"/>
  <c r="U97" i="3" s="1"/>
  <c r="E97" i="3"/>
  <c r="D97" i="3"/>
  <c r="C97" i="3"/>
  <c r="B97" i="3"/>
  <c r="R96" i="3"/>
  <c r="Q96" i="3"/>
  <c r="V96" i="3" s="1"/>
  <c r="P96" i="3"/>
  <c r="O96" i="3"/>
  <c r="N96" i="3"/>
  <c r="M96" i="3"/>
  <c r="L96" i="3"/>
  <c r="H96" i="3"/>
  <c r="S96" i="3" s="1"/>
  <c r="G96" i="3"/>
  <c r="F96" i="3"/>
  <c r="U96" i="3" s="1"/>
  <c r="E96" i="3"/>
  <c r="D96" i="3"/>
  <c r="C96" i="3"/>
  <c r="B96" i="3"/>
  <c r="V95" i="3"/>
  <c r="R95" i="3"/>
  <c r="Q95" i="3"/>
  <c r="P95" i="3"/>
  <c r="O95" i="3"/>
  <c r="N95" i="3"/>
  <c r="U95" i="3" s="1"/>
  <c r="M95" i="3"/>
  <c r="L95" i="3"/>
  <c r="H95" i="3"/>
  <c r="S95" i="3" s="1"/>
  <c r="G95" i="3"/>
  <c r="F95" i="3"/>
  <c r="E95" i="3"/>
  <c r="D95" i="3"/>
  <c r="C95" i="3"/>
  <c r="B95" i="3"/>
  <c r="U94" i="3"/>
  <c r="S94" i="3"/>
  <c r="R94" i="3"/>
  <c r="Q94" i="3"/>
  <c r="V94" i="3" s="1"/>
  <c r="P94" i="3"/>
  <c r="O94" i="3"/>
  <c r="N94" i="3"/>
  <c r="M94" i="3"/>
  <c r="L94" i="3"/>
  <c r="H94" i="3"/>
  <c r="G94" i="3"/>
  <c r="F94" i="3"/>
  <c r="E94" i="3"/>
  <c r="D94" i="3"/>
  <c r="C94" i="3"/>
  <c r="B94" i="3"/>
  <c r="V93" i="3"/>
  <c r="R93" i="3"/>
  <c r="Q93" i="3"/>
  <c r="P93" i="3"/>
  <c r="O93" i="3"/>
  <c r="N93" i="3"/>
  <c r="U93" i="3" s="1"/>
  <c r="M93" i="3"/>
  <c r="L93" i="3"/>
  <c r="H93" i="3"/>
  <c r="S93" i="3" s="1"/>
  <c r="G93" i="3"/>
  <c r="F93" i="3"/>
  <c r="E93" i="3"/>
  <c r="D93" i="3"/>
  <c r="C93" i="3"/>
  <c r="B93" i="3"/>
  <c r="U92" i="3"/>
  <c r="R92" i="3"/>
  <c r="Q92" i="3"/>
  <c r="V92" i="3" s="1"/>
  <c r="P92" i="3"/>
  <c r="O92" i="3"/>
  <c r="N92" i="3"/>
  <c r="M92" i="3"/>
  <c r="L92" i="3"/>
  <c r="G92" i="3"/>
  <c r="F92" i="3"/>
  <c r="E92" i="3"/>
  <c r="D92" i="3"/>
  <c r="C92" i="3"/>
  <c r="B92" i="3"/>
  <c r="V91" i="3"/>
  <c r="R91" i="3"/>
  <c r="Q91" i="3"/>
  <c r="P91" i="3"/>
  <c r="O91" i="3"/>
  <c r="S91" i="3" s="1"/>
  <c r="N91" i="3"/>
  <c r="U91" i="3" s="1"/>
  <c r="M91" i="3"/>
  <c r="L91" i="3"/>
  <c r="H91" i="3"/>
  <c r="G91" i="3"/>
  <c r="F91" i="3"/>
  <c r="E91" i="3"/>
  <c r="D91" i="3"/>
  <c r="C91" i="3"/>
  <c r="B91" i="3"/>
  <c r="U90" i="3"/>
  <c r="R90" i="3"/>
  <c r="Q90" i="3"/>
  <c r="V90" i="3" s="1"/>
  <c r="P90" i="3"/>
  <c r="O90" i="3"/>
  <c r="S90" i="3" s="1"/>
  <c r="N90" i="3"/>
  <c r="M90" i="3"/>
  <c r="L90" i="3"/>
  <c r="H90" i="3"/>
  <c r="G90" i="3"/>
  <c r="F90" i="3"/>
  <c r="E90" i="3"/>
  <c r="D90" i="3"/>
  <c r="C90" i="3"/>
  <c r="B90" i="3"/>
  <c r="V89" i="3"/>
  <c r="R89" i="3"/>
  <c r="Q89" i="3"/>
  <c r="P89" i="3"/>
  <c r="O89" i="3"/>
  <c r="N89" i="3"/>
  <c r="U89" i="3" s="1"/>
  <c r="M89" i="3"/>
  <c r="L89" i="3"/>
  <c r="G89" i="3"/>
  <c r="F89" i="3"/>
  <c r="E89" i="3"/>
  <c r="D89" i="3"/>
  <c r="C89" i="3"/>
  <c r="B89" i="3"/>
  <c r="U88" i="3"/>
  <c r="R88" i="3"/>
  <c r="Q88" i="3"/>
  <c r="V88" i="3" s="1"/>
  <c r="P88" i="3"/>
  <c r="O88" i="3"/>
  <c r="N88" i="3"/>
  <c r="M88" i="3"/>
  <c r="L88" i="3"/>
  <c r="G88" i="3"/>
  <c r="F88" i="3"/>
  <c r="E88" i="3"/>
  <c r="D88" i="3"/>
  <c r="C88" i="3"/>
  <c r="B88" i="3"/>
  <c r="V87" i="3"/>
  <c r="R87" i="3"/>
  <c r="Q87" i="3"/>
  <c r="P87" i="3"/>
  <c r="O87" i="3"/>
  <c r="N87" i="3"/>
  <c r="U87" i="3" s="1"/>
  <c r="M87" i="3"/>
  <c r="L87" i="3"/>
  <c r="H87" i="3"/>
  <c r="S87" i="3" s="1"/>
  <c r="G87" i="3"/>
  <c r="F87" i="3"/>
  <c r="E87" i="3"/>
  <c r="D87" i="3"/>
  <c r="C87" i="3"/>
  <c r="B87" i="3"/>
  <c r="U86" i="3"/>
  <c r="S86" i="3"/>
  <c r="R86" i="3"/>
  <c r="Q86" i="3"/>
  <c r="V86" i="3" s="1"/>
  <c r="P86" i="3"/>
  <c r="O86" i="3"/>
  <c r="N86" i="3"/>
  <c r="M86" i="3"/>
  <c r="L86" i="3"/>
  <c r="H86" i="3"/>
  <c r="G86" i="3"/>
  <c r="F86" i="3"/>
  <c r="E86" i="3"/>
  <c r="D86" i="3"/>
  <c r="C86" i="3"/>
  <c r="B86" i="3"/>
  <c r="V85" i="3"/>
  <c r="R85" i="3"/>
  <c r="Q85" i="3"/>
  <c r="P85" i="3"/>
  <c r="O85" i="3"/>
  <c r="N85" i="3"/>
  <c r="U85" i="3" s="1"/>
  <c r="M85" i="3"/>
  <c r="L85" i="3"/>
  <c r="H85" i="3"/>
  <c r="S85" i="3" s="1"/>
  <c r="G85" i="3"/>
  <c r="F85" i="3"/>
  <c r="E85" i="3"/>
  <c r="D85" i="3"/>
  <c r="C85" i="3"/>
  <c r="B85" i="3"/>
  <c r="U84" i="3"/>
  <c r="R84" i="3"/>
  <c r="Q84" i="3"/>
  <c r="V84" i="3" s="1"/>
  <c r="P84" i="3"/>
  <c r="O84" i="3"/>
  <c r="S84" i="3" s="1"/>
  <c r="N84" i="3"/>
  <c r="M84" i="3"/>
  <c r="L84" i="3"/>
  <c r="H84" i="3"/>
  <c r="G84" i="3"/>
  <c r="F84" i="3"/>
  <c r="E84" i="3"/>
  <c r="D84" i="3"/>
  <c r="C84" i="3"/>
  <c r="B84" i="3"/>
  <c r="V83" i="3"/>
  <c r="R83" i="3"/>
  <c r="Q83" i="3"/>
  <c r="P83" i="3"/>
  <c r="O83" i="3"/>
  <c r="S83" i="3" s="1"/>
  <c r="N83" i="3"/>
  <c r="U83" i="3" s="1"/>
  <c r="M83" i="3"/>
  <c r="L83" i="3"/>
  <c r="H83" i="3"/>
  <c r="G83" i="3"/>
  <c r="F83" i="3"/>
  <c r="E83" i="3"/>
  <c r="D83" i="3"/>
  <c r="C83" i="3"/>
  <c r="B83" i="3"/>
  <c r="U82" i="3"/>
  <c r="R82" i="3"/>
  <c r="Q82" i="3"/>
  <c r="V82" i="3" s="1"/>
  <c r="P82" i="3"/>
  <c r="O82" i="3"/>
  <c r="S82" i="3" s="1"/>
  <c r="N82" i="3"/>
  <c r="M82" i="3"/>
  <c r="L82" i="3"/>
  <c r="H82" i="3"/>
  <c r="G82" i="3"/>
  <c r="F82" i="3"/>
  <c r="E82" i="3"/>
  <c r="D82" i="3"/>
  <c r="C82" i="3"/>
  <c r="B82" i="3"/>
  <c r="V81" i="3"/>
  <c r="R81" i="3"/>
  <c r="Q81" i="3"/>
  <c r="P81" i="3"/>
  <c r="O81" i="3"/>
  <c r="S81" i="3" s="1"/>
  <c r="N81" i="3"/>
  <c r="U81" i="3" s="1"/>
  <c r="M81" i="3"/>
  <c r="L81" i="3"/>
  <c r="H81" i="3"/>
  <c r="G81" i="3"/>
  <c r="F81" i="3"/>
  <c r="E81" i="3"/>
  <c r="D81" i="3"/>
  <c r="C81" i="3"/>
  <c r="B81" i="3"/>
  <c r="U80" i="3"/>
  <c r="S80" i="3"/>
  <c r="R80" i="3"/>
  <c r="Q80" i="3"/>
  <c r="V80" i="3" s="1"/>
  <c r="P80" i="3"/>
  <c r="O80" i="3"/>
  <c r="N80" i="3"/>
  <c r="M80" i="3"/>
  <c r="L80" i="3"/>
  <c r="H80" i="3"/>
  <c r="G80" i="3"/>
  <c r="F80" i="3"/>
  <c r="E80" i="3"/>
  <c r="D80" i="3"/>
  <c r="C80" i="3"/>
  <c r="B80" i="3"/>
  <c r="V79" i="3"/>
  <c r="R79" i="3"/>
  <c r="Q79" i="3"/>
  <c r="P79" i="3"/>
  <c r="O79" i="3"/>
  <c r="N79" i="3"/>
  <c r="U79" i="3" s="1"/>
  <c r="M79" i="3"/>
  <c r="L79" i="3"/>
  <c r="H79" i="3"/>
  <c r="S79" i="3" s="1"/>
  <c r="G79" i="3"/>
  <c r="F79" i="3"/>
  <c r="E79" i="3"/>
  <c r="D79" i="3"/>
  <c r="C79" i="3"/>
  <c r="B79" i="3"/>
  <c r="U78" i="3"/>
  <c r="S78" i="3"/>
  <c r="R78" i="3"/>
  <c r="Q78" i="3"/>
  <c r="V78" i="3" s="1"/>
  <c r="P78" i="3"/>
  <c r="O78" i="3"/>
  <c r="N78" i="3"/>
  <c r="M78" i="3"/>
  <c r="L78" i="3"/>
  <c r="H78" i="3"/>
  <c r="G78" i="3"/>
  <c r="F78" i="3"/>
  <c r="E78" i="3"/>
  <c r="D78" i="3"/>
  <c r="C78" i="3"/>
  <c r="B78" i="3"/>
  <c r="V77" i="3"/>
  <c r="R77" i="3"/>
  <c r="Q77" i="3"/>
  <c r="P77" i="3"/>
  <c r="O77" i="3"/>
  <c r="N77" i="3"/>
  <c r="U77" i="3" s="1"/>
  <c r="M77" i="3"/>
  <c r="L77" i="3"/>
  <c r="H77" i="3"/>
  <c r="S77" i="3" s="1"/>
  <c r="G77" i="3"/>
  <c r="F77" i="3"/>
  <c r="E77" i="3"/>
  <c r="D77" i="3"/>
  <c r="C77" i="3"/>
  <c r="B77" i="3"/>
  <c r="U76" i="3"/>
  <c r="R76" i="3"/>
  <c r="Q76" i="3"/>
  <c r="V76" i="3" s="1"/>
  <c r="P76" i="3"/>
  <c r="O76" i="3"/>
  <c r="N76" i="3"/>
  <c r="M76" i="3"/>
  <c r="L76" i="3"/>
  <c r="F76" i="3"/>
  <c r="E76" i="3"/>
  <c r="D76" i="3"/>
  <c r="C76" i="3"/>
  <c r="B76" i="3"/>
  <c r="V75" i="3"/>
  <c r="R75" i="3"/>
  <c r="Q75" i="3"/>
  <c r="P75" i="3"/>
  <c r="O75" i="3"/>
  <c r="S75" i="3" s="1"/>
  <c r="N75" i="3"/>
  <c r="U75" i="3" s="1"/>
  <c r="M75" i="3"/>
  <c r="L75" i="3"/>
  <c r="H75" i="3"/>
  <c r="G75" i="3"/>
  <c r="F75" i="3"/>
  <c r="E75" i="3"/>
  <c r="D75" i="3"/>
  <c r="C75" i="3"/>
  <c r="B75" i="3"/>
  <c r="U74" i="3"/>
  <c r="R74" i="3"/>
  <c r="Q74" i="3"/>
  <c r="V74" i="3" s="1"/>
  <c r="P74" i="3"/>
  <c r="O74" i="3"/>
  <c r="N74" i="3"/>
  <c r="M74" i="3"/>
  <c r="L74" i="3"/>
  <c r="F74" i="3"/>
  <c r="E74" i="3"/>
  <c r="D74" i="3"/>
  <c r="C74" i="3"/>
  <c r="B74" i="3"/>
  <c r="V73" i="3"/>
  <c r="R73" i="3"/>
  <c r="Q73" i="3"/>
  <c r="P73" i="3"/>
  <c r="O73" i="3"/>
  <c r="N73" i="3"/>
  <c r="U73" i="3" s="1"/>
  <c r="M73" i="3"/>
  <c r="L73" i="3"/>
  <c r="G73" i="3"/>
  <c r="F73" i="3"/>
  <c r="E73" i="3"/>
  <c r="D73" i="3"/>
  <c r="C73" i="3"/>
  <c r="B73" i="3"/>
  <c r="U72" i="3"/>
  <c r="S72" i="3"/>
  <c r="R72" i="3"/>
  <c r="Q72" i="3"/>
  <c r="V72" i="3" s="1"/>
  <c r="P72" i="3"/>
  <c r="O72" i="3"/>
  <c r="N72" i="3"/>
  <c r="M72" i="3"/>
  <c r="L72" i="3"/>
  <c r="H72" i="3"/>
  <c r="G72" i="3"/>
  <c r="F72" i="3"/>
  <c r="E72" i="3"/>
  <c r="D72" i="3"/>
  <c r="C72" i="3"/>
  <c r="B72" i="3"/>
  <c r="V71" i="3"/>
  <c r="R71" i="3"/>
  <c r="Q71" i="3"/>
  <c r="P71" i="3"/>
  <c r="O71" i="3"/>
  <c r="N71" i="3"/>
  <c r="U71" i="3" s="1"/>
  <c r="M71" i="3"/>
  <c r="L71" i="3"/>
  <c r="G71" i="3"/>
  <c r="F71" i="3"/>
  <c r="E71" i="3"/>
  <c r="D71" i="3"/>
  <c r="C71" i="3"/>
  <c r="B71" i="3"/>
  <c r="U70" i="3"/>
  <c r="R70" i="3"/>
  <c r="Q70" i="3"/>
  <c r="V70" i="3" s="1"/>
  <c r="P70" i="3"/>
  <c r="O70" i="3"/>
  <c r="N70" i="3"/>
  <c r="M70" i="3"/>
  <c r="L70" i="3"/>
  <c r="G70" i="3"/>
  <c r="F70" i="3"/>
  <c r="E70" i="3"/>
  <c r="D70" i="3"/>
  <c r="C70" i="3"/>
  <c r="B70" i="3"/>
  <c r="V69" i="3"/>
  <c r="R69" i="3"/>
  <c r="Q69" i="3"/>
  <c r="P69" i="3"/>
  <c r="O69" i="3"/>
  <c r="N69" i="3"/>
  <c r="U69" i="3" s="1"/>
  <c r="M69" i="3"/>
  <c r="L69" i="3"/>
  <c r="H69" i="3"/>
  <c r="S69" i="3" s="1"/>
  <c r="G69" i="3"/>
  <c r="F69" i="3"/>
  <c r="E69" i="3"/>
  <c r="D69" i="3"/>
  <c r="C69" i="3"/>
  <c r="B69" i="3"/>
  <c r="U68" i="3"/>
  <c r="R68" i="3"/>
  <c r="Q68" i="3"/>
  <c r="V68" i="3" s="1"/>
  <c r="P68" i="3"/>
  <c r="O68" i="3"/>
  <c r="S68" i="3" s="1"/>
  <c r="N68" i="3"/>
  <c r="M68" i="3"/>
  <c r="L68" i="3"/>
  <c r="H68" i="3"/>
  <c r="G68" i="3"/>
  <c r="F68" i="3"/>
  <c r="E68" i="3"/>
  <c r="D68" i="3"/>
  <c r="C68" i="3"/>
  <c r="B68" i="3"/>
  <c r="V67" i="3"/>
  <c r="R67" i="3"/>
  <c r="Q67" i="3"/>
  <c r="P67" i="3"/>
  <c r="O67" i="3"/>
  <c r="S67" i="3" s="1"/>
  <c r="N67" i="3"/>
  <c r="U67" i="3" s="1"/>
  <c r="M67" i="3"/>
  <c r="L67" i="3"/>
  <c r="H67" i="3"/>
  <c r="G67" i="3"/>
  <c r="F67" i="3"/>
  <c r="E67" i="3"/>
  <c r="D67" i="3"/>
  <c r="C67" i="3"/>
  <c r="B67" i="3"/>
  <c r="U66" i="3"/>
  <c r="R66" i="3"/>
  <c r="Q66" i="3"/>
  <c r="V66" i="3" s="1"/>
  <c r="P66" i="3"/>
  <c r="O66" i="3"/>
  <c r="S66" i="3" s="1"/>
  <c r="N66" i="3"/>
  <c r="M66" i="3"/>
  <c r="L66" i="3"/>
  <c r="H66" i="3"/>
  <c r="G66" i="3"/>
  <c r="F66" i="3"/>
  <c r="E66" i="3"/>
  <c r="D66" i="3"/>
  <c r="C66" i="3"/>
  <c r="B66" i="3"/>
  <c r="V65" i="3"/>
  <c r="R65" i="3"/>
  <c r="Q65" i="3"/>
  <c r="P65" i="3"/>
  <c r="O65" i="3"/>
  <c r="S65" i="3" s="1"/>
  <c r="N65" i="3"/>
  <c r="U65" i="3" s="1"/>
  <c r="M65" i="3"/>
  <c r="L65" i="3"/>
  <c r="H65" i="3"/>
  <c r="G65" i="3"/>
  <c r="F65" i="3"/>
  <c r="E65" i="3"/>
  <c r="D65" i="3"/>
  <c r="C65" i="3"/>
  <c r="B65" i="3"/>
  <c r="U64" i="3"/>
  <c r="S64" i="3"/>
  <c r="R64" i="3"/>
  <c r="Q64" i="3"/>
  <c r="V64" i="3" s="1"/>
  <c r="P64" i="3"/>
  <c r="O64" i="3"/>
  <c r="N64" i="3"/>
  <c r="M64" i="3"/>
  <c r="L64" i="3"/>
  <c r="H64" i="3"/>
  <c r="G64" i="3"/>
  <c r="F64" i="3"/>
  <c r="E64" i="3"/>
  <c r="D64" i="3"/>
  <c r="C64" i="3"/>
  <c r="B64" i="3"/>
  <c r="V63" i="3"/>
  <c r="R63" i="3"/>
  <c r="Q63" i="3"/>
  <c r="P63" i="3"/>
  <c r="O63" i="3"/>
  <c r="N63" i="3"/>
  <c r="U63" i="3" s="1"/>
  <c r="M63" i="3"/>
  <c r="L63" i="3"/>
  <c r="H63" i="3"/>
  <c r="S63" i="3" s="1"/>
  <c r="G63" i="3"/>
  <c r="F63" i="3"/>
  <c r="E63" i="3"/>
  <c r="D63" i="3"/>
  <c r="C63" i="3"/>
  <c r="B63" i="3"/>
  <c r="S62" i="3"/>
  <c r="R62" i="3"/>
  <c r="Q62" i="3"/>
  <c r="V62" i="3" s="1"/>
  <c r="P62" i="3"/>
  <c r="T62" i="3" s="1"/>
  <c r="O62" i="3"/>
  <c r="N62" i="3"/>
  <c r="M62" i="3"/>
  <c r="L62" i="3"/>
  <c r="H62" i="3"/>
  <c r="G62" i="3"/>
  <c r="U62" i="3" s="1"/>
  <c r="F62" i="3"/>
  <c r="E62" i="3"/>
  <c r="D62" i="3"/>
  <c r="C62" i="3"/>
  <c r="B62" i="3"/>
  <c r="V61" i="3"/>
  <c r="R61" i="3"/>
  <c r="Q61" i="3"/>
  <c r="P61" i="3"/>
  <c r="O61" i="3"/>
  <c r="N61" i="3"/>
  <c r="U61" i="3" s="1"/>
  <c r="M61" i="3"/>
  <c r="L61" i="3"/>
  <c r="H61" i="3"/>
  <c r="S61" i="3" s="1"/>
  <c r="G61" i="3"/>
  <c r="F61" i="3"/>
  <c r="E61" i="3"/>
  <c r="D61" i="3"/>
  <c r="C61" i="3"/>
  <c r="B61" i="3"/>
  <c r="U60" i="3"/>
  <c r="R60" i="3"/>
  <c r="Q60" i="3"/>
  <c r="V60" i="3" s="1"/>
  <c r="P60" i="3"/>
  <c r="O60" i="3"/>
  <c r="S60" i="3" s="1"/>
  <c r="N60" i="3"/>
  <c r="M60" i="3"/>
  <c r="L60" i="3"/>
  <c r="H60" i="3"/>
  <c r="G60" i="3"/>
  <c r="F60" i="3"/>
  <c r="E60" i="3"/>
  <c r="D60" i="3"/>
  <c r="C60" i="3"/>
  <c r="B60" i="3"/>
  <c r="V59" i="3"/>
  <c r="R59" i="3"/>
  <c r="Q59" i="3"/>
  <c r="P59" i="3"/>
  <c r="O59" i="3"/>
  <c r="S59" i="3" s="1"/>
  <c r="N59" i="3"/>
  <c r="U59" i="3" s="1"/>
  <c r="M59" i="3"/>
  <c r="L59" i="3"/>
  <c r="H59" i="3"/>
  <c r="G59" i="3"/>
  <c r="F59" i="3"/>
  <c r="E59" i="3"/>
  <c r="D59" i="3"/>
  <c r="C59" i="3"/>
  <c r="B59" i="3"/>
  <c r="U58" i="3"/>
  <c r="R58" i="3"/>
  <c r="Q58" i="3"/>
  <c r="V58" i="3" s="1"/>
  <c r="P58" i="3"/>
  <c r="O58" i="3"/>
  <c r="S58" i="3" s="1"/>
  <c r="N58" i="3"/>
  <c r="M58" i="3"/>
  <c r="L58" i="3"/>
  <c r="H58" i="3"/>
  <c r="G58" i="3"/>
  <c r="F58" i="3"/>
  <c r="E58" i="3"/>
  <c r="D58" i="3"/>
  <c r="C58" i="3"/>
  <c r="B58" i="3"/>
  <c r="V57" i="3"/>
  <c r="R57" i="3"/>
  <c r="Q57" i="3"/>
  <c r="P57" i="3"/>
  <c r="O57" i="3"/>
  <c r="S57" i="3" s="1"/>
  <c r="N57" i="3"/>
  <c r="U57" i="3" s="1"/>
  <c r="M57" i="3"/>
  <c r="L57" i="3"/>
  <c r="H57" i="3"/>
  <c r="G57" i="3"/>
  <c r="F57" i="3"/>
  <c r="E57" i="3"/>
  <c r="D57" i="3"/>
  <c r="C57" i="3"/>
  <c r="B57" i="3"/>
  <c r="U56" i="3"/>
  <c r="S56" i="3"/>
  <c r="R56" i="3"/>
  <c r="Q56" i="3"/>
  <c r="V56" i="3" s="1"/>
  <c r="P56" i="3"/>
  <c r="O56" i="3"/>
  <c r="N56" i="3"/>
  <c r="M56" i="3"/>
  <c r="L56" i="3"/>
  <c r="H56" i="3"/>
  <c r="G56" i="3"/>
  <c r="F56" i="3"/>
  <c r="E56" i="3"/>
  <c r="D56" i="3"/>
  <c r="C56" i="3"/>
  <c r="B56" i="3"/>
  <c r="V55" i="3"/>
  <c r="R55" i="3"/>
  <c r="Q55" i="3"/>
  <c r="P55" i="3"/>
  <c r="O55" i="3"/>
  <c r="N55" i="3"/>
  <c r="U55" i="3" s="1"/>
  <c r="M55" i="3"/>
  <c r="L55" i="3"/>
  <c r="H55" i="3"/>
  <c r="S55" i="3" s="1"/>
  <c r="G55" i="3"/>
  <c r="F55" i="3"/>
  <c r="E55" i="3"/>
  <c r="D55" i="3"/>
  <c r="C55" i="3"/>
  <c r="B55" i="3"/>
  <c r="U54" i="3"/>
  <c r="S54" i="3"/>
  <c r="R54" i="3"/>
  <c r="Q54" i="3"/>
  <c r="V54" i="3" s="1"/>
  <c r="P54" i="3"/>
  <c r="O54" i="3"/>
  <c r="N54" i="3"/>
  <c r="M54" i="3"/>
  <c r="L54" i="3"/>
  <c r="H54" i="3"/>
  <c r="G54" i="3"/>
  <c r="F54" i="3"/>
  <c r="E54" i="3"/>
  <c r="D54" i="3"/>
  <c r="C54" i="3"/>
  <c r="B54" i="3"/>
  <c r="V53" i="3"/>
  <c r="T53" i="3"/>
  <c r="R53" i="3"/>
  <c r="Q53" i="3"/>
  <c r="P53" i="3"/>
  <c r="O53" i="3"/>
  <c r="N53" i="3"/>
  <c r="U53" i="3" s="1"/>
  <c r="M53" i="3"/>
  <c r="L53" i="3"/>
  <c r="I53" i="3"/>
  <c r="H53" i="3"/>
  <c r="S53" i="3" s="1"/>
  <c r="G53" i="3"/>
  <c r="F53" i="3"/>
  <c r="E53" i="3"/>
  <c r="D53" i="3"/>
  <c r="C53" i="3"/>
  <c r="B53" i="3"/>
  <c r="U52" i="3"/>
  <c r="R52" i="3"/>
  <c r="Q52" i="3"/>
  <c r="V52" i="3" s="1"/>
  <c r="P52" i="3"/>
  <c r="O52" i="3"/>
  <c r="S52" i="3" s="1"/>
  <c r="N52" i="3"/>
  <c r="M52" i="3"/>
  <c r="L52" i="3"/>
  <c r="H52" i="3"/>
  <c r="G52" i="3"/>
  <c r="F52" i="3"/>
  <c r="E52" i="3"/>
  <c r="D52" i="3"/>
  <c r="C52" i="3"/>
  <c r="B52" i="3"/>
  <c r="V51" i="3"/>
  <c r="R51" i="3"/>
  <c r="Q51" i="3"/>
  <c r="P51" i="3"/>
  <c r="O51" i="3"/>
  <c r="S51" i="3" s="1"/>
  <c r="N51" i="3"/>
  <c r="U51" i="3" s="1"/>
  <c r="M51" i="3"/>
  <c r="L51" i="3"/>
  <c r="H51" i="3"/>
  <c r="G51" i="3"/>
  <c r="F51" i="3"/>
  <c r="E51" i="3"/>
  <c r="D51" i="3"/>
  <c r="C51" i="3"/>
  <c r="B51" i="3"/>
  <c r="U50" i="3"/>
  <c r="R50" i="3"/>
  <c r="Q50" i="3"/>
  <c r="V50" i="3" s="1"/>
  <c r="P50" i="3"/>
  <c r="O50" i="3"/>
  <c r="S50" i="3" s="1"/>
  <c r="N50" i="3"/>
  <c r="M50" i="3"/>
  <c r="L50" i="3"/>
  <c r="I50" i="3"/>
  <c r="T50" i="3" s="1"/>
  <c r="H50" i="3"/>
  <c r="G50" i="3"/>
  <c r="F50" i="3"/>
  <c r="E50" i="3"/>
  <c r="D50" i="3"/>
  <c r="C50" i="3"/>
  <c r="B50" i="3"/>
  <c r="V49" i="3"/>
  <c r="R49" i="3"/>
  <c r="Q49" i="3"/>
  <c r="P49" i="3"/>
  <c r="T49" i="3" s="1"/>
  <c r="O49" i="3"/>
  <c r="S49" i="3" s="1"/>
  <c r="N49" i="3"/>
  <c r="U49" i="3" s="1"/>
  <c r="M49" i="3"/>
  <c r="L49" i="3"/>
  <c r="I49" i="3"/>
  <c r="H49" i="3"/>
  <c r="G49" i="3"/>
  <c r="F49" i="3"/>
  <c r="E49" i="3"/>
  <c r="D49" i="3"/>
  <c r="C49" i="3"/>
  <c r="B49" i="3"/>
  <c r="U48" i="3"/>
  <c r="S48" i="3"/>
  <c r="R48" i="3"/>
  <c r="Q48" i="3"/>
  <c r="V48" i="3" s="1"/>
  <c r="P48" i="3"/>
  <c r="O48" i="3"/>
  <c r="N48" i="3"/>
  <c r="M48" i="3"/>
  <c r="L48" i="3"/>
  <c r="H48" i="3"/>
  <c r="G48" i="3"/>
  <c r="F48" i="3"/>
  <c r="E48" i="3"/>
  <c r="D48" i="3"/>
  <c r="C48" i="3"/>
  <c r="B48" i="3"/>
  <c r="V47" i="3"/>
  <c r="R47" i="3"/>
  <c r="Q47" i="3"/>
  <c r="P47" i="3"/>
  <c r="O47" i="3"/>
  <c r="N47" i="3"/>
  <c r="U47" i="3" s="1"/>
  <c r="M47" i="3"/>
  <c r="L47" i="3"/>
  <c r="H47" i="3"/>
  <c r="S47" i="3" s="1"/>
  <c r="G47" i="3"/>
  <c r="F47" i="3"/>
  <c r="E47" i="3"/>
  <c r="D47" i="3"/>
  <c r="C47" i="3"/>
  <c r="B47" i="3"/>
  <c r="U46" i="3"/>
  <c r="S46" i="3"/>
  <c r="R46" i="3"/>
  <c r="Q46" i="3"/>
  <c r="V46" i="3" s="1"/>
  <c r="P46" i="3"/>
  <c r="T46" i="3" s="1"/>
  <c r="O46" i="3"/>
  <c r="N46" i="3"/>
  <c r="M46" i="3"/>
  <c r="L46" i="3"/>
  <c r="I46" i="3"/>
  <c r="H46" i="3"/>
  <c r="G46" i="3"/>
  <c r="F46" i="3"/>
  <c r="E46" i="3"/>
  <c r="D46" i="3"/>
  <c r="C46" i="3"/>
  <c r="B46" i="3"/>
  <c r="V45" i="3"/>
  <c r="R45" i="3"/>
  <c r="Q45" i="3"/>
  <c r="P45" i="3"/>
  <c r="O45" i="3"/>
  <c r="N45" i="3"/>
  <c r="U45" i="3" s="1"/>
  <c r="M45" i="3"/>
  <c r="L45" i="3"/>
  <c r="H45" i="3"/>
  <c r="S45" i="3" s="1"/>
  <c r="G45" i="3"/>
  <c r="F45" i="3"/>
  <c r="E45" i="3"/>
  <c r="D45" i="3"/>
  <c r="C45" i="3"/>
  <c r="B45" i="3"/>
  <c r="U44" i="3"/>
  <c r="R44" i="3"/>
  <c r="Q44" i="3"/>
  <c r="V44" i="3" s="1"/>
  <c r="P44" i="3"/>
  <c r="O44" i="3"/>
  <c r="S44" i="3" s="1"/>
  <c r="N44" i="3"/>
  <c r="M44" i="3"/>
  <c r="L44" i="3"/>
  <c r="H44" i="3"/>
  <c r="G44" i="3"/>
  <c r="F44" i="3"/>
  <c r="E44" i="3"/>
  <c r="D44" i="3"/>
  <c r="C44" i="3"/>
  <c r="B44" i="3"/>
  <c r="V43" i="3"/>
  <c r="R43" i="3"/>
  <c r="Q43" i="3"/>
  <c r="P43" i="3"/>
  <c r="O43" i="3"/>
  <c r="S43" i="3" s="1"/>
  <c r="N43" i="3"/>
  <c r="U43" i="3" s="1"/>
  <c r="M43" i="3"/>
  <c r="L43" i="3"/>
  <c r="H43" i="3"/>
  <c r="G43" i="3"/>
  <c r="F43" i="3"/>
  <c r="E43" i="3"/>
  <c r="D43" i="3"/>
  <c r="C43" i="3"/>
  <c r="B43" i="3"/>
  <c r="U42" i="3"/>
  <c r="T42" i="3"/>
  <c r="R42" i="3"/>
  <c r="Q42" i="3"/>
  <c r="V42" i="3" s="1"/>
  <c r="P42" i="3"/>
  <c r="O42" i="3"/>
  <c r="S42" i="3" s="1"/>
  <c r="N42" i="3"/>
  <c r="M42" i="3"/>
  <c r="L42" i="3"/>
  <c r="I42" i="3"/>
  <c r="H42" i="3"/>
  <c r="G42" i="3"/>
  <c r="F42" i="3"/>
  <c r="E42" i="3"/>
  <c r="D42" i="3"/>
  <c r="C42" i="3"/>
  <c r="B42" i="3"/>
  <c r="V41" i="3"/>
  <c r="R41" i="3"/>
  <c r="Q41" i="3"/>
  <c r="P41" i="3"/>
  <c r="T41" i="3" s="1"/>
  <c r="O41" i="3"/>
  <c r="S41" i="3" s="1"/>
  <c r="N41" i="3"/>
  <c r="U41" i="3" s="1"/>
  <c r="M41" i="3"/>
  <c r="L41" i="3"/>
  <c r="I41" i="3"/>
  <c r="H41" i="3"/>
  <c r="G41" i="3"/>
  <c r="F41" i="3"/>
  <c r="E41" i="3"/>
  <c r="D41" i="3"/>
  <c r="C41" i="3"/>
  <c r="B41" i="3"/>
  <c r="U40" i="3"/>
  <c r="S40" i="3"/>
  <c r="R40" i="3"/>
  <c r="Q40" i="3"/>
  <c r="V40" i="3" s="1"/>
  <c r="P40" i="3"/>
  <c r="O40" i="3"/>
  <c r="N40" i="3"/>
  <c r="M40" i="3"/>
  <c r="L40" i="3"/>
  <c r="H40" i="3"/>
  <c r="G40" i="3"/>
  <c r="F40" i="3"/>
  <c r="E40" i="3"/>
  <c r="D40" i="3"/>
  <c r="C40" i="3"/>
  <c r="B40" i="3"/>
  <c r="V39" i="3"/>
  <c r="U39" i="3"/>
  <c r="T39" i="3"/>
  <c r="S39" i="3"/>
  <c r="R39" i="3"/>
  <c r="Q39" i="3"/>
  <c r="P39" i="3"/>
  <c r="O39" i="3"/>
  <c r="N39" i="3"/>
  <c r="M39" i="3"/>
  <c r="L39" i="3"/>
  <c r="I39" i="3"/>
  <c r="H39" i="3"/>
  <c r="G39" i="3"/>
  <c r="F39" i="3"/>
  <c r="E39" i="3"/>
  <c r="D39" i="3"/>
  <c r="C39" i="3"/>
  <c r="B39" i="3"/>
  <c r="U38" i="3"/>
  <c r="R38" i="3"/>
  <c r="Q38" i="3"/>
  <c r="V38" i="3" s="1"/>
  <c r="P38" i="3"/>
  <c r="T38" i="3" s="1"/>
  <c r="O38" i="3"/>
  <c r="S38" i="3" s="1"/>
  <c r="N38" i="3"/>
  <c r="M38" i="3"/>
  <c r="L38" i="3"/>
  <c r="I38" i="3"/>
  <c r="H38" i="3"/>
  <c r="G38" i="3"/>
  <c r="F38" i="3"/>
  <c r="E38" i="3"/>
  <c r="D38" i="3"/>
  <c r="C38" i="3"/>
  <c r="B38" i="3"/>
  <c r="V37" i="3"/>
  <c r="T37" i="3"/>
  <c r="R37" i="3"/>
  <c r="Q37" i="3"/>
  <c r="P37" i="3"/>
  <c r="O37" i="3"/>
  <c r="N37" i="3"/>
  <c r="U37" i="3" s="1"/>
  <c r="M37" i="3"/>
  <c r="L37" i="3"/>
  <c r="I37" i="3"/>
  <c r="H37" i="3"/>
  <c r="S37" i="3" s="1"/>
  <c r="G37" i="3"/>
  <c r="F37" i="3"/>
  <c r="E37" i="3"/>
  <c r="D37" i="3"/>
  <c r="C37" i="3"/>
  <c r="B37" i="3"/>
  <c r="U36" i="3"/>
  <c r="R36" i="3"/>
  <c r="Q36" i="3"/>
  <c r="V36" i="3" s="1"/>
  <c r="P36" i="3"/>
  <c r="O36" i="3"/>
  <c r="S36" i="3" s="1"/>
  <c r="N36" i="3"/>
  <c r="M36" i="3"/>
  <c r="L36" i="3"/>
  <c r="H36" i="3"/>
  <c r="G36" i="3"/>
  <c r="F36" i="3"/>
  <c r="E36" i="3"/>
  <c r="D36" i="3"/>
  <c r="C36" i="3"/>
  <c r="B36" i="3"/>
  <c r="V35" i="3"/>
  <c r="R35" i="3"/>
  <c r="Q35" i="3"/>
  <c r="P35" i="3"/>
  <c r="T35" i="3" s="1"/>
  <c r="O35" i="3"/>
  <c r="S35" i="3" s="1"/>
  <c r="N35" i="3"/>
  <c r="U35" i="3" s="1"/>
  <c r="M35" i="3"/>
  <c r="L35" i="3"/>
  <c r="I35" i="3"/>
  <c r="H35" i="3"/>
  <c r="G35" i="3"/>
  <c r="F35" i="3"/>
  <c r="E35" i="3"/>
  <c r="D35" i="3"/>
  <c r="C35" i="3"/>
  <c r="B35" i="3"/>
  <c r="U34" i="3"/>
  <c r="S34" i="3"/>
  <c r="R34" i="3"/>
  <c r="Q34" i="3"/>
  <c r="V34" i="3" s="1"/>
  <c r="P34" i="3"/>
  <c r="O34" i="3"/>
  <c r="N34" i="3"/>
  <c r="M34" i="3"/>
  <c r="L34" i="3"/>
  <c r="H34" i="3"/>
  <c r="G34" i="3"/>
  <c r="F34" i="3"/>
  <c r="E34" i="3"/>
  <c r="D34" i="3"/>
  <c r="C34" i="3"/>
  <c r="B34" i="3"/>
  <c r="V33" i="3"/>
  <c r="R33" i="3"/>
  <c r="Q33" i="3"/>
  <c r="P33" i="3"/>
  <c r="T33" i="3" s="1"/>
  <c r="O33" i="3"/>
  <c r="S33" i="3" s="1"/>
  <c r="N33" i="3"/>
  <c r="U33" i="3" s="1"/>
  <c r="M33" i="3"/>
  <c r="L33" i="3"/>
  <c r="I33" i="3"/>
  <c r="H33" i="3"/>
  <c r="G33" i="3"/>
  <c r="F33" i="3"/>
  <c r="E33" i="3"/>
  <c r="D33" i="3"/>
  <c r="C33" i="3"/>
  <c r="B33" i="3"/>
  <c r="U32" i="3"/>
  <c r="S32" i="3"/>
  <c r="R32" i="3"/>
  <c r="Q32" i="3"/>
  <c r="V32" i="3" s="1"/>
  <c r="P32" i="3"/>
  <c r="T32" i="3" s="1"/>
  <c r="O32" i="3"/>
  <c r="N32" i="3"/>
  <c r="M32" i="3"/>
  <c r="L32" i="3"/>
  <c r="I32" i="3"/>
  <c r="H32" i="3"/>
  <c r="G32" i="3"/>
  <c r="F32" i="3"/>
  <c r="E32" i="3"/>
  <c r="D32" i="3"/>
  <c r="C32" i="3"/>
  <c r="B32" i="3"/>
  <c r="V31" i="3"/>
  <c r="T31" i="3"/>
  <c r="R31" i="3"/>
  <c r="Q31" i="3"/>
  <c r="P31" i="3"/>
  <c r="O31" i="3"/>
  <c r="N31" i="3"/>
  <c r="U31" i="3" s="1"/>
  <c r="M31" i="3"/>
  <c r="L31" i="3"/>
  <c r="I31" i="3"/>
  <c r="H31" i="3"/>
  <c r="S31" i="3" s="1"/>
  <c r="G31" i="3"/>
  <c r="F31" i="3"/>
  <c r="E31" i="3"/>
  <c r="D31" i="3"/>
  <c r="C31" i="3"/>
  <c r="B31" i="3"/>
  <c r="U30" i="3"/>
  <c r="R30" i="3"/>
  <c r="Q30" i="3"/>
  <c r="V30" i="3" s="1"/>
  <c r="P30" i="3"/>
  <c r="T30" i="3" s="1"/>
  <c r="O30" i="3"/>
  <c r="S30" i="3" s="1"/>
  <c r="N30" i="3"/>
  <c r="M30" i="3"/>
  <c r="L30" i="3"/>
  <c r="I30" i="3"/>
  <c r="H30" i="3"/>
  <c r="G30" i="3"/>
  <c r="F30" i="3"/>
  <c r="E30" i="3"/>
  <c r="D30" i="3"/>
  <c r="C30" i="3"/>
  <c r="B30" i="3"/>
  <c r="V29" i="3"/>
  <c r="T29" i="3"/>
  <c r="R29" i="3"/>
  <c r="Q29" i="3"/>
  <c r="P29" i="3"/>
  <c r="O29" i="3"/>
  <c r="N29" i="3"/>
  <c r="U29" i="3" s="1"/>
  <c r="M29" i="3"/>
  <c r="L29" i="3"/>
  <c r="I29" i="3"/>
  <c r="H29" i="3"/>
  <c r="S29" i="3" s="1"/>
  <c r="G29" i="3"/>
  <c r="F29" i="3"/>
  <c r="E29" i="3"/>
  <c r="D29" i="3"/>
  <c r="C29" i="3"/>
  <c r="B29" i="3"/>
  <c r="U28" i="3"/>
  <c r="T28" i="3"/>
  <c r="R28" i="3"/>
  <c r="Q28" i="3"/>
  <c r="V28" i="3" s="1"/>
  <c r="P28" i="3"/>
  <c r="O28" i="3"/>
  <c r="S28" i="3" s="1"/>
  <c r="N28" i="3"/>
  <c r="M28" i="3"/>
  <c r="L28" i="3"/>
  <c r="I28" i="3"/>
  <c r="H28" i="3"/>
  <c r="G28" i="3"/>
  <c r="F28" i="3"/>
  <c r="E28" i="3"/>
  <c r="D28" i="3"/>
  <c r="C28" i="3"/>
  <c r="B28" i="3"/>
  <c r="V27" i="3"/>
  <c r="R27" i="3"/>
  <c r="Q27" i="3"/>
  <c r="P27" i="3"/>
  <c r="T27" i="3" s="1"/>
  <c r="O27" i="3"/>
  <c r="S27" i="3" s="1"/>
  <c r="N27" i="3"/>
  <c r="U27" i="3" s="1"/>
  <c r="M27" i="3"/>
  <c r="L27" i="3"/>
  <c r="I27" i="3"/>
  <c r="H27" i="3"/>
  <c r="G27" i="3"/>
  <c r="F27" i="3"/>
  <c r="E27" i="3"/>
  <c r="D27" i="3"/>
  <c r="C27" i="3"/>
  <c r="B27" i="3"/>
  <c r="U26" i="3"/>
  <c r="S26" i="3"/>
  <c r="R26" i="3"/>
  <c r="Q26" i="3"/>
  <c r="V26" i="3" s="1"/>
  <c r="P26" i="3"/>
  <c r="O26" i="3"/>
  <c r="N26" i="3"/>
  <c r="M26" i="3"/>
  <c r="L26" i="3"/>
  <c r="H26" i="3"/>
  <c r="G26" i="3"/>
  <c r="F26" i="3"/>
  <c r="E26" i="3"/>
  <c r="D26" i="3"/>
  <c r="C26" i="3"/>
  <c r="B26" i="3"/>
  <c r="V25" i="3"/>
  <c r="R25" i="3"/>
  <c r="Q25" i="3"/>
  <c r="P25" i="3"/>
  <c r="O25" i="3"/>
  <c r="S25" i="3" s="1"/>
  <c r="N25" i="3"/>
  <c r="U25" i="3" s="1"/>
  <c r="M25" i="3"/>
  <c r="L25" i="3"/>
  <c r="H25" i="3"/>
  <c r="G25" i="3"/>
  <c r="F25" i="3"/>
  <c r="E25" i="3"/>
  <c r="D25" i="3"/>
  <c r="C25" i="3"/>
  <c r="B25" i="3"/>
  <c r="S24" i="3"/>
  <c r="R24" i="3"/>
  <c r="Q24" i="3"/>
  <c r="V24" i="3" s="1"/>
  <c r="P24" i="3"/>
  <c r="O24" i="3"/>
  <c r="N24" i="3"/>
  <c r="M24" i="3"/>
  <c r="L24" i="3"/>
  <c r="H24" i="3"/>
  <c r="G24" i="3"/>
  <c r="U24" i="3" s="1"/>
  <c r="F24" i="3"/>
  <c r="E24" i="3"/>
  <c r="D24" i="3"/>
  <c r="C24" i="3"/>
  <c r="B24" i="3"/>
  <c r="V23" i="3"/>
  <c r="T23" i="3"/>
  <c r="R23" i="3"/>
  <c r="Q23" i="3"/>
  <c r="P23" i="3"/>
  <c r="O23" i="3"/>
  <c r="N23" i="3"/>
  <c r="U23" i="3" s="1"/>
  <c r="M23" i="3"/>
  <c r="L23" i="3"/>
  <c r="H23" i="3"/>
  <c r="S23" i="3" s="1"/>
  <c r="G23" i="3"/>
  <c r="F23" i="3"/>
  <c r="E23" i="3"/>
  <c r="D23" i="3"/>
  <c r="C23" i="3"/>
  <c r="B23" i="3"/>
  <c r="R22" i="3"/>
  <c r="Q22" i="3"/>
  <c r="V22" i="3" s="1"/>
  <c r="P22" i="3"/>
  <c r="O22" i="3"/>
  <c r="S22" i="3" s="1"/>
  <c r="N22" i="3"/>
  <c r="M22" i="3"/>
  <c r="L22" i="3"/>
  <c r="H22" i="3"/>
  <c r="G22" i="3"/>
  <c r="U22" i="3" s="1"/>
  <c r="F22" i="3"/>
  <c r="E22" i="3"/>
  <c r="D22" i="3"/>
  <c r="C22" i="3"/>
  <c r="B22" i="3"/>
  <c r="V21" i="3"/>
  <c r="T21" i="3"/>
  <c r="R21" i="3"/>
  <c r="Q21" i="3"/>
  <c r="P21" i="3"/>
  <c r="O21" i="3"/>
  <c r="N21" i="3"/>
  <c r="U21" i="3" s="1"/>
  <c r="M21" i="3"/>
  <c r="L21" i="3"/>
  <c r="I21" i="3"/>
  <c r="H21" i="3"/>
  <c r="S21" i="3" s="1"/>
  <c r="G21" i="3"/>
  <c r="F21" i="3"/>
  <c r="E21" i="3"/>
  <c r="D21" i="3"/>
  <c r="C21" i="3"/>
  <c r="B21" i="3"/>
  <c r="U20" i="3"/>
  <c r="T20" i="3"/>
  <c r="R20" i="3"/>
  <c r="Q20" i="3"/>
  <c r="V20" i="3" s="1"/>
  <c r="P20" i="3"/>
  <c r="O20" i="3"/>
  <c r="S20" i="3" s="1"/>
  <c r="N20" i="3"/>
  <c r="M20" i="3"/>
  <c r="L20" i="3"/>
  <c r="I20" i="3"/>
  <c r="H20" i="3"/>
  <c r="G20" i="3"/>
  <c r="F20" i="3"/>
  <c r="E20" i="3"/>
  <c r="D20" i="3"/>
  <c r="C20" i="3"/>
  <c r="B20" i="3"/>
  <c r="V19" i="3"/>
  <c r="R19" i="3"/>
  <c r="Q19" i="3"/>
  <c r="P19" i="3"/>
  <c r="O19" i="3"/>
  <c r="S19" i="3" s="1"/>
  <c r="N19" i="3"/>
  <c r="U19" i="3" s="1"/>
  <c r="M19" i="3"/>
  <c r="L19" i="3"/>
  <c r="H19" i="3"/>
  <c r="G19" i="3"/>
  <c r="F19" i="3"/>
  <c r="E19" i="3"/>
  <c r="D19" i="3"/>
  <c r="C19" i="3"/>
  <c r="B19" i="3"/>
  <c r="U18" i="3"/>
  <c r="T18" i="3"/>
  <c r="S18" i="3"/>
  <c r="R18" i="3"/>
  <c r="Q18" i="3"/>
  <c r="V18" i="3" s="1"/>
  <c r="P18" i="3"/>
  <c r="O18" i="3"/>
  <c r="N18" i="3"/>
  <c r="M18" i="3"/>
  <c r="L18" i="3"/>
  <c r="I18" i="3"/>
  <c r="H18" i="3"/>
  <c r="G18" i="3"/>
  <c r="F18" i="3"/>
  <c r="E18" i="3"/>
  <c r="D18" i="3"/>
  <c r="C18" i="3"/>
  <c r="B18" i="3"/>
  <c r="V17" i="3"/>
  <c r="R17" i="3"/>
  <c r="Q17" i="3"/>
  <c r="P17" i="3"/>
  <c r="O17" i="3"/>
  <c r="S17" i="3" s="1"/>
  <c r="N17" i="3"/>
  <c r="U17" i="3" s="1"/>
  <c r="M17" i="3"/>
  <c r="L17" i="3"/>
  <c r="H17" i="3"/>
  <c r="G17" i="3"/>
  <c r="F17" i="3"/>
  <c r="E17" i="3"/>
  <c r="D17" i="3"/>
  <c r="C17" i="3"/>
  <c r="B17" i="3"/>
  <c r="U16" i="3"/>
  <c r="S16" i="3"/>
  <c r="R16" i="3"/>
  <c r="Q16" i="3"/>
  <c r="V16" i="3" s="1"/>
  <c r="P16" i="3"/>
  <c r="T16" i="3" s="1"/>
  <c r="O16" i="3"/>
  <c r="N16" i="3"/>
  <c r="M16" i="3"/>
  <c r="L16" i="3"/>
  <c r="I16" i="3"/>
  <c r="H16" i="3"/>
  <c r="G16" i="3"/>
  <c r="F16" i="3"/>
  <c r="E16" i="3"/>
  <c r="D16" i="3"/>
  <c r="C16" i="3"/>
  <c r="B16" i="3"/>
  <c r="V15" i="3"/>
  <c r="T15" i="3"/>
  <c r="R15" i="3"/>
  <c r="Q15" i="3"/>
  <c r="P15" i="3"/>
  <c r="O15" i="3"/>
  <c r="N15" i="3"/>
  <c r="U15" i="3" s="1"/>
  <c r="M15" i="3"/>
  <c r="L15" i="3"/>
  <c r="I15" i="3"/>
  <c r="H15" i="3"/>
  <c r="S15" i="3" s="1"/>
  <c r="G15" i="3"/>
  <c r="F15" i="3"/>
  <c r="E15" i="3"/>
  <c r="D15" i="3"/>
  <c r="C15" i="3"/>
  <c r="B15" i="3"/>
  <c r="U14" i="3"/>
  <c r="R14" i="3"/>
  <c r="Q14" i="3"/>
  <c r="V14" i="3" s="1"/>
  <c r="P14" i="3"/>
  <c r="T14" i="3" s="1"/>
  <c r="O14" i="3"/>
  <c r="S14" i="3" s="1"/>
  <c r="N14" i="3"/>
  <c r="M14" i="3"/>
  <c r="L14" i="3"/>
  <c r="I14" i="3"/>
  <c r="H14" i="3"/>
  <c r="G14" i="3"/>
  <c r="F14" i="3"/>
  <c r="E14" i="3"/>
  <c r="D14" i="3"/>
  <c r="C14" i="3"/>
  <c r="B14" i="3"/>
  <c r="V13" i="3"/>
  <c r="R13" i="3"/>
  <c r="Q13" i="3"/>
  <c r="P13" i="3"/>
  <c r="O13" i="3"/>
  <c r="N13" i="3"/>
  <c r="U13" i="3" s="1"/>
  <c r="M13" i="3"/>
  <c r="L13" i="3"/>
  <c r="G13" i="3"/>
  <c r="F13" i="3"/>
  <c r="E13" i="3"/>
  <c r="D13" i="3"/>
  <c r="C13" i="3"/>
  <c r="B13" i="3"/>
  <c r="U12" i="3"/>
  <c r="R12" i="3"/>
  <c r="Q12" i="3"/>
  <c r="V12" i="3" s="1"/>
  <c r="P12" i="3"/>
  <c r="O12" i="3"/>
  <c r="S12" i="3" s="1"/>
  <c r="N12" i="3"/>
  <c r="M12" i="3"/>
  <c r="L12" i="3"/>
  <c r="H12" i="3"/>
  <c r="G12" i="3"/>
  <c r="F12" i="3"/>
  <c r="E12" i="3"/>
  <c r="D12" i="3"/>
  <c r="C12" i="3"/>
  <c r="B12" i="3"/>
  <c r="V11" i="3"/>
  <c r="R11" i="3"/>
  <c r="Q11" i="3"/>
  <c r="P11" i="3"/>
  <c r="O11" i="3"/>
  <c r="S11" i="3" s="1"/>
  <c r="N11" i="3"/>
  <c r="U11" i="3" s="1"/>
  <c r="M11" i="3"/>
  <c r="L11" i="3"/>
  <c r="H11" i="3"/>
  <c r="G11" i="3"/>
  <c r="F11" i="3"/>
  <c r="E11" i="3"/>
  <c r="D11" i="3"/>
  <c r="C11" i="3"/>
  <c r="B11" i="3"/>
  <c r="U10" i="3"/>
  <c r="S10" i="3"/>
  <c r="R10" i="3"/>
  <c r="Q10" i="3"/>
  <c r="V10" i="3" s="1"/>
  <c r="P10" i="3"/>
  <c r="O10" i="3"/>
  <c r="N10" i="3"/>
  <c r="M10" i="3"/>
  <c r="L10" i="3"/>
  <c r="H10" i="3"/>
  <c r="G10" i="3"/>
  <c r="F10" i="3"/>
  <c r="E10" i="3"/>
  <c r="D10" i="3"/>
  <c r="C10" i="3"/>
  <c r="B10" i="3"/>
  <c r="V9" i="3"/>
  <c r="R9" i="3"/>
  <c r="Q9" i="3"/>
  <c r="P9" i="3"/>
  <c r="T9" i="3" s="1"/>
  <c r="O9" i="3"/>
  <c r="S9" i="3" s="1"/>
  <c r="N9" i="3"/>
  <c r="U9" i="3" s="1"/>
  <c r="M9" i="3"/>
  <c r="L9" i="3"/>
  <c r="H9" i="3"/>
  <c r="G9" i="3"/>
  <c r="F9" i="3"/>
  <c r="E9" i="3"/>
  <c r="D9" i="3"/>
  <c r="C9" i="3"/>
  <c r="B9" i="3"/>
  <c r="U8" i="3"/>
  <c r="S8" i="3"/>
  <c r="R8" i="3"/>
  <c r="Q8" i="3"/>
  <c r="V8" i="3" s="1"/>
  <c r="P8" i="3"/>
  <c r="O8" i="3"/>
  <c r="N8" i="3"/>
  <c r="M8" i="3"/>
  <c r="L8" i="3"/>
  <c r="H8" i="3"/>
  <c r="G8" i="3"/>
  <c r="F8" i="3"/>
  <c r="E8" i="3"/>
  <c r="D8" i="3"/>
  <c r="C8" i="3"/>
  <c r="B8" i="3"/>
  <c r="V7" i="3"/>
  <c r="R7" i="3"/>
  <c r="Q7" i="3"/>
  <c r="P7" i="3"/>
  <c r="O7" i="3"/>
  <c r="N7" i="3"/>
  <c r="U7" i="3" s="1"/>
  <c r="M7" i="3"/>
  <c r="L7" i="3"/>
  <c r="H7" i="3"/>
  <c r="S7" i="3" s="1"/>
  <c r="G7" i="3"/>
  <c r="F7" i="3"/>
  <c r="E7" i="3"/>
  <c r="D7" i="3"/>
  <c r="C7" i="3"/>
  <c r="B7" i="3"/>
  <c r="R6" i="3"/>
  <c r="Q6" i="3"/>
  <c r="V6" i="3" s="1"/>
  <c r="P6" i="3"/>
  <c r="O6" i="3"/>
  <c r="N6" i="3"/>
  <c r="M6" i="3"/>
  <c r="L6" i="3"/>
  <c r="G6" i="3"/>
  <c r="U6" i="3" s="1"/>
  <c r="F6" i="3"/>
  <c r="E6" i="3"/>
  <c r="D6" i="3"/>
  <c r="C6" i="3"/>
  <c r="B6" i="3"/>
  <c r="V5" i="3"/>
  <c r="R5" i="3"/>
  <c r="Q5" i="3"/>
  <c r="P5" i="3"/>
  <c r="O5" i="3"/>
  <c r="N5" i="3"/>
  <c r="U5" i="3" s="1"/>
  <c r="M5" i="3"/>
  <c r="L5" i="3"/>
  <c r="H5" i="3"/>
  <c r="S5" i="3" s="1"/>
  <c r="G5" i="3"/>
  <c r="F5" i="3"/>
  <c r="E5" i="3"/>
  <c r="D5" i="3"/>
  <c r="C5" i="3"/>
  <c r="B5" i="3"/>
  <c r="U4" i="3"/>
  <c r="T4" i="3"/>
  <c r="R4" i="3"/>
  <c r="Q4" i="3"/>
  <c r="V4" i="3" s="1"/>
  <c r="P4" i="3"/>
  <c r="O4" i="3"/>
  <c r="S4" i="3" s="1"/>
  <c r="N4" i="3"/>
  <c r="M4" i="3"/>
  <c r="L4" i="3"/>
  <c r="I4" i="3"/>
  <c r="H4" i="3"/>
  <c r="G4" i="3"/>
  <c r="F4" i="3"/>
  <c r="E4" i="3"/>
  <c r="D4" i="3"/>
  <c r="C4" i="3"/>
  <c r="B4" i="3"/>
  <c r="V3" i="3"/>
  <c r="R3" i="3"/>
  <c r="Q3" i="3"/>
  <c r="P3" i="3"/>
  <c r="O3" i="3"/>
  <c r="S3" i="3" s="1"/>
  <c r="N3" i="3"/>
  <c r="U3" i="3" s="1"/>
  <c r="M3" i="3"/>
  <c r="L3" i="3"/>
  <c r="H3" i="3"/>
  <c r="G3" i="3"/>
  <c r="F3" i="3"/>
  <c r="E3" i="3"/>
  <c r="D3" i="3"/>
  <c r="C3" i="3"/>
  <c r="B3" i="3"/>
  <c r="U2" i="3"/>
  <c r="T2" i="3"/>
  <c r="S2" i="3"/>
  <c r="R2" i="3"/>
  <c r="Q2" i="3"/>
  <c r="V2" i="3" s="1"/>
  <c r="P2" i="3"/>
  <c r="O2" i="3"/>
  <c r="N2" i="3"/>
  <c r="M2" i="3"/>
  <c r="L2" i="3"/>
  <c r="I2" i="3"/>
  <c r="H2" i="3"/>
  <c r="G2" i="3"/>
  <c r="F2" i="3"/>
  <c r="E2" i="3"/>
  <c r="D2" i="3"/>
  <c r="C2" i="3"/>
  <c r="B2" i="3"/>
  <c r="A13" i="1"/>
  <c r="A12" i="1"/>
  <c r="A11" i="1"/>
  <c r="A10" i="1"/>
  <c r="A9" i="1"/>
  <c r="A8" i="1"/>
  <c r="A7" i="1"/>
  <c r="A6" i="1"/>
  <c r="A5" i="1"/>
  <c r="H92" i="3" l="1"/>
  <c r="N92" i="6"/>
  <c r="S92" i="3"/>
  <c r="AD6" i="6"/>
  <c r="AI6" i="6"/>
  <c r="AA6" i="6"/>
  <c r="AC6" i="6"/>
  <c r="AJ34" i="6"/>
  <c r="AB34" i="6"/>
  <c r="AG34" i="6"/>
  <c r="Y34" i="6"/>
  <c r="AE89" i="6"/>
  <c r="W89" i="6"/>
  <c r="AD89" i="6"/>
  <c r="AC89" i="6"/>
  <c r="AJ89" i="6"/>
  <c r="AB89" i="6"/>
  <c r="AI89" i="6"/>
  <c r="AP12" i="9"/>
  <c r="AO12" i="9"/>
  <c r="AN12" i="9"/>
  <c r="AM12" i="9"/>
  <c r="O23" i="6"/>
  <c r="R26" i="9"/>
  <c r="AP52" i="9"/>
  <c r="AQ52" i="9" s="1"/>
  <c r="AO52" i="9"/>
  <c r="AN52" i="9"/>
  <c r="AM52" i="9"/>
  <c r="AP54" i="9"/>
  <c r="AO54" i="9"/>
  <c r="AN54" i="9"/>
  <c r="AM54" i="9"/>
  <c r="K101" i="6"/>
  <c r="M104" i="9"/>
  <c r="R116" i="9"/>
  <c r="N110" i="6"/>
  <c r="AI11" i="6"/>
  <c r="AA11" i="6"/>
  <c r="AF11" i="6"/>
  <c r="X11" i="6"/>
  <c r="AB11" i="6"/>
  <c r="AD34" i="6"/>
  <c r="AI47" i="6"/>
  <c r="AA47" i="6"/>
  <c r="AF47" i="6"/>
  <c r="X47" i="6"/>
  <c r="AD47" i="6"/>
  <c r="V105" i="3"/>
  <c r="W4" i="6"/>
  <c r="AH4" i="6"/>
  <c r="AE6" i="6"/>
  <c r="Y8" i="6"/>
  <c r="AI8" i="6"/>
  <c r="W9" i="6"/>
  <c r="AH9" i="6"/>
  <c r="AC11" i="6"/>
  <c r="AF14" i="6"/>
  <c r="AE15" i="6"/>
  <c r="W15" i="6"/>
  <c r="AJ15" i="6"/>
  <c r="AK15" i="6" s="1"/>
  <c r="AB15" i="6"/>
  <c r="AA15" i="6"/>
  <c r="W16" i="6"/>
  <c r="AH16" i="6"/>
  <c r="AF17" i="6"/>
  <c r="AF20" i="6"/>
  <c r="X23" i="6"/>
  <c r="AH23" i="6"/>
  <c r="AF24" i="6"/>
  <c r="AC28" i="6"/>
  <c r="AE30" i="6"/>
  <c r="AG31" i="6"/>
  <c r="Y31" i="6"/>
  <c r="AD31" i="6"/>
  <c r="AA31" i="6"/>
  <c r="AG33" i="6"/>
  <c r="AE34" i="6"/>
  <c r="Y37" i="6"/>
  <c r="AI37" i="6"/>
  <c r="AF38" i="6"/>
  <c r="W41" i="6"/>
  <c r="AH41" i="6"/>
  <c r="X45" i="6"/>
  <c r="AI45" i="6"/>
  <c r="AE47" i="6"/>
  <c r="AJ48" i="6"/>
  <c r="AB48" i="6"/>
  <c r="AG48" i="6"/>
  <c r="Y48" i="6"/>
  <c r="AD48" i="6"/>
  <c r="W50" i="6"/>
  <c r="AH50" i="6"/>
  <c r="X51" i="6"/>
  <c r="AI51" i="6"/>
  <c r="Y52" i="6"/>
  <c r="AJ52" i="6"/>
  <c r="Z53" i="6"/>
  <c r="X56" i="6"/>
  <c r="W58" i="6"/>
  <c r="AH58" i="6"/>
  <c r="Y59" i="6"/>
  <c r="AJ59" i="6"/>
  <c r="AA60" i="6"/>
  <c r="X62" i="6"/>
  <c r="AG64" i="6"/>
  <c r="AH65" i="6"/>
  <c r="AI66" i="6"/>
  <c r="Z67" i="6"/>
  <c r="AC70" i="6"/>
  <c r="AF74" i="6"/>
  <c r="X74" i="6"/>
  <c r="AE74" i="6"/>
  <c r="W74" i="6"/>
  <c r="AC74" i="6"/>
  <c r="AH74" i="6"/>
  <c r="W75" i="6"/>
  <c r="AJ75" i="6"/>
  <c r="AD80" i="6"/>
  <c r="AC80" i="6"/>
  <c r="AJ80" i="6"/>
  <c r="AB80" i="6"/>
  <c r="AI80" i="6"/>
  <c r="AA80" i="6"/>
  <c r="AG80" i="6"/>
  <c r="X81" i="6"/>
  <c r="AB82" i="6"/>
  <c r="AG83" i="6"/>
  <c r="Y83" i="6"/>
  <c r="AF83" i="6"/>
  <c r="X83" i="6"/>
  <c r="AE83" i="6"/>
  <c r="W83" i="6"/>
  <c r="AD83" i="6"/>
  <c r="AI83" i="6"/>
  <c r="X89" i="6"/>
  <c r="AB90" i="6"/>
  <c r="AG91" i="6"/>
  <c r="Y91" i="6"/>
  <c r="AF91" i="6"/>
  <c r="X91" i="6"/>
  <c r="AE91" i="6"/>
  <c r="W91" i="6"/>
  <c r="AD91" i="6"/>
  <c r="AH96" i="6"/>
  <c r="Y97" i="6"/>
  <c r="AG99" i="6"/>
  <c r="Y99" i="6"/>
  <c r="AF99" i="6"/>
  <c r="X99" i="6"/>
  <c r="AE99" i="6"/>
  <c r="W99" i="6"/>
  <c r="AD99" i="6"/>
  <c r="AI99" i="6"/>
  <c r="AE105" i="6"/>
  <c r="W105" i="6"/>
  <c r="AD105" i="6"/>
  <c r="AC105" i="6"/>
  <c r="AJ105" i="6"/>
  <c r="AK105" i="6" s="1"/>
  <c r="AB105" i="6"/>
  <c r="AI105" i="6"/>
  <c r="AA105" i="6"/>
  <c r="AF105" i="6"/>
  <c r="AA110" i="6"/>
  <c r="AQ5" i="9"/>
  <c r="L109" i="9"/>
  <c r="L120" i="9" s="1"/>
  <c r="N45" i="6"/>
  <c r="AP88" i="9"/>
  <c r="AO88" i="9"/>
  <c r="AN88" i="9"/>
  <c r="AM88" i="9"/>
  <c r="X4" i="6"/>
  <c r="AI4" i="6"/>
  <c r="AF6" i="6"/>
  <c r="AE7" i="6"/>
  <c r="W7" i="6"/>
  <c r="AJ7" i="6"/>
  <c r="AB7" i="6"/>
  <c r="AC7" i="6"/>
  <c r="Z8" i="6"/>
  <c r="AJ8" i="6"/>
  <c r="AD11" i="6"/>
  <c r="Y16" i="6"/>
  <c r="AI16" i="6"/>
  <c r="AJ26" i="6"/>
  <c r="AB26" i="6"/>
  <c r="AG26" i="6"/>
  <c r="Y26" i="6"/>
  <c r="AC26" i="6"/>
  <c r="AF34" i="6"/>
  <c r="AE36" i="6"/>
  <c r="W36" i="6"/>
  <c r="AJ36" i="6"/>
  <c r="AB36" i="6"/>
  <c r="AC36" i="6"/>
  <c r="Z37" i="6"/>
  <c r="AJ37" i="6"/>
  <c r="AK37" i="6" s="1"/>
  <c r="AD43" i="6"/>
  <c r="AI43" i="6"/>
  <c r="AA43" i="6"/>
  <c r="AC43" i="6"/>
  <c r="AG47" i="6"/>
  <c r="Z62" i="6"/>
  <c r="AD72" i="6"/>
  <c r="AC72" i="6"/>
  <c r="AI72" i="6"/>
  <c r="AA72" i="6"/>
  <c r="AB72" i="6"/>
  <c r="AG82" i="6"/>
  <c r="AD88" i="6"/>
  <c r="AC88" i="6"/>
  <c r="AJ88" i="6"/>
  <c r="AB88" i="6"/>
  <c r="AI88" i="6"/>
  <c r="AA88" i="6"/>
  <c r="AF88" i="6"/>
  <c r="Y89" i="6"/>
  <c r="AG90" i="6"/>
  <c r="AE109" i="6"/>
  <c r="W109" i="6"/>
  <c r="AD109" i="6"/>
  <c r="AC109" i="6"/>
  <c r="AJ109" i="6"/>
  <c r="AB109" i="6"/>
  <c r="AI109" i="6"/>
  <c r="AA109" i="6"/>
  <c r="AH109" i="6"/>
  <c r="O2" i="6"/>
  <c r="N9" i="9"/>
  <c r="M6" i="6" s="1"/>
  <c r="AL12" i="9"/>
  <c r="AP15" i="9"/>
  <c r="AO15" i="9"/>
  <c r="AN15" i="9"/>
  <c r="AM15" i="9"/>
  <c r="AO33" i="9"/>
  <c r="AN33" i="9"/>
  <c r="AM33" i="9"/>
  <c r="AL33" i="9"/>
  <c r="AQ33" i="9"/>
  <c r="AL52" i="9"/>
  <c r="AL54" i="9"/>
  <c r="N60" i="6"/>
  <c r="L73" i="6"/>
  <c r="N76" i="9"/>
  <c r="M73" i="6" s="1"/>
  <c r="N77" i="9"/>
  <c r="M74" i="6" s="1"/>
  <c r="M77" i="9"/>
  <c r="AP79" i="9"/>
  <c r="AO79" i="9"/>
  <c r="AN79" i="9"/>
  <c r="AM79" i="9"/>
  <c r="N91" i="6"/>
  <c r="S44" i="10"/>
  <c r="S43" i="10"/>
  <c r="H262" i="10"/>
  <c r="I262" i="10" s="1"/>
  <c r="J262" i="10" s="1"/>
  <c r="F263" i="10" s="1"/>
  <c r="AI3" i="6"/>
  <c r="AA3" i="6"/>
  <c r="AF3" i="6"/>
  <c r="X3" i="6"/>
  <c r="AD3" i="6"/>
  <c r="W6" i="6"/>
  <c r="AG6" i="6"/>
  <c r="AD7" i="6"/>
  <c r="Z9" i="6"/>
  <c r="AJ9" i="6"/>
  <c r="AE11" i="6"/>
  <c r="AJ12" i="6"/>
  <c r="AB12" i="6"/>
  <c r="AG12" i="6"/>
  <c r="Y12" i="6"/>
  <c r="AC12" i="6"/>
  <c r="X14" i="6"/>
  <c r="AD15" i="6"/>
  <c r="AK16" i="6"/>
  <c r="Z16" i="6"/>
  <c r="X17" i="6"/>
  <c r="AI17" i="6"/>
  <c r="AI19" i="6"/>
  <c r="AA19" i="6"/>
  <c r="AF19" i="6"/>
  <c r="X19" i="6"/>
  <c r="AB19" i="6"/>
  <c r="X20" i="6"/>
  <c r="AI20" i="6"/>
  <c r="AD22" i="6"/>
  <c r="AI22" i="6"/>
  <c r="AA22" i="6"/>
  <c r="AB22" i="6"/>
  <c r="Z23" i="6"/>
  <c r="X24" i="6"/>
  <c r="AI24" i="6"/>
  <c r="AD26" i="6"/>
  <c r="AF28" i="6"/>
  <c r="AE29" i="6"/>
  <c r="W29" i="6"/>
  <c r="AJ29" i="6"/>
  <c r="AK29" i="6" s="1"/>
  <c r="AB29" i="6"/>
  <c r="AA29" i="6"/>
  <c r="W30" i="6"/>
  <c r="AH30" i="6"/>
  <c r="AC31" i="6"/>
  <c r="Y33" i="6"/>
  <c r="AJ33" i="6"/>
  <c r="AK33" i="6" s="1"/>
  <c r="W34" i="6"/>
  <c r="AH34" i="6"/>
  <c r="AD36" i="6"/>
  <c r="X38" i="6"/>
  <c r="AI38" i="6"/>
  <c r="AI40" i="6"/>
  <c r="AA40" i="6"/>
  <c r="AF40" i="6"/>
  <c r="X40" i="6"/>
  <c r="AC40" i="6"/>
  <c r="AE43" i="6"/>
  <c r="AF44" i="6"/>
  <c r="X44" i="6"/>
  <c r="AC44" i="6"/>
  <c r="AB44" i="6"/>
  <c r="W47" i="6"/>
  <c r="AH47" i="6"/>
  <c r="AF48" i="6"/>
  <c r="AK50" i="6"/>
  <c r="Z51" i="6"/>
  <c r="AA52" i="6"/>
  <c r="AC56" i="6"/>
  <c r="Y58" i="6"/>
  <c r="X64" i="6"/>
  <c r="AJ64" i="6"/>
  <c r="Y65" i="6"/>
  <c r="Z66" i="6"/>
  <c r="AB67" i="6"/>
  <c r="AE72" i="6"/>
  <c r="AE73" i="6"/>
  <c r="W73" i="6"/>
  <c r="AD73" i="6"/>
  <c r="AJ73" i="6"/>
  <c r="AB73" i="6"/>
  <c r="AH73" i="6"/>
  <c r="Y74" i="6"/>
  <c r="AJ74" i="6"/>
  <c r="AA75" i="6"/>
  <c r="W80" i="6"/>
  <c r="Z81" i="6"/>
  <c r="AG88" i="6"/>
  <c r="Z89" i="6"/>
  <c r="T90" i="6"/>
  <c r="AA91" i="6"/>
  <c r="X96" i="6"/>
  <c r="AF98" i="6"/>
  <c r="X98" i="6"/>
  <c r="AE98" i="6"/>
  <c r="W98" i="6"/>
  <c r="AD98" i="6"/>
  <c r="AC98" i="6"/>
  <c r="AH98" i="6"/>
  <c r="AH105" i="6"/>
  <c r="AA106" i="6"/>
  <c r="S207" i="10"/>
  <c r="S206" i="10"/>
  <c r="S401" i="10"/>
  <c r="S402" i="10"/>
  <c r="S694" i="10"/>
  <c r="S695" i="10"/>
  <c r="S914" i="10"/>
  <c r="S913" i="10"/>
  <c r="Q109" i="9"/>
  <c r="Q120" i="9" s="1"/>
  <c r="O9" i="9"/>
  <c r="AO22" i="9"/>
  <c r="AN22" i="9"/>
  <c r="AM22" i="9"/>
  <c r="AL22" i="9"/>
  <c r="AQ24" i="9"/>
  <c r="N43" i="6"/>
  <c r="AP69" i="9"/>
  <c r="AO69" i="9"/>
  <c r="AN69" i="9"/>
  <c r="AM69" i="9"/>
  <c r="L71" i="6"/>
  <c r="O74" i="9"/>
  <c r="O76" i="9"/>
  <c r="AL88" i="9"/>
  <c r="L89" i="6"/>
  <c r="O92" i="9"/>
  <c r="AP103" i="9"/>
  <c r="AO103" i="9"/>
  <c r="AN103" i="9"/>
  <c r="AM103" i="9"/>
  <c r="H216" i="10"/>
  <c r="H1249" i="10"/>
  <c r="S97" i="3"/>
  <c r="S98" i="3"/>
  <c r="AJ4" i="6"/>
  <c r="AK4" i="6" s="1"/>
  <c r="AB4" i="6"/>
  <c r="AG4" i="6"/>
  <c r="Y4" i="6"/>
  <c r="AA4" i="6"/>
  <c r="X6" i="6"/>
  <c r="AH6" i="6"/>
  <c r="AF8" i="6"/>
  <c r="X8" i="6"/>
  <c r="AC8" i="6"/>
  <c r="AB8" i="6"/>
  <c r="AG11" i="6"/>
  <c r="AF16" i="6"/>
  <c r="X16" i="6"/>
  <c r="AC16" i="6"/>
  <c r="AA16" i="6"/>
  <c r="X34" i="6"/>
  <c r="AI34" i="6"/>
  <c r="AF37" i="6"/>
  <c r="X37" i="6"/>
  <c r="AC37" i="6"/>
  <c r="AB37" i="6"/>
  <c r="Y47" i="6"/>
  <c r="AJ47" i="6"/>
  <c r="AJ62" i="6"/>
  <c r="AB62" i="6"/>
  <c r="AI62" i="6"/>
  <c r="AA62" i="6"/>
  <c r="AG62" i="6"/>
  <c r="Y62" i="6"/>
  <c r="AD62" i="6"/>
  <c r="AF82" i="6"/>
  <c r="X82" i="6"/>
  <c r="AE82" i="6"/>
  <c r="W82" i="6"/>
  <c r="AD82" i="6"/>
  <c r="AC82" i="6"/>
  <c r="AI82" i="6"/>
  <c r="AA89" i="6"/>
  <c r="AF90" i="6"/>
  <c r="X90" i="6"/>
  <c r="AE90" i="6"/>
  <c r="W90" i="6"/>
  <c r="AD90" i="6"/>
  <c r="AC90" i="6"/>
  <c r="AI90" i="6"/>
  <c r="R12" i="9"/>
  <c r="AQ12" i="9" s="1"/>
  <c r="N9" i="6"/>
  <c r="N17" i="6"/>
  <c r="AP35" i="9"/>
  <c r="AQ35" i="9" s="1"/>
  <c r="AO35" i="9"/>
  <c r="AN35" i="9"/>
  <c r="AM35" i="9"/>
  <c r="AP48" i="9"/>
  <c r="AO48" i="9"/>
  <c r="AN48" i="9"/>
  <c r="AM48" i="9"/>
  <c r="AP64" i="9"/>
  <c r="AO64" i="9"/>
  <c r="AN64" i="9"/>
  <c r="AM64" i="9"/>
  <c r="AL79" i="9"/>
  <c r="AO104" i="9"/>
  <c r="AN104" i="9"/>
  <c r="AM104" i="9"/>
  <c r="AL104" i="9"/>
  <c r="AP104" i="9"/>
  <c r="U108" i="3"/>
  <c r="AC4" i="6"/>
  <c r="Y6" i="6"/>
  <c r="AJ6" i="6"/>
  <c r="AG7" i="6"/>
  <c r="AD8" i="6"/>
  <c r="W11" i="6"/>
  <c r="AH11" i="6"/>
  <c r="AD14" i="6"/>
  <c r="AI14" i="6"/>
  <c r="AA14" i="6"/>
  <c r="Z14" i="6"/>
  <c r="AB16" i="6"/>
  <c r="AF26" i="6"/>
  <c r="X28" i="6"/>
  <c r="AK30" i="6"/>
  <c r="Z30" i="6"/>
  <c r="Z34" i="6"/>
  <c r="AG36" i="6"/>
  <c r="AD37" i="6"/>
  <c r="AJ41" i="6"/>
  <c r="AK41" i="6" s="1"/>
  <c r="AB41" i="6"/>
  <c r="AG41" i="6"/>
  <c r="Y41" i="6"/>
  <c r="AC41" i="6"/>
  <c r="W43" i="6"/>
  <c r="AG43" i="6"/>
  <c r="AG45" i="6"/>
  <c r="Y45" i="6"/>
  <c r="AD45" i="6"/>
  <c r="AC45" i="6"/>
  <c r="Z47" i="6"/>
  <c r="AD50" i="6"/>
  <c r="AC50" i="6"/>
  <c r="AI50" i="6"/>
  <c r="AA50" i="6"/>
  <c r="AB50" i="6"/>
  <c r="AG53" i="6"/>
  <c r="Y53" i="6"/>
  <c r="AF53" i="6"/>
  <c r="X53" i="6"/>
  <c r="AD53" i="6"/>
  <c r="AE53" i="6"/>
  <c r="AF59" i="6"/>
  <c r="X59" i="6"/>
  <c r="AE59" i="6"/>
  <c r="W59" i="6"/>
  <c r="AC59" i="6"/>
  <c r="AD59" i="6"/>
  <c r="AG60" i="6"/>
  <c r="Y60" i="6"/>
  <c r="AF60" i="6"/>
  <c r="X60" i="6"/>
  <c r="AD60" i="6"/>
  <c r="AH60" i="6"/>
  <c r="AE62" i="6"/>
  <c r="AJ70" i="6"/>
  <c r="AB70" i="6"/>
  <c r="AI70" i="6"/>
  <c r="AA70" i="6"/>
  <c r="AG70" i="6"/>
  <c r="Y70" i="6"/>
  <c r="AH70" i="6"/>
  <c r="AG72" i="6"/>
  <c r="AJ82" i="6"/>
  <c r="W88" i="6"/>
  <c r="AF89" i="6"/>
  <c r="AJ90" i="6"/>
  <c r="AC91" i="6"/>
  <c r="AE97" i="6"/>
  <c r="W97" i="6"/>
  <c r="AD97" i="6"/>
  <c r="AC97" i="6"/>
  <c r="AJ97" i="6"/>
  <c r="AB97" i="6"/>
  <c r="AG97" i="6"/>
  <c r="X109" i="6"/>
  <c r="AG110" i="6"/>
  <c r="Y110" i="6"/>
  <c r="AF110" i="6"/>
  <c r="X110" i="6"/>
  <c r="AE110" i="6"/>
  <c r="W110" i="6"/>
  <c r="AD110" i="6"/>
  <c r="AC110" i="6"/>
  <c r="AJ110" i="6"/>
  <c r="S360" i="10"/>
  <c r="S359" i="10"/>
  <c r="AO28" i="9"/>
  <c r="AN28" i="9"/>
  <c r="AM28" i="9"/>
  <c r="AL28" i="9"/>
  <c r="AO34" i="9"/>
  <c r="AN34" i="9"/>
  <c r="AM34" i="9"/>
  <c r="AL34" i="9"/>
  <c r="AQ34" i="9"/>
  <c r="AP38" i="9"/>
  <c r="AQ38" i="9" s="1"/>
  <c r="AO38" i="9"/>
  <c r="AN38" i="9"/>
  <c r="AM38" i="9"/>
  <c r="AO40" i="9"/>
  <c r="AN40" i="9"/>
  <c r="AM40" i="9"/>
  <c r="AL40" i="9"/>
  <c r="AQ40" i="9"/>
  <c r="AP55" i="9"/>
  <c r="AO55" i="9"/>
  <c r="AN55" i="9"/>
  <c r="AM55" i="9"/>
  <c r="N64" i="6"/>
  <c r="R113" i="9"/>
  <c r="AQ116" i="9"/>
  <c r="AD4" i="6"/>
  <c r="Z6" i="6"/>
  <c r="X7" i="6"/>
  <c r="AH7" i="6"/>
  <c r="AE8" i="6"/>
  <c r="AG9" i="6"/>
  <c r="Y9" i="6"/>
  <c r="AD9" i="6"/>
  <c r="AC9" i="6"/>
  <c r="Y11" i="6"/>
  <c r="AJ11" i="6"/>
  <c r="AD16" i="6"/>
  <c r="AJ20" i="6"/>
  <c r="AK20" i="6" s="1"/>
  <c r="AB20" i="6"/>
  <c r="AG20" i="6"/>
  <c r="Y20" i="6"/>
  <c r="AC20" i="6"/>
  <c r="AE23" i="6"/>
  <c r="W23" i="6"/>
  <c r="AJ23" i="6"/>
  <c r="AB23" i="6"/>
  <c r="AD23" i="6"/>
  <c r="AG24" i="6"/>
  <c r="Y24" i="6"/>
  <c r="AD24" i="6"/>
  <c r="AB24" i="6"/>
  <c r="W26" i="6"/>
  <c r="AH26" i="6"/>
  <c r="AF30" i="6"/>
  <c r="X30" i="6"/>
  <c r="AC30" i="6"/>
  <c r="AA30" i="6"/>
  <c r="AI33" i="6"/>
  <c r="AA33" i="6"/>
  <c r="AF33" i="6"/>
  <c r="X33" i="6"/>
  <c r="AC33" i="6"/>
  <c r="AA34" i="6"/>
  <c r="N36" i="6"/>
  <c r="X36" i="6"/>
  <c r="AH36" i="6"/>
  <c r="AE37" i="6"/>
  <c r="AG38" i="6"/>
  <c r="Y38" i="6"/>
  <c r="AD38" i="6"/>
  <c r="AB38" i="6"/>
  <c r="X43" i="6"/>
  <c r="AH43" i="6"/>
  <c r="AB47" i="6"/>
  <c r="AE51" i="6"/>
  <c r="W51" i="6"/>
  <c r="AD51" i="6"/>
  <c r="AJ51" i="6"/>
  <c r="AB51" i="6"/>
  <c r="AF51" i="6"/>
  <c r="AF52" i="6"/>
  <c r="X52" i="6"/>
  <c r="AE52" i="6"/>
  <c r="W52" i="6"/>
  <c r="AC52" i="6"/>
  <c r="AG52" i="6"/>
  <c r="AJ56" i="6"/>
  <c r="AB56" i="6"/>
  <c r="AI56" i="6"/>
  <c r="AA56" i="6"/>
  <c r="AG56" i="6"/>
  <c r="Y56" i="6"/>
  <c r="AF56" i="6"/>
  <c r="AD58" i="6"/>
  <c r="AC58" i="6"/>
  <c r="AI58" i="6"/>
  <c r="AA58" i="6"/>
  <c r="AE58" i="6"/>
  <c r="AF62" i="6"/>
  <c r="AD64" i="6"/>
  <c r="AC64" i="6"/>
  <c r="AI64" i="6"/>
  <c r="AA64" i="6"/>
  <c r="AB64" i="6"/>
  <c r="AG67" i="6"/>
  <c r="Y67" i="6"/>
  <c r="AF67" i="6"/>
  <c r="X67" i="6"/>
  <c r="AD67" i="6"/>
  <c r="AH67" i="6"/>
  <c r="W72" i="6"/>
  <c r="AH72" i="6"/>
  <c r="AE81" i="6"/>
  <c r="W81" i="6"/>
  <c r="AD81" i="6"/>
  <c r="AC81" i="6"/>
  <c r="AJ81" i="6"/>
  <c r="AB81" i="6"/>
  <c r="AG81" i="6"/>
  <c r="Y82" i="6"/>
  <c r="X88" i="6"/>
  <c r="AG89" i="6"/>
  <c r="Y90" i="6"/>
  <c r="AG106" i="6"/>
  <c r="Y106" i="6"/>
  <c r="AF106" i="6"/>
  <c r="X106" i="6"/>
  <c r="AE106" i="6"/>
  <c r="W106" i="6"/>
  <c r="AD106" i="6"/>
  <c r="AC106" i="6"/>
  <c r="AI106" i="6"/>
  <c r="Y109" i="6"/>
  <c r="AO9" i="9"/>
  <c r="AN9" i="9"/>
  <c r="AM9" i="9"/>
  <c r="AL9" i="9"/>
  <c r="O16" i="9"/>
  <c r="N16" i="9"/>
  <c r="M13" i="6" s="1"/>
  <c r="AO46" i="9"/>
  <c r="AN46" i="9"/>
  <c r="AM46" i="9"/>
  <c r="AL46" i="9"/>
  <c r="N67" i="6"/>
  <c r="AP76" i="9"/>
  <c r="AO76" i="9"/>
  <c r="AN76" i="9"/>
  <c r="AM76" i="9"/>
  <c r="N75" i="6"/>
  <c r="N80" i="6"/>
  <c r="AP96" i="9"/>
  <c r="AO96" i="9"/>
  <c r="AN96" i="9"/>
  <c r="AM96" i="9"/>
  <c r="AO97" i="9"/>
  <c r="AN97" i="9"/>
  <c r="AM97" i="9"/>
  <c r="AL97" i="9"/>
  <c r="T97" i="6"/>
  <c r="X100" i="9"/>
  <c r="H100" i="3"/>
  <c r="S100" i="3" s="1"/>
  <c r="AO106" i="9"/>
  <c r="AN106" i="9"/>
  <c r="AM106" i="9"/>
  <c r="AL106" i="9"/>
  <c r="AQ106" i="9"/>
  <c r="AP106" i="9"/>
  <c r="AE4" i="6"/>
  <c r="AB6" i="6"/>
  <c r="Y7" i="6"/>
  <c r="AI7" i="6"/>
  <c r="AG8" i="6"/>
  <c r="AE9" i="6"/>
  <c r="Z11" i="6"/>
  <c r="AE16" i="6"/>
  <c r="AG17" i="6"/>
  <c r="Y17" i="6"/>
  <c r="AD17" i="6"/>
  <c r="AC17" i="6"/>
  <c r="AD20" i="6"/>
  <c r="AF23" i="6"/>
  <c r="AC24" i="6"/>
  <c r="X26" i="6"/>
  <c r="AI26" i="6"/>
  <c r="AD28" i="6"/>
  <c r="AI28" i="6"/>
  <c r="AA28" i="6"/>
  <c r="Z28" i="6"/>
  <c r="AB30" i="6"/>
  <c r="AD33" i="6"/>
  <c r="AC34" i="6"/>
  <c r="Y36" i="6"/>
  <c r="AI36" i="6"/>
  <c r="AG37" i="6"/>
  <c r="AC38" i="6"/>
  <c r="Y43" i="6"/>
  <c r="AJ43" i="6"/>
  <c r="AC47" i="6"/>
  <c r="AG51" i="6"/>
  <c r="AH52" i="6"/>
  <c r="AH56" i="6"/>
  <c r="AF58" i="6"/>
  <c r="AH62" i="6"/>
  <c r="AE64" i="6"/>
  <c r="AE65" i="6"/>
  <c r="W65" i="6"/>
  <c r="AD65" i="6"/>
  <c r="AJ65" i="6"/>
  <c r="AB65" i="6"/>
  <c r="AF65" i="6"/>
  <c r="AF66" i="6"/>
  <c r="X66" i="6"/>
  <c r="AE66" i="6"/>
  <c r="W66" i="6"/>
  <c r="AC66" i="6"/>
  <c r="AG66" i="6"/>
  <c r="AI67" i="6"/>
  <c r="X72" i="6"/>
  <c r="AJ72" i="6"/>
  <c r="AG75" i="6"/>
  <c r="Y75" i="6"/>
  <c r="AF75" i="6"/>
  <c r="X75" i="6"/>
  <c r="AD75" i="6"/>
  <c r="AH75" i="6"/>
  <c r="AH81" i="6"/>
  <c r="Z82" i="6"/>
  <c r="Y88" i="6"/>
  <c r="AH89" i="6"/>
  <c r="Z90" i="6"/>
  <c r="AD96" i="6"/>
  <c r="AC96" i="6"/>
  <c r="AJ96" i="6"/>
  <c r="AB96" i="6"/>
  <c r="AI96" i="6"/>
  <c r="AA96" i="6"/>
  <c r="AF96" i="6"/>
  <c r="AJ106" i="6"/>
  <c r="AK106" i="6" s="1"/>
  <c r="Z109" i="6"/>
  <c r="S6" i="10"/>
  <c r="S7" i="10"/>
  <c r="S555" i="10"/>
  <c r="S556" i="10"/>
  <c r="AP6" i="9"/>
  <c r="AO6" i="9"/>
  <c r="AN6" i="9"/>
  <c r="AM6" i="9"/>
  <c r="AQ21" i="9"/>
  <c r="AP62" i="9"/>
  <c r="AO62" i="9"/>
  <c r="AN62" i="9"/>
  <c r="AM62" i="9"/>
  <c r="R65" i="9"/>
  <c r="L70" i="6"/>
  <c r="O73" i="9"/>
  <c r="N73" i="9"/>
  <c r="M70" i="6" s="1"/>
  <c r="K77" i="6"/>
  <c r="N80" i="9"/>
  <c r="M77" i="6" s="1"/>
  <c r="AP84" i="9"/>
  <c r="AO84" i="9"/>
  <c r="AN84" i="9"/>
  <c r="AM84" i="9"/>
  <c r="O91" i="9"/>
  <c r="AO92" i="9"/>
  <c r="AN92" i="9"/>
  <c r="AM92" i="9"/>
  <c r="AL92" i="9"/>
  <c r="AO100" i="9"/>
  <c r="AN100" i="9"/>
  <c r="AM100" i="9"/>
  <c r="AL100" i="9"/>
  <c r="J369" i="10"/>
  <c r="F370" i="10" s="1"/>
  <c r="H369" i="10"/>
  <c r="L293" i="10"/>
  <c r="L294" i="10" s="1"/>
  <c r="L295" i="10" s="1"/>
  <c r="L296" i="10" s="1"/>
  <c r="L297" i="10" s="1"/>
  <c r="L298" i="10" s="1"/>
  <c r="L299" i="10" s="1"/>
  <c r="L300" i="10" s="1"/>
  <c r="L301" i="10" s="1"/>
  <c r="I293" i="10"/>
  <c r="J293" i="10" s="1"/>
  <c r="F294" i="10" s="1"/>
  <c r="H923" i="10"/>
  <c r="S1086" i="10"/>
  <c r="S1085" i="10"/>
  <c r="S1441" i="10"/>
  <c r="S1440" i="10"/>
  <c r="S1627" i="10"/>
  <c r="S1626" i="10"/>
  <c r="S1793" i="10"/>
  <c r="S1792" i="10"/>
  <c r="S2004" i="10"/>
  <c r="S2005" i="10"/>
  <c r="S2282" i="10"/>
  <c r="S2281" i="10"/>
  <c r="S2481" i="10"/>
  <c r="S2480" i="10"/>
  <c r="S2650" i="10"/>
  <c r="S2649" i="10"/>
  <c r="S2866" i="10"/>
  <c r="S2867" i="10"/>
  <c r="S3160" i="10"/>
  <c r="S3159" i="10"/>
  <c r="S3373" i="10"/>
  <c r="S3372" i="10"/>
  <c r="S3584" i="10"/>
  <c r="S3585" i="10"/>
  <c r="S3801" i="10"/>
  <c r="S3802" i="10"/>
  <c r="S3994" i="10"/>
  <c r="S3993" i="10"/>
  <c r="S4226" i="10"/>
  <c r="S4227" i="10"/>
  <c r="S4434" i="10"/>
  <c r="S4435" i="10"/>
  <c r="S4670" i="10"/>
  <c r="S4669" i="10"/>
  <c r="S4898" i="10"/>
  <c r="S4899" i="10"/>
  <c r="S5096" i="10"/>
  <c r="S5097" i="10"/>
  <c r="S5350" i="10"/>
  <c r="S5349" i="10"/>
  <c r="AP63" i="9"/>
  <c r="AP74" i="9"/>
  <c r="AP77" i="9"/>
  <c r="AP86" i="9"/>
  <c r="AP87" i="9"/>
  <c r="AP89" i="9"/>
  <c r="AP95" i="9"/>
  <c r="AP98" i="9"/>
  <c r="AP105" i="9"/>
  <c r="O115" i="9"/>
  <c r="AP115" i="9"/>
  <c r="L247" i="10"/>
  <c r="J411" i="10"/>
  <c r="F412" i="10" s="1"/>
  <c r="H411" i="10"/>
  <c r="Z104" i="6"/>
  <c r="AH104" i="6"/>
  <c r="S619" i="10"/>
  <c r="S618" i="10"/>
  <c r="S1240" i="10"/>
  <c r="S1239" i="10"/>
  <c r="S1587" i="10"/>
  <c r="S1586" i="10"/>
  <c r="S1752" i="10"/>
  <c r="S1751" i="10"/>
  <c r="S1960" i="10"/>
  <c r="S1961" i="10"/>
  <c r="S2135" i="10"/>
  <c r="S2136" i="10"/>
  <c r="S2440" i="10"/>
  <c r="S2439" i="10"/>
  <c r="S2608" i="10"/>
  <c r="S2607" i="10"/>
  <c r="S2812" i="10"/>
  <c r="S2811" i="10"/>
  <c r="S3076" i="10"/>
  <c r="S3075" i="10"/>
  <c r="S3307" i="10"/>
  <c r="S3306" i="10"/>
  <c r="S3542" i="10"/>
  <c r="S3543" i="10"/>
  <c r="S3761" i="10"/>
  <c r="S3760" i="10"/>
  <c r="S3952" i="10"/>
  <c r="S3951" i="10"/>
  <c r="S4176" i="10"/>
  <c r="S4175" i="10"/>
  <c r="S4407" i="10"/>
  <c r="S4406" i="10"/>
  <c r="S4593" i="10"/>
  <c r="S4594" i="10"/>
  <c r="S4837" i="10"/>
  <c r="S4836" i="10"/>
  <c r="S5057" i="10"/>
  <c r="S5056" i="10"/>
  <c r="S5287" i="10"/>
  <c r="S5286" i="10"/>
  <c r="S5556" i="10"/>
  <c r="S5555" i="10"/>
  <c r="AL29" i="9"/>
  <c r="AL30" i="9"/>
  <c r="AL31" i="9"/>
  <c r="AL32" i="9"/>
  <c r="AL37" i="9"/>
  <c r="AL44" i="9"/>
  <c r="AL47" i="9"/>
  <c r="AL50" i="9"/>
  <c r="AL58" i="9"/>
  <c r="AM114" i="9"/>
  <c r="E38" i="10"/>
  <c r="S873" i="10"/>
  <c r="W2" i="6"/>
  <c r="AE2" i="6"/>
  <c r="Z5" i="6"/>
  <c r="AH5" i="6"/>
  <c r="W10" i="6"/>
  <c r="AE10" i="6"/>
  <c r="Z13" i="6"/>
  <c r="AH13" i="6"/>
  <c r="W18" i="6"/>
  <c r="AE18" i="6"/>
  <c r="Z21" i="6"/>
  <c r="AH21" i="6"/>
  <c r="W25" i="6"/>
  <c r="AE25" i="6"/>
  <c r="Z27" i="6"/>
  <c r="AH27" i="6"/>
  <c r="W32" i="6"/>
  <c r="AE32" i="6"/>
  <c r="Z35" i="6"/>
  <c r="AH35" i="6"/>
  <c r="W39" i="6"/>
  <c r="AE39" i="6"/>
  <c r="Z42" i="6"/>
  <c r="AH42" i="6"/>
  <c r="W46" i="6"/>
  <c r="AE46" i="6"/>
  <c r="Z49" i="6"/>
  <c r="AH49" i="6"/>
  <c r="W54" i="6"/>
  <c r="AE54" i="6"/>
  <c r="X55" i="6"/>
  <c r="AF55" i="6"/>
  <c r="Z57" i="6"/>
  <c r="X61" i="6"/>
  <c r="AF61" i="6"/>
  <c r="Z63" i="6"/>
  <c r="W68" i="6"/>
  <c r="AE68" i="6"/>
  <c r="X69" i="6"/>
  <c r="AF69" i="6"/>
  <c r="Z71" i="6"/>
  <c r="AH71" i="6"/>
  <c r="W76" i="6"/>
  <c r="AE76" i="6"/>
  <c r="X77" i="6"/>
  <c r="AF77" i="6"/>
  <c r="Y78" i="6"/>
  <c r="AG78" i="6"/>
  <c r="Z79" i="6"/>
  <c r="AH79" i="6"/>
  <c r="W84" i="6"/>
  <c r="AE84" i="6"/>
  <c r="X85" i="6"/>
  <c r="AF85" i="6"/>
  <c r="Y86" i="6"/>
  <c r="AG86" i="6"/>
  <c r="Z87" i="6"/>
  <c r="AH87" i="6"/>
  <c r="W92" i="6"/>
  <c r="AE92" i="6"/>
  <c r="X93" i="6"/>
  <c r="AF93" i="6"/>
  <c r="Y94" i="6"/>
  <c r="AG94" i="6"/>
  <c r="Z95" i="6"/>
  <c r="AH95" i="6"/>
  <c r="W100" i="6"/>
  <c r="AE100" i="6"/>
  <c r="X101" i="6"/>
  <c r="AF101" i="6"/>
  <c r="Y102" i="6"/>
  <c r="AG102" i="6"/>
  <c r="Z103" i="6"/>
  <c r="AH103" i="6"/>
  <c r="AA104" i="6"/>
  <c r="AI104" i="6"/>
  <c r="X107" i="6"/>
  <c r="AF107" i="6"/>
  <c r="Z108" i="6"/>
  <c r="AH108" i="6"/>
  <c r="L109" i="6"/>
  <c r="AM29" i="9"/>
  <c r="AM30" i="9"/>
  <c r="AM31" i="9"/>
  <c r="AM32" i="9"/>
  <c r="AQ36" i="9"/>
  <c r="AM37" i="9"/>
  <c r="AP39" i="9"/>
  <c r="AM44" i="9"/>
  <c r="AM47" i="9"/>
  <c r="AP49" i="9"/>
  <c r="AQ49" i="9" s="1"/>
  <c r="AM50" i="9"/>
  <c r="AQ53" i="9"/>
  <c r="AM58" i="9"/>
  <c r="AP60" i="9"/>
  <c r="AQ65" i="9"/>
  <c r="AP68" i="9"/>
  <c r="AP70" i="9"/>
  <c r="AP72" i="9"/>
  <c r="AM78" i="9"/>
  <c r="M79" i="9"/>
  <c r="AM80" i="9"/>
  <c r="AP81" i="9"/>
  <c r="AP94" i="9"/>
  <c r="AP102" i="9"/>
  <c r="AM107" i="9"/>
  <c r="AM112" i="9"/>
  <c r="AQ113" i="9"/>
  <c r="AN114" i="9"/>
  <c r="E198" i="10"/>
  <c r="E201" i="10" s="1"/>
  <c r="E280" i="10"/>
  <c r="H2103" i="10"/>
  <c r="Z78" i="6"/>
  <c r="AH78" i="6"/>
  <c r="Z86" i="6"/>
  <c r="AH86" i="6"/>
  <c r="Z94" i="6"/>
  <c r="AH94" i="6"/>
  <c r="Z102" i="6"/>
  <c r="AH102" i="6"/>
  <c r="AB104" i="6"/>
  <c r="AJ104" i="6"/>
  <c r="S833" i="10"/>
  <c r="S832" i="10"/>
  <c r="S1007" i="10"/>
  <c r="S1006" i="10"/>
  <c r="S1167" i="10"/>
  <c r="S1166" i="10"/>
  <c r="S1547" i="10"/>
  <c r="S1546" i="10"/>
  <c r="S1708" i="10"/>
  <c r="S1707" i="10"/>
  <c r="S1918" i="10"/>
  <c r="S1917" i="10"/>
  <c r="S2094" i="10"/>
  <c r="S2093" i="10"/>
  <c r="S2387" i="10"/>
  <c r="S2386" i="10"/>
  <c r="S2563" i="10"/>
  <c r="S2564" i="10"/>
  <c r="S2741" i="10"/>
  <c r="S2742" i="10"/>
  <c r="S2985" i="10"/>
  <c r="S2984" i="10"/>
  <c r="S3266" i="10"/>
  <c r="S3267" i="10"/>
  <c r="S3477" i="10"/>
  <c r="S3476" i="10"/>
  <c r="S3695" i="10"/>
  <c r="S3694" i="10"/>
  <c r="S3910" i="10"/>
  <c r="S3909" i="10"/>
  <c r="S4112" i="10"/>
  <c r="S4111" i="10"/>
  <c r="S4354" i="10"/>
  <c r="S4353" i="10"/>
  <c r="S4541" i="10"/>
  <c r="S4542" i="10"/>
  <c r="S4771" i="10"/>
  <c r="S4772" i="10"/>
  <c r="S5005" i="10"/>
  <c r="S5004" i="10"/>
  <c r="S5211" i="10"/>
  <c r="S5210" i="10"/>
  <c r="S5480" i="10"/>
  <c r="S5479" i="10"/>
  <c r="AL5" i="9"/>
  <c r="AL10" i="9"/>
  <c r="AL26" i="9"/>
  <c r="AN29" i="9"/>
  <c r="AN30" i="9"/>
  <c r="AN31" i="9"/>
  <c r="AN32" i="9"/>
  <c r="AN37" i="9"/>
  <c r="AL42" i="9"/>
  <c r="AN44" i="9"/>
  <c r="AN47" i="9"/>
  <c r="AN50" i="9"/>
  <c r="AL57" i="9"/>
  <c r="AN58" i="9"/>
  <c r="AL63" i="9"/>
  <c r="AL74" i="9"/>
  <c r="AL77" i="9"/>
  <c r="AN78" i="9"/>
  <c r="AN80" i="9"/>
  <c r="AL86" i="9"/>
  <c r="AL87" i="9"/>
  <c r="AL89" i="9"/>
  <c r="AL95" i="9"/>
  <c r="AL98" i="9"/>
  <c r="AL105" i="9"/>
  <c r="AN107" i="9"/>
  <c r="AN112" i="9"/>
  <c r="AO114" i="9"/>
  <c r="AL115" i="9"/>
  <c r="H255" i="10"/>
  <c r="E395" i="10"/>
  <c r="H565" i="10"/>
  <c r="J619" i="10"/>
  <c r="H1175" i="10"/>
  <c r="Z55" i="6"/>
  <c r="AH55" i="6"/>
  <c r="Z61" i="6"/>
  <c r="AH61" i="6"/>
  <c r="Z69" i="6"/>
  <c r="AH69" i="6"/>
  <c r="Z77" i="6"/>
  <c r="AH77" i="6"/>
  <c r="AA78" i="6"/>
  <c r="AI78" i="6"/>
  <c r="Z85" i="6"/>
  <c r="AH85" i="6"/>
  <c r="AA86" i="6"/>
  <c r="AI86" i="6"/>
  <c r="Z93" i="6"/>
  <c r="AH93" i="6"/>
  <c r="AA94" i="6"/>
  <c r="AI94" i="6"/>
  <c r="Z101" i="6"/>
  <c r="AH101" i="6"/>
  <c r="AA102" i="6"/>
  <c r="AI102" i="6"/>
  <c r="AC104" i="6"/>
  <c r="Z107" i="6"/>
  <c r="AH107" i="6"/>
  <c r="AM5" i="9"/>
  <c r="AM10" i="9"/>
  <c r="AM26" i="9"/>
  <c r="AO29" i="9"/>
  <c r="AO30" i="9"/>
  <c r="AO31" i="9"/>
  <c r="AO32" i="9"/>
  <c r="AO37" i="9"/>
  <c r="AM42" i="9"/>
  <c r="AO44" i="9"/>
  <c r="AO47" i="9"/>
  <c r="AO50" i="9"/>
  <c r="AM57" i="9"/>
  <c r="AO58" i="9"/>
  <c r="AM63" i="9"/>
  <c r="AM74" i="9"/>
  <c r="AM77" i="9"/>
  <c r="AO78" i="9"/>
  <c r="AO80" i="9"/>
  <c r="AM86" i="9"/>
  <c r="AM87" i="9"/>
  <c r="AM89" i="9"/>
  <c r="AM95" i="9"/>
  <c r="AM98" i="9"/>
  <c r="AM105" i="9"/>
  <c r="AO107" i="9"/>
  <c r="AO112" i="9"/>
  <c r="AP114" i="9"/>
  <c r="AQ114" i="9" s="1"/>
  <c r="AM115" i="9"/>
  <c r="AO116" i="9"/>
  <c r="AN116" i="9"/>
  <c r="N7" i="10"/>
  <c r="L45" i="10"/>
  <c r="S285" i="10"/>
  <c r="I106" i="3"/>
  <c r="Z2" i="6"/>
  <c r="Z10" i="6"/>
  <c r="Z18" i="6"/>
  <c r="Z25" i="6"/>
  <c r="Z32" i="6"/>
  <c r="Z39" i="6"/>
  <c r="Z46" i="6"/>
  <c r="Z54" i="6"/>
  <c r="AA55" i="6"/>
  <c r="AA61" i="6"/>
  <c r="Z68" i="6"/>
  <c r="AA69" i="6"/>
  <c r="Z76" i="6"/>
  <c r="AA77" i="6"/>
  <c r="AB78" i="6"/>
  <c r="Z84" i="6"/>
  <c r="AA85" i="6"/>
  <c r="AB86" i="6"/>
  <c r="Z92" i="6"/>
  <c r="AA93" i="6"/>
  <c r="AB94" i="6"/>
  <c r="Z100" i="6"/>
  <c r="AA101" i="6"/>
  <c r="AB102" i="6"/>
  <c r="AA107" i="6"/>
  <c r="S246" i="10"/>
  <c r="S247" i="10"/>
  <c r="S491" i="10"/>
  <c r="S492" i="10"/>
  <c r="S1127" i="10"/>
  <c r="S1126" i="10"/>
  <c r="S1507" i="10"/>
  <c r="S1506" i="10"/>
  <c r="S1667" i="10"/>
  <c r="S1666" i="10"/>
  <c r="S1870" i="10"/>
  <c r="S1871" i="10"/>
  <c r="S2046" i="10"/>
  <c r="S2045" i="10"/>
  <c r="S2321" i="10"/>
  <c r="S2320" i="10"/>
  <c r="S2521" i="10"/>
  <c r="S2522" i="10"/>
  <c r="S2694" i="10"/>
  <c r="S2695" i="10"/>
  <c r="S2933" i="10"/>
  <c r="S2932" i="10"/>
  <c r="S3237" i="10"/>
  <c r="S3238" i="10"/>
  <c r="S3438" i="10"/>
  <c r="S3439" i="10"/>
  <c r="S3628" i="10"/>
  <c r="S3629" i="10"/>
  <c r="S3844" i="10"/>
  <c r="S3843" i="10"/>
  <c r="S4059" i="10"/>
  <c r="S4058" i="10"/>
  <c r="S4289" i="10"/>
  <c r="S4288" i="10"/>
  <c r="S4500" i="10"/>
  <c r="S4501" i="10"/>
  <c r="S4733" i="10"/>
  <c r="S4734" i="10"/>
  <c r="S4965" i="10"/>
  <c r="S4964" i="10"/>
  <c r="S5134" i="10"/>
  <c r="S5135" i="10"/>
  <c r="S5416" i="10"/>
  <c r="S5417" i="10"/>
  <c r="I53" i="10"/>
  <c r="H883" i="10"/>
  <c r="I883" i="10" s="1"/>
  <c r="J883" i="10" s="1"/>
  <c r="F884" i="10" s="1"/>
  <c r="S1047" i="10"/>
  <c r="J53" i="10"/>
  <c r="F54" i="10" s="1"/>
  <c r="E550" i="10"/>
  <c r="E825" i="10"/>
  <c r="G15" i="10"/>
  <c r="I402" i="10"/>
  <c r="E485" i="10"/>
  <c r="H500" i="10"/>
  <c r="I500" i="10" s="1"/>
  <c r="J500" i="10" s="1"/>
  <c r="F501" i="10" s="1"/>
  <c r="E613" i="10"/>
  <c r="H628" i="10"/>
  <c r="E906" i="10"/>
  <c r="I923" i="10"/>
  <c r="J923" i="10" s="1"/>
  <c r="F924" i="10" s="1"/>
  <c r="K492" i="10"/>
  <c r="K556" i="10"/>
  <c r="E753" i="10"/>
  <c r="K285" i="10"/>
  <c r="J703" i="10"/>
  <c r="F704" i="10" s="1"/>
  <c r="H703" i="10"/>
  <c r="L852" i="10"/>
  <c r="L853" i="10" s="1"/>
  <c r="L854" i="10" s="1"/>
  <c r="L859" i="10"/>
  <c r="L860" i="10" s="1"/>
  <c r="L861" i="10" s="1"/>
  <c r="L864" i="10" s="1"/>
  <c r="I841" i="10"/>
  <c r="J841" i="10" s="1"/>
  <c r="F842" i="10" s="1"/>
  <c r="E946" i="10"/>
  <c r="I510" i="10"/>
  <c r="J510" i="10" s="1"/>
  <c r="F511" i="10" s="1"/>
  <c r="E688" i="10"/>
  <c r="J1137" i="10"/>
  <c r="F1138" i="10" s="1"/>
  <c r="H1137" i="10"/>
  <c r="I1137" i="10" s="1"/>
  <c r="C2124" i="10"/>
  <c r="D2123" i="10"/>
  <c r="E2123" i="10" s="1"/>
  <c r="J695" i="10"/>
  <c r="E865" i="10"/>
  <c r="G628" i="10"/>
  <c r="L628" i="10" s="1"/>
  <c r="L629" i="10" s="1"/>
  <c r="L630" i="10" s="1"/>
  <c r="G1103" i="10"/>
  <c r="G1099" i="10"/>
  <c r="G1095" i="10"/>
  <c r="G1116" i="10"/>
  <c r="G1112" i="10"/>
  <c r="G1108" i="10"/>
  <c r="G1104" i="10"/>
  <c r="G1100" i="10"/>
  <c r="G1096" i="10"/>
  <c r="G1117" i="10"/>
  <c r="G1113" i="10"/>
  <c r="G1109" i="10"/>
  <c r="G1105" i="10"/>
  <c r="G1101" i="10"/>
  <c r="G1097" i="10"/>
  <c r="G1102" i="10"/>
  <c r="G1098" i="10"/>
  <c r="G1094" i="10"/>
  <c r="G1107" i="10"/>
  <c r="G1111" i="10"/>
  <c r="G1115" i="10"/>
  <c r="G771" i="10"/>
  <c r="G776" i="10"/>
  <c r="H1094" i="10"/>
  <c r="E1377" i="10"/>
  <c r="G1424" i="10"/>
  <c r="H2014" i="10"/>
  <c r="I2014" i="10" s="1"/>
  <c r="J2014" i="10" s="1"/>
  <c r="F2015" i="10" s="1"/>
  <c r="H2617" i="10"/>
  <c r="L933" i="10"/>
  <c r="L934" i="10" s="1"/>
  <c r="L935" i="10" s="1"/>
  <c r="L936" i="10" s="1"/>
  <c r="L937" i="10" s="1"/>
  <c r="L938" i="10" s="1"/>
  <c r="L939" i="10" s="1"/>
  <c r="L940" i="10" s="1"/>
  <c r="L945" i="10"/>
  <c r="E1040" i="10"/>
  <c r="J1302" i="10"/>
  <c r="F1303" i="10" s="1"/>
  <c r="H1302" i="10"/>
  <c r="I1302" i="10" s="1"/>
  <c r="G1417" i="10"/>
  <c r="G1413" i="10"/>
  <c r="G1409" i="10"/>
  <c r="G1405" i="10"/>
  <c r="G1401" i="10"/>
  <c r="G1397" i="10"/>
  <c r="G1430" i="10"/>
  <c r="G1426" i="10"/>
  <c r="G1422" i="10"/>
  <c r="G1418" i="10"/>
  <c r="G1414" i="10"/>
  <c r="G1410" i="10"/>
  <c r="G1406" i="10"/>
  <c r="G1402" i="10"/>
  <c r="G1398" i="10"/>
  <c r="G1431" i="10"/>
  <c r="G1427" i="10"/>
  <c r="G1423" i="10"/>
  <c r="H1395" i="10"/>
  <c r="G1419" i="10"/>
  <c r="G1415" i="10"/>
  <c r="G1411" i="10"/>
  <c r="G1407" i="10"/>
  <c r="G1403" i="10"/>
  <c r="G1399" i="10"/>
  <c r="G1420" i="10"/>
  <c r="G1416" i="10"/>
  <c r="G1412" i="10"/>
  <c r="G1408" i="10"/>
  <c r="G1404" i="10"/>
  <c r="G1400" i="10"/>
  <c r="G1396" i="10"/>
  <c r="E1539" i="10"/>
  <c r="G511" i="10"/>
  <c r="K759" i="10"/>
  <c r="E999" i="10"/>
  <c r="H1056" i="10"/>
  <c r="G1421" i="10"/>
  <c r="G1425" i="10"/>
  <c r="G1429" i="10"/>
  <c r="H1516" i="10"/>
  <c r="I1516" i="10" s="1"/>
  <c r="J1516" i="10"/>
  <c r="F1517" i="10" s="1"/>
  <c r="H2330" i="10"/>
  <c r="G2321" i="10"/>
  <c r="J767" i="10"/>
  <c r="F768" i="10" s="1"/>
  <c r="H1015" i="10"/>
  <c r="E1286" i="10"/>
  <c r="H1449" i="10"/>
  <c r="E1659" i="10"/>
  <c r="H1716" i="10"/>
  <c r="H2136" i="10"/>
  <c r="G769" i="10"/>
  <c r="G773" i="10"/>
  <c r="H962" i="10"/>
  <c r="H1970" i="10"/>
  <c r="E2087" i="10"/>
  <c r="H2248" i="10"/>
  <c r="E2274" i="10"/>
  <c r="H2396" i="10"/>
  <c r="H1555" i="10"/>
  <c r="I1555" i="10" s="1"/>
  <c r="J1555" i="10" s="1"/>
  <c r="F1556" i="10" s="1"/>
  <c r="E1864" i="10"/>
  <c r="J2054" i="10"/>
  <c r="F2055" i="10" s="1"/>
  <c r="I2396" i="10"/>
  <c r="J2396" i="10" s="1"/>
  <c r="F2397" i="10" s="1"/>
  <c r="G1887" i="10"/>
  <c r="G1882" i="10"/>
  <c r="G1883" i="10"/>
  <c r="H1880" i="10"/>
  <c r="G1885" i="10"/>
  <c r="G1886" i="10"/>
  <c r="J1595" i="10"/>
  <c r="F1596" i="10" s="1"/>
  <c r="H1595" i="10"/>
  <c r="I1595" i="10" s="1"/>
  <c r="H1635" i="10"/>
  <c r="I1635" i="10" s="1"/>
  <c r="J1635" i="10" s="1"/>
  <c r="F1636" i="10" s="1"/>
  <c r="E1785" i="10"/>
  <c r="I1793" i="10"/>
  <c r="E1952" i="10"/>
  <c r="H1675" i="10"/>
  <c r="I1675" i="10" s="1"/>
  <c r="J1675" i="10" s="1"/>
  <c r="F1676" i="10" s="1"/>
  <c r="H1760" i="10"/>
  <c r="I1760" i="10" s="1"/>
  <c r="J1760" i="10" s="1"/>
  <c r="F1761" i="10" s="1"/>
  <c r="H1926" i="10"/>
  <c r="J1801" i="10"/>
  <c r="F1802" i="10" s="1"/>
  <c r="E2039" i="10"/>
  <c r="J3308" i="10"/>
  <c r="E3301" i="10"/>
  <c r="E2194" i="10"/>
  <c r="E3230" i="10"/>
  <c r="E2315" i="10"/>
  <c r="H2289" i="10"/>
  <c r="E2598" i="10"/>
  <c r="E2642" i="10"/>
  <c r="J2822" i="10"/>
  <c r="F2823" i="10" s="1"/>
  <c r="H2822" i="10"/>
  <c r="E1995" i="10"/>
  <c r="E2128" i="10"/>
  <c r="H2208" i="10"/>
  <c r="E2234" i="10"/>
  <c r="E2515" i="10"/>
  <c r="E2379" i="10"/>
  <c r="H2448" i="10"/>
  <c r="H2489" i="10"/>
  <c r="E2556" i="10"/>
  <c r="H2144" i="10"/>
  <c r="G2144" i="10" s="1"/>
  <c r="G2397" i="10"/>
  <c r="J2530" i="10"/>
  <c r="F2531" i="10" s="1"/>
  <c r="E2684" i="10"/>
  <c r="H2658" i="10"/>
  <c r="H2751" i="10"/>
  <c r="G2745" i="10"/>
  <c r="E2925" i="10"/>
  <c r="E3067" i="10"/>
  <c r="E3535" i="10"/>
  <c r="I3637" i="10"/>
  <c r="J3637" i="10" s="1"/>
  <c r="F3638" i="10" s="1"/>
  <c r="H2572" i="10"/>
  <c r="S2200" i="10"/>
  <c r="S2240" i="10"/>
  <c r="E2858" i="10"/>
  <c r="E3110" i="10"/>
  <c r="H3084" i="10"/>
  <c r="J3127" i="10"/>
  <c r="F3128" i="10" s="1"/>
  <c r="H3127" i="10"/>
  <c r="E3260" i="10"/>
  <c r="H3315" i="10"/>
  <c r="H2387" i="10"/>
  <c r="J2943" i="10"/>
  <c r="F2944" i="10" s="1"/>
  <c r="H2943" i="10"/>
  <c r="H3120" i="10"/>
  <c r="J3246" i="10"/>
  <c r="F3247" i="10" s="1"/>
  <c r="J3275" i="10"/>
  <c r="F3276" i="10" s="1"/>
  <c r="J2703" i="10"/>
  <c r="F2704" i="10" s="1"/>
  <c r="H2875" i="10"/>
  <c r="H3448" i="10"/>
  <c r="H2820" i="10"/>
  <c r="H2993" i="10"/>
  <c r="D3709" i="10"/>
  <c r="E3709" i="10" s="1"/>
  <c r="C3710" i="10"/>
  <c r="E3431" i="10"/>
  <c r="H2868" i="10"/>
  <c r="H3125" i="10"/>
  <c r="H3381" i="10"/>
  <c r="E3708" i="10"/>
  <c r="H3168" i="10"/>
  <c r="E3471" i="10"/>
  <c r="H3486" i="10"/>
  <c r="J3593" i="10"/>
  <c r="F3594" i="10" s="1"/>
  <c r="C3773" i="10"/>
  <c r="E3772" i="10"/>
  <c r="H3852" i="10"/>
  <c r="E3577" i="10"/>
  <c r="J3551" i="10"/>
  <c r="F3552" i="10" s="1"/>
  <c r="D3854" i="10"/>
  <c r="E3854" i="10" s="1"/>
  <c r="C3855" i="10"/>
  <c r="E3964" i="10"/>
  <c r="C3965" i="10"/>
  <c r="C3641" i="10"/>
  <c r="H3769" i="10"/>
  <c r="H3703" i="10"/>
  <c r="H4068" i="10"/>
  <c r="H3810" i="10"/>
  <c r="H3960" i="10"/>
  <c r="E4103" i="10"/>
  <c r="H4121" i="10"/>
  <c r="I4121" i="10" s="1"/>
  <c r="H4120" i="10"/>
  <c r="C3922" i="10"/>
  <c r="C3813" i="10"/>
  <c r="H3918" i="10"/>
  <c r="E4090" i="10"/>
  <c r="F4235" i="10"/>
  <c r="D4232" i="10"/>
  <c r="F4443" i="10"/>
  <c r="D4440" i="10"/>
  <c r="H4302" i="10"/>
  <c r="I4302" i="10" s="1"/>
  <c r="H4298" i="10"/>
  <c r="I4298" i="10" s="1"/>
  <c r="H4301" i="10"/>
  <c r="I4301" i="10" s="1"/>
  <c r="H4299" i="10"/>
  <c r="I4299" i="10" s="1"/>
  <c r="H4297" i="10"/>
  <c r="H4303" i="10"/>
  <c r="I4303" i="10" s="1"/>
  <c r="H4300" i="10"/>
  <c r="I4300" i="10" s="1"/>
  <c r="H4002" i="10"/>
  <c r="E4102" i="10"/>
  <c r="G4425" i="10"/>
  <c r="G4421" i="10"/>
  <c r="G4417" i="10"/>
  <c r="G4426" i="10"/>
  <c r="G4422" i="10"/>
  <c r="G4418" i="10"/>
  <c r="G4424" i="10"/>
  <c r="G4420" i="10"/>
  <c r="G4416" i="10"/>
  <c r="H4429" i="10"/>
  <c r="G4415" i="10"/>
  <c r="G4423" i="10"/>
  <c r="E4098" i="10"/>
  <c r="J4184" i="10"/>
  <c r="F4185" i="10" s="1"/>
  <c r="H4415" i="10"/>
  <c r="L4678" i="10"/>
  <c r="I4678" i="10"/>
  <c r="J4678" i="10" s="1"/>
  <c r="F4679" i="10" s="1"/>
  <c r="J4510" i="10"/>
  <c r="F4511" i="10" s="1"/>
  <c r="H4510" i="10"/>
  <c r="J4363" i="10"/>
  <c r="F4364" i="10" s="1"/>
  <c r="J4364" i="10" s="1"/>
  <c r="F4365" i="10" s="1"/>
  <c r="J4365" i="10" s="1"/>
  <c r="F4366" i="10" s="1"/>
  <c r="H4363" i="10"/>
  <c r="H4847" i="10"/>
  <c r="H5066" i="10"/>
  <c r="H4550" i="10"/>
  <c r="H4602" i="10"/>
  <c r="H4974" i="10"/>
  <c r="H5106" i="10"/>
  <c r="H5013" i="10"/>
  <c r="H4742" i="10"/>
  <c r="H4780" i="10"/>
  <c r="H4907" i="10"/>
  <c r="H5143" i="10"/>
  <c r="H5220" i="10"/>
  <c r="G5214" i="10"/>
  <c r="J5296" i="10"/>
  <c r="F5297" i="10" s="1"/>
  <c r="H5296" i="10"/>
  <c r="J5358" i="10"/>
  <c r="F5359" i="10" s="1"/>
  <c r="J5489" i="10"/>
  <c r="F5490" i="10" s="1"/>
  <c r="H5489" i="10"/>
  <c r="I5489" i="10" s="1"/>
  <c r="H5425" i="10"/>
  <c r="I33" i="12"/>
  <c r="H5564" i="10"/>
  <c r="H4679" i="10" l="1"/>
  <c r="J2015" i="10"/>
  <c r="F2016" i="10" s="1"/>
  <c r="H2015" i="10"/>
  <c r="I2015" i="10" s="1"/>
  <c r="H1636" i="10"/>
  <c r="I1636" i="10" s="1"/>
  <c r="J1636" i="10" s="1"/>
  <c r="F1637" i="10" s="1"/>
  <c r="J501" i="10"/>
  <c r="F502" i="10" s="1"/>
  <c r="H501" i="10"/>
  <c r="I501" i="10" s="1"/>
  <c r="J884" i="10"/>
  <c r="F885" i="10" s="1"/>
  <c r="H884" i="10"/>
  <c r="I884" i="10" s="1"/>
  <c r="H263" i="10"/>
  <c r="I263" i="10" s="1"/>
  <c r="J263" i="10" s="1"/>
  <c r="F264" i="10" s="1"/>
  <c r="H1761" i="10"/>
  <c r="I1761" i="10" s="1"/>
  <c r="J1761" i="10" s="1"/>
  <c r="F1762" i="10" s="1"/>
  <c r="H842" i="10"/>
  <c r="I842" i="10" s="1"/>
  <c r="J842" i="10" s="1"/>
  <c r="F843" i="10" s="1"/>
  <c r="H2397" i="10"/>
  <c r="H1676" i="10"/>
  <c r="I1676" i="10" s="1"/>
  <c r="J1676" i="10" s="1"/>
  <c r="F1677" i="10" s="1"/>
  <c r="J1556" i="10"/>
  <c r="F1557" i="10" s="1"/>
  <c r="H1556" i="10"/>
  <c r="I1556" i="10" s="1"/>
  <c r="H924" i="10"/>
  <c r="I924" i="10" s="1"/>
  <c r="J924" i="10" s="1"/>
  <c r="F925" i="10" s="1"/>
  <c r="H5297" i="10"/>
  <c r="J5297" i="10"/>
  <c r="F5298" i="10" s="1"/>
  <c r="I4742" i="10"/>
  <c r="J4742" i="10" s="1"/>
  <c r="F4743" i="10" s="1"/>
  <c r="I4847" i="10"/>
  <c r="J4847" i="10" s="1"/>
  <c r="F4848" i="10" s="1"/>
  <c r="E3965" i="10"/>
  <c r="C3966" i="10"/>
  <c r="I2868" i="10"/>
  <c r="L2822" i="10"/>
  <c r="I3120" i="10"/>
  <c r="H1596" i="10"/>
  <c r="I1596" i="10" s="1"/>
  <c r="J1596" i="10" s="1"/>
  <c r="F1597" i="10" s="1"/>
  <c r="I1449" i="10"/>
  <c r="J1449" i="10" s="1"/>
  <c r="F1450" i="10" s="1"/>
  <c r="H2321" i="10"/>
  <c r="I1056" i="10"/>
  <c r="J1056" i="10" s="1"/>
  <c r="F1057" i="10" s="1"/>
  <c r="L1420" i="10"/>
  <c r="K619" i="10"/>
  <c r="O79" i="9"/>
  <c r="L76" i="6"/>
  <c r="G76" i="3"/>
  <c r="H109" i="3"/>
  <c r="S109" i="3" s="1"/>
  <c r="N109" i="6"/>
  <c r="R115" i="9"/>
  <c r="I216" i="10"/>
  <c r="J216" i="10" s="1"/>
  <c r="F217" i="10" s="1"/>
  <c r="O77" i="9"/>
  <c r="G74" i="3"/>
  <c r="L74" i="6"/>
  <c r="Q110" i="6"/>
  <c r="AK110" i="6" s="1"/>
  <c r="I110" i="3"/>
  <c r="AQ26" i="9"/>
  <c r="I23" i="3"/>
  <c r="Q23" i="6"/>
  <c r="AK23" i="6" s="1"/>
  <c r="I3918" i="10"/>
  <c r="J3918" i="10" s="1"/>
  <c r="F3919" i="10" s="1"/>
  <c r="I3960" i="10"/>
  <c r="J3960" i="10" s="1"/>
  <c r="F3961" i="10" s="1"/>
  <c r="I3486" i="10"/>
  <c r="J3486" i="10" s="1"/>
  <c r="F3487" i="10" s="1"/>
  <c r="I3448" i="10"/>
  <c r="J3448" i="10" s="1"/>
  <c r="F3449" i="10" s="1"/>
  <c r="H3638" i="10"/>
  <c r="I2751" i="10"/>
  <c r="J2751" i="10" s="1"/>
  <c r="F2752" i="10" s="1"/>
  <c r="I2489" i="10"/>
  <c r="J2489" i="10" s="1"/>
  <c r="F2490" i="10" s="1"/>
  <c r="K3308" i="10"/>
  <c r="I2248" i="10"/>
  <c r="J2248" i="10" s="1"/>
  <c r="F2249" i="10" s="1"/>
  <c r="I1880" i="10"/>
  <c r="J1880" i="10" s="1"/>
  <c r="F1881" i="10" s="1"/>
  <c r="H1303" i="10"/>
  <c r="I1303" i="10" s="1"/>
  <c r="J1303" i="10" s="1"/>
  <c r="F1304" i="10" s="1"/>
  <c r="I2617" i="10"/>
  <c r="J2617" i="10" s="1"/>
  <c r="F2618" i="10" s="1"/>
  <c r="L1105" i="10"/>
  <c r="I1094" i="10"/>
  <c r="J1094" i="10" s="1"/>
  <c r="F1095" i="10" s="1"/>
  <c r="C2125" i="10"/>
  <c r="D2124" i="10"/>
  <c r="E2124" i="10" s="1"/>
  <c r="H54" i="10"/>
  <c r="G54" i="10"/>
  <c r="G55" i="10"/>
  <c r="G56" i="10"/>
  <c r="G57" i="10"/>
  <c r="M45" i="10"/>
  <c r="N88" i="6"/>
  <c r="H88" i="3"/>
  <c r="S88" i="3" s="1"/>
  <c r="N13" i="6"/>
  <c r="H13" i="3"/>
  <c r="S13" i="3" s="1"/>
  <c r="N89" i="6"/>
  <c r="H89" i="3"/>
  <c r="S89" i="3" s="1"/>
  <c r="I4602" i="10"/>
  <c r="J4602" i="10" s="1"/>
  <c r="F4603" i="10" s="1"/>
  <c r="I4002" i="10"/>
  <c r="J4002" i="10" s="1"/>
  <c r="F4003" i="10" s="1"/>
  <c r="E3813" i="10"/>
  <c r="C3814" i="10"/>
  <c r="C3856" i="10"/>
  <c r="E3855" i="10"/>
  <c r="I3852" i="10"/>
  <c r="J3852" i="10" s="1"/>
  <c r="F3853" i="10" s="1"/>
  <c r="I2289" i="10"/>
  <c r="J2289" i="10" s="1"/>
  <c r="F2290" i="10" s="1"/>
  <c r="I2136" i="10"/>
  <c r="L2330" i="10"/>
  <c r="G2330" i="10"/>
  <c r="I2330" i="10" s="1"/>
  <c r="J2330" i="10" s="1"/>
  <c r="F2331" i="10" s="1"/>
  <c r="L1884" i="10"/>
  <c r="L1885" i="10" s="1"/>
  <c r="L1886" i="10" s="1"/>
  <c r="L1887" i="10" s="1"/>
  <c r="L15" i="10"/>
  <c r="I15" i="10"/>
  <c r="J15" i="10" s="1"/>
  <c r="F16" i="10" s="1"/>
  <c r="I255" i="10"/>
  <c r="J255" i="10" s="1"/>
  <c r="F256" i="10" s="1"/>
  <c r="N6" i="6"/>
  <c r="H6" i="3"/>
  <c r="S6" i="3" s="1"/>
  <c r="M109" i="9"/>
  <c r="M120" i="9" s="1"/>
  <c r="O104" i="9"/>
  <c r="G101" i="3"/>
  <c r="L101" i="6"/>
  <c r="I5013" i="10"/>
  <c r="J5013" i="10" s="1"/>
  <c r="F5014" i="10" s="1"/>
  <c r="I4550" i="10"/>
  <c r="J4550" i="10" s="1"/>
  <c r="F4551" i="10" s="1"/>
  <c r="G5143" i="10"/>
  <c r="I3168" i="10"/>
  <c r="J3168" i="10" s="1"/>
  <c r="F3169" i="10" s="1"/>
  <c r="I2875" i="10"/>
  <c r="J2875" i="10" s="1"/>
  <c r="F2876" i="10" s="1"/>
  <c r="I2658" i="10"/>
  <c r="J2658" i="10" s="1"/>
  <c r="F2659" i="10" s="1"/>
  <c r="I2448" i="10"/>
  <c r="J2448" i="10" s="1"/>
  <c r="F2449" i="10" s="1"/>
  <c r="I1015" i="10"/>
  <c r="J1015" i="10" s="1"/>
  <c r="F1016" i="10" s="1"/>
  <c r="H1138" i="10"/>
  <c r="I1138" i="10" s="1"/>
  <c r="J1138" i="10" s="1"/>
  <c r="F1139" i="10" s="1"/>
  <c r="L492" i="10"/>
  <c r="I12" i="10"/>
  <c r="I565" i="10"/>
  <c r="J565" i="10" s="1"/>
  <c r="F566" i="10" s="1"/>
  <c r="L369" i="10"/>
  <c r="N79" i="9"/>
  <c r="M76" i="6" s="1"/>
  <c r="N104" i="9"/>
  <c r="M101" i="6" s="1"/>
  <c r="I5106" i="10"/>
  <c r="J5106" i="10" s="1"/>
  <c r="F5107" i="10" s="1"/>
  <c r="G4363" i="10"/>
  <c r="L4363" i="10" s="1"/>
  <c r="L4364" i="10" s="1"/>
  <c r="L4365" i="10" s="1"/>
  <c r="I2208" i="10"/>
  <c r="J2208" i="10" s="1"/>
  <c r="F2209" i="10" s="1"/>
  <c r="J1793" i="10"/>
  <c r="J1517" i="10"/>
  <c r="F1518" i="10" s="1"/>
  <c r="H1517" i="10"/>
  <c r="I1517" i="10" s="1"/>
  <c r="H4366" i="10"/>
  <c r="G4367" i="10"/>
  <c r="G4396" i="10"/>
  <c r="G4392" i="10"/>
  <c r="G4388" i="10"/>
  <c r="G4384" i="10"/>
  <c r="G4380" i="10"/>
  <c r="G4376" i="10"/>
  <c r="G4369" i="10"/>
  <c r="G4368" i="10"/>
  <c r="G4391" i="10"/>
  <c r="G4383" i="10"/>
  <c r="G4378" i="10"/>
  <c r="G4372" i="10"/>
  <c r="G4370" i="10"/>
  <c r="G4393" i="10"/>
  <c r="G4385" i="10"/>
  <c r="G4398" i="10"/>
  <c r="G4390" i="10"/>
  <c r="G4382" i="10"/>
  <c r="G4377" i="10"/>
  <c r="G4375" i="10"/>
  <c r="G4373" i="10"/>
  <c r="G4395" i="10"/>
  <c r="G4387" i="10"/>
  <c r="G4379" i="10"/>
  <c r="G4366" i="10"/>
  <c r="I4366" i="10" s="1"/>
  <c r="J4366" i="10" s="1"/>
  <c r="F4367" i="10" s="1"/>
  <c r="G4397" i="10"/>
  <c r="G4389" i="10"/>
  <c r="G4381" i="10"/>
  <c r="G4394" i="10"/>
  <c r="G4374" i="10"/>
  <c r="G4371" i="10"/>
  <c r="G4386" i="10"/>
  <c r="J4443" i="10"/>
  <c r="F4444" i="10" s="1"/>
  <c r="H4443" i="10"/>
  <c r="E3922" i="10"/>
  <c r="C3923" i="10"/>
  <c r="I3769" i="10"/>
  <c r="J3769" i="10" s="1"/>
  <c r="F3770" i="10" s="1"/>
  <c r="H2704" i="10"/>
  <c r="I2704" i="10" s="1"/>
  <c r="J2704" i="10" s="1"/>
  <c r="F2705" i="10" s="1"/>
  <c r="J2944" i="10"/>
  <c r="F2945" i="10" s="1"/>
  <c r="H2944" i="10"/>
  <c r="H3128" i="10"/>
  <c r="J3128" i="10"/>
  <c r="F3129" i="10" s="1"/>
  <c r="H2055" i="10"/>
  <c r="G1395" i="10"/>
  <c r="I1395" i="10" s="1"/>
  <c r="J1395" i="10" s="1"/>
  <c r="F1396" i="10" s="1"/>
  <c r="K695" i="10"/>
  <c r="J704" i="10"/>
  <c r="F705" i="10" s="1"/>
  <c r="H704" i="10"/>
  <c r="I1175" i="10"/>
  <c r="J1175" i="10" s="1"/>
  <c r="F1176" i="10" s="1"/>
  <c r="H412" i="10"/>
  <c r="J412" i="10"/>
  <c r="F413" i="10" s="1"/>
  <c r="H294" i="10"/>
  <c r="H370" i="10"/>
  <c r="L370" i="10" s="1"/>
  <c r="J370" i="10"/>
  <c r="F371" i="10" s="1"/>
  <c r="Q107" i="6"/>
  <c r="AK107" i="6" s="1"/>
  <c r="I107" i="3"/>
  <c r="I5220" i="10"/>
  <c r="J5220" i="10" s="1"/>
  <c r="F5221" i="10" s="1"/>
  <c r="H5221" i="10" s="1"/>
  <c r="H5490" i="10"/>
  <c r="I5490" i="10" s="1"/>
  <c r="J5490" i="10" s="1"/>
  <c r="F5491" i="10" s="1"/>
  <c r="I5066" i="10"/>
  <c r="J5066" i="10" s="1"/>
  <c r="F5067" i="10" s="1"/>
  <c r="I4120" i="10"/>
  <c r="J4120" i="10" s="1"/>
  <c r="F4121" i="10" s="1"/>
  <c r="C3711" i="10"/>
  <c r="D3710" i="10"/>
  <c r="E3710" i="10" s="1"/>
  <c r="J2531" i="10"/>
  <c r="F2532" i="10" s="1"/>
  <c r="H2531" i="10"/>
  <c r="I2531" i="10" s="1"/>
  <c r="H1802" i="10"/>
  <c r="I1970" i="10"/>
  <c r="J1970" i="10" s="1"/>
  <c r="F1971" i="10" s="1"/>
  <c r="I1716" i="10"/>
  <c r="J1716" i="10" s="1"/>
  <c r="F1717" i="10" s="1"/>
  <c r="L556" i="10"/>
  <c r="I2103" i="10"/>
  <c r="J2103" i="10" s="1"/>
  <c r="F2104" i="10" s="1"/>
  <c r="H70" i="3"/>
  <c r="S70" i="3" s="1"/>
  <c r="N70" i="6"/>
  <c r="O118" i="9"/>
  <c r="Q9" i="6"/>
  <c r="AK9" i="6" s="1"/>
  <c r="I9" i="3"/>
  <c r="N73" i="6"/>
  <c r="H73" i="3"/>
  <c r="S73" i="3" s="1"/>
  <c r="H4185" i="10"/>
  <c r="I4415" i="10"/>
  <c r="J4415" i="10" s="1"/>
  <c r="F4416" i="10" s="1"/>
  <c r="I4297" i="10"/>
  <c r="J4297" i="10" s="1"/>
  <c r="F4298" i="10" s="1"/>
  <c r="J4298" i="10" s="1"/>
  <c r="F4299" i="10" s="1"/>
  <c r="J4299" i="10" s="1"/>
  <c r="F4300" i="10" s="1"/>
  <c r="J4300" i="10" s="1"/>
  <c r="F4301" i="10" s="1"/>
  <c r="J4301" i="10" s="1"/>
  <c r="F4302" i="10" s="1"/>
  <c r="J4302" i="10" s="1"/>
  <c r="F4303" i="10" s="1"/>
  <c r="J4303" i="10" s="1"/>
  <c r="F4304" i="10" s="1"/>
  <c r="I3810" i="10"/>
  <c r="J3810" i="10" s="1"/>
  <c r="F3811" i="10" s="1"/>
  <c r="H3552" i="10"/>
  <c r="G3381" i="10"/>
  <c r="H5359" i="10"/>
  <c r="I4907" i="10"/>
  <c r="J4907" i="10" s="1"/>
  <c r="F4908" i="10" s="1"/>
  <c r="I4974" i="10"/>
  <c r="J4974" i="10" s="1"/>
  <c r="F4975" i="10" s="1"/>
  <c r="J4511" i="10"/>
  <c r="F4512" i="10" s="1"/>
  <c r="H4511" i="10"/>
  <c r="H4238" i="10"/>
  <c r="I4238" i="10" s="1"/>
  <c r="H4239" i="10"/>
  <c r="I4239" i="10" s="1"/>
  <c r="H4236" i="10"/>
  <c r="I4236" i="10" s="1"/>
  <c r="H4235" i="10"/>
  <c r="H4241" i="10"/>
  <c r="I4241" i="10" s="1"/>
  <c r="H4240" i="10"/>
  <c r="I4240" i="10" s="1"/>
  <c r="H4237" i="10"/>
  <c r="I4237" i="10" s="1"/>
  <c r="E3641" i="10"/>
  <c r="C3642" i="10"/>
  <c r="E3773" i="10"/>
  <c r="C3774" i="10"/>
  <c r="H3276" i="10"/>
  <c r="I2387" i="10"/>
  <c r="I3084" i="10"/>
  <c r="J3084" i="10" s="1"/>
  <c r="F3085" i="10" s="1"/>
  <c r="I2397" i="10"/>
  <c r="J2397" i="10" s="1"/>
  <c r="F2398" i="10" s="1"/>
  <c r="H768" i="10"/>
  <c r="L759" i="10"/>
  <c r="I628" i="10"/>
  <c r="J628" i="10" s="1"/>
  <c r="F629" i="10" s="1"/>
  <c r="J402" i="10"/>
  <c r="M247" i="10"/>
  <c r="I1249" i="10"/>
  <c r="J1249" i="10" s="1"/>
  <c r="F1250" i="10" s="1"/>
  <c r="N71" i="6"/>
  <c r="H71" i="3"/>
  <c r="S71" i="3" s="1"/>
  <c r="O109" i="9"/>
  <c r="O120" i="9" s="1"/>
  <c r="I5425" i="10"/>
  <c r="J5425" i="10" s="1"/>
  <c r="F5426" i="10" s="1"/>
  <c r="I3703" i="10"/>
  <c r="J3703" i="10" s="1"/>
  <c r="F3704" i="10" s="1"/>
  <c r="I5564" i="10"/>
  <c r="J5564" i="10" s="1"/>
  <c r="F5565" i="10" s="1"/>
  <c r="P107" i="9"/>
  <c r="I4780" i="10"/>
  <c r="J4780" i="10" s="1"/>
  <c r="F4781" i="10" s="1"/>
  <c r="I4068" i="10"/>
  <c r="J4068" i="10" s="1"/>
  <c r="F4069" i="10" s="1"/>
  <c r="H3594" i="10"/>
  <c r="L3128" i="10"/>
  <c r="I2993" i="10"/>
  <c r="J2993" i="10" s="1"/>
  <c r="F2994" i="10" s="1"/>
  <c r="J3247" i="10"/>
  <c r="F3248" i="10" s="1"/>
  <c r="H3247" i="10"/>
  <c r="I3247" i="10" s="1"/>
  <c r="I3315" i="10"/>
  <c r="J3315" i="10" s="1"/>
  <c r="F3316" i="10" s="1"/>
  <c r="I2572" i="10"/>
  <c r="J2572" i="10" s="1"/>
  <c r="F2573" i="10" s="1"/>
  <c r="H2745" i="10"/>
  <c r="L2144" i="10"/>
  <c r="I2144" i="10"/>
  <c r="J2144" i="10" s="1"/>
  <c r="F2145" i="10" s="1"/>
  <c r="J2823" i="10"/>
  <c r="F2824" i="10" s="1"/>
  <c r="H2823" i="10"/>
  <c r="I1926" i="10"/>
  <c r="J1926" i="10" s="1"/>
  <c r="F1927" i="10" s="1"/>
  <c r="H955" i="10"/>
  <c r="I962" i="10"/>
  <c r="J962" i="10" s="1"/>
  <c r="F963" i="10" s="1"/>
  <c r="H511" i="10"/>
  <c r="I511" i="10" s="1"/>
  <c r="J511" i="10" s="1"/>
  <c r="F512" i="10" s="1"/>
  <c r="L285" i="10"/>
  <c r="L773" i="10"/>
  <c r="M773" i="10" s="1"/>
  <c r="AQ115" i="9"/>
  <c r="Q62" i="6"/>
  <c r="AK62" i="6" s="1"/>
  <c r="I62" i="3"/>
  <c r="G1145" i="10" l="1"/>
  <c r="G1159" i="10"/>
  <c r="G1155" i="10"/>
  <c r="G1151" i="10"/>
  <c r="G1146" i="10"/>
  <c r="H1139" i="10"/>
  <c r="G1147" i="10"/>
  <c r="G1139" i="10"/>
  <c r="G1156" i="10"/>
  <c r="G1152" i="10"/>
  <c r="G1148" i="10"/>
  <c r="G1140" i="10"/>
  <c r="G1141" i="10"/>
  <c r="G1143" i="10"/>
  <c r="G1157" i="10"/>
  <c r="G1153" i="10"/>
  <c r="G1149" i="10"/>
  <c r="G1142" i="10"/>
  <c r="G1144" i="10"/>
  <c r="G1154" i="10"/>
  <c r="G1158" i="10"/>
  <c r="G1150" i="10"/>
  <c r="H925" i="10"/>
  <c r="H4367" i="10"/>
  <c r="H1677" i="10"/>
  <c r="I1677" i="10" s="1"/>
  <c r="J1677" i="10" s="1"/>
  <c r="F1678" i="10" s="1"/>
  <c r="H5491" i="10"/>
  <c r="I5491" i="10" s="1"/>
  <c r="J5491" i="10" s="1"/>
  <c r="F5492" i="10" s="1"/>
  <c r="I5221" i="10"/>
  <c r="H2705" i="10"/>
  <c r="I2705" i="10" s="1"/>
  <c r="J2705" i="10" s="1"/>
  <c r="F2706" i="10" s="1"/>
  <c r="H1637" i="10"/>
  <c r="I1637" i="10" s="1"/>
  <c r="J1637" i="10" s="1"/>
  <c r="F1638" i="10" s="1"/>
  <c r="J2398" i="10"/>
  <c r="F2399" i="10" s="1"/>
  <c r="H2398" i="10"/>
  <c r="G2398" i="10"/>
  <c r="I2398" i="10" s="1"/>
  <c r="H843" i="10"/>
  <c r="I843" i="10" s="1"/>
  <c r="J843" i="10" s="1"/>
  <c r="F844" i="10" s="1"/>
  <c r="H512" i="10"/>
  <c r="G512" i="10"/>
  <c r="H1597" i="10"/>
  <c r="I1597" i="10" s="1"/>
  <c r="J1597" i="10" s="1"/>
  <c r="F1598" i="10" s="1"/>
  <c r="H1762" i="10"/>
  <c r="I1762" i="10" s="1"/>
  <c r="J1762" i="10" s="1"/>
  <c r="F1763" i="10" s="1"/>
  <c r="J1304" i="10"/>
  <c r="F1305" i="10" s="1"/>
  <c r="H1304" i="10"/>
  <c r="I1304" i="10" s="1"/>
  <c r="H264" i="10"/>
  <c r="I264" i="10" s="1"/>
  <c r="J264" i="10" s="1"/>
  <c r="F265" i="10" s="1"/>
  <c r="I3276" i="10"/>
  <c r="J3276" i="10" s="1"/>
  <c r="F3277" i="10" s="1"/>
  <c r="Q109" i="6"/>
  <c r="AK109" i="6" s="1"/>
  <c r="I109" i="3"/>
  <c r="R118" i="9"/>
  <c r="H1557" i="10"/>
  <c r="I1557" i="10" s="1"/>
  <c r="J1557" i="10"/>
  <c r="F1558" i="10" s="1"/>
  <c r="H885" i="10"/>
  <c r="I885" i="10" s="1"/>
  <c r="J885" i="10"/>
  <c r="F886" i="10" s="1"/>
  <c r="I768" i="10"/>
  <c r="J768" i="10" s="1"/>
  <c r="F769" i="10" s="1"/>
  <c r="H2145" i="10"/>
  <c r="G2145" i="10" s="1"/>
  <c r="I2145" i="10" s="1"/>
  <c r="J2145" i="10"/>
  <c r="F2146" i="10" s="1"/>
  <c r="H3316" i="10"/>
  <c r="J5565" i="10"/>
  <c r="F5566" i="10" s="1"/>
  <c r="H5565" i="10"/>
  <c r="I5565" i="10" s="1"/>
  <c r="I4235" i="10"/>
  <c r="J4235" i="10" s="1"/>
  <c r="F4236" i="10" s="1"/>
  <c r="J4236" i="10" s="1"/>
  <c r="F4237" i="10" s="1"/>
  <c r="J4237" i="10" s="1"/>
  <c r="F4238" i="10" s="1"/>
  <c r="J4238" i="10" s="1"/>
  <c r="F4239" i="10" s="1"/>
  <c r="J4239" i="10" s="1"/>
  <c r="F4240" i="10" s="1"/>
  <c r="J4240" i="10" s="1"/>
  <c r="F4241" i="10" s="1"/>
  <c r="J4241" i="10" s="1"/>
  <c r="F4242" i="10" s="1"/>
  <c r="I3552" i="10"/>
  <c r="J3552" i="10" s="1"/>
  <c r="F3553" i="10" s="1"/>
  <c r="H2104" i="10"/>
  <c r="H1717" i="10"/>
  <c r="J705" i="10"/>
  <c r="F706" i="10" s="1"/>
  <c r="H705" i="10"/>
  <c r="H1396" i="10"/>
  <c r="J2945" i="10"/>
  <c r="F2946" i="10" s="1"/>
  <c r="H2945" i="10"/>
  <c r="H4444" i="10"/>
  <c r="I4444" i="10" s="1"/>
  <c r="J4444" i="10" s="1"/>
  <c r="F4445" i="10" s="1"/>
  <c r="H2209" i="10"/>
  <c r="N109" i="9"/>
  <c r="N120" i="9" s="1"/>
  <c r="H566" i="10"/>
  <c r="J2136" i="10"/>
  <c r="C3857" i="10"/>
  <c r="E3856" i="10"/>
  <c r="J1095" i="10"/>
  <c r="F1096" i="10" s="1"/>
  <c r="H1095" i="10"/>
  <c r="I1095" i="10" s="1"/>
  <c r="H2752" i="10"/>
  <c r="H3961" i="10"/>
  <c r="L2823" i="10"/>
  <c r="L2824" i="10" s="1"/>
  <c r="L2825" i="10" s="1"/>
  <c r="L2826" i="10" s="1"/>
  <c r="L2827" i="10" s="1"/>
  <c r="L2828" i="10" s="1"/>
  <c r="L2829" i="10" s="1"/>
  <c r="L2830" i="10" s="1"/>
  <c r="L2831" i="10" s="1"/>
  <c r="L2832" i="10" s="1"/>
  <c r="L2833" i="10" s="1"/>
  <c r="L2834" i="10" s="1"/>
  <c r="L2835" i="10" s="1"/>
  <c r="G2841" i="10"/>
  <c r="G2840" i="10"/>
  <c r="G2831" i="10"/>
  <c r="H2824" i="10"/>
  <c r="G2854" i="10"/>
  <c r="G2850" i="10"/>
  <c r="G2846" i="10"/>
  <c r="G2842" i="10"/>
  <c r="G2832" i="10"/>
  <c r="G2824" i="10"/>
  <c r="I2824" i="10" s="1"/>
  <c r="G2833" i="10"/>
  <c r="G2825" i="10"/>
  <c r="G2855" i="10"/>
  <c r="G2851" i="10"/>
  <c r="G2847" i="10"/>
  <c r="G2843" i="10"/>
  <c r="G2834" i="10"/>
  <c r="G2826" i="10"/>
  <c r="G2835" i="10"/>
  <c r="G2827" i="10"/>
  <c r="G2838" i="10"/>
  <c r="G2837" i="10"/>
  <c r="G2829" i="10"/>
  <c r="J2824" i="10"/>
  <c r="F2825" i="10" s="1"/>
  <c r="G2839" i="10"/>
  <c r="G2830" i="10"/>
  <c r="G2853" i="10"/>
  <c r="G2849" i="10"/>
  <c r="G2845" i="10"/>
  <c r="G2836" i="10"/>
  <c r="G2856" i="10"/>
  <c r="G2852" i="10"/>
  <c r="G2848" i="10"/>
  <c r="G2844" i="10"/>
  <c r="G2828" i="10"/>
  <c r="H2532" i="10"/>
  <c r="I2532" i="10" s="1"/>
  <c r="J2532" i="10" s="1"/>
  <c r="F2533" i="10" s="1"/>
  <c r="H963" i="10"/>
  <c r="I963" i="10" s="1"/>
  <c r="J963" i="10" s="1"/>
  <c r="F964" i="10" s="1"/>
  <c r="L2145" i="10"/>
  <c r="K402" i="10"/>
  <c r="E3774" i="10"/>
  <c r="C3775" i="10"/>
  <c r="H4975" i="10"/>
  <c r="C3712" i="10"/>
  <c r="D3711" i="10"/>
  <c r="E3711" i="10" s="1"/>
  <c r="I294" i="10"/>
  <c r="J294" i="10" s="1"/>
  <c r="F295" i="10" s="1"/>
  <c r="L695" i="10"/>
  <c r="G1536" i="10"/>
  <c r="G1528" i="10"/>
  <c r="G1520" i="10"/>
  <c r="G1537" i="10"/>
  <c r="G1529" i="10"/>
  <c r="G1521" i="10"/>
  <c r="G1538" i="10"/>
  <c r="G1530" i="10"/>
  <c r="G1522" i="10"/>
  <c r="G1531" i="10"/>
  <c r="G1523" i="10"/>
  <c r="G1532" i="10"/>
  <c r="G1524" i="10"/>
  <c r="G1534" i="10"/>
  <c r="G1526" i="10"/>
  <c r="G1518" i="10"/>
  <c r="G1535" i="10"/>
  <c r="G1519" i="10"/>
  <c r="G1525" i="10"/>
  <c r="H1518" i="10"/>
  <c r="G1527" i="10"/>
  <c r="G1533" i="10"/>
  <c r="J12" i="10"/>
  <c r="H2876" i="10"/>
  <c r="H5014" i="10"/>
  <c r="E3814" i="10"/>
  <c r="C3815" i="10"/>
  <c r="I54" i="10"/>
  <c r="J54" i="10" s="1"/>
  <c r="F55" i="10" s="1"/>
  <c r="L54" i="10"/>
  <c r="L55" i="10" s="1"/>
  <c r="L56" i="10" s="1"/>
  <c r="L57" i="10" s="1"/>
  <c r="L3308" i="10"/>
  <c r="I3638" i="10"/>
  <c r="J3638" i="10" s="1"/>
  <c r="F3639" i="10" s="1"/>
  <c r="K3632" i="10"/>
  <c r="H1057" i="10"/>
  <c r="H502" i="10"/>
  <c r="I502" i="10" s="1"/>
  <c r="J502" i="10" s="1"/>
  <c r="F503" i="10" s="1"/>
  <c r="H2016" i="10"/>
  <c r="I2016" i="10" s="1"/>
  <c r="J2016" i="10"/>
  <c r="F2017" i="10" s="1"/>
  <c r="I3594" i="10"/>
  <c r="J3594" i="10" s="1"/>
  <c r="F3595" i="10" s="1"/>
  <c r="G4443" i="10"/>
  <c r="L4443" i="10" s="1"/>
  <c r="L4444" i="10" s="1"/>
  <c r="L4445" i="10" s="1"/>
  <c r="L4446" i="10" s="1"/>
  <c r="L4447" i="10" s="1"/>
  <c r="L4448" i="10" s="1"/>
  <c r="L4449" i="10" s="1"/>
  <c r="H3248" i="10"/>
  <c r="I3248" i="10" s="1"/>
  <c r="J3248" i="10" s="1"/>
  <c r="F3249" i="10" s="1"/>
  <c r="H629" i="10"/>
  <c r="I4185" i="10"/>
  <c r="J4185" i="10" s="1"/>
  <c r="F4186" i="10" s="1"/>
  <c r="H1971" i="10"/>
  <c r="J5221" i="10"/>
  <c r="F5222" i="10" s="1"/>
  <c r="L4366" i="10"/>
  <c r="L4367" i="10" s="1"/>
  <c r="L4368" i="10" s="1"/>
  <c r="L4369" i="10" s="1"/>
  <c r="L4370" i="10" s="1"/>
  <c r="L4371" i="10" s="1"/>
  <c r="L4372" i="10" s="1"/>
  <c r="L4373" i="10" s="1"/>
  <c r="H2331" i="10"/>
  <c r="H3919" i="10"/>
  <c r="H4848" i="10"/>
  <c r="G4530" i="10"/>
  <c r="G4526" i="10"/>
  <c r="G4522" i="10"/>
  <c r="G4515" i="10"/>
  <c r="G4516" i="10"/>
  <c r="G4531" i="10"/>
  <c r="G4527" i="10"/>
  <c r="G4523" i="10"/>
  <c r="G4518" i="10"/>
  <c r="G4517" i="10"/>
  <c r="J4512" i="10"/>
  <c r="F4513" i="10" s="1"/>
  <c r="G4519" i="10"/>
  <c r="H4512" i="10"/>
  <c r="G4532" i="10"/>
  <c r="G4528" i="10"/>
  <c r="G4524" i="10"/>
  <c r="G4520" i="10"/>
  <c r="G4521" i="10"/>
  <c r="G4525" i="10"/>
  <c r="G4533" i="10"/>
  <c r="G4513" i="10"/>
  <c r="G4514" i="10"/>
  <c r="G4529" i="10"/>
  <c r="M492" i="10"/>
  <c r="H3085" i="10"/>
  <c r="E3642" i="10"/>
  <c r="C3643" i="10"/>
  <c r="H4908" i="10"/>
  <c r="H3811" i="10"/>
  <c r="H4122" i="10"/>
  <c r="J4121" i="10"/>
  <c r="F4122" i="10" s="1"/>
  <c r="J413" i="10"/>
  <c r="F414" i="10" s="1"/>
  <c r="H413" i="10"/>
  <c r="I2055" i="10"/>
  <c r="J2055" i="10" s="1"/>
  <c r="F2056" i="10" s="1"/>
  <c r="H1016" i="10"/>
  <c r="J3169" i="10"/>
  <c r="F3170" i="10" s="1"/>
  <c r="H3169" i="10"/>
  <c r="L2331" i="10"/>
  <c r="H50" i="10"/>
  <c r="H1881" i="10"/>
  <c r="H74" i="3"/>
  <c r="S74" i="3" s="1"/>
  <c r="N74" i="6"/>
  <c r="I2321" i="10"/>
  <c r="J2868" i="10"/>
  <c r="H4551" i="10"/>
  <c r="H1250" i="10"/>
  <c r="H2994" i="10"/>
  <c r="H5426" i="10"/>
  <c r="I1802" i="10"/>
  <c r="J1802" i="10" s="1"/>
  <c r="F1803" i="10" s="1"/>
  <c r="H3770" i="10"/>
  <c r="I4367" i="10"/>
  <c r="J4367" i="10" s="1"/>
  <c r="F4368" i="10" s="1"/>
  <c r="K1793" i="10"/>
  <c r="H5107" i="10"/>
  <c r="H101" i="3"/>
  <c r="S101" i="3" s="1"/>
  <c r="N101" i="6"/>
  <c r="H2290" i="10"/>
  <c r="G4011" i="10"/>
  <c r="G4007" i="10"/>
  <c r="G4048" i="10"/>
  <c r="G4044" i="10"/>
  <c r="G4040" i="10"/>
  <c r="G4036" i="10"/>
  <c r="G4032" i="10"/>
  <c r="G4028" i="10"/>
  <c r="G4024" i="10"/>
  <c r="G4020" i="10"/>
  <c r="G4016" i="10"/>
  <c r="G4012" i="10"/>
  <c r="G4008" i="10"/>
  <c r="G4004" i="10"/>
  <c r="G4049" i="10"/>
  <c r="G4045" i="10"/>
  <c r="G4041" i="10"/>
  <c r="G4037" i="10"/>
  <c r="G4033" i="10"/>
  <c r="G4029" i="10"/>
  <c r="G4025" i="10"/>
  <c r="G4021" i="10"/>
  <c r="G4017" i="10"/>
  <c r="G4013" i="10"/>
  <c r="G4009" i="10"/>
  <c r="G4005" i="10"/>
  <c r="G4014" i="10"/>
  <c r="G4010" i="10"/>
  <c r="G4006" i="10"/>
  <c r="H4003" i="10"/>
  <c r="G4038" i="10"/>
  <c r="G4022" i="10"/>
  <c r="G4043" i="10"/>
  <c r="G4027" i="10"/>
  <c r="G4042" i="10"/>
  <c r="G4026" i="10"/>
  <c r="G4047" i="10"/>
  <c r="G4031" i="10"/>
  <c r="G4015" i="10"/>
  <c r="G4046" i="10"/>
  <c r="G4030" i="10"/>
  <c r="G4050" i="10"/>
  <c r="G4034" i="10"/>
  <c r="G4018" i="10"/>
  <c r="G4003" i="10"/>
  <c r="G4019" i="10"/>
  <c r="G4039" i="10"/>
  <c r="G4035" i="10"/>
  <c r="G4023" i="10"/>
  <c r="H2618" i="10"/>
  <c r="H3449" i="10"/>
  <c r="H76" i="3"/>
  <c r="S76" i="3" s="1"/>
  <c r="N76" i="6"/>
  <c r="C3967" i="10"/>
  <c r="D3966" i="10"/>
  <c r="E3966" i="10" s="1"/>
  <c r="H4743" i="10"/>
  <c r="H3704" i="10"/>
  <c r="H1927" i="10"/>
  <c r="N247" i="10"/>
  <c r="M759" i="10"/>
  <c r="J2387" i="10"/>
  <c r="I5359" i="10"/>
  <c r="J5359" i="10" s="1"/>
  <c r="F5360" i="10" s="1"/>
  <c r="G4486" i="10"/>
  <c r="G4482" i="10"/>
  <c r="G4478" i="10"/>
  <c r="G4474" i="10"/>
  <c r="G4491" i="10"/>
  <c r="G4490" i="10"/>
  <c r="G4489" i="10"/>
  <c r="G4488" i="10"/>
  <c r="G4487" i="10"/>
  <c r="G4483" i="10"/>
  <c r="G4484" i="10"/>
  <c r="G4480" i="10"/>
  <c r="G4476" i="10"/>
  <c r="G4472" i="10"/>
  <c r="G4467" i="10"/>
  <c r="G4461" i="10"/>
  <c r="G4457" i="10"/>
  <c r="G4452" i="10"/>
  <c r="G4481" i="10"/>
  <c r="G4462" i="10"/>
  <c r="G4458" i="10"/>
  <c r="G4454" i="10"/>
  <c r="G4475" i="10"/>
  <c r="G4470" i="10"/>
  <c r="G4342" i="10"/>
  <c r="G4338" i="10"/>
  <c r="G4334" i="10"/>
  <c r="G4330" i="10"/>
  <c r="G4326" i="10"/>
  <c r="G4322" i="10"/>
  <c r="G4318" i="10"/>
  <c r="G4314" i="10"/>
  <c r="G4310" i="10"/>
  <c r="G4464" i="10"/>
  <c r="G4460" i="10"/>
  <c r="G4456" i="10"/>
  <c r="G4450" i="10"/>
  <c r="G4463" i="10"/>
  <c r="G4455" i="10"/>
  <c r="G4343" i="10"/>
  <c r="G4341" i="10"/>
  <c r="G4324" i="10"/>
  <c r="G4308" i="10"/>
  <c r="G4304" i="10"/>
  <c r="G4466" i="10"/>
  <c r="G4328" i="10"/>
  <c r="G4312" i="10"/>
  <c r="G4309" i="10"/>
  <c r="G4479" i="10"/>
  <c r="G4469" i="10"/>
  <c r="G4344" i="10"/>
  <c r="G4332" i="10"/>
  <c r="G4319" i="10"/>
  <c r="G4305" i="10"/>
  <c r="G4485" i="10"/>
  <c r="G4473" i="10"/>
  <c r="G4465" i="10"/>
  <c r="G4336" i="10"/>
  <c r="G4323" i="10"/>
  <c r="G4321" i="10"/>
  <c r="G4317" i="10"/>
  <c r="G4315" i="10"/>
  <c r="G4468" i="10"/>
  <c r="G4459" i="10"/>
  <c r="G4340" i="10"/>
  <c r="G4327" i="10"/>
  <c r="G4325" i="10"/>
  <c r="G4306" i="10"/>
  <c r="G4471" i="10"/>
  <c r="G4451" i="10"/>
  <c r="G4335" i="10"/>
  <c r="G4333" i="10"/>
  <c r="G4307" i="10"/>
  <c r="G4345" i="10"/>
  <c r="G4339" i="10"/>
  <c r="G4329" i="10"/>
  <c r="G4313" i="10"/>
  <c r="G4337" i="10"/>
  <c r="G4320" i="10"/>
  <c r="G4311" i="10"/>
  <c r="G4453" i="10"/>
  <c r="G4316" i="10"/>
  <c r="G4477" i="10"/>
  <c r="G4331" i="10"/>
  <c r="H4304" i="10"/>
  <c r="J3129" i="10"/>
  <c r="F3130" i="10" s="1"/>
  <c r="H3129" i="10"/>
  <c r="L3129" i="10" s="1"/>
  <c r="E3923" i="10"/>
  <c r="C3924" i="10"/>
  <c r="H2449" i="10"/>
  <c r="I5143" i="10"/>
  <c r="J5143" i="10" s="1"/>
  <c r="F5144" i="10" s="1"/>
  <c r="L5143" i="10"/>
  <c r="H256" i="10"/>
  <c r="C2126" i="10"/>
  <c r="D2126" i="10" s="1"/>
  <c r="E2126" i="10" s="1"/>
  <c r="D2125" i="10"/>
  <c r="E2125" i="10" s="1"/>
  <c r="H217" i="10"/>
  <c r="L619" i="10"/>
  <c r="M619" i="10" s="1"/>
  <c r="N619" i="10" s="1"/>
  <c r="H1450" i="10"/>
  <c r="J3120" i="10"/>
  <c r="H5298" i="10"/>
  <c r="J5298" i="10"/>
  <c r="F5299" i="10" s="1"/>
  <c r="G4679" i="10"/>
  <c r="R107" i="9"/>
  <c r="O104" i="6"/>
  <c r="L3381" i="10"/>
  <c r="L3382" i="10" s="1"/>
  <c r="L3383" i="10" s="1"/>
  <c r="L3384" i="10" s="1"/>
  <c r="L3385" i="10" s="1"/>
  <c r="L3386" i="10" s="1"/>
  <c r="L3387" i="10" s="1"/>
  <c r="I3381" i="10"/>
  <c r="J3381" i="10" s="1"/>
  <c r="F3382" i="10" s="1"/>
  <c r="H2659" i="10"/>
  <c r="H4069" i="10"/>
  <c r="M285" i="10"/>
  <c r="H4781" i="10"/>
  <c r="H2573" i="10"/>
  <c r="H4416" i="10"/>
  <c r="M556" i="10"/>
  <c r="H5067" i="10"/>
  <c r="G386" i="10"/>
  <c r="G378" i="10"/>
  <c r="G387" i="10"/>
  <c r="G379" i="10"/>
  <c r="G380" i="10"/>
  <c r="J371" i="10"/>
  <c r="F372" i="10" s="1"/>
  <c r="G381" i="10"/>
  <c r="H371" i="10"/>
  <c r="L371" i="10" s="1"/>
  <c r="G382" i="10"/>
  <c r="G374" i="10"/>
  <c r="G383" i="10"/>
  <c r="G375" i="10"/>
  <c r="G377" i="10"/>
  <c r="G376" i="10"/>
  <c r="G385" i="10"/>
  <c r="G384" i="10"/>
  <c r="H1176" i="10"/>
  <c r="H16" i="10"/>
  <c r="G16" i="10"/>
  <c r="G18" i="10"/>
  <c r="G19" i="10"/>
  <c r="G17" i="10"/>
  <c r="H3853" i="10"/>
  <c r="H4603" i="10"/>
  <c r="H2249" i="10"/>
  <c r="H2490" i="10"/>
  <c r="H3487" i="10"/>
  <c r="H3249" i="10" l="1"/>
  <c r="I3249" i="10" s="1"/>
  <c r="J3249" i="10" s="1"/>
  <c r="F3250" i="10" s="1"/>
  <c r="H2533" i="10"/>
  <c r="I2533" i="10" s="1"/>
  <c r="J2533" i="10"/>
  <c r="F2534" i="10" s="1"/>
  <c r="H4445" i="10"/>
  <c r="H964" i="10"/>
  <c r="I964" i="10" s="1"/>
  <c r="J964" i="10" s="1"/>
  <c r="F965" i="10" s="1"/>
  <c r="H1763" i="10"/>
  <c r="I1763" i="10" s="1"/>
  <c r="J1763" i="10" s="1"/>
  <c r="F1764" i="10" s="1"/>
  <c r="G1653" i="10"/>
  <c r="G1652" i="10"/>
  <c r="G1642" i="10"/>
  <c r="G1658" i="10"/>
  <c r="G1654" i="10"/>
  <c r="G1643" i="10"/>
  <c r="G1645" i="10"/>
  <c r="G1644" i="10"/>
  <c r="G1655" i="10"/>
  <c r="G1646" i="10"/>
  <c r="G1647" i="10"/>
  <c r="H1638" i="10"/>
  <c r="G1650" i="10"/>
  <c r="G1649" i="10"/>
  <c r="G1640" i="10"/>
  <c r="G1657" i="10"/>
  <c r="G1648" i="10"/>
  <c r="G1639" i="10"/>
  <c r="G1656" i="10"/>
  <c r="G1641" i="10"/>
  <c r="G1638" i="10"/>
  <c r="G1651" i="10"/>
  <c r="G1616" i="10"/>
  <c r="G1608" i="10"/>
  <c r="G1599" i="10"/>
  <c r="G1618" i="10"/>
  <c r="G1617" i="10"/>
  <c r="G1609" i="10"/>
  <c r="G1600" i="10"/>
  <c r="G1610" i="10"/>
  <c r="G1601" i="10"/>
  <c r="G1611" i="10"/>
  <c r="G1602" i="10"/>
  <c r="G1612" i="10"/>
  <c r="G1603" i="10"/>
  <c r="G1614" i="10"/>
  <c r="G1606" i="10"/>
  <c r="H1598" i="10"/>
  <c r="G1605" i="10"/>
  <c r="G1598" i="10"/>
  <c r="G1607" i="10"/>
  <c r="G1604" i="10"/>
  <c r="G1613" i="10"/>
  <c r="G1615" i="10"/>
  <c r="H2706" i="10"/>
  <c r="I2706" i="10" s="1"/>
  <c r="J2706" i="10"/>
  <c r="F2707" i="10" s="1"/>
  <c r="H4368" i="10"/>
  <c r="I4368" i="10" s="1"/>
  <c r="J4368" i="10" s="1"/>
  <c r="F4369" i="10" s="1"/>
  <c r="H503" i="10"/>
  <c r="I503" i="10" s="1"/>
  <c r="J503" i="10"/>
  <c r="F504" i="10" s="1"/>
  <c r="H5492" i="10"/>
  <c r="I5492" i="10" s="1"/>
  <c r="J5492" i="10" s="1"/>
  <c r="F5493" i="10" s="1"/>
  <c r="H265" i="10"/>
  <c r="I265" i="10" s="1"/>
  <c r="J265" i="10" s="1"/>
  <c r="F266" i="10" s="1"/>
  <c r="H844" i="10"/>
  <c r="I844" i="10" s="1"/>
  <c r="J844" i="10" s="1"/>
  <c r="F845" i="10" s="1"/>
  <c r="J1678" i="10"/>
  <c r="F1679" i="10" s="1"/>
  <c r="H1678" i="10"/>
  <c r="I1678" i="10" s="1"/>
  <c r="I4603" i="10"/>
  <c r="J4603" i="10" s="1"/>
  <c r="F4604" i="10" s="1"/>
  <c r="I4069" i="10"/>
  <c r="J4069" i="10" s="1"/>
  <c r="F4070" i="10" s="1"/>
  <c r="I4679" i="10"/>
  <c r="J4679" i="10" s="1"/>
  <c r="F4680" i="10" s="1"/>
  <c r="L4679" i="10"/>
  <c r="I1927" i="10"/>
  <c r="J1927" i="10" s="1"/>
  <c r="F1928" i="10" s="1"/>
  <c r="L1793" i="10"/>
  <c r="K37" i="9"/>
  <c r="J34" i="6" s="1"/>
  <c r="I3770" i="10"/>
  <c r="J3770" i="10" s="1"/>
  <c r="F3771" i="10" s="1"/>
  <c r="I4122" i="10"/>
  <c r="G2331" i="10"/>
  <c r="I2331" i="10" s="1"/>
  <c r="J2331" i="10" s="1"/>
  <c r="F2332" i="10" s="1"/>
  <c r="L4450" i="10"/>
  <c r="L4451" i="10" s="1"/>
  <c r="L4452" i="10" s="1"/>
  <c r="L4453" i="10" s="1"/>
  <c r="I2876" i="10"/>
  <c r="J2876" i="10" s="1"/>
  <c r="F2877" i="10" s="1"/>
  <c r="L1519" i="10"/>
  <c r="L1520" i="10" s="1"/>
  <c r="L1521" i="10" s="1"/>
  <c r="L1522" i="10" s="1"/>
  <c r="L1523" i="10" s="1"/>
  <c r="L1524" i="10" s="1"/>
  <c r="L1525" i="10" s="1"/>
  <c r="L1526" i="10" s="1"/>
  <c r="L1527" i="10" s="1"/>
  <c r="L1528" i="10" s="1"/>
  <c r="L1529" i="10" s="1"/>
  <c r="L1530" i="10" s="1"/>
  <c r="L1531" i="10" s="1"/>
  <c r="L1532" i="10" s="1"/>
  <c r="L1533" i="10" s="1"/>
  <c r="L1534" i="10" s="1"/>
  <c r="L1535" i="10" s="1"/>
  <c r="L1536" i="10" s="1"/>
  <c r="L1537" i="10" s="1"/>
  <c r="L1538" i="10" s="1"/>
  <c r="C3713" i="10"/>
  <c r="D3712" i="10"/>
  <c r="E3712" i="10" s="1"/>
  <c r="H1305" i="10"/>
  <c r="I1305" i="10" s="1"/>
  <c r="J1305" i="10" s="1"/>
  <c r="F1306" i="10" s="1"/>
  <c r="I512" i="10"/>
  <c r="J512" i="10" s="1"/>
  <c r="F513" i="10" s="1"/>
  <c r="G2402" i="10"/>
  <c r="H2399" i="10"/>
  <c r="G2399" i="10"/>
  <c r="I2399" i="10" s="1"/>
  <c r="J2399" i="10" s="1"/>
  <c r="F2400" i="10" s="1"/>
  <c r="G2403" i="10"/>
  <c r="G2401" i="10"/>
  <c r="G2400" i="10"/>
  <c r="I1139" i="10"/>
  <c r="J1139" i="10" s="1"/>
  <c r="F1140" i="10" s="1"/>
  <c r="L1139" i="10"/>
  <c r="J5299" i="10"/>
  <c r="F5300" i="10" s="1"/>
  <c r="H5299" i="10"/>
  <c r="I1450" i="10"/>
  <c r="J1450" i="10" s="1"/>
  <c r="F1451" i="10" s="1"/>
  <c r="C3925" i="10"/>
  <c r="D3924" i="10"/>
  <c r="E3924" i="10" s="1"/>
  <c r="W88" i="9"/>
  <c r="I3704" i="10"/>
  <c r="J3704" i="10" s="1"/>
  <c r="F3705" i="10" s="1"/>
  <c r="I2290" i="10"/>
  <c r="J2290" i="10" s="1"/>
  <c r="F2291" i="10" s="1"/>
  <c r="I1250" i="10"/>
  <c r="J1250" i="10" s="1"/>
  <c r="F1251" i="10" s="1"/>
  <c r="I3169" i="10"/>
  <c r="M695" i="10"/>
  <c r="I4975" i="10"/>
  <c r="J4975" i="10" s="1"/>
  <c r="F4976" i="10" s="1"/>
  <c r="H2825" i="10"/>
  <c r="L2836" i="10"/>
  <c r="L2837" i="10" s="1"/>
  <c r="L2838" i="10" s="1"/>
  <c r="L2839" i="10" s="1"/>
  <c r="L2840" i="10" s="1"/>
  <c r="L2841" i="10" s="1"/>
  <c r="I2209" i="10"/>
  <c r="J2209" i="10" s="1"/>
  <c r="F2210" i="10" s="1"/>
  <c r="I1717" i="10"/>
  <c r="J1717" i="10" s="1"/>
  <c r="F1718" i="10" s="1"/>
  <c r="H5566" i="10"/>
  <c r="I5566" i="10" s="1"/>
  <c r="J5566" i="10" s="1"/>
  <c r="F5567" i="10" s="1"/>
  <c r="H886" i="10"/>
  <c r="I886" i="10" s="1"/>
  <c r="J886" i="10" s="1"/>
  <c r="F887" i="10" s="1"/>
  <c r="I3487" i="10"/>
  <c r="J3487" i="10" s="1"/>
  <c r="F3488" i="10" s="1"/>
  <c r="I2573" i="10"/>
  <c r="J2573" i="10" s="1"/>
  <c r="F2574" i="10" s="1"/>
  <c r="I2659" i="10"/>
  <c r="J2659" i="10" s="1"/>
  <c r="F2660" i="10" s="1"/>
  <c r="I5067" i="10"/>
  <c r="J5067" i="10" s="1"/>
  <c r="F5068" i="10" s="1"/>
  <c r="H5144" i="10"/>
  <c r="H1803" i="10"/>
  <c r="J3170" i="10"/>
  <c r="F3171" i="10" s="1"/>
  <c r="H3170" i="10"/>
  <c r="I3170" i="10" s="1"/>
  <c r="I3811" i="10"/>
  <c r="J3811" i="10" s="1"/>
  <c r="F3812" i="10" s="1"/>
  <c r="H497" i="10"/>
  <c r="I4848" i="10"/>
  <c r="J4848" i="10" s="1"/>
  <c r="F4849" i="10" s="1"/>
  <c r="H4186" i="10"/>
  <c r="H3595" i="10"/>
  <c r="H55" i="10"/>
  <c r="L1518" i="10"/>
  <c r="I1518" i="10"/>
  <c r="J1518" i="10" s="1"/>
  <c r="F1519" i="10" s="1"/>
  <c r="L402" i="10"/>
  <c r="I3961" i="10"/>
  <c r="J3961" i="10" s="1"/>
  <c r="F3962" i="10" s="1"/>
  <c r="E3857" i="10"/>
  <c r="C3858" i="10"/>
  <c r="J2946" i="10"/>
  <c r="F2947" i="10" s="1"/>
  <c r="H2946" i="10"/>
  <c r="I2104" i="10"/>
  <c r="J2104" i="10" s="1"/>
  <c r="F2105" i="10" s="1"/>
  <c r="I3316" i="10"/>
  <c r="J3316" i="10" s="1"/>
  <c r="F3317" i="10" s="1"/>
  <c r="L1143" i="10"/>
  <c r="L1144" i="10" s="1"/>
  <c r="L1145" i="10" s="1"/>
  <c r="L1146" i="10" s="1"/>
  <c r="H561" i="10"/>
  <c r="K13" i="9"/>
  <c r="J10" i="6" s="1"/>
  <c r="H764" i="10"/>
  <c r="K15" i="9"/>
  <c r="J12" i="6" s="1"/>
  <c r="I3449" i="10"/>
  <c r="J3449" i="10" s="1"/>
  <c r="F3450" i="10" s="1"/>
  <c r="L4014" i="10"/>
  <c r="I4003" i="10"/>
  <c r="J4003" i="10" s="1"/>
  <c r="F4004" i="10" s="1"/>
  <c r="I4551" i="10"/>
  <c r="J4551" i="10" s="1"/>
  <c r="F4552" i="10" s="1"/>
  <c r="I1881" i="10"/>
  <c r="J1881" i="10" s="1"/>
  <c r="F1882" i="10" s="1"/>
  <c r="I4908" i="10"/>
  <c r="J4908" i="10" s="1"/>
  <c r="F4909" i="10" s="1"/>
  <c r="I629" i="10"/>
  <c r="J629" i="10" s="1"/>
  <c r="F630" i="10" s="1"/>
  <c r="G2036" i="10"/>
  <c r="G2029" i="10"/>
  <c r="G2021" i="10"/>
  <c r="G2030" i="10"/>
  <c r="G2022" i="10"/>
  <c r="G2037" i="10"/>
  <c r="G2031" i="10"/>
  <c r="G2023" i="10"/>
  <c r="G2032" i="10"/>
  <c r="G2024" i="10"/>
  <c r="H2017" i="10"/>
  <c r="G2034" i="10"/>
  <c r="G2033" i="10"/>
  <c r="G2025" i="10"/>
  <c r="G2017" i="10"/>
  <c r="G2035" i="10"/>
  <c r="G2027" i="10"/>
  <c r="G2019" i="10"/>
  <c r="G2028" i="10"/>
  <c r="G2018" i="10"/>
  <c r="G2026" i="10"/>
  <c r="G2020" i="10"/>
  <c r="H3639" i="10"/>
  <c r="E3815" i="10"/>
  <c r="C3816" i="10"/>
  <c r="K12" i="10"/>
  <c r="D3775" i="10"/>
  <c r="E3775" i="10" s="1"/>
  <c r="C3776" i="10"/>
  <c r="K2136" i="10"/>
  <c r="I1396" i="10"/>
  <c r="J1396" i="10" s="1"/>
  <c r="F1397" i="10" s="1"/>
  <c r="G1576" i="10"/>
  <c r="G1577" i="10"/>
  <c r="G1572" i="10"/>
  <c r="G1573" i="10"/>
  <c r="G1578" i="10"/>
  <c r="G1574" i="10"/>
  <c r="G1575" i="10"/>
  <c r="G1564" i="10"/>
  <c r="G1560" i="10"/>
  <c r="G1569" i="10"/>
  <c r="G1570" i="10"/>
  <c r="G1565" i="10"/>
  <c r="G1561" i="10"/>
  <c r="H1558" i="10"/>
  <c r="G1571" i="10"/>
  <c r="G1566" i="10"/>
  <c r="G1562" i="10"/>
  <c r="G1558" i="10"/>
  <c r="G1563" i="10"/>
  <c r="G1559" i="10"/>
  <c r="G1568" i="10"/>
  <c r="G1567" i="10"/>
  <c r="L1141" i="10"/>
  <c r="I2490" i="10"/>
  <c r="J2490" i="10" s="1"/>
  <c r="F2491" i="10" s="1"/>
  <c r="I217" i="10"/>
  <c r="J217" i="10" s="1"/>
  <c r="F218" i="10" s="1"/>
  <c r="I2449" i="10"/>
  <c r="J2449" i="10" s="1"/>
  <c r="F2450" i="10" s="1"/>
  <c r="J3130" i="10"/>
  <c r="F3131" i="10" s="1"/>
  <c r="H3130" i="10"/>
  <c r="L3130" i="10" s="1"/>
  <c r="H5360" i="10"/>
  <c r="I4743" i="10"/>
  <c r="J4743" i="10" s="1"/>
  <c r="F4744" i="10" s="1"/>
  <c r="I1016" i="10"/>
  <c r="J1016" i="10" s="1"/>
  <c r="F1017" i="10" s="1"/>
  <c r="H2056" i="10"/>
  <c r="I3919" i="10"/>
  <c r="J3919" i="10" s="1"/>
  <c r="F3920" i="10" s="1"/>
  <c r="M3308" i="10"/>
  <c r="I2752" i="10"/>
  <c r="J2752" i="10" s="1"/>
  <c r="F2753" i="10" s="1"/>
  <c r="H2146" i="10"/>
  <c r="G2146" i="10" s="1"/>
  <c r="I2146" i="10" s="1"/>
  <c r="J2146" i="10" s="1"/>
  <c r="F2147" i="10" s="1"/>
  <c r="H3277" i="10"/>
  <c r="L1140" i="10"/>
  <c r="H3382" i="10"/>
  <c r="I2249" i="10"/>
  <c r="J2249" i="10" s="1"/>
  <c r="F2250" i="10" s="1"/>
  <c r="I5426" i="10"/>
  <c r="J5426" i="10" s="1"/>
  <c r="F5427" i="10" s="1"/>
  <c r="C3644" i="10"/>
  <c r="D3643" i="10"/>
  <c r="E3643" i="10" s="1"/>
  <c r="L4513" i="10"/>
  <c r="L4514" i="10" s="1"/>
  <c r="L4515" i="10" s="1"/>
  <c r="L4516" i="10" s="1"/>
  <c r="L4517" i="10" s="1"/>
  <c r="L4518" i="10" s="1"/>
  <c r="L4519" i="10" s="1"/>
  <c r="I2825" i="10"/>
  <c r="J2825" i="10" s="1"/>
  <c r="F2826" i="10" s="1"/>
  <c r="H3553" i="10"/>
  <c r="L1142" i="10"/>
  <c r="J372" i="10"/>
  <c r="F373" i="10" s="1"/>
  <c r="H372" i="10"/>
  <c r="L372" i="10" s="1"/>
  <c r="I4416" i="10"/>
  <c r="J4416" i="10" s="1"/>
  <c r="F4417" i="10" s="1"/>
  <c r="H290" i="10"/>
  <c r="Q104" i="6"/>
  <c r="AK104" i="6" s="1"/>
  <c r="I104" i="3"/>
  <c r="T104" i="3" s="1"/>
  <c r="AQ107" i="9"/>
  <c r="J624" i="10"/>
  <c r="K624" i="10" s="1"/>
  <c r="L624" i="10" s="1"/>
  <c r="M624" i="10" s="1"/>
  <c r="N624" i="10" s="1"/>
  <c r="K14" i="9"/>
  <c r="J11" i="6" s="1"/>
  <c r="I4304" i="10"/>
  <c r="J4304" i="10" s="1"/>
  <c r="F4305" i="10" s="1"/>
  <c r="L4304" i="10"/>
  <c r="L4305" i="10" s="1"/>
  <c r="L4306" i="10" s="1"/>
  <c r="L4307" i="10" s="1"/>
  <c r="L4308" i="10" s="1"/>
  <c r="L4309" i="10" s="1"/>
  <c r="I2745" i="10"/>
  <c r="K2387" i="10"/>
  <c r="K8" i="9"/>
  <c r="J5" i="6" s="1"/>
  <c r="I2618" i="10"/>
  <c r="J2618" i="10" s="1"/>
  <c r="F2619" i="10" s="1"/>
  <c r="I5107" i="10"/>
  <c r="J5107" i="10" s="1"/>
  <c r="F5108" i="10" s="1"/>
  <c r="J2321" i="10"/>
  <c r="H414" i="10"/>
  <c r="J414" i="10"/>
  <c r="F415" i="10" s="1"/>
  <c r="W89" i="9"/>
  <c r="H5222" i="10"/>
  <c r="I5014" i="10"/>
  <c r="J5014" i="10" s="1"/>
  <c r="F5015" i="10" s="1"/>
  <c r="H295" i="10"/>
  <c r="I566" i="10"/>
  <c r="J566" i="10" s="1"/>
  <c r="F567" i="10" s="1"/>
  <c r="J706" i="10"/>
  <c r="F707" i="10" s="1"/>
  <c r="H706" i="10"/>
  <c r="I3853" i="10"/>
  <c r="J3853" i="10" s="1"/>
  <c r="F3854" i="10" s="1"/>
  <c r="I4781" i="10"/>
  <c r="J4781" i="10" s="1"/>
  <c r="F4782" i="10" s="1"/>
  <c r="L16" i="10"/>
  <c r="L17" i="10" s="1"/>
  <c r="L18" i="10" s="1"/>
  <c r="L19" i="10" s="1"/>
  <c r="I16" i="10"/>
  <c r="J16" i="10" s="1"/>
  <c r="F17" i="10" s="1"/>
  <c r="I1176" i="10"/>
  <c r="J1176" i="10" s="1"/>
  <c r="F1177" i="10" s="1"/>
  <c r="K3120" i="10"/>
  <c r="I256" i="10"/>
  <c r="J256" i="10" s="1"/>
  <c r="F257" i="10" s="1"/>
  <c r="D3967" i="10"/>
  <c r="E3967" i="10" s="1"/>
  <c r="C3968" i="10"/>
  <c r="I2994" i="10"/>
  <c r="J2994" i="10" s="1"/>
  <c r="F2995" i="10" s="1"/>
  <c r="K2868" i="10"/>
  <c r="I50" i="10"/>
  <c r="J4122" i="10"/>
  <c r="F4123" i="10" s="1"/>
  <c r="H4123" i="10"/>
  <c r="I4123" i="10" s="1"/>
  <c r="I3085" i="10"/>
  <c r="J3085" i="10" s="1"/>
  <c r="F3086" i="10" s="1"/>
  <c r="H4513" i="10"/>
  <c r="I4513" i="10" s="1"/>
  <c r="J4513" i="10" s="1"/>
  <c r="F4514" i="10" s="1"/>
  <c r="I1971" i="10"/>
  <c r="J1971" i="10" s="1"/>
  <c r="F1972" i="10" s="1"/>
  <c r="I1057" i="10"/>
  <c r="J1057" i="10" s="1"/>
  <c r="F1058" i="10" s="1"/>
  <c r="H1096" i="10"/>
  <c r="I1096" i="10" s="1"/>
  <c r="J1096" i="10"/>
  <c r="F1097" i="10" s="1"/>
  <c r="G4283" i="10"/>
  <c r="G4282" i="10"/>
  <c r="G4281" i="10"/>
  <c r="G4277" i="10"/>
  <c r="G4273" i="10"/>
  <c r="G4269" i="10"/>
  <c r="G4265" i="10"/>
  <c r="G4261" i="10"/>
  <c r="G4257" i="10"/>
  <c r="G4262" i="10"/>
  <c r="G4259" i="10"/>
  <c r="G4256" i="10"/>
  <c r="G4253" i="10"/>
  <c r="G4249" i="10"/>
  <c r="H4242" i="10"/>
  <c r="G4274" i="10"/>
  <c r="G4271" i="10"/>
  <c r="G4268" i="10"/>
  <c r="G4242" i="10"/>
  <c r="G4280" i="10"/>
  <c r="G4254" i="10"/>
  <c r="G4250" i="10"/>
  <c r="G4243" i="10"/>
  <c r="G4266" i="10"/>
  <c r="G4263" i="10"/>
  <c r="G4260" i="10"/>
  <c r="G4244" i="10"/>
  <c r="G4278" i="10"/>
  <c r="G4275" i="10"/>
  <c r="G4272" i="10"/>
  <c r="G4251" i="10"/>
  <c r="G4246" i="10"/>
  <c r="G4245" i="10"/>
  <c r="G4270" i="10"/>
  <c r="G4267" i="10"/>
  <c r="G4264" i="10"/>
  <c r="G4252" i="10"/>
  <c r="G4248" i="10"/>
  <c r="G4258" i="10"/>
  <c r="G4247" i="10"/>
  <c r="G4276" i="10"/>
  <c r="G4255" i="10"/>
  <c r="G4279" i="10"/>
  <c r="H769" i="10"/>
  <c r="I925" i="10"/>
  <c r="J925" i="10" s="1"/>
  <c r="F926" i="10" s="1"/>
  <c r="H5493" i="10" l="1"/>
  <c r="I5493" i="10" s="1"/>
  <c r="J5493" i="10" s="1"/>
  <c r="F5494" i="10" s="1"/>
  <c r="H887" i="10"/>
  <c r="I887" i="10" s="1"/>
  <c r="J887" i="10" s="1"/>
  <c r="F888" i="10" s="1"/>
  <c r="H2826" i="10"/>
  <c r="I2826" i="10" s="1"/>
  <c r="J2826" i="10" s="1"/>
  <c r="F2827" i="10" s="1"/>
  <c r="H5567" i="10"/>
  <c r="I5567" i="10" s="1"/>
  <c r="J5567" i="10" s="1"/>
  <c r="F5568" i="10" s="1"/>
  <c r="G1783" i="10"/>
  <c r="G1779" i="10"/>
  <c r="G1775" i="10"/>
  <c r="G1770" i="10"/>
  <c r="G1764" i="10"/>
  <c r="G1771" i="10"/>
  <c r="G1784" i="10"/>
  <c r="G1780" i="10"/>
  <c r="G1776" i="10"/>
  <c r="G1772" i="10"/>
  <c r="G1765" i="10"/>
  <c r="G1781" i="10"/>
  <c r="G1777" i="10"/>
  <c r="G1773" i="10"/>
  <c r="G1766" i="10"/>
  <c r="G1782" i="10"/>
  <c r="G1778" i="10"/>
  <c r="G1774" i="10"/>
  <c r="G1768" i="10"/>
  <c r="H1764" i="10"/>
  <c r="G1767" i="10"/>
  <c r="G1769" i="10"/>
  <c r="J2147" i="10"/>
  <c r="F2148" i="10" s="1"/>
  <c r="H2147" i="10"/>
  <c r="G2147" i="10" s="1"/>
  <c r="I2147" i="10" s="1"/>
  <c r="H4369" i="10"/>
  <c r="H965" i="10"/>
  <c r="I965" i="10" s="1"/>
  <c r="J965" i="10"/>
  <c r="F966" i="10" s="1"/>
  <c r="H2400" i="10"/>
  <c r="I2400" i="10" s="1"/>
  <c r="J2400" i="10" s="1"/>
  <c r="F2401" i="10" s="1"/>
  <c r="H1306" i="10"/>
  <c r="I1306" i="10" s="1"/>
  <c r="J1306" i="10"/>
  <c r="F1307" i="10" s="1"/>
  <c r="H4514" i="10"/>
  <c r="I4514" i="10" s="1"/>
  <c r="J4514" i="10" s="1"/>
  <c r="F4515" i="10" s="1"/>
  <c r="H845" i="10"/>
  <c r="I845" i="10" s="1"/>
  <c r="J845" i="10" s="1"/>
  <c r="F846" i="10" s="1"/>
  <c r="H266" i="10"/>
  <c r="I266" i="10" s="1"/>
  <c r="J266" i="10" s="1"/>
  <c r="F267" i="10" s="1"/>
  <c r="H3250" i="10"/>
  <c r="I3250" i="10" s="1"/>
  <c r="J3250" i="10" s="1"/>
  <c r="F3251" i="10" s="1"/>
  <c r="H218" i="10"/>
  <c r="H5068" i="10"/>
  <c r="I4445" i="10"/>
  <c r="J4445" i="10" s="1"/>
  <c r="F4446" i="10" s="1"/>
  <c r="H1972" i="10"/>
  <c r="J4123" i="10"/>
  <c r="F4124" i="10" s="1"/>
  <c r="H257" i="10"/>
  <c r="J707" i="10"/>
  <c r="F708" i="10" s="1"/>
  <c r="H707" i="10"/>
  <c r="I295" i="10"/>
  <c r="J295" i="10" s="1"/>
  <c r="F296" i="10" s="1"/>
  <c r="N3308" i="10"/>
  <c r="L2136" i="10"/>
  <c r="H4909" i="10"/>
  <c r="I55" i="10"/>
  <c r="J55" i="10" s="1"/>
  <c r="F56" i="10" s="1"/>
  <c r="I1803" i="10"/>
  <c r="J1803" i="10" s="1"/>
  <c r="F1804" i="10" s="1"/>
  <c r="K2321" i="10"/>
  <c r="C3817" i="10"/>
  <c r="D3816" i="10"/>
  <c r="E3816" i="10" s="1"/>
  <c r="H3771" i="10"/>
  <c r="H4417" i="10"/>
  <c r="H5427" i="10"/>
  <c r="H2250" i="10"/>
  <c r="I3277" i="10"/>
  <c r="J3277" i="10" s="1"/>
  <c r="F3278" i="10" s="1"/>
  <c r="I3639" i="10"/>
  <c r="J3639" i="10" s="1"/>
  <c r="F3640" i="10" s="1"/>
  <c r="H3317" i="10"/>
  <c r="H3962" i="10"/>
  <c r="M402" i="10"/>
  <c r="I497" i="10"/>
  <c r="H3488" i="10"/>
  <c r="G1798" i="10"/>
  <c r="H4680" i="10"/>
  <c r="H4604" i="10"/>
  <c r="I4242" i="10"/>
  <c r="J4242" i="10" s="1"/>
  <c r="F4243" i="10" s="1"/>
  <c r="L4242" i="10"/>
  <c r="L4243" i="10" s="1"/>
  <c r="L4244" i="10" s="1"/>
  <c r="L4245" i="10" s="1"/>
  <c r="L4246" i="10" s="1"/>
  <c r="L4247" i="10" s="1"/>
  <c r="J50" i="10"/>
  <c r="H2995" i="10"/>
  <c r="C3969" i="10"/>
  <c r="D3968" i="10"/>
  <c r="E3968" i="10" s="1"/>
  <c r="H4782" i="10"/>
  <c r="H567" i="10"/>
  <c r="L2387" i="10"/>
  <c r="I3553" i="10"/>
  <c r="J3553" i="10" s="1"/>
  <c r="F3554" i="10" s="1"/>
  <c r="I2056" i="10"/>
  <c r="J2056" i="10" s="1"/>
  <c r="F2057" i="10" s="1"/>
  <c r="L2017" i="10"/>
  <c r="L2018" i="10" s="1"/>
  <c r="L2019" i="10" s="1"/>
  <c r="L2020" i="10" s="1"/>
  <c r="L2021" i="10" s="1"/>
  <c r="L2022" i="10" s="1"/>
  <c r="L2023" i="10" s="1"/>
  <c r="L2024" i="10" s="1"/>
  <c r="L2025" i="10" s="1"/>
  <c r="L2026" i="10" s="1"/>
  <c r="L2027" i="10" s="1"/>
  <c r="L2028" i="10" s="1"/>
  <c r="L2029" i="10" s="1"/>
  <c r="L2030" i="10" s="1"/>
  <c r="L2031" i="10" s="1"/>
  <c r="L2032" i="10" s="1"/>
  <c r="L2033" i="10" s="1"/>
  <c r="I2017" i="10"/>
  <c r="J2017" i="10" s="1"/>
  <c r="F2018" i="10" s="1"/>
  <c r="H1882" i="10"/>
  <c r="H4004" i="10"/>
  <c r="I3595" i="10"/>
  <c r="J3595" i="10" s="1"/>
  <c r="F3596" i="10" s="1"/>
  <c r="H1718" i="10"/>
  <c r="C3926" i="10"/>
  <c r="D3925" i="10"/>
  <c r="E3925" i="10" s="1"/>
  <c r="H1140" i="10"/>
  <c r="I1140" i="10" s="1"/>
  <c r="J1140" i="10" s="1"/>
  <c r="F1141" i="10" s="1"/>
  <c r="L1638" i="10"/>
  <c r="L1639" i="10" s="1"/>
  <c r="L1640" i="10" s="1"/>
  <c r="L1641" i="10" s="1"/>
  <c r="L1642" i="10" s="1"/>
  <c r="L1643" i="10" s="1"/>
  <c r="L1644" i="10" s="1"/>
  <c r="L1645" i="10" s="1"/>
  <c r="L1646" i="10" s="1"/>
  <c r="L1647" i="10" s="1"/>
  <c r="L1648" i="10" s="1"/>
  <c r="L1649" i="10" s="1"/>
  <c r="L1650" i="10" s="1"/>
  <c r="L1651" i="10" s="1"/>
  <c r="L1652" i="10" s="1"/>
  <c r="L1653" i="10" s="1"/>
  <c r="I1638" i="10"/>
  <c r="J1638" i="10" s="1"/>
  <c r="F1639" i="10" s="1"/>
  <c r="G2539" i="10"/>
  <c r="G2551" i="10"/>
  <c r="G2547" i="10"/>
  <c r="G2540" i="10"/>
  <c r="G2541" i="10"/>
  <c r="G2552" i="10"/>
  <c r="G2548" i="10"/>
  <c r="G2542" i="10"/>
  <c r="H2534" i="10"/>
  <c r="G2543" i="10"/>
  <c r="G2534" i="10"/>
  <c r="G2536" i="10"/>
  <c r="G2553" i="10"/>
  <c r="G2549" i="10"/>
  <c r="G2545" i="10"/>
  <c r="G2538" i="10"/>
  <c r="G2544" i="10"/>
  <c r="G2535" i="10"/>
  <c r="G2554" i="10"/>
  <c r="G2537" i="10"/>
  <c r="G2546" i="10"/>
  <c r="G2550" i="10"/>
  <c r="H1397" i="10"/>
  <c r="H2619" i="10"/>
  <c r="O624" i="10"/>
  <c r="J373" i="10"/>
  <c r="F374" i="10" s="1"/>
  <c r="H373" i="10"/>
  <c r="I3382" i="10"/>
  <c r="J3382" i="10" s="1"/>
  <c r="F3383" i="10" s="1"/>
  <c r="J3131" i="10"/>
  <c r="F3132" i="10" s="1"/>
  <c r="H3131" i="10"/>
  <c r="I1558" i="10"/>
  <c r="J1558" i="10" s="1"/>
  <c r="F1559" i="10" s="1"/>
  <c r="H630" i="10"/>
  <c r="H2105" i="10"/>
  <c r="G5144" i="10"/>
  <c r="H1251" i="10"/>
  <c r="G4103" i="10"/>
  <c r="G4100" i="10"/>
  <c r="G4097" i="10"/>
  <c r="G4087" i="10"/>
  <c r="G4083" i="10"/>
  <c r="G4075" i="10"/>
  <c r="G4102" i="10"/>
  <c r="G4076" i="10"/>
  <c r="G4101" i="10"/>
  <c r="G4091" i="10"/>
  <c r="G4088" i="10"/>
  <c r="G4084" i="10"/>
  <c r="G4077" i="10"/>
  <c r="H4070" i="10"/>
  <c r="G4090" i="10"/>
  <c r="G4079" i="10"/>
  <c r="G4078" i="10"/>
  <c r="G4070" i="10"/>
  <c r="G4095" i="10"/>
  <c r="G4092" i="10"/>
  <c r="G4089" i="10"/>
  <c r="G4085" i="10"/>
  <c r="G4080" i="10"/>
  <c r="G4071" i="10"/>
  <c r="G4099" i="10"/>
  <c r="G4096" i="10"/>
  <c r="G4093" i="10"/>
  <c r="G4086" i="10"/>
  <c r="G4082" i="10"/>
  <c r="G4073" i="10"/>
  <c r="G4094" i="10"/>
  <c r="G4081" i="10"/>
  <c r="G4072" i="10"/>
  <c r="G4098" i="10"/>
  <c r="G4074" i="10"/>
  <c r="G1688" i="10"/>
  <c r="G1680" i="10"/>
  <c r="G1698" i="10"/>
  <c r="G1689" i="10"/>
  <c r="G1681" i="10"/>
  <c r="G1690" i="10"/>
  <c r="G1682" i="10"/>
  <c r="G1699" i="10"/>
  <c r="G1691" i="10"/>
  <c r="G1683" i="10"/>
  <c r="G1692" i="10"/>
  <c r="G1684" i="10"/>
  <c r="G1695" i="10"/>
  <c r="G1686" i="10"/>
  <c r="H1679" i="10"/>
  <c r="G1694" i="10"/>
  <c r="G1687" i="10"/>
  <c r="G1696" i="10"/>
  <c r="G1693" i="10"/>
  <c r="G1679" i="10"/>
  <c r="G1697" i="10"/>
  <c r="G1685" i="10"/>
  <c r="H504" i="10"/>
  <c r="I504" i="10" s="1"/>
  <c r="J504" i="10" s="1"/>
  <c r="F505" i="10" s="1"/>
  <c r="H2491" i="10"/>
  <c r="I764" i="10"/>
  <c r="H2332" i="10"/>
  <c r="G2713" i="10"/>
  <c r="G2724" i="10"/>
  <c r="G2720" i="10"/>
  <c r="G2715" i="10"/>
  <c r="G2714" i="10"/>
  <c r="G2716" i="10"/>
  <c r="G2725" i="10"/>
  <c r="G2721" i="10"/>
  <c r="G2717" i="10"/>
  <c r="G2707" i="10"/>
  <c r="G2711" i="10"/>
  <c r="G2710" i="10"/>
  <c r="G2709" i="10"/>
  <c r="G2727" i="10"/>
  <c r="G2723" i="10"/>
  <c r="G2719" i="10"/>
  <c r="G2726" i="10"/>
  <c r="G2722" i="10"/>
  <c r="G2718" i="10"/>
  <c r="G2712" i="10"/>
  <c r="G2708" i="10"/>
  <c r="H2707" i="10"/>
  <c r="W84" i="9"/>
  <c r="H3854" i="10"/>
  <c r="J415" i="10"/>
  <c r="F416" i="10" s="1"/>
  <c r="H415" i="10"/>
  <c r="H5108" i="10"/>
  <c r="H4305" i="10"/>
  <c r="H4552" i="10"/>
  <c r="I561" i="10"/>
  <c r="I4186" i="10"/>
  <c r="J4186" i="10" s="1"/>
  <c r="F4187" i="10" s="1"/>
  <c r="H2210" i="10"/>
  <c r="H4976" i="10"/>
  <c r="H1451" i="10"/>
  <c r="G516" i="10"/>
  <c r="G517" i="10"/>
  <c r="H513" i="10"/>
  <c r="G513" i="10"/>
  <c r="G515" i="10"/>
  <c r="G514" i="10"/>
  <c r="L2146" i="10"/>
  <c r="L2147" i="10" s="1"/>
  <c r="H2877" i="10"/>
  <c r="H1928" i="10"/>
  <c r="I769" i="10"/>
  <c r="J769" i="10" s="1"/>
  <c r="F770" i="10" s="1"/>
  <c r="H2574" i="10"/>
  <c r="H1097" i="10"/>
  <c r="I1097" i="10" s="1"/>
  <c r="J1097" i="10" s="1"/>
  <c r="F1098" i="10" s="1"/>
  <c r="L2868" i="10"/>
  <c r="L3120" i="10"/>
  <c r="H1177" i="10"/>
  <c r="H5015" i="10"/>
  <c r="J2745" i="10"/>
  <c r="K57" i="9"/>
  <c r="J54" i="6" s="1"/>
  <c r="H1017" i="10"/>
  <c r="H4744" i="10"/>
  <c r="H2450" i="10"/>
  <c r="G3469" i="10"/>
  <c r="G3465" i="10"/>
  <c r="G3457" i="10"/>
  <c r="H3450" i="10"/>
  <c r="G3458" i="10"/>
  <c r="G3450" i="10"/>
  <c r="G3470" i="10"/>
  <c r="G3466" i="10"/>
  <c r="G3459" i="10"/>
  <c r="G3451" i="10"/>
  <c r="G3460" i="10"/>
  <c r="G3452" i="10"/>
  <c r="G3467" i="10"/>
  <c r="G3461" i="10"/>
  <c r="G3453" i="10"/>
  <c r="G3468" i="10"/>
  <c r="G3463" i="10"/>
  <c r="G3455" i="10"/>
  <c r="G3456" i="10"/>
  <c r="G3462" i="10"/>
  <c r="G3464" i="10"/>
  <c r="G3454" i="10"/>
  <c r="J2947" i="10"/>
  <c r="F2948" i="10" s="1"/>
  <c r="H2947" i="10"/>
  <c r="J1519" i="10"/>
  <c r="F1520" i="10" s="1"/>
  <c r="H1519" i="10"/>
  <c r="I1519" i="10" s="1"/>
  <c r="H3812" i="10"/>
  <c r="H2660" i="10"/>
  <c r="N695" i="10"/>
  <c r="H2291" i="10"/>
  <c r="H3705" i="10"/>
  <c r="L1598" i="10"/>
  <c r="L1599" i="10" s="1"/>
  <c r="L1600" i="10" s="1"/>
  <c r="L1601" i="10" s="1"/>
  <c r="L1602" i="10" s="1"/>
  <c r="L1603" i="10" s="1"/>
  <c r="L1604" i="10" s="1"/>
  <c r="L1605" i="10" s="1"/>
  <c r="L1606" i="10" s="1"/>
  <c r="L1607" i="10" s="1"/>
  <c r="L1608" i="10" s="1"/>
  <c r="L1609" i="10" s="1"/>
  <c r="L1610" i="10" s="1"/>
  <c r="L1611" i="10" s="1"/>
  <c r="L1612" i="10" s="1"/>
  <c r="L1613" i="10" s="1"/>
  <c r="L1614" i="10" s="1"/>
  <c r="L1615" i="10" s="1"/>
  <c r="L1616" i="10" s="1"/>
  <c r="L1617" i="10" s="1"/>
  <c r="I1598" i="10"/>
  <c r="J1598" i="10" s="1"/>
  <c r="F1599" i="10" s="1"/>
  <c r="I290" i="10"/>
  <c r="H3171" i="10"/>
  <c r="H926" i="10"/>
  <c r="G1074" i="10"/>
  <c r="G1066" i="10"/>
  <c r="G1058" i="10"/>
  <c r="G1075" i="10"/>
  <c r="G1067" i="10"/>
  <c r="G1059" i="10"/>
  <c r="G1076" i="10"/>
  <c r="G1068" i="10"/>
  <c r="G1060" i="10"/>
  <c r="G1077" i="10"/>
  <c r="G1069" i="10"/>
  <c r="G1061" i="10"/>
  <c r="G1078" i="10"/>
  <c r="G1070" i="10"/>
  <c r="G1062" i="10"/>
  <c r="G1072" i="10"/>
  <c r="G1064" i="10"/>
  <c r="G1063" i="10"/>
  <c r="G1065" i="10"/>
  <c r="G1071" i="10"/>
  <c r="H1058" i="10"/>
  <c r="G1073" i="10"/>
  <c r="H3086" i="10"/>
  <c r="J17" i="10"/>
  <c r="F18" i="10" s="1"/>
  <c r="H17" i="10"/>
  <c r="I17" i="10" s="1"/>
  <c r="I5222" i="10"/>
  <c r="J5222" i="10" s="1"/>
  <c r="F5223" i="10" s="1"/>
  <c r="C3645" i="10"/>
  <c r="D3644" i="10"/>
  <c r="E3644" i="10" s="1"/>
  <c r="H2753" i="10"/>
  <c r="H3920" i="10"/>
  <c r="I5360" i="10"/>
  <c r="J5360" i="10" s="1"/>
  <c r="F5361" i="10" s="1"/>
  <c r="C3777" i="10"/>
  <c r="D3776" i="10"/>
  <c r="E3776" i="10" s="1"/>
  <c r="D3858" i="10"/>
  <c r="E3858" i="10" s="1"/>
  <c r="C3859" i="10"/>
  <c r="G4886" i="10"/>
  <c r="G4879" i="10"/>
  <c r="G4875" i="10"/>
  <c r="G4871" i="10"/>
  <c r="G4867" i="10"/>
  <c r="G4863" i="10"/>
  <c r="G4859" i="10"/>
  <c r="G4855" i="10"/>
  <c r="H4849" i="10"/>
  <c r="G4887" i="10"/>
  <c r="G4849" i="10"/>
  <c r="G4888" i="10"/>
  <c r="G4880" i="10"/>
  <c r="G4876" i="10"/>
  <c r="G4872" i="10"/>
  <c r="G4868" i="10"/>
  <c r="G4864" i="10"/>
  <c r="G4860" i="10"/>
  <c r="G4856" i="10"/>
  <c r="G4850" i="10"/>
  <c r="G4889" i="10"/>
  <c r="G4881" i="10"/>
  <c r="G4851" i="10"/>
  <c r="G4890" i="10"/>
  <c r="G4882" i="10"/>
  <c r="G4877" i="10"/>
  <c r="G4873" i="10"/>
  <c r="G4869" i="10"/>
  <c r="G4865" i="10"/>
  <c r="G4861" i="10"/>
  <c r="G4857" i="10"/>
  <c r="G4852" i="10"/>
  <c r="G4891" i="10"/>
  <c r="G4883" i="10"/>
  <c r="G4853" i="10"/>
  <c r="G4885" i="10"/>
  <c r="G4866" i="10"/>
  <c r="G4884" i="10"/>
  <c r="G4870" i="10"/>
  <c r="G4854" i="10"/>
  <c r="G4874" i="10"/>
  <c r="G4858" i="10"/>
  <c r="G4892" i="10"/>
  <c r="G4862" i="10"/>
  <c r="G4878" i="10"/>
  <c r="H5300" i="10"/>
  <c r="P103" i="9" s="1"/>
  <c r="J5300" i="10"/>
  <c r="F5301" i="10" s="1"/>
  <c r="C3714" i="10"/>
  <c r="D3713" i="10"/>
  <c r="E3713" i="10" s="1"/>
  <c r="H505" i="10" l="1"/>
  <c r="I505" i="10" s="1"/>
  <c r="J505" i="10" s="1"/>
  <c r="F506" i="10" s="1"/>
  <c r="H2401" i="10"/>
  <c r="I2401" i="10" s="1"/>
  <c r="J2401" i="10" s="1"/>
  <c r="F2402" i="10" s="1"/>
  <c r="H3251" i="10"/>
  <c r="I3251" i="10" s="1"/>
  <c r="J3251" i="10" s="1"/>
  <c r="F3252" i="10" s="1"/>
  <c r="J267" i="10"/>
  <c r="F268" i="10" s="1"/>
  <c r="H267" i="10"/>
  <c r="I267" i="10" s="1"/>
  <c r="H846" i="10"/>
  <c r="I846" i="10" s="1"/>
  <c r="J846" i="10"/>
  <c r="F847" i="10" s="1"/>
  <c r="G5586" i="10"/>
  <c r="G5578" i="10"/>
  <c r="G5570" i="10"/>
  <c r="G5587" i="10"/>
  <c r="G5579" i="10"/>
  <c r="G5571" i="10"/>
  <c r="G5588" i="10"/>
  <c r="G5580" i="10"/>
  <c r="G5572" i="10"/>
  <c r="G5581" i="10"/>
  <c r="G5573" i="10"/>
  <c r="J5568" i="10"/>
  <c r="F5569" i="10" s="1"/>
  <c r="G5582" i="10"/>
  <c r="G5574" i="10"/>
  <c r="G5583" i="10"/>
  <c r="H5568" i="10"/>
  <c r="G5568" i="10"/>
  <c r="I5568" i="10" s="1"/>
  <c r="G5585" i="10"/>
  <c r="G5575" i="10"/>
  <c r="G5577" i="10"/>
  <c r="G5584" i="10"/>
  <c r="G5576" i="10"/>
  <c r="G5569" i="10"/>
  <c r="H4515" i="10"/>
  <c r="I4515" i="10" s="1"/>
  <c r="J4515" i="10" s="1"/>
  <c r="F4516" i="10" s="1"/>
  <c r="H2827" i="10"/>
  <c r="I2827" i="10" s="1"/>
  <c r="J2827" i="10" s="1"/>
  <c r="F2828" i="10" s="1"/>
  <c r="G905" i="10"/>
  <c r="G895" i="10"/>
  <c r="G897" i="10"/>
  <c r="G896" i="10"/>
  <c r="H888" i="10"/>
  <c r="G898" i="10"/>
  <c r="G888" i="10"/>
  <c r="G899" i="10"/>
  <c r="G889" i="10"/>
  <c r="G900" i="10"/>
  <c r="G891" i="10"/>
  <c r="G890" i="10"/>
  <c r="G901" i="10"/>
  <c r="G892" i="10"/>
  <c r="G902" i="10"/>
  <c r="G893" i="10"/>
  <c r="G904" i="10"/>
  <c r="G903" i="10"/>
  <c r="G894" i="10"/>
  <c r="H1098" i="10"/>
  <c r="I1098" i="10" s="1"/>
  <c r="J1098" i="10" s="1"/>
  <c r="F1099" i="10" s="1"/>
  <c r="H1141" i="10"/>
  <c r="I1141" i="10" s="1"/>
  <c r="J1141" i="10" s="1"/>
  <c r="F1142" i="10" s="1"/>
  <c r="H5494" i="10"/>
  <c r="I5494" i="10" s="1"/>
  <c r="J5494" i="10" s="1"/>
  <c r="F5495" i="10" s="1"/>
  <c r="W69" i="9"/>
  <c r="I2574" i="10"/>
  <c r="J2574" i="10" s="1"/>
  <c r="F2575" i="10" s="1"/>
  <c r="H1639" i="10"/>
  <c r="I1639" i="10" s="1"/>
  <c r="J1639" i="10" s="1"/>
  <c r="F1640" i="10" s="1"/>
  <c r="I1972" i="10"/>
  <c r="J1972" i="10" s="1"/>
  <c r="F1973" i="10" s="1"/>
  <c r="J5301" i="10"/>
  <c r="F5302" i="10" s="1"/>
  <c r="H5301" i="10"/>
  <c r="C3860" i="10"/>
  <c r="D3859" i="10"/>
  <c r="E3859" i="10" s="1"/>
  <c r="I3171" i="10"/>
  <c r="J3171" i="10" s="1"/>
  <c r="F3172" i="10" s="1"/>
  <c r="I3812" i="10"/>
  <c r="J3812" i="10" s="1"/>
  <c r="F3813" i="10" s="1"/>
  <c r="I513" i="10"/>
  <c r="J513" i="10" s="1"/>
  <c r="F514" i="10" s="1"/>
  <c r="L513" i="10"/>
  <c r="I4976" i="10"/>
  <c r="J4976" i="10" s="1"/>
  <c r="F4977" i="10" s="1"/>
  <c r="J561" i="10"/>
  <c r="I3854" i="10"/>
  <c r="J3854" i="10" s="1"/>
  <c r="F3855" i="10" s="1"/>
  <c r="L5144" i="10"/>
  <c r="I5144" i="10"/>
  <c r="J5144" i="10" s="1"/>
  <c r="F5145" i="10" s="1"/>
  <c r="J2018" i="10"/>
  <c r="F2019" i="10" s="1"/>
  <c r="H2018" i="10"/>
  <c r="I2018" i="10" s="1"/>
  <c r="I4782" i="10"/>
  <c r="J4782" i="10" s="1"/>
  <c r="F4783" i="10" s="1"/>
  <c r="I4909" i="10"/>
  <c r="J4909" i="10" s="1"/>
  <c r="F4910" i="10" s="1"/>
  <c r="F2141" i="10"/>
  <c r="G2141" i="10" s="1"/>
  <c r="H2141" i="10" s="1"/>
  <c r="H296" i="10"/>
  <c r="L1768" i="10"/>
  <c r="I2491" i="10"/>
  <c r="J2491" i="10" s="1"/>
  <c r="F2492" i="10" s="1"/>
  <c r="O100" i="6"/>
  <c r="R103" i="9"/>
  <c r="H5361" i="10"/>
  <c r="H5223" i="10"/>
  <c r="M3120" i="10"/>
  <c r="I1928" i="10"/>
  <c r="J1928" i="10" s="1"/>
  <c r="F1929" i="10" s="1"/>
  <c r="I4070" i="10"/>
  <c r="J4070" i="10" s="1"/>
  <c r="F4071" i="10" s="1"/>
  <c r="L4070" i="10"/>
  <c r="L4071" i="10" s="1"/>
  <c r="L4072" i="10" s="1"/>
  <c r="L4073" i="10" s="1"/>
  <c r="L4074" i="10" s="1"/>
  <c r="L4075" i="10" s="1"/>
  <c r="L4076" i="10" s="1"/>
  <c r="L4077" i="10" s="1"/>
  <c r="L4078" i="10" s="1"/>
  <c r="L4079" i="10" s="1"/>
  <c r="L4080" i="10" s="1"/>
  <c r="L4081" i="10" s="1"/>
  <c r="H1559" i="10"/>
  <c r="I1559" i="10" s="1"/>
  <c r="J1559" i="10" s="1"/>
  <c r="F1560" i="10" s="1"/>
  <c r="P624" i="10"/>
  <c r="L2534" i="10"/>
  <c r="L2535" i="10" s="1"/>
  <c r="L2536" i="10" s="1"/>
  <c r="L2537" i="10" s="1"/>
  <c r="L2538" i="10" s="1"/>
  <c r="L2539" i="10" s="1"/>
  <c r="L2540" i="10" s="1"/>
  <c r="L2541" i="10" s="1"/>
  <c r="L2542" i="10" s="1"/>
  <c r="L2543" i="10" s="1"/>
  <c r="L2544" i="10" s="1"/>
  <c r="I2534" i="10"/>
  <c r="J2534" i="10" s="1"/>
  <c r="F2535" i="10" s="1"/>
  <c r="H1798" i="10"/>
  <c r="H3278" i="10"/>
  <c r="C3818" i="10"/>
  <c r="D3817" i="10"/>
  <c r="E3817" i="10" s="1"/>
  <c r="G997" i="10"/>
  <c r="G993" i="10"/>
  <c r="G989" i="10"/>
  <c r="G998" i="10"/>
  <c r="G994" i="10"/>
  <c r="G990" i="10"/>
  <c r="G986" i="10"/>
  <c r="G995" i="10"/>
  <c r="G991" i="10"/>
  <c r="G996" i="10"/>
  <c r="G992" i="10"/>
  <c r="G988" i="10"/>
  <c r="G984" i="10"/>
  <c r="G979" i="10"/>
  <c r="G971" i="10"/>
  <c r="G980" i="10"/>
  <c r="G972" i="10"/>
  <c r="G981" i="10"/>
  <c r="G973" i="10"/>
  <c r="H966" i="10"/>
  <c r="G987" i="10"/>
  <c r="G974" i="10"/>
  <c r="G966" i="10"/>
  <c r="G985" i="10"/>
  <c r="G982" i="10"/>
  <c r="G975" i="10"/>
  <c r="G967" i="10"/>
  <c r="G976" i="10"/>
  <c r="G968" i="10"/>
  <c r="G969" i="10"/>
  <c r="G978" i="10"/>
  <c r="G977" i="10"/>
  <c r="G970" i="10"/>
  <c r="G983" i="10"/>
  <c r="I3705" i="10"/>
  <c r="J3705" i="10" s="1"/>
  <c r="F3706" i="10" s="1"/>
  <c r="I1177" i="10"/>
  <c r="J1177" i="10" s="1"/>
  <c r="F1178" i="10" s="1"/>
  <c r="I3920" i="10"/>
  <c r="J3920" i="10" s="1"/>
  <c r="F3921" i="10" s="1"/>
  <c r="I1058" i="10"/>
  <c r="J1058" i="10" s="1"/>
  <c r="F1059" i="10" s="1"/>
  <c r="L1058" i="10"/>
  <c r="L1059" i="10" s="1"/>
  <c r="L1060" i="10" s="1"/>
  <c r="L1061" i="10" s="1"/>
  <c r="L1062" i="10" s="1"/>
  <c r="L1063" i="10" s="1"/>
  <c r="L1064" i="10" s="1"/>
  <c r="L1065" i="10" s="1"/>
  <c r="L1066" i="10" s="1"/>
  <c r="L1067" i="10" s="1"/>
  <c r="L1068" i="10" s="1"/>
  <c r="L1069" i="10" s="1"/>
  <c r="L1070" i="10" s="1"/>
  <c r="L1071" i="10" s="1"/>
  <c r="L1072" i="10" s="1"/>
  <c r="L1073" i="10" s="1"/>
  <c r="L1074" i="10" s="1"/>
  <c r="L1075" i="10" s="1"/>
  <c r="L1076" i="10" s="1"/>
  <c r="L1077" i="10" s="1"/>
  <c r="L1078" i="10" s="1"/>
  <c r="I926" i="10"/>
  <c r="J926" i="10" s="1"/>
  <c r="F927" i="10" s="1"/>
  <c r="I2291" i="10"/>
  <c r="J2291" i="10" s="1"/>
  <c r="F2292" i="10" s="1"/>
  <c r="H770" i="10"/>
  <c r="I4552" i="10"/>
  <c r="J4552" i="10" s="1"/>
  <c r="F4553" i="10" s="1"/>
  <c r="I4305" i="10"/>
  <c r="J4305" i="10" s="1"/>
  <c r="F4306" i="10" s="1"/>
  <c r="G2332" i="10"/>
  <c r="I2332" i="10" s="1"/>
  <c r="J2332" i="10" s="1"/>
  <c r="F2333" i="10" s="1"/>
  <c r="L2332" i="10"/>
  <c r="I2105" i="10"/>
  <c r="J2105" i="10" s="1"/>
  <c r="F2106" i="10" s="1"/>
  <c r="H3596" i="10"/>
  <c r="H3554" i="10"/>
  <c r="J708" i="10"/>
  <c r="F709" i="10" s="1"/>
  <c r="H708" i="10"/>
  <c r="I218" i="10"/>
  <c r="J218" i="10" s="1"/>
  <c r="F219" i="10" s="1"/>
  <c r="L1769" i="10"/>
  <c r="L1766" i="10"/>
  <c r="I1764" i="10"/>
  <c r="J1764" i="10" s="1"/>
  <c r="F1765" i="10" s="1"/>
  <c r="I3450" i="10"/>
  <c r="J3450" i="10" s="1"/>
  <c r="F3451" i="10" s="1"/>
  <c r="L3450" i="10"/>
  <c r="L3451" i="10" s="1"/>
  <c r="L3452" i="10" s="1"/>
  <c r="L3453" i="10" s="1"/>
  <c r="L3454" i="10" s="1"/>
  <c r="L3455" i="10" s="1"/>
  <c r="L3456" i="10" s="1"/>
  <c r="L3457" i="10" s="1"/>
  <c r="L3458" i="10" s="1"/>
  <c r="L3459" i="10" s="1"/>
  <c r="L3460" i="10" s="1"/>
  <c r="L3461" i="10" s="1"/>
  <c r="L3462" i="10" s="1"/>
  <c r="L3463" i="10" s="1"/>
  <c r="L3464" i="10" s="1"/>
  <c r="I5068" i="10"/>
  <c r="J5068" i="10" s="1"/>
  <c r="F5069" i="10" s="1"/>
  <c r="H18" i="10"/>
  <c r="I18" i="10" s="1"/>
  <c r="J18" i="10" s="1"/>
  <c r="F19" i="10" s="1"/>
  <c r="J290" i="10"/>
  <c r="H1599" i="10"/>
  <c r="I1599" i="10" s="1"/>
  <c r="J1599" i="10" s="1"/>
  <c r="F1600" i="10" s="1"/>
  <c r="J1520" i="10"/>
  <c r="F1521" i="10" s="1"/>
  <c r="H1520" i="10"/>
  <c r="I1520" i="10" s="1"/>
  <c r="I2450" i="10"/>
  <c r="J2450" i="10" s="1"/>
  <c r="F2451" i="10" s="1"/>
  <c r="I2877" i="10"/>
  <c r="J2877" i="10" s="1"/>
  <c r="F2878" i="10" s="1"/>
  <c r="I2210" i="10"/>
  <c r="J2210" i="10" s="1"/>
  <c r="F2211" i="10" s="1"/>
  <c r="L1679" i="10"/>
  <c r="L1680" i="10" s="1"/>
  <c r="L1681" i="10" s="1"/>
  <c r="L1682" i="10" s="1"/>
  <c r="L1683" i="10" s="1"/>
  <c r="L1684" i="10" s="1"/>
  <c r="L1685" i="10" s="1"/>
  <c r="L1686" i="10" s="1"/>
  <c r="L1687" i="10" s="1"/>
  <c r="L1688" i="10" s="1"/>
  <c r="L1689" i="10" s="1"/>
  <c r="L1690" i="10" s="1"/>
  <c r="L1691" i="10" s="1"/>
  <c r="L1692" i="10" s="1"/>
  <c r="L1693" i="10" s="1"/>
  <c r="L1694" i="10" s="1"/>
  <c r="L1695" i="10" s="1"/>
  <c r="L1696" i="10" s="1"/>
  <c r="I1679" i="10"/>
  <c r="J1679" i="10" s="1"/>
  <c r="F1680" i="10" s="1"/>
  <c r="I630" i="10"/>
  <c r="J630" i="10" s="1"/>
  <c r="F631" i="10" s="1"/>
  <c r="H3132" i="10"/>
  <c r="G3132" i="10"/>
  <c r="I3132" i="10" s="1"/>
  <c r="I1397" i="10"/>
  <c r="J1397" i="10" s="1"/>
  <c r="F1398" i="10" s="1"/>
  <c r="F2392" i="10"/>
  <c r="C3970" i="10"/>
  <c r="D3969" i="10"/>
  <c r="E3969" i="10" s="1"/>
  <c r="H407" i="10"/>
  <c r="K11" i="9"/>
  <c r="J8" i="6" s="1"/>
  <c r="I2250" i="10"/>
  <c r="J2250" i="10" s="1"/>
  <c r="F2251" i="10" s="1"/>
  <c r="I4369" i="10"/>
  <c r="J4369" i="10" s="1"/>
  <c r="F4370" i="10" s="1"/>
  <c r="I2753" i="10"/>
  <c r="J2753" i="10" s="1"/>
  <c r="F2754" i="10" s="1"/>
  <c r="K2745" i="10"/>
  <c r="I5108" i="10"/>
  <c r="J5108" i="10" s="1"/>
  <c r="F5109" i="10" s="1"/>
  <c r="I4004" i="10"/>
  <c r="J4004" i="10" s="1"/>
  <c r="F4005" i="10" s="1"/>
  <c r="I2995" i="10"/>
  <c r="J2995" i="10" s="1"/>
  <c r="F2996" i="10" s="1"/>
  <c r="I4604" i="10"/>
  <c r="J4604" i="10" s="1"/>
  <c r="F4605" i="10" s="1"/>
  <c r="I3488" i="10"/>
  <c r="J3488" i="10" s="1"/>
  <c r="F3489" i="10" s="1"/>
  <c r="H3640" i="10"/>
  <c r="I257" i="10"/>
  <c r="J257" i="10" s="1"/>
  <c r="F258" i="10" s="1"/>
  <c r="L1770" i="10"/>
  <c r="L1767" i="10"/>
  <c r="I1017" i="10"/>
  <c r="J1017" i="10" s="1"/>
  <c r="F1018" i="10" s="1"/>
  <c r="H2057" i="10"/>
  <c r="J2148" i="10"/>
  <c r="F2149" i="10" s="1"/>
  <c r="H2148" i="10"/>
  <c r="G2148" i="10" s="1"/>
  <c r="I2148" i="10" s="1"/>
  <c r="L4849" i="10"/>
  <c r="L4850" i="10" s="1"/>
  <c r="L4851" i="10" s="1"/>
  <c r="L4852" i="10" s="1"/>
  <c r="L4853" i="10" s="1"/>
  <c r="I4849" i="10"/>
  <c r="J4849" i="10" s="1"/>
  <c r="F4850" i="10" s="1"/>
  <c r="C3778" i="10"/>
  <c r="D3777" i="10"/>
  <c r="E3777" i="10" s="1"/>
  <c r="I3086" i="10"/>
  <c r="J3086" i="10" s="1"/>
  <c r="F3087" i="10" s="1"/>
  <c r="I700" i="10"/>
  <c r="K16" i="9"/>
  <c r="J13" i="6" s="1"/>
  <c r="J2948" i="10"/>
  <c r="F2949" i="10" s="1"/>
  <c r="H2948" i="10"/>
  <c r="I4744" i="10"/>
  <c r="J4744" i="10" s="1"/>
  <c r="F4745" i="10" s="1"/>
  <c r="I5015" i="10"/>
  <c r="J5015" i="10" s="1"/>
  <c r="F5016" i="10" s="1"/>
  <c r="L2148" i="10"/>
  <c r="H4187" i="10"/>
  <c r="J764" i="10"/>
  <c r="H3383" i="10"/>
  <c r="G4680" i="10"/>
  <c r="I3962" i="10"/>
  <c r="J3962" i="10" s="1"/>
  <c r="F3963" i="10" s="1"/>
  <c r="I5427" i="10"/>
  <c r="J5427" i="10" s="1"/>
  <c r="F5428" i="10" s="1"/>
  <c r="L2321" i="10"/>
  <c r="K48" i="9"/>
  <c r="J45" i="6" s="1"/>
  <c r="H1804" i="10"/>
  <c r="F3312" i="10"/>
  <c r="G4163" i="10"/>
  <c r="G4159" i="10"/>
  <c r="G4155" i="10"/>
  <c r="G4151" i="10"/>
  <c r="G4147" i="10"/>
  <c r="G4143" i="10"/>
  <c r="G4139" i="10"/>
  <c r="G4135" i="10"/>
  <c r="G4129" i="10"/>
  <c r="G4164" i="10"/>
  <c r="G4160" i="10"/>
  <c r="G4156" i="10"/>
  <c r="G4152" i="10"/>
  <c r="G4148" i="10"/>
  <c r="G4144" i="10"/>
  <c r="G4140" i="10"/>
  <c r="G4136" i="10"/>
  <c r="G4130" i="10"/>
  <c r="G4132" i="10"/>
  <c r="G4131" i="10"/>
  <c r="G4168" i="10"/>
  <c r="G4162" i="10"/>
  <c r="G4137" i="10"/>
  <c r="G4125" i="10"/>
  <c r="G4165" i="10"/>
  <c r="G4158" i="10"/>
  <c r="G4133" i="10"/>
  <c r="G4126" i="10"/>
  <c r="G4161" i="10"/>
  <c r="G4154" i="10"/>
  <c r="G4127" i="10"/>
  <c r="G4167" i="10"/>
  <c r="G4157" i="10"/>
  <c r="G4150" i="10"/>
  <c r="G4128" i="10"/>
  <c r="G4153" i="10"/>
  <c r="G4146" i="10"/>
  <c r="G4145" i="10"/>
  <c r="G4138" i="10"/>
  <c r="H4124" i="10"/>
  <c r="G4166" i="10"/>
  <c r="G4149" i="10"/>
  <c r="G4124" i="10"/>
  <c r="G4134" i="10"/>
  <c r="G4141" i="10"/>
  <c r="G4142" i="10"/>
  <c r="J1307" i="10"/>
  <c r="F1308" i="10" s="1"/>
  <c r="H1307" i="10"/>
  <c r="I1307" i="10" s="1"/>
  <c r="L3131" i="10"/>
  <c r="L3132" i="10" s="1"/>
  <c r="C3646" i="10"/>
  <c r="D3645" i="10"/>
  <c r="E3645" i="10" s="1"/>
  <c r="L2707" i="10"/>
  <c r="L2708" i="10" s="1"/>
  <c r="L2709" i="10" s="1"/>
  <c r="L2710" i="10" s="1"/>
  <c r="L2711" i="10" s="1"/>
  <c r="L2712" i="10" s="1"/>
  <c r="L2713" i="10" s="1"/>
  <c r="L2714" i="10" s="1"/>
  <c r="L2715" i="10" s="1"/>
  <c r="L2716" i="10" s="1"/>
  <c r="I2707" i="10"/>
  <c r="J2707" i="10" s="1"/>
  <c r="F2708" i="10" s="1"/>
  <c r="J374" i="10"/>
  <c r="F375" i="10" s="1"/>
  <c r="H374" i="10"/>
  <c r="I374" i="10" s="1"/>
  <c r="I1718" i="10"/>
  <c r="J1718" i="10" s="1"/>
  <c r="F1719" i="10" s="1"/>
  <c r="C3715" i="10"/>
  <c r="D3714" i="10"/>
  <c r="E3714" i="10" s="1"/>
  <c r="I2660" i="10"/>
  <c r="J2660" i="10" s="1"/>
  <c r="F2661" i="10" s="1"/>
  <c r="M2868" i="10"/>
  <c r="L516" i="10"/>
  <c r="L517" i="10" s="1"/>
  <c r="I1451" i="10"/>
  <c r="J1451" i="10" s="1"/>
  <c r="F1452" i="10" s="1"/>
  <c r="H416" i="10"/>
  <c r="J416" i="10"/>
  <c r="I1251" i="10"/>
  <c r="J1251" i="10" s="1"/>
  <c r="F1252" i="10" s="1"/>
  <c r="L373" i="10"/>
  <c r="L374" i="10" s="1"/>
  <c r="L375" i="10" s="1"/>
  <c r="L376" i="10" s="1"/>
  <c r="L377" i="10" s="1"/>
  <c r="L378" i="10" s="1"/>
  <c r="L379" i="10" s="1"/>
  <c r="L380" i="10" s="1"/>
  <c r="L381" i="10" s="1"/>
  <c r="L382" i="10" s="1"/>
  <c r="L383" i="10" s="1"/>
  <c r="L384" i="10" s="1"/>
  <c r="L385" i="10" s="1"/>
  <c r="L386" i="10" s="1"/>
  <c r="L387" i="10" s="1"/>
  <c r="I2619" i="10"/>
  <c r="J2619" i="10" s="1"/>
  <c r="F2620" i="10" s="1"/>
  <c r="C3927" i="10"/>
  <c r="D3926" i="10"/>
  <c r="E3926" i="10" s="1"/>
  <c r="I1882" i="10"/>
  <c r="J1882" i="10" s="1"/>
  <c r="F1883" i="10" s="1"/>
  <c r="I567" i="10"/>
  <c r="J567" i="10" s="1"/>
  <c r="F568" i="10" s="1"/>
  <c r="K50" i="10"/>
  <c r="H4243" i="10"/>
  <c r="J497" i="10"/>
  <c r="I3317" i="10"/>
  <c r="J3317" i="10" s="1"/>
  <c r="F3318" i="10" s="1"/>
  <c r="I4417" i="10"/>
  <c r="J4417" i="10" s="1"/>
  <c r="F4418" i="10" s="1"/>
  <c r="I3771" i="10"/>
  <c r="J3771" i="10" s="1"/>
  <c r="F3772" i="10" s="1"/>
  <c r="H56" i="10"/>
  <c r="H4446" i="10"/>
  <c r="H1560" i="10" l="1"/>
  <c r="I1560" i="10" s="1"/>
  <c r="J1560" i="10" s="1"/>
  <c r="F1561" i="10" s="1"/>
  <c r="H2828" i="10"/>
  <c r="I2828" i="10" s="1"/>
  <c r="J2828" i="10" s="1"/>
  <c r="F2829" i="10" s="1"/>
  <c r="H4516" i="10"/>
  <c r="I4516" i="10" s="1"/>
  <c r="J4516" i="10" s="1"/>
  <c r="F4517" i="10" s="1"/>
  <c r="H5495" i="10"/>
  <c r="I5495" i="10" s="1"/>
  <c r="J5495" i="10" s="1"/>
  <c r="F5496" i="10" s="1"/>
  <c r="H1600" i="10"/>
  <c r="I1600" i="10" s="1"/>
  <c r="J1600" i="10" s="1"/>
  <c r="F1601" i="10" s="1"/>
  <c r="H1099" i="10"/>
  <c r="I1099" i="10" s="1"/>
  <c r="J1099" i="10"/>
  <c r="F1100" i="10" s="1"/>
  <c r="H3252" i="10"/>
  <c r="I3252" i="10" s="1"/>
  <c r="J3252" i="10" s="1"/>
  <c r="F3253" i="10" s="1"/>
  <c r="J1142" i="10"/>
  <c r="F1143" i="10" s="1"/>
  <c r="H1142" i="10"/>
  <c r="I1142" i="10" s="1"/>
  <c r="H19" i="10"/>
  <c r="I19" i="10" s="1"/>
  <c r="J19" i="10" s="1"/>
  <c r="F20" i="10" s="1"/>
  <c r="H2402" i="10"/>
  <c r="I2402" i="10" s="1"/>
  <c r="J2402" i="10" s="1"/>
  <c r="F2403" i="10" s="1"/>
  <c r="H1640" i="10"/>
  <c r="I1640" i="10" s="1"/>
  <c r="J1640" i="10" s="1"/>
  <c r="F1641" i="10" s="1"/>
  <c r="J506" i="10"/>
  <c r="F507" i="10" s="1"/>
  <c r="H506" i="10"/>
  <c r="I506" i="10" s="1"/>
  <c r="I4446" i="10"/>
  <c r="J4446" i="10" s="1"/>
  <c r="F4447" i="10" s="1"/>
  <c r="H4418" i="10"/>
  <c r="H568" i="10"/>
  <c r="F417" i="10"/>
  <c r="H375" i="10"/>
  <c r="H4605" i="10"/>
  <c r="H2451" i="10"/>
  <c r="G2124" i="10"/>
  <c r="G2123" i="10"/>
  <c r="G2122" i="10"/>
  <c r="G2126" i="10"/>
  <c r="G2125" i="10"/>
  <c r="G2121" i="10"/>
  <c r="G2119" i="10"/>
  <c r="G2111" i="10"/>
  <c r="G2120" i="10"/>
  <c r="G2112" i="10"/>
  <c r="G2113" i="10"/>
  <c r="H2106" i="10"/>
  <c r="G2114" i="10"/>
  <c r="G2106" i="10"/>
  <c r="G2115" i="10"/>
  <c r="G2107" i="10"/>
  <c r="G2117" i="10"/>
  <c r="G2109" i="10"/>
  <c r="G2108" i="10"/>
  <c r="G2110" i="10"/>
  <c r="G2116" i="10"/>
  <c r="G2118" i="10"/>
  <c r="J2535" i="10"/>
  <c r="F2536" i="10" s="1"/>
  <c r="H2535" i="10"/>
  <c r="I2535" i="10" s="1"/>
  <c r="I5361" i="10"/>
  <c r="J5361" i="10" s="1"/>
  <c r="F5362" i="10" s="1"/>
  <c r="Q100" i="6"/>
  <c r="AK100" i="6" s="1"/>
  <c r="I100" i="3"/>
  <c r="T100" i="3" s="1"/>
  <c r="AQ103" i="9"/>
  <c r="H3855" i="10"/>
  <c r="H3172" i="10"/>
  <c r="G1985" i="10"/>
  <c r="G1977" i="10"/>
  <c r="G1986" i="10"/>
  <c r="G1978" i="10"/>
  <c r="G1987" i="10"/>
  <c r="G1979" i="10"/>
  <c r="G1988" i="10"/>
  <c r="G1980" i="10"/>
  <c r="H1973" i="10"/>
  <c r="G1990" i="10"/>
  <c r="G1989" i="10"/>
  <c r="G1981" i="10"/>
  <c r="G1973" i="10"/>
  <c r="G1993" i="10"/>
  <c r="G1983" i="10"/>
  <c r="G1975" i="10"/>
  <c r="G1991" i="10"/>
  <c r="G1982" i="10"/>
  <c r="G1984" i="10"/>
  <c r="G1974" i="10"/>
  <c r="G1976" i="10"/>
  <c r="G1992" i="10"/>
  <c r="G2638" i="10"/>
  <c r="G2637" i="10"/>
  <c r="G2629" i="10"/>
  <c r="G2621" i="10"/>
  <c r="G2640" i="10"/>
  <c r="G2639" i="10"/>
  <c r="G2630" i="10"/>
  <c r="G2622" i="10"/>
  <c r="G2631" i="10"/>
  <c r="G2623" i="10"/>
  <c r="G2632" i="10"/>
  <c r="G2624" i="10"/>
  <c r="G2633" i="10"/>
  <c r="G2625" i="10"/>
  <c r="G2635" i="10"/>
  <c r="G2627" i="10"/>
  <c r="H2620" i="10"/>
  <c r="G2636" i="10"/>
  <c r="G2620" i="10"/>
  <c r="G2626" i="10"/>
  <c r="G2628" i="10"/>
  <c r="G2634" i="10"/>
  <c r="H2661" i="10"/>
  <c r="I4124" i="10"/>
  <c r="J4124" i="10" s="1"/>
  <c r="F4125" i="10" s="1"/>
  <c r="L4124" i="10"/>
  <c r="L4125" i="10" s="1"/>
  <c r="L4126" i="10" s="1"/>
  <c r="L4127" i="10" s="1"/>
  <c r="L4128" i="10" s="1"/>
  <c r="L4129" i="10" s="1"/>
  <c r="L4130" i="10" s="1"/>
  <c r="L4131" i="10" s="1"/>
  <c r="L4132" i="10" s="1"/>
  <c r="I1804" i="10"/>
  <c r="J1804" i="10" s="1"/>
  <c r="F1805" i="10" s="1"/>
  <c r="H3963" i="10"/>
  <c r="J2949" i="10"/>
  <c r="F2950" i="10" s="1"/>
  <c r="H2949" i="10"/>
  <c r="H3087" i="10"/>
  <c r="H1018" i="10"/>
  <c r="K290" i="10"/>
  <c r="I3596" i="10"/>
  <c r="J3596" i="10" s="1"/>
  <c r="F3597" i="10" s="1"/>
  <c r="H4553" i="10"/>
  <c r="H2292" i="10"/>
  <c r="I3278" i="10"/>
  <c r="J3278" i="10" s="1"/>
  <c r="F3279" i="10" s="1"/>
  <c r="J2019" i="10"/>
  <c r="F2020" i="10" s="1"/>
  <c r="H2019" i="10"/>
  <c r="I2019" i="10" s="1"/>
  <c r="H514" i="10"/>
  <c r="I514" i="10" s="1"/>
  <c r="J514" i="10" s="1"/>
  <c r="F515" i="10" s="1"/>
  <c r="H268" i="10"/>
  <c r="I268" i="10" s="1"/>
  <c r="J268" i="10" s="1"/>
  <c r="F269" i="10" s="1"/>
  <c r="I4243" i="10"/>
  <c r="J4243" i="10" s="1"/>
  <c r="F4244" i="10" s="1"/>
  <c r="I56" i="10"/>
  <c r="J56" i="10" s="1"/>
  <c r="F57" i="10" s="1"/>
  <c r="H3318" i="10"/>
  <c r="L50" i="10"/>
  <c r="H1883" i="10"/>
  <c r="H2708" i="10"/>
  <c r="I2708" i="10" s="1"/>
  <c r="J2708" i="10" s="1"/>
  <c r="F2709" i="10" s="1"/>
  <c r="K764" i="10"/>
  <c r="H258" i="10"/>
  <c r="H2996" i="10"/>
  <c r="G5126" i="10"/>
  <c r="G5122" i="10"/>
  <c r="G5118" i="10"/>
  <c r="G5114" i="10"/>
  <c r="H5109" i="10"/>
  <c r="G5110" i="10"/>
  <c r="G5123" i="10"/>
  <c r="G5128" i="10"/>
  <c r="G5120" i="10"/>
  <c r="G5115" i="10"/>
  <c r="G5113" i="10"/>
  <c r="G5125" i="10"/>
  <c r="G5117" i="10"/>
  <c r="G5111" i="10"/>
  <c r="G5109" i="10"/>
  <c r="G5127" i="10"/>
  <c r="G5119" i="10"/>
  <c r="G5116" i="10"/>
  <c r="G5124" i="10"/>
  <c r="G5112" i="10"/>
  <c r="G5121" i="10"/>
  <c r="G5129" i="10"/>
  <c r="H1398" i="10"/>
  <c r="H3921" i="10"/>
  <c r="I1798" i="10"/>
  <c r="T81" i="9"/>
  <c r="S78" i="6" s="1"/>
  <c r="S81" i="9"/>
  <c r="H5569" i="10"/>
  <c r="I5569" i="10" s="1"/>
  <c r="J5569" i="10" s="1"/>
  <c r="F5570" i="10" s="1"/>
  <c r="F2326" i="10"/>
  <c r="I4680" i="10"/>
  <c r="J4680" i="10" s="1"/>
  <c r="F4681" i="10" s="1"/>
  <c r="L4680" i="10"/>
  <c r="H5016" i="10"/>
  <c r="J700" i="10"/>
  <c r="C3779" i="10"/>
  <c r="D3778" i="10"/>
  <c r="E3778" i="10" s="1"/>
  <c r="H4370" i="10"/>
  <c r="C3971" i="10"/>
  <c r="D3970" i="10"/>
  <c r="E3970" i="10" s="1"/>
  <c r="H2211" i="10"/>
  <c r="H2333" i="10"/>
  <c r="L2333" i="10" s="1"/>
  <c r="H4071" i="10"/>
  <c r="K561" i="10"/>
  <c r="G1471" i="10"/>
  <c r="G1462" i="10"/>
  <c r="G1461" i="10"/>
  <c r="G1453" i="10"/>
  <c r="G1463" i="10"/>
  <c r="G1454" i="10"/>
  <c r="G1465" i="10"/>
  <c r="G1464" i="10"/>
  <c r="G1455" i="10"/>
  <c r="G1466" i="10"/>
  <c r="G1456" i="10"/>
  <c r="G1467" i="10"/>
  <c r="G1457" i="10"/>
  <c r="G1469" i="10"/>
  <c r="G1459" i="10"/>
  <c r="H1452" i="10"/>
  <c r="G1470" i="10"/>
  <c r="G1452" i="10"/>
  <c r="G1458" i="10"/>
  <c r="G1460" i="10"/>
  <c r="G1468" i="10"/>
  <c r="C3928" i="10"/>
  <c r="D3927" i="10"/>
  <c r="E3927" i="10" s="1"/>
  <c r="C3716" i="10"/>
  <c r="D3715" i="10"/>
  <c r="E3715" i="10" s="1"/>
  <c r="I3640" i="10"/>
  <c r="J3640" i="10" s="1"/>
  <c r="F3641" i="10" s="1"/>
  <c r="H4005" i="10"/>
  <c r="L2745" i="10"/>
  <c r="H2754" i="10"/>
  <c r="H3451" i="10"/>
  <c r="H219" i="10"/>
  <c r="H927" i="10"/>
  <c r="H1178" i="10"/>
  <c r="I296" i="10"/>
  <c r="J296" i="10" s="1"/>
  <c r="F297" i="10" s="1"/>
  <c r="H5145" i="10"/>
  <c r="I888" i="10"/>
  <c r="J888" i="10" s="1"/>
  <c r="F889" i="10" s="1"/>
  <c r="L888" i="10"/>
  <c r="L889" i="10" s="1"/>
  <c r="L890" i="10" s="1"/>
  <c r="L891" i="10" s="1"/>
  <c r="L892" i="10" s="1"/>
  <c r="L893" i="10" s="1"/>
  <c r="L894" i="10" s="1"/>
  <c r="L895" i="10" s="1"/>
  <c r="L896" i="10" s="1"/>
  <c r="L897" i="10" s="1"/>
  <c r="L898" i="10" s="1"/>
  <c r="L899" i="10" s="1"/>
  <c r="L900" i="10" s="1"/>
  <c r="L901" i="10" s="1"/>
  <c r="L902" i="10" s="1"/>
  <c r="L903" i="10" s="1"/>
  <c r="L904" i="10" s="1"/>
  <c r="L905" i="10" s="1"/>
  <c r="H3772" i="10"/>
  <c r="J1308" i="10"/>
  <c r="F1309" i="10" s="1"/>
  <c r="H1308" i="10"/>
  <c r="I1308" i="10" s="1"/>
  <c r="G4762" i="10"/>
  <c r="G4758" i="10"/>
  <c r="G4754" i="10"/>
  <c r="G4747" i="10"/>
  <c r="G4749" i="10"/>
  <c r="G4748" i="10"/>
  <c r="G4764" i="10"/>
  <c r="G4760" i="10"/>
  <c r="G4756" i="10"/>
  <c r="G4752" i="10"/>
  <c r="H4745" i="10"/>
  <c r="G4753" i="10"/>
  <c r="G4750" i="10"/>
  <c r="G4763" i="10"/>
  <c r="G4759" i="10"/>
  <c r="G4755" i="10"/>
  <c r="G4746" i="10"/>
  <c r="G4765" i="10"/>
  <c r="G4751" i="10"/>
  <c r="G4761" i="10"/>
  <c r="G4757" i="10"/>
  <c r="G4745" i="10"/>
  <c r="H4850" i="10"/>
  <c r="J2149" i="10"/>
  <c r="F2150" i="10" s="1"/>
  <c r="H2149" i="10"/>
  <c r="G2149" i="10" s="1"/>
  <c r="I2149" i="10" s="1"/>
  <c r="H2251" i="10"/>
  <c r="J3132" i="10"/>
  <c r="F3133" i="10" s="1"/>
  <c r="H1521" i="10"/>
  <c r="I1521" i="10" s="1"/>
  <c r="J1521" i="10" s="1"/>
  <c r="F1522" i="10" s="1"/>
  <c r="I770" i="10"/>
  <c r="J770" i="10" s="1"/>
  <c r="F771" i="10" s="1"/>
  <c r="H1929" i="10"/>
  <c r="H4910" i="10"/>
  <c r="C3861" i="10"/>
  <c r="D3860" i="10"/>
  <c r="E3860" i="10" s="1"/>
  <c r="J5302" i="10"/>
  <c r="F5303" i="10" s="1"/>
  <c r="H5302" i="10"/>
  <c r="G1265" i="10"/>
  <c r="G1257" i="10"/>
  <c r="G1266" i="10"/>
  <c r="G1258" i="10"/>
  <c r="G1267" i="10"/>
  <c r="G1259" i="10"/>
  <c r="H1252" i="10"/>
  <c r="G1260" i="10"/>
  <c r="G1252" i="10"/>
  <c r="G1261" i="10"/>
  <c r="G1253" i="10"/>
  <c r="G1263" i="10"/>
  <c r="G1255" i="10"/>
  <c r="G1264" i="10"/>
  <c r="G1254" i="10"/>
  <c r="G1262" i="10"/>
  <c r="G1256" i="10"/>
  <c r="N2868" i="10"/>
  <c r="H1719" i="10"/>
  <c r="C3647" i="10"/>
  <c r="D3646" i="10"/>
  <c r="E3646" i="10" s="1"/>
  <c r="I2057" i="10"/>
  <c r="J2057" i="10" s="1"/>
  <c r="F2058" i="10" s="1"/>
  <c r="H3489" i="10"/>
  <c r="G2392" i="10"/>
  <c r="J1680" i="10"/>
  <c r="F1681" i="10" s="1"/>
  <c r="H1680" i="10"/>
  <c r="I1680" i="10" s="1"/>
  <c r="H2878" i="10"/>
  <c r="H1765" i="10"/>
  <c r="I1765" i="10" s="1"/>
  <c r="J1765" i="10" s="1"/>
  <c r="F1766" i="10" s="1"/>
  <c r="J709" i="10"/>
  <c r="F710" i="10" s="1"/>
  <c r="H709" i="10"/>
  <c r="H1059" i="10"/>
  <c r="H3706" i="10"/>
  <c r="I966" i="10"/>
  <c r="J966" i="10" s="1"/>
  <c r="F967" i="10" s="1"/>
  <c r="L966" i="10"/>
  <c r="L967" i="10" s="1"/>
  <c r="L968" i="10" s="1"/>
  <c r="L969" i="10" s="1"/>
  <c r="L970" i="10" s="1"/>
  <c r="L971" i="10" s="1"/>
  <c r="L972" i="10" s="1"/>
  <c r="L973" i="10" s="1"/>
  <c r="L974" i="10" s="1"/>
  <c r="L975" i="10" s="1"/>
  <c r="L976" i="10" s="1"/>
  <c r="L977" i="10" s="1"/>
  <c r="L978" i="10" s="1"/>
  <c r="L979" i="10" s="1"/>
  <c r="L980" i="10" s="1"/>
  <c r="I5223" i="10"/>
  <c r="J5223" i="10" s="1"/>
  <c r="F5224" i="10" s="1"/>
  <c r="H2492" i="10"/>
  <c r="G3821" i="10"/>
  <c r="G3834" i="10"/>
  <c r="G3820" i="10"/>
  <c r="G3833" i="10"/>
  <c r="G3832" i="10"/>
  <c r="G3831" i="10"/>
  <c r="G3825" i="10"/>
  <c r="G3818" i="10"/>
  <c r="G3823" i="10"/>
  <c r="G3816" i="10"/>
  <c r="H3813" i="10"/>
  <c r="G3830" i="10"/>
  <c r="G3813" i="10"/>
  <c r="G3827" i="10"/>
  <c r="G3822" i="10"/>
  <c r="G3815" i="10"/>
  <c r="G3829" i="10"/>
  <c r="G3824" i="10"/>
  <c r="G3817" i="10"/>
  <c r="G3826" i="10"/>
  <c r="G3819" i="10"/>
  <c r="G3828" i="10"/>
  <c r="G3814" i="10"/>
  <c r="H2575" i="10"/>
  <c r="H847" i="10"/>
  <c r="I847" i="10" s="1"/>
  <c r="J847" i="10" s="1"/>
  <c r="F848" i="10" s="1"/>
  <c r="K497" i="10"/>
  <c r="H5428" i="10"/>
  <c r="I3383" i="10"/>
  <c r="J3383" i="10" s="1"/>
  <c r="F3384" i="10" s="1"/>
  <c r="I4187" i="10"/>
  <c r="J4187" i="10" s="1"/>
  <c r="F4188" i="10" s="1"/>
  <c r="I407" i="10"/>
  <c r="G631" i="10"/>
  <c r="G637" i="10"/>
  <c r="G632" i="10"/>
  <c r="G633" i="10"/>
  <c r="G638" i="10"/>
  <c r="G634" i="10"/>
  <c r="G639" i="10"/>
  <c r="G635" i="10"/>
  <c r="G636" i="10"/>
  <c r="H631" i="10"/>
  <c r="G5088" i="10"/>
  <c r="G5085" i="10"/>
  <c r="G5081" i="10"/>
  <c r="G5077" i="10"/>
  <c r="G5073" i="10"/>
  <c r="G5086" i="10"/>
  <c r="G5082" i="10"/>
  <c r="G5078" i="10"/>
  <c r="G5074" i="10"/>
  <c r="G5089" i="10"/>
  <c r="H5069" i="10"/>
  <c r="G5083" i="10"/>
  <c r="G5079" i="10"/>
  <c r="G5075" i="10"/>
  <c r="G5069" i="10"/>
  <c r="G5084" i="10"/>
  <c r="G5072" i="10"/>
  <c r="G5087" i="10"/>
  <c r="G5071" i="10"/>
  <c r="G5076" i="10"/>
  <c r="G5070" i="10"/>
  <c r="G5080" i="10"/>
  <c r="I3554" i="10"/>
  <c r="J3554" i="10" s="1"/>
  <c r="F3555" i="10" s="1"/>
  <c r="H4306" i="10"/>
  <c r="D3818" i="10"/>
  <c r="E3818" i="10" s="1"/>
  <c r="C3819" i="10"/>
  <c r="H4783" i="10"/>
  <c r="G4997" i="10"/>
  <c r="G4993" i="10"/>
  <c r="G4989" i="10"/>
  <c r="G4985" i="10"/>
  <c r="G4981" i="10"/>
  <c r="G4994" i="10"/>
  <c r="G4990" i="10"/>
  <c r="G4986" i="10"/>
  <c r="G4982" i="10"/>
  <c r="H4977" i="10"/>
  <c r="G4995" i="10"/>
  <c r="G4991" i="10"/>
  <c r="G4987" i="10"/>
  <c r="G4983" i="10"/>
  <c r="G4978" i="10"/>
  <c r="G4992" i="10"/>
  <c r="G4977" i="10"/>
  <c r="G4996" i="10"/>
  <c r="G4980" i="10"/>
  <c r="G4984" i="10"/>
  <c r="G4979" i="10"/>
  <c r="G4988" i="10"/>
  <c r="H2709" i="10" l="1"/>
  <c r="I2709" i="10" s="1"/>
  <c r="J2709" i="10"/>
  <c r="H3253" i="10"/>
  <c r="I3253" i="10" s="1"/>
  <c r="J3253" i="10" s="1"/>
  <c r="F3254" i="10" s="1"/>
  <c r="H5570" i="10"/>
  <c r="I5570" i="10" s="1"/>
  <c r="J5570" i="10" s="1"/>
  <c r="F5571" i="10" s="1"/>
  <c r="H848" i="10"/>
  <c r="I848" i="10" s="1"/>
  <c r="J848" i="10" s="1"/>
  <c r="F849" i="10" s="1"/>
  <c r="H1641" i="10"/>
  <c r="I1641" i="10" s="1"/>
  <c r="J1641" i="10" s="1"/>
  <c r="F1642" i="10" s="1"/>
  <c r="H1601" i="10"/>
  <c r="I1601" i="10" s="1"/>
  <c r="J1601" i="10"/>
  <c r="F1602" i="10" s="1"/>
  <c r="H1766" i="10"/>
  <c r="I1766" i="10" s="1"/>
  <c r="J1766" i="10" s="1"/>
  <c r="F1767" i="10" s="1"/>
  <c r="H2403" i="10"/>
  <c r="I2403" i="10" s="1"/>
  <c r="J2403" i="10" s="1"/>
  <c r="F2404" i="10" s="1"/>
  <c r="H5496" i="10"/>
  <c r="I5496" i="10" s="1"/>
  <c r="J5496" i="10" s="1"/>
  <c r="F5497" i="10" s="1"/>
  <c r="H20" i="10"/>
  <c r="G20" i="10"/>
  <c r="G21" i="10"/>
  <c r="H4517" i="10"/>
  <c r="I4517" i="10" s="1"/>
  <c r="J4517" i="10" s="1"/>
  <c r="F4518" i="10" s="1"/>
  <c r="H269" i="10"/>
  <c r="I269" i="10" s="1"/>
  <c r="J269" i="10" s="1"/>
  <c r="F270" i="10" s="1"/>
  <c r="H2829" i="10"/>
  <c r="I2829" i="10" s="1"/>
  <c r="J2829" i="10" s="1"/>
  <c r="F2830" i="10" s="1"/>
  <c r="H1522" i="10"/>
  <c r="I1522" i="10" s="1"/>
  <c r="J1522" i="10" s="1"/>
  <c r="F1523" i="10" s="1"/>
  <c r="J515" i="10"/>
  <c r="F516" i="10" s="1"/>
  <c r="H515" i="10"/>
  <c r="I515" i="10" s="1"/>
  <c r="H1561" i="10"/>
  <c r="I1561" i="10" s="1"/>
  <c r="J1561" i="10"/>
  <c r="F1562" i="10" s="1"/>
  <c r="H2150" i="10"/>
  <c r="G2150" i="10" s="1"/>
  <c r="I2150" i="10" s="1"/>
  <c r="J2150" i="10" s="1"/>
  <c r="F2151" i="10" s="1"/>
  <c r="C3717" i="10"/>
  <c r="D3716" i="10"/>
  <c r="E3716" i="10" s="1"/>
  <c r="K700" i="10"/>
  <c r="I631" i="10"/>
  <c r="J631" i="10" s="1"/>
  <c r="F632" i="10" s="1"/>
  <c r="L631" i="10"/>
  <c r="L632" i="10" s="1"/>
  <c r="L633" i="10" s="1"/>
  <c r="I5428" i="10"/>
  <c r="J5428" i="10" s="1"/>
  <c r="F5429" i="10" s="1"/>
  <c r="P105" i="9"/>
  <c r="L497" i="10"/>
  <c r="I2575" i="10"/>
  <c r="J2575" i="10" s="1"/>
  <c r="F2576" i="10" s="1"/>
  <c r="J967" i="10"/>
  <c r="F968" i="10" s="1"/>
  <c r="H967" i="10"/>
  <c r="I967" i="10" s="1"/>
  <c r="I1719" i="10"/>
  <c r="J1719" i="10" s="1"/>
  <c r="F1720" i="10" s="1"/>
  <c r="I1929" i="10"/>
  <c r="J1929" i="10" s="1"/>
  <c r="F1930" i="10" s="1"/>
  <c r="H771" i="10"/>
  <c r="H889" i="10"/>
  <c r="I889" i="10" s="1"/>
  <c r="J889" i="10" s="1"/>
  <c r="F890" i="10" s="1"/>
  <c r="H57" i="10"/>
  <c r="G3292" i="10"/>
  <c r="G3283" i="10"/>
  <c r="G3298" i="10"/>
  <c r="G3293" i="10"/>
  <c r="G3284" i="10"/>
  <c r="G3294" i="10"/>
  <c r="G3286" i="10"/>
  <c r="G3285" i="10"/>
  <c r="G3299" i="10"/>
  <c r="G3295" i="10"/>
  <c r="G3287" i="10"/>
  <c r="H3279" i="10"/>
  <c r="G3288" i="10"/>
  <c r="G3279" i="10"/>
  <c r="G3290" i="10"/>
  <c r="G3281" i="10"/>
  <c r="G3297" i="10"/>
  <c r="G3296" i="10"/>
  <c r="G3289" i="10"/>
  <c r="G3280" i="10"/>
  <c r="G3291" i="10"/>
  <c r="G3282" i="10"/>
  <c r="I3087" i="10"/>
  <c r="J3087" i="10" s="1"/>
  <c r="F3088" i="10" s="1"/>
  <c r="H1805" i="10"/>
  <c r="I2661" i="10"/>
  <c r="J2661" i="10" s="1"/>
  <c r="F2662" i="10" s="1"/>
  <c r="J710" i="10"/>
  <c r="F711" i="10" s="1"/>
  <c r="H710" i="10"/>
  <c r="I2754" i="10"/>
  <c r="J2754" i="10" s="1"/>
  <c r="F2755" i="10" s="1"/>
  <c r="J1143" i="10"/>
  <c r="F1144" i="10" s="1"/>
  <c r="H1143" i="10"/>
  <c r="I1143" i="10" s="1"/>
  <c r="L4977" i="10"/>
  <c r="I4977" i="10"/>
  <c r="J4977" i="10" s="1"/>
  <c r="F4978" i="10" s="1"/>
  <c r="F2873" i="10"/>
  <c r="I4850" i="10"/>
  <c r="J4850" i="10" s="1"/>
  <c r="F4851" i="10" s="1"/>
  <c r="H1309" i="10"/>
  <c r="I1309" i="10" s="1"/>
  <c r="J1309" i="10"/>
  <c r="F1310" i="10" s="1"/>
  <c r="I927" i="10"/>
  <c r="J927" i="10" s="1"/>
  <c r="F928" i="10" s="1"/>
  <c r="M2745" i="10"/>
  <c r="C3929" i="10"/>
  <c r="D3928" i="10"/>
  <c r="E3928" i="10" s="1"/>
  <c r="C3972" i="10"/>
  <c r="D3971" i="10"/>
  <c r="E3971" i="10" s="1"/>
  <c r="J1798" i="10"/>
  <c r="I3921" i="10"/>
  <c r="J3921" i="10" s="1"/>
  <c r="F3922" i="10" s="1"/>
  <c r="H4244" i="10"/>
  <c r="I568" i="10"/>
  <c r="J568" i="10" s="1"/>
  <c r="F569" i="10" s="1"/>
  <c r="J4125" i="10"/>
  <c r="F4126" i="10" s="1"/>
  <c r="H4125" i="10"/>
  <c r="I4125" i="10" s="1"/>
  <c r="J2536" i="10"/>
  <c r="F2537" i="10" s="1"/>
  <c r="H2536" i="10"/>
  <c r="I2536" i="10" s="1"/>
  <c r="J407" i="10"/>
  <c r="I2492" i="10"/>
  <c r="J2492" i="10" s="1"/>
  <c r="F2493" i="10" s="1"/>
  <c r="I2878" i="10"/>
  <c r="J2878" i="10" s="1"/>
  <c r="F2879" i="10" s="1"/>
  <c r="I4745" i="10"/>
  <c r="J4745" i="10" s="1"/>
  <c r="F4746" i="10" s="1"/>
  <c r="L4745" i="10"/>
  <c r="I3772" i="10"/>
  <c r="J3772" i="10" s="1"/>
  <c r="F3773" i="10" s="1"/>
  <c r="G5145" i="10"/>
  <c r="G2333" i="10"/>
  <c r="I2333" i="10" s="1"/>
  <c r="J2333" i="10" s="1"/>
  <c r="F2334" i="10" s="1"/>
  <c r="I5016" i="10"/>
  <c r="J5016" i="10" s="1"/>
  <c r="F5017" i="10" s="1"/>
  <c r="L764" i="10"/>
  <c r="G3608" i="10"/>
  <c r="G3599" i="10"/>
  <c r="G3614" i="10"/>
  <c r="G3609" i="10"/>
  <c r="G3600" i="10"/>
  <c r="G3610" i="10"/>
  <c r="G3601" i="10"/>
  <c r="G3615" i="10"/>
  <c r="G3611" i="10"/>
  <c r="G3602" i="10"/>
  <c r="G3603" i="10"/>
  <c r="G3606" i="10"/>
  <c r="G3605" i="10"/>
  <c r="G3597" i="10"/>
  <c r="G3607" i="10"/>
  <c r="G3598" i="10"/>
  <c r="G3604" i="10"/>
  <c r="G3617" i="10"/>
  <c r="G3612" i="10"/>
  <c r="G3616" i="10"/>
  <c r="G3613" i="10"/>
  <c r="H3597" i="10"/>
  <c r="I4418" i="10"/>
  <c r="J4418" i="10" s="1"/>
  <c r="F4419" i="10" s="1"/>
  <c r="H1100" i="10"/>
  <c r="I1100" i="10" s="1"/>
  <c r="J1100" i="10"/>
  <c r="F1101" i="10" s="1"/>
  <c r="L4746" i="10"/>
  <c r="I3855" i="10"/>
  <c r="J3855" i="10" s="1"/>
  <c r="F3856" i="10" s="1"/>
  <c r="L4978" i="10"/>
  <c r="I4783" i="10"/>
  <c r="J4783" i="10" s="1"/>
  <c r="F4784" i="10" s="1"/>
  <c r="I4306" i="10"/>
  <c r="J4306" i="10" s="1"/>
  <c r="F4307" i="10" s="1"/>
  <c r="L639" i="10"/>
  <c r="W79" i="9"/>
  <c r="X79" i="9" s="1"/>
  <c r="I3706" i="10"/>
  <c r="J3706" i="10" s="1"/>
  <c r="F3707" i="10" s="1"/>
  <c r="H5303" i="10"/>
  <c r="G5343" i="10"/>
  <c r="G5339" i="10"/>
  <c r="G5335" i="10"/>
  <c r="G5331" i="10"/>
  <c r="G5327" i="10"/>
  <c r="G5323" i="10"/>
  <c r="G5319" i="10"/>
  <c r="G5315" i="10"/>
  <c r="G5311" i="10"/>
  <c r="G5307" i="10"/>
  <c r="G5303" i="10"/>
  <c r="I5303" i="10" s="1"/>
  <c r="G5340" i="10"/>
  <c r="G5336" i="10"/>
  <c r="G5332" i="10"/>
  <c r="G5328" i="10"/>
  <c r="G5324" i="10"/>
  <c r="G5320" i="10"/>
  <c r="G5316" i="10"/>
  <c r="G5312" i="10"/>
  <c r="G5308" i="10"/>
  <c r="G5304" i="10"/>
  <c r="J5303" i="10"/>
  <c r="F5304" i="10" s="1"/>
  <c r="G5338" i="10"/>
  <c r="G5330" i="10"/>
  <c r="G5322" i="10"/>
  <c r="G5314" i="10"/>
  <c r="G5306" i="10"/>
  <c r="G5337" i="10"/>
  <c r="G5329" i="10"/>
  <c r="G5321" i="10"/>
  <c r="G5313" i="10"/>
  <c r="G5305" i="10"/>
  <c r="G5326" i="10"/>
  <c r="G5325" i="10"/>
  <c r="G5334" i="10"/>
  <c r="G5333" i="10"/>
  <c r="G5342" i="10"/>
  <c r="G5310" i="10"/>
  <c r="G5341" i="10"/>
  <c r="G5309" i="10"/>
  <c r="G5318" i="10"/>
  <c r="G5317" i="10"/>
  <c r="H3133" i="10"/>
  <c r="G3133" i="10"/>
  <c r="G3134" i="10"/>
  <c r="I219" i="10"/>
  <c r="J219" i="10" s="1"/>
  <c r="F220" i="10" s="1"/>
  <c r="I4071" i="10"/>
  <c r="J4071" i="10" s="1"/>
  <c r="F4072" i="10" s="1"/>
  <c r="I4370" i="10"/>
  <c r="J4370" i="10" s="1"/>
  <c r="F4371" i="10" s="1"/>
  <c r="I1398" i="10"/>
  <c r="J1398" i="10" s="1"/>
  <c r="F1399" i="10" s="1"/>
  <c r="I5109" i="10"/>
  <c r="J5109" i="10" s="1"/>
  <c r="F5110" i="10" s="1"/>
  <c r="L5109" i="10"/>
  <c r="I2996" i="10"/>
  <c r="J2996" i="10" s="1"/>
  <c r="F2997" i="10" s="1"/>
  <c r="J2950" i="10"/>
  <c r="F2951" i="10" s="1"/>
  <c r="H2950" i="10"/>
  <c r="W54" i="9"/>
  <c r="I2451" i="10"/>
  <c r="J2451" i="10" s="1"/>
  <c r="F2452" i="10" s="1"/>
  <c r="G3685" i="10"/>
  <c r="G3677" i="10"/>
  <c r="G3669" i="10"/>
  <c r="G3661" i="10"/>
  <c r="H3641" i="10"/>
  <c r="G3684" i="10"/>
  <c r="G3676" i="10"/>
  <c r="G3668" i="10"/>
  <c r="G3660" i="10"/>
  <c r="G3659" i="10"/>
  <c r="G3658" i="10"/>
  <c r="G3657" i="10"/>
  <c r="G3656" i="10"/>
  <c r="G3655" i="10"/>
  <c r="G3654" i="10"/>
  <c r="G3653" i="10"/>
  <c r="G3652" i="10"/>
  <c r="G3651" i="10"/>
  <c r="G3650" i="10"/>
  <c r="G3641" i="10"/>
  <c r="G3683" i="10"/>
  <c r="G3675" i="10"/>
  <c r="G3667" i="10"/>
  <c r="G3649" i="10"/>
  <c r="G3648" i="10"/>
  <c r="G3647" i="10"/>
  <c r="G3646" i="10"/>
  <c r="G3645" i="10"/>
  <c r="G3644" i="10"/>
  <c r="G3643" i="10"/>
  <c r="G3642" i="10"/>
  <c r="G3682" i="10"/>
  <c r="G3674" i="10"/>
  <c r="G3666" i="10"/>
  <c r="G3681" i="10"/>
  <c r="G3673" i="10"/>
  <c r="G3665" i="10"/>
  <c r="G3679" i="10"/>
  <c r="G3671" i="10"/>
  <c r="G3663" i="10"/>
  <c r="G3680" i="10"/>
  <c r="G3662" i="10"/>
  <c r="G3672" i="10"/>
  <c r="G3664" i="10"/>
  <c r="G3678" i="10"/>
  <c r="G3670" i="10"/>
  <c r="M50" i="10"/>
  <c r="H507" i="10"/>
  <c r="I507" i="10" s="1"/>
  <c r="J507" i="10" s="1"/>
  <c r="F508" i="10" s="1"/>
  <c r="L3813" i="10"/>
  <c r="L3814" i="10" s="1"/>
  <c r="L3815" i="10" s="1"/>
  <c r="L3816" i="10" s="1"/>
  <c r="L3817" i="10" s="1"/>
  <c r="L3818" i="10" s="1"/>
  <c r="L3819" i="10" s="1"/>
  <c r="L3820" i="10" s="1"/>
  <c r="L3821" i="10" s="1"/>
  <c r="L3822" i="10" s="1"/>
  <c r="L3823" i="10" s="1"/>
  <c r="L3824" i="10" s="1"/>
  <c r="L3825" i="10" s="1"/>
  <c r="I3813" i="10"/>
  <c r="J3813" i="10" s="1"/>
  <c r="F3814" i="10" s="1"/>
  <c r="I3489" i="10"/>
  <c r="J3489" i="10" s="1"/>
  <c r="F3490" i="10" s="1"/>
  <c r="I1252" i="10"/>
  <c r="J1252" i="10" s="1"/>
  <c r="F1253" i="10" s="1"/>
  <c r="L1252" i="10"/>
  <c r="L1253" i="10" s="1"/>
  <c r="L1254" i="10" s="1"/>
  <c r="L1255" i="10" s="1"/>
  <c r="L1256" i="10" s="1"/>
  <c r="L1257" i="10" s="1"/>
  <c r="L1258" i="10" s="1"/>
  <c r="L1259" i="10" s="1"/>
  <c r="L1260" i="10" s="1"/>
  <c r="L1261" i="10" s="1"/>
  <c r="L1262" i="10" s="1"/>
  <c r="L1263" i="10" s="1"/>
  <c r="L1264" i="10" s="1"/>
  <c r="L1265" i="10" s="1"/>
  <c r="L1266" i="10" s="1"/>
  <c r="L1267" i="10" s="1"/>
  <c r="I2251" i="10"/>
  <c r="J2251" i="10" s="1"/>
  <c r="F2252" i="10" s="1"/>
  <c r="I4005" i="10"/>
  <c r="J4005" i="10" s="1"/>
  <c r="F4006" i="10" s="1"/>
  <c r="H4681" i="10"/>
  <c r="L5111" i="10"/>
  <c r="I1883" i="10"/>
  <c r="J1883" i="10" s="1"/>
  <c r="F1884" i="10" s="1"/>
  <c r="I2292" i="10"/>
  <c r="J2292" i="10" s="1"/>
  <c r="F2293" i="10" s="1"/>
  <c r="L2149" i="10"/>
  <c r="I2106" i="10"/>
  <c r="J2106" i="10" s="1"/>
  <c r="F2107" i="10" s="1"/>
  <c r="L2106" i="10"/>
  <c r="L2107" i="10" s="1"/>
  <c r="L2108" i="10" s="1"/>
  <c r="L2109" i="10" s="1"/>
  <c r="L2110" i="10" s="1"/>
  <c r="L2111" i="10" s="1"/>
  <c r="L2112" i="10" s="1"/>
  <c r="L2113" i="10" s="1"/>
  <c r="L2114" i="10" s="1"/>
  <c r="L2115" i="10" s="1"/>
  <c r="L2116" i="10" s="1"/>
  <c r="L2117" i="10" s="1"/>
  <c r="L2118" i="10" s="1"/>
  <c r="L2119" i="10" s="1"/>
  <c r="L2120" i="10" s="1"/>
  <c r="L2121" i="10" s="1"/>
  <c r="L2122" i="10" s="1"/>
  <c r="L2123" i="10" s="1"/>
  <c r="L2124" i="10" s="1"/>
  <c r="L2125" i="10" s="1"/>
  <c r="I1178" i="10"/>
  <c r="J1178" i="10" s="1"/>
  <c r="F1179" i="10" s="1"/>
  <c r="G422" i="10"/>
  <c r="G423" i="10"/>
  <c r="G424" i="10"/>
  <c r="G425" i="10"/>
  <c r="H417" i="10"/>
  <c r="G426" i="10"/>
  <c r="G417" i="10"/>
  <c r="G427" i="10"/>
  <c r="G418" i="10"/>
  <c r="G421" i="10"/>
  <c r="G420" i="10"/>
  <c r="G428" i="10"/>
  <c r="G419" i="10"/>
  <c r="L4979" i="10"/>
  <c r="L4980" i="10" s="1"/>
  <c r="C3820" i="10"/>
  <c r="D3819" i="10"/>
  <c r="E3819" i="10" s="1"/>
  <c r="H4188" i="10"/>
  <c r="H5224" i="10"/>
  <c r="I1059" i="10"/>
  <c r="J1059" i="10" s="1"/>
  <c r="F1060" i="10" s="1"/>
  <c r="H1681" i="10"/>
  <c r="I1681" i="10" s="1"/>
  <c r="J1681" i="10" s="1"/>
  <c r="F1682" i="10" s="1"/>
  <c r="C3862" i="10"/>
  <c r="D3861" i="10"/>
  <c r="E3861" i="10" s="1"/>
  <c r="L4747" i="10"/>
  <c r="L4748" i="10" s="1"/>
  <c r="L4749" i="10" s="1"/>
  <c r="L4750" i="10" s="1"/>
  <c r="H297" i="10"/>
  <c r="I2211" i="10"/>
  <c r="J2211" i="10" s="1"/>
  <c r="F2212" i="10" s="1"/>
  <c r="C3780" i="10"/>
  <c r="D3779" i="10"/>
  <c r="E3779" i="10" s="1"/>
  <c r="R78" i="6"/>
  <c r="U81" i="9"/>
  <c r="L5110" i="10"/>
  <c r="I258" i="10"/>
  <c r="J258" i="10" s="1"/>
  <c r="F259" i="10" s="1"/>
  <c r="I3318" i="10"/>
  <c r="J3318" i="10" s="1"/>
  <c r="F3319" i="10" s="1"/>
  <c r="L290" i="10"/>
  <c r="I3963" i="10"/>
  <c r="J3963" i="10" s="1"/>
  <c r="F3964" i="10" s="1"/>
  <c r="L2620" i="10"/>
  <c r="L2621" i="10" s="1"/>
  <c r="L2622" i="10" s="1"/>
  <c r="L2623" i="10" s="1"/>
  <c r="L2624" i="10" s="1"/>
  <c r="L2625" i="10" s="1"/>
  <c r="L2626" i="10" s="1"/>
  <c r="L2627" i="10" s="1"/>
  <c r="L2628" i="10" s="1"/>
  <c r="L2629" i="10" s="1"/>
  <c r="L2630" i="10" s="1"/>
  <c r="L2631" i="10" s="1"/>
  <c r="L2632" i="10" s="1"/>
  <c r="L2633" i="10" s="1"/>
  <c r="L2634" i="10" s="1"/>
  <c r="L2635" i="10" s="1"/>
  <c r="L2636" i="10" s="1"/>
  <c r="L2637" i="10" s="1"/>
  <c r="L2638" i="10" s="1"/>
  <c r="L2639" i="10" s="1"/>
  <c r="I2620" i="10"/>
  <c r="J2620" i="10" s="1"/>
  <c r="F2621" i="10" s="1"/>
  <c r="I3172" i="10"/>
  <c r="J3172" i="10" s="1"/>
  <c r="F3173" i="10" s="1"/>
  <c r="H5362" i="10"/>
  <c r="I4605" i="10"/>
  <c r="J4605" i="10" s="1"/>
  <c r="F4606" i="10" s="1"/>
  <c r="I375" i="10"/>
  <c r="J375" i="10" s="1"/>
  <c r="F376" i="10" s="1"/>
  <c r="H4447" i="10"/>
  <c r="H3384" i="10"/>
  <c r="L1973" i="10"/>
  <c r="L1974" i="10" s="1"/>
  <c r="L1975" i="10" s="1"/>
  <c r="L1976" i="10" s="1"/>
  <c r="L1977" i="10" s="1"/>
  <c r="L1978" i="10" s="1"/>
  <c r="L1979" i="10" s="1"/>
  <c r="L1980" i="10" s="1"/>
  <c r="L1981" i="10" s="1"/>
  <c r="L1982" i="10" s="1"/>
  <c r="L1983" i="10" s="1"/>
  <c r="L1984" i="10" s="1"/>
  <c r="L1985" i="10" s="1"/>
  <c r="L1986" i="10" s="1"/>
  <c r="L1987" i="10" s="1"/>
  <c r="L1988" i="10" s="1"/>
  <c r="L1989" i="10" s="1"/>
  <c r="L1990" i="10" s="1"/>
  <c r="L1991" i="10" s="1"/>
  <c r="L1992" i="10" s="1"/>
  <c r="L1993" i="10" s="1"/>
  <c r="I1973" i="10"/>
  <c r="J1973" i="10" s="1"/>
  <c r="F1974" i="10" s="1"/>
  <c r="G3565" i="10"/>
  <c r="G3557" i="10"/>
  <c r="G3572" i="10"/>
  <c r="G3566" i="10"/>
  <c r="G3558" i="10"/>
  <c r="G3568" i="10"/>
  <c r="G3567" i="10"/>
  <c r="G3559" i="10"/>
  <c r="G3573" i="10"/>
  <c r="G3569" i="10"/>
  <c r="G3560" i="10"/>
  <c r="G3561" i="10"/>
  <c r="G3556" i="10"/>
  <c r="G3570" i="10"/>
  <c r="G3563" i="10"/>
  <c r="H3555" i="10"/>
  <c r="G3555" i="10"/>
  <c r="G3575" i="10"/>
  <c r="G3562" i="10"/>
  <c r="G3574" i="10"/>
  <c r="G3564" i="10"/>
  <c r="G3571" i="10"/>
  <c r="L5069" i="10"/>
  <c r="L5070" i="10" s="1"/>
  <c r="L5071" i="10" s="1"/>
  <c r="I5069" i="10"/>
  <c r="J5069" i="10" s="1"/>
  <c r="F5070" i="10" s="1"/>
  <c r="H2392" i="10"/>
  <c r="H2058" i="10"/>
  <c r="G2058" i="10"/>
  <c r="G2059" i="10"/>
  <c r="G2060" i="10"/>
  <c r="G2061" i="10"/>
  <c r="C3648" i="10"/>
  <c r="D3647" i="10"/>
  <c r="E3647" i="10" s="1"/>
  <c r="I4910" i="10"/>
  <c r="J4910" i="10" s="1"/>
  <c r="F4911" i="10" s="1"/>
  <c r="I3451" i="10"/>
  <c r="J3451" i="10" s="1"/>
  <c r="F3452" i="10" s="1"/>
  <c r="L1452" i="10"/>
  <c r="L1453" i="10" s="1"/>
  <c r="L1454" i="10" s="1"/>
  <c r="L1455" i="10" s="1"/>
  <c r="L1456" i="10" s="1"/>
  <c r="L1457" i="10" s="1"/>
  <c r="L1458" i="10" s="1"/>
  <c r="L1459" i="10" s="1"/>
  <c r="L1460" i="10" s="1"/>
  <c r="L1461" i="10" s="1"/>
  <c r="L1462" i="10" s="1"/>
  <c r="L1463" i="10" s="1"/>
  <c r="L1464" i="10" s="1"/>
  <c r="L1465" i="10" s="1"/>
  <c r="L1466" i="10" s="1"/>
  <c r="L1467" i="10" s="1"/>
  <c r="L1468" i="10" s="1"/>
  <c r="L1469" i="10" s="1"/>
  <c r="L1470" i="10" s="1"/>
  <c r="L1471" i="10" s="1"/>
  <c r="I1452" i="10"/>
  <c r="J1452" i="10" s="1"/>
  <c r="F1453" i="10" s="1"/>
  <c r="L561" i="10"/>
  <c r="G2326" i="10"/>
  <c r="J2020" i="10"/>
  <c r="F2021" i="10" s="1"/>
  <c r="H2020" i="10"/>
  <c r="I2020" i="10" s="1"/>
  <c r="I4553" i="10"/>
  <c r="J4553" i="10" s="1"/>
  <c r="F4554" i="10" s="1"/>
  <c r="I1018" i="10"/>
  <c r="J1018" i="10" s="1"/>
  <c r="F1019" i="10" s="1"/>
  <c r="H1682" i="10" l="1"/>
  <c r="I1682" i="10" s="1"/>
  <c r="J1682" i="10"/>
  <c r="F1683" i="10" s="1"/>
  <c r="H270" i="10"/>
  <c r="I270" i="10" s="1"/>
  <c r="J270" i="10" s="1"/>
  <c r="F271" i="10" s="1"/>
  <c r="H2151" i="10"/>
  <c r="G2151" i="10" s="1"/>
  <c r="I2151" i="10" s="1"/>
  <c r="J2151" i="10" s="1"/>
  <c r="F2152" i="10" s="1"/>
  <c r="H4518" i="10"/>
  <c r="I4518" i="10" s="1"/>
  <c r="J4518" i="10" s="1"/>
  <c r="F4519" i="10" s="1"/>
  <c r="H890" i="10"/>
  <c r="I890" i="10" s="1"/>
  <c r="J890" i="10" s="1"/>
  <c r="F891" i="10" s="1"/>
  <c r="H1642" i="10"/>
  <c r="I1642" i="10" s="1"/>
  <c r="J1642" i="10"/>
  <c r="F1643" i="10" s="1"/>
  <c r="H849" i="10"/>
  <c r="I849" i="10" s="1"/>
  <c r="J849" i="10" s="1"/>
  <c r="F850" i="10" s="1"/>
  <c r="J508" i="10"/>
  <c r="F509" i="10" s="1"/>
  <c r="H508" i="10"/>
  <c r="I508" i="10" s="1"/>
  <c r="H5571" i="10"/>
  <c r="I5571" i="10" s="1"/>
  <c r="J5571" i="10" s="1"/>
  <c r="F5572" i="10" s="1"/>
  <c r="H5497" i="10"/>
  <c r="I5497" i="10" s="1"/>
  <c r="J5497" i="10" s="1"/>
  <c r="F5498" i="10" s="1"/>
  <c r="H3254" i="10"/>
  <c r="I3254" i="10" s="1"/>
  <c r="J3254" i="10"/>
  <c r="F3255" i="10" s="1"/>
  <c r="H1523" i="10"/>
  <c r="I1523" i="10" s="1"/>
  <c r="J1523" i="10" s="1"/>
  <c r="F1524" i="10" s="1"/>
  <c r="G2404" i="10"/>
  <c r="G2405" i="10"/>
  <c r="H2404" i="10"/>
  <c r="J2830" i="10"/>
  <c r="F2831" i="10" s="1"/>
  <c r="H2830" i="10"/>
  <c r="I2830" i="10" s="1"/>
  <c r="H1767" i="10"/>
  <c r="I1767" i="10" s="1"/>
  <c r="J1767" i="10" s="1"/>
  <c r="F1768" i="10" s="1"/>
  <c r="G3942" i="10"/>
  <c r="G3941" i="10"/>
  <c r="G3940" i="10"/>
  <c r="G3939" i="10"/>
  <c r="G3938" i="10"/>
  <c r="G3937" i="10"/>
  <c r="G3936" i="10"/>
  <c r="G3935" i="10"/>
  <c r="G3934" i="10"/>
  <c r="G3933" i="10"/>
  <c r="G3932" i="10"/>
  <c r="G3928" i="10"/>
  <c r="G3924" i="10"/>
  <c r="H3922" i="10"/>
  <c r="G3929" i="10"/>
  <c r="G3923" i="10"/>
  <c r="G3922" i="10"/>
  <c r="G3930" i="10"/>
  <c r="G3931" i="10"/>
  <c r="G3926" i="10"/>
  <c r="G3927" i="10"/>
  <c r="G3925" i="10"/>
  <c r="H2755" i="10"/>
  <c r="J968" i="10"/>
  <c r="F969" i="10" s="1"/>
  <c r="H968" i="10"/>
  <c r="I968" i="10" s="1"/>
  <c r="H632" i="10"/>
  <c r="I632" i="10" s="1"/>
  <c r="J632" i="10"/>
  <c r="F633" i="10" s="1"/>
  <c r="H516" i="10"/>
  <c r="I516" i="10" s="1"/>
  <c r="J516" i="10" s="1"/>
  <c r="F517" i="10" s="1"/>
  <c r="N2745" i="10"/>
  <c r="H3452" i="10"/>
  <c r="I3452" i="10" s="1"/>
  <c r="J3452" i="10" s="1"/>
  <c r="F3453" i="10" s="1"/>
  <c r="I2392" i="10"/>
  <c r="H1974" i="10"/>
  <c r="I1974" i="10" s="1"/>
  <c r="J1974" i="10" s="1"/>
  <c r="F1975" i="10" s="1"/>
  <c r="L417" i="10"/>
  <c r="L418" i="10" s="1"/>
  <c r="L419" i="10" s="1"/>
  <c r="L420" i="10" s="1"/>
  <c r="L421" i="10" s="1"/>
  <c r="L422" i="10" s="1"/>
  <c r="L423" i="10" s="1"/>
  <c r="L424" i="10" s="1"/>
  <c r="L425" i="10" s="1"/>
  <c r="L426" i="10" s="1"/>
  <c r="L427" i="10" s="1"/>
  <c r="L428" i="10" s="1"/>
  <c r="I417" i="10"/>
  <c r="J417" i="10" s="1"/>
  <c r="F418" i="10" s="1"/>
  <c r="H2107" i="10"/>
  <c r="I2107" i="10" s="1"/>
  <c r="J2107" i="10" s="1"/>
  <c r="F2108" i="10" s="1"/>
  <c r="L2150" i="10"/>
  <c r="L2151" i="10" s="1"/>
  <c r="H1253" i="10"/>
  <c r="I1253" i="10" s="1"/>
  <c r="J1253" i="10" s="1"/>
  <c r="F1254" i="10" s="1"/>
  <c r="I3641" i="10"/>
  <c r="J3641" i="10" s="1"/>
  <c r="F3642" i="10" s="1"/>
  <c r="H4072" i="10"/>
  <c r="I4072" i="10" s="1"/>
  <c r="J4072" i="10" s="1"/>
  <c r="F4073" i="10" s="1"/>
  <c r="H4784" i="10"/>
  <c r="H3856" i="10"/>
  <c r="H569" i="10"/>
  <c r="K1798" i="10"/>
  <c r="C3973" i="10"/>
  <c r="D3972" i="10"/>
  <c r="E3972" i="10" s="1"/>
  <c r="J4978" i="10"/>
  <c r="F4979" i="10" s="1"/>
  <c r="H4978" i="10"/>
  <c r="I4978" i="10" s="1"/>
  <c r="H1019" i="10"/>
  <c r="C3649" i="10"/>
  <c r="D3648" i="10"/>
  <c r="E3648" i="10" s="1"/>
  <c r="I4447" i="10"/>
  <c r="J4447" i="10" s="1"/>
  <c r="F4448" i="10" s="1"/>
  <c r="T78" i="6"/>
  <c r="W81" i="9"/>
  <c r="C3863" i="10"/>
  <c r="D3862" i="10"/>
  <c r="E3862" i="10" s="1"/>
  <c r="I5224" i="10"/>
  <c r="J5224" i="10" s="1"/>
  <c r="F5225" i="10" s="1"/>
  <c r="P102" i="9"/>
  <c r="G1197" i="10"/>
  <c r="G1189" i="10"/>
  <c r="G1179" i="10"/>
  <c r="G1198" i="10"/>
  <c r="G1190" i="10"/>
  <c r="G1180" i="10"/>
  <c r="G1199" i="10"/>
  <c r="G1191" i="10"/>
  <c r="G1181" i="10"/>
  <c r="G1192" i="10"/>
  <c r="G1182" i="10"/>
  <c r="G1193" i="10"/>
  <c r="G1183" i="10"/>
  <c r="G1195" i="10"/>
  <c r="G1187" i="10"/>
  <c r="G1186" i="10"/>
  <c r="G1196" i="10"/>
  <c r="G1184" i="10"/>
  <c r="G1185" i="10"/>
  <c r="H1179" i="10"/>
  <c r="G1194" i="10"/>
  <c r="G1188" i="10"/>
  <c r="G4681" i="10"/>
  <c r="G2468" i="10"/>
  <c r="G2460" i="10"/>
  <c r="G2452" i="10"/>
  <c r="G2469" i="10"/>
  <c r="G2461" i="10"/>
  <c r="G2453" i="10"/>
  <c r="G2470" i="10"/>
  <c r="G2462" i="10"/>
  <c r="G2454" i="10"/>
  <c r="G2471" i="10"/>
  <c r="G2463" i="10"/>
  <c r="G2455" i="10"/>
  <c r="G2472" i="10"/>
  <c r="G2464" i="10"/>
  <c r="G2456" i="10"/>
  <c r="G2466" i="10"/>
  <c r="G2458" i="10"/>
  <c r="G2465" i="10"/>
  <c r="H2452" i="10"/>
  <c r="G2467" i="10"/>
  <c r="G2457" i="10"/>
  <c r="G2459" i="10"/>
  <c r="J5110" i="10"/>
  <c r="F5111" i="10" s="1"/>
  <c r="H5110" i="10"/>
  <c r="I5110" i="10" s="1"/>
  <c r="H4419" i="10"/>
  <c r="L3597" i="10"/>
  <c r="L3598" i="10" s="1"/>
  <c r="L3599" i="10" s="1"/>
  <c r="L3600" i="10" s="1"/>
  <c r="L3601" i="10" s="1"/>
  <c r="L3602" i="10" s="1"/>
  <c r="L3603" i="10" s="1"/>
  <c r="L3604" i="10" s="1"/>
  <c r="L3605" i="10" s="1"/>
  <c r="L3606" i="10" s="1"/>
  <c r="L3607" i="10" s="1"/>
  <c r="L3608" i="10" s="1"/>
  <c r="L3609" i="10" s="1"/>
  <c r="L3610" i="10" s="1"/>
  <c r="I3597" i="10"/>
  <c r="J3597" i="10" s="1"/>
  <c r="F3598" i="10" s="1"/>
  <c r="L5145" i="10"/>
  <c r="I5145" i="10"/>
  <c r="J5145" i="10" s="1"/>
  <c r="F5146" i="10" s="1"/>
  <c r="K407" i="10"/>
  <c r="J2537" i="10"/>
  <c r="F2538" i="10" s="1"/>
  <c r="H2537" i="10"/>
  <c r="I2537" i="10" s="1"/>
  <c r="I4244" i="10"/>
  <c r="J4244" i="10" s="1"/>
  <c r="F4245" i="10" s="1"/>
  <c r="H4851" i="10"/>
  <c r="I4851" i="10" s="1"/>
  <c r="J4851" i="10" s="1"/>
  <c r="F4852" i="10" s="1"/>
  <c r="G3106" i="10"/>
  <c r="G3098" i="10"/>
  <c r="G3089" i="10"/>
  <c r="G3099" i="10"/>
  <c r="G3090" i="10"/>
  <c r="G3107" i="10"/>
  <c r="G3101" i="10"/>
  <c r="G3100" i="10"/>
  <c r="G3091" i="10"/>
  <c r="G3102" i="10"/>
  <c r="G3092" i="10"/>
  <c r="G3108" i="10"/>
  <c r="G3103" i="10"/>
  <c r="G3093" i="10"/>
  <c r="G3105" i="10"/>
  <c r="G3096" i="10"/>
  <c r="H3088" i="10"/>
  <c r="G3097" i="10"/>
  <c r="G3094" i="10"/>
  <c r="G3104" i="10"/>
  <c r="G3095" i="10"/>
  <c r="G3088" i="10"/>
  <c r="I57" i="10"/>
  <c r="J57" i="10" s="1"/>
  <c r="F58" i="10" s="1"/>
  <c r="G1945" i="10"/>
  <c r="G1937" i="10"/>
  <c r="G1946" i="10"/>
  <c r="G1938" i="10"/>
  <c r="H1930" i="10"/>
  <c r="G1947" i="10"/>
  <c r="G1939" i="10"/>
  <c r="G1931" i="10"/>
  <c r="G1930" i="10"/>
  <c r="G1948" i="10"/>
  <c r="G1940" i="10"/>
  <c r="G1932" i="10"/>
  <c r="G1949" i="10"/>
  <c r="G1941" i="10"/>
  <c r="G1933" i="10"/>
  <c r="G1943" i="10"/>
  <c r="G1935" i="10"/>
  <c r="G1942" i="10"/>
  <c r="G1944" i="10"/>
  <c r="G1950" i="10"/>
  <c r="G1934" i="10"/>
  <c r="G1936" i="10"/>
  <c r="I20" i="10"/>
  <c r="J20" i="10" s="1"/>
  <c r="F21" i="10" s="1"/>
  <c r="L20" i="10"/>
  <c r="L21" i="10" s="1"/>
  <c r="H4554" i="10"/>
  <c r="L3555" i="10"/>
  <c r="L3556" i="10" s="1"/>
  <c r="L3557" i="10" s="1"/>
  <c r="L3558" i="10" s="1"/>
  <c r="L3559" i="10" s="1"/>
  <c r="L3560" i="10" s="1"/>
  <c r="L3561" i="10" s="1"/>
  <c r="L3562" i="10" s="1"/>
  <c r="L3563" i="10" s="1"/>
  <c r="L3564" i="10" s="1"/>
  <c r="L3565" i="10" s="1"/>
  <c r="L3566" i="10" s="1"/>
  <c r="L3567" i="10" s="1"/>
  <c r="L3568" i="10" s="1"/>
  <c r="I3555" i="10"/>
  <c r="J3555" i="10" s="1"/>
  <c r="F3556" i="10" s="1"/>
  <c r="I5362" i="10"/>
  <c r="J5362" i="10" s="1"/>
  <c r="F5363" i="10" s="1"/>
  <c r="P104" i="9"/>
  <c r="H2621" i="10"/>
  <c r="I2621" i="10" s="1"/>
  <c r="J2621" i="10" s="1"/>
  <c r="F2622" i="10" s="1"/>
  <c r="I297" i="10"/>
  <c r="J297" i="10" s="1"/>
  <c r="F298" i="10" s="1"/>
  <c r="G2305" i="10"/>
  <c r="G2304" i="10"/>
  <c r="G2294" i="10"/>
  <c r="G2306" i="10"/>
  <c r="G2295" i="10"/>
  <c r="G2307" i="10"/>
  <c r="G2297" i="10"/>
  <c r="G2296" i="10"/>
  <c r="G2308" i="10"/>
  <c r="G2298" i="10"/>
  <c r="G2309" i="10"/>
  <c r="G2299" i="10"/>
  <c r="G2312" i="10"/>
  <c r="G2311" i="10"/>
  <c r="G2302" i="10"/>
  <c r="H2293" i="10"/>
  <c r="G2293" i="10"/>
  <c r="G2313" i="10"/>
  <c r="G2310" i="10"/>
  <c r="G2301" i="10"/>
  <c r="G2300" i="10"/>
  <c r="G2303" i="10"/>
  <c r="H5304" i="10"/>
  <c r="W72" i="9"/>
  <c r="H2879" i="10"/>
  <c r="H711" i="10"/>
  <c r="J711" i="10"/>
  <c r="F712" i="10" s="1"/>
  <c r="L3279" i="10"/>
  <c r="L3280" i="10" s="1"/>
  <c r="L3281" i="10" s="1"/>
  <c r="L3282" i="10" s="1"/>
  <c r="L3283" i="10" s="1"/>
  <c r="L3284" i="10" s="1"/>
  <c r="L3285" i="10" s="1"/>
  <c r="L3286" i="10" s="1"/>
  <c r="L3287" i="10" s="1"/>
  <c r="L3288" i="10" s="1"/>
  <c r="L3289" i="10" s="1"/>
  <c r="L3290" i="10" s="1"/>
  <c r="L3291" i="10" s="1"/>
  <c r="L3292" i="10" s="1"/>
  <c r="L3293" i="10" s="1"/>
  <c r="L3294" i="10" s="1"/>
  <c r="I3279" i="10"/>
  <c r="J3279" i="10" s="1"/>
  <c r="F3280" i="10" s="1"/>
  <c r="I3384" i="10"/>
  <c r="J3384" i="10" s="1"/>
  <c r="F3385" i="10" s="1"/>
  <c r="H2326" i="10"/>
  <c r="H3319" i="10"/>
  <c r="H3490" i="10"/>
  <c r="H1399" i="10"/>
  <c r="I3133" i="10"/>
  <c r="L3133" i="10"/>
  <c r="L3134" i="10" s="1"/>
  <c r="I5304" i="10"/>
  <c r="J5304" i="10" s="1"/>
  <c r="F5305" i="10" s="1"/>
  <c r="H3707" i="10"/>
  <c r="H5017" i="10"/>
  <c r="H3773" i="10"/>
  <c r="H1144" i="10"/>
  <c r="I1144" i="10" s="1"/>
  <c r="J1144" i="10" s="1"/>
  <c r="F1145" i="10" s="1"/>
  <c r="J1602" i="10"/>
  <c r="F1603" i="10" s="1"/>
  <c r="H1602" i="10"/>
  <c r="I1602" i="10" s="1"/>
  <c r="M290" i="10"/>
  <c r="Y54" i="9"/>
  <c r="X54" i="9"/>
  <c r="J2021" i="10"/>
  <c r="F2022" i="10" s="1"/>
  <c r="H2021" i="10"/>
  <c r="I2021" i="10" s="1"/>
  <c r="H5070" i="10"/>
  <c r="I5070" i="10" s="1"/>
  <c r="J5070" i="10" s="1"/>
  <c r="F5071" i="10" s="1"/>
  <c r="J376" i="10"/>
  <c r="F377" i="10" s="1"/>
  <c r="H376" i="10"/>
  <c r="I376" i="10" s="1"/>
  <c r="C3781" i="10"/>
  <c r="D3780" i="10"/>
  <c r="E3780" i="10" s="1"/>
  <c r="J1884" i="10"/>
  <c r="F1885" i="10" s="1"/>
  <c r="H1884" i="10"/>
  <c r="I1884" i="10" s="1"/>
  <c r="N50" i="10"/>
  <c r="K6" i="9"/>
  <c r="J3" i="6" s="1"/>
  <c r="J2951" i="10"/>
  <c r="F2952" i="10" s="1"/>
  <c r="H2951" i="10"/>
  <c r="H220" i="10"/>
  <c r="G2507" i="10"/>
  <c r="G2499" i="10"/>
  <c r="G2508" i="10"/>
  <c r="G2500" i="10"/>
  <c r="H2493" i="10"/>
  <c r="G2509" i="10"/>
  <c r="G2501" i="10"/>
  <c r="G2493" i="10"/>
  <c r="G2510" i="10"/>
  <c r="G2502" i="10"/>
  <c r="G2494" i="10"/>
  <c r="G2511" i="10"/>
  <c r="G2503" i="10"/>
  <c r="G2495" i="10"/>
  <c r="G2513" i="10"/>
  <c r="G2505" i="10"/>
  <c r="G2497" i="10"/>
  <c r="G2512" i="10"/>
  <c r="G2496" i="10"/>
  <c r="G2498" i="10"/>
  <c r="G2504" i="10"/>
  <c r="G2506" i="10"/>
  <c r="H4126" i="10"/>
  <c r="I4126" i="10" s="1"/>
  <c r="J4126" i="10"/>
  <c r="F4127" i="10" s="1"/>
  <c r="D3929" i="10"/>
  <c r="E3929" i="10" s="1"/>
  <c r="C3930" i="10"/>
  <c r="H928" i="10"/>
  <c r="G2594" i="10"/>
  <c r="G2586" i="10"/>
  <c r="G2578" i="10"/>
  <c r="G2595" i="10"/>
  <c r="G2587" i="10"/>
  <c r="G2579" i="10"/>
  <c r="G2596" i="10"/>
  <c r="G2588" i="10"/>
  <c r="G2580" i="10"/>
  <c r="G2589" i="10"/>
  <c r="G2581" i="10"/>
  <c r="G2590" i="10"/>
  <c r="G2582" i="10"/>
  <c r="G2592" i="10"/>
  <c r="G2584" i="10"/>
  <c r="G2576" i="10"/>
  <c r="G2583" i="10"/>
  <c r="H2576" i="10"/>
  <c r="G2585" i="10"/>
  <c r="G2591" i="10"/>
  <c r="G2593" i="10"/>
  <c r="G2577" i="10"/>
  <c r="R105" i="9"/>
  <c r="O102" i="6"/>
  <c r="L700" i="10"/>
  <c r="H1562" i="10"/>
  <c r="I1562" i="10" s="1"/>
  <c r="J1562" i="10" s="1"/>
  <c r="F1563" i="10" s="1"/>
  <c r="H1060" i="10"/>
  <c r="I1060" i="10" s="1"/>
  <c r="J1060" i="10" s="1"/>
  <c r="F1061" i="10" s="1"/>
  <c r="H4006" i="10"/>
  <c r="I4006" i="10" s="1"/>
  <c r="J4006" i="10" s="1"/>
  <c r="F4007" i="10" s="1"/>
  <c r="M561" i="10"/>
  <c r="J1453" i="10"/>
  <c r="F1454" i="10" s="1"/>
  <c r="H1453" i="10"/>
  <c r="I1453" i="10" s="1"/>
  <c r="H4911" i="10"/>
  <c r="H3173" i="10"/>
  <c r="G3984" i="10"/>
  <c r="G3969" i="10"/>
  <c r="G3983" i="10"/>
  <c r="G3982" i="10"/>
  <c r="G3981" i="10"/>
  <c r="G3980" i="10"/>
  <c r="G3979" i="10"/>
  <c r="G3978" i="10"/>
  <c r="G3977" i="10"/>
  <c r="G3976" i="10"/>
  <c r="G3968" i="10"/>
  <c r="G3975" i="10"/>
  <c r="G3967" i="10"/>
  <c r="G3974" i="10"/>
  <c r="G3966" i="10"/>
  <c r="H3964" i="10"/>
  <c r="G3973" i="10"/>
  <c r="G3965" i="10"/>
  <c r="G3964" i="10"/>
  <c r="G3971" i="10"/>
  <c r="G3970" i="10"/>
  <c r="G3972" i="10"/>
  <c r="H259" i="10"/>
  <c r="G259" i="10"/>
  <c r="G260" i="10"/>
  <c r="D3820" i="10"/>
  <c r="E3820" i="10" s="1"/>
  <c r="C3821" i="10"/>
  <c r="G2269" i="10"/>
  <c r="G2261" i="10"/>
  <c r="G2253" i="10"/>
  <c r="G2270" i="10"/>
  <c r="G2262" i="10"/>
  <c r="G2254" i="10"/>
  <c r="G2272" i="10"/>
  <c r="G2271" i="10"/>
  <c r="G2263" i="10"/>
  <c r="G2255" i="10"/>
  <c r="G2264" i="10"/>
  <c r="G2256" i="10"/>
  <c r="G2265" i="10"/>
  <c r="G2257" i="10"/>
  <c r="G2267" i="10"/>
  <c r="G2259" i="10"/>
  <c r="H2252" i="10"/>
  <c r="G2266" i="10"/>
  <c r="G2268" i="10"/>
  <c r="G2252" i="10"/>
  <c r="G2258" i="10"/>
  <c r="G2260" i="10"/>
  <c r="J3814" i="10"/>
  <c r="F3815" i="10" s="1"/>
  <c r="H3814" i="10"/>
  <c r="I3814" i="10" s="1"/>
  <c r="H1101" i="10"/>
  <c r="I1101" i="10" s="1"/>
  <c r="J1101" i="10" s="1"/>
  <c r="F1102" i="10" s="1"/>
  <c r="M764" i="10"/>
  <c r="H2334" i="10"/>
  <c r="J1310" i="10"/>
  <c r="F1311" i="10" s="1"/>
  <c r="H1310" i="10"/>
  <c r="I1310" i="10" s="1"/>
  <c r="G2679" i="10"/>
  <c r="G2678" i="10"/>
  <c r="G2670" i="10"/>
  <c r="G2681" i="10"/>
  <c r="G2672" i="10"/>
  <c r="G2674" i="10"/>
  <c r="G2669" i="10"/>
  <c r="G2662" i="10"/>
  <c r="G2677" i="10"/>
  <c r="G2663" i="10"/>
  <c r="G2675" i="10"/>
  <c r="G2664" i="10"/>
  <c r="G2673" i="10"/>
  <c r="G2665" i="10"/>
  <c r="G2680" i="10"/>
  <c r="G2666" i="10"/>
  <c r="G2682" i="10"/>
  <c r="G2668" i="10"/>
  <c r="G2671" i="10"/>
  <c r="G2667" i="10"/>
  <c r="H2662" i="10"/>
  <c r="G2676" i="10"/>
  <c r="H1720" i="10"/>
  <c r="G5469" i="10"/>
  <c r="G5461" i="10"/>
  <c r="G5453" i="10"/>
  <c r="G5445" i="10"/>
  <c r="G5470" i="10"/>
  <c r="G5462" i="10"/>
  <c r="G5454" i="10"/>
  <c r="G5446" i="10"/>
  <c r="G5457" i="10"/>
  <c r="G5433" i="10"/>
  <c r="G5467" i="10"/>
  <c r="G5464" i="10"/>
  <c r="G5451" i="10"/>
  <c r="G5448" i="10"/>
  <c r="G5441" i="10"/>
  <c r="G5434" i="10"/>
  <c r="G5471" i="10"/>
  <c r="G5455" i="10"/>
  <c r="G5435" i="10"/>
  <c r="G5468" i="10"/>
  <c r="G5465" i="10"/>
  <c r="G5449" i="10"/>
  <c r="G5437" i="10"/>
  <c r="G5429" i="10"/>
  <c r="I5429" i="10" s="1"/>
  <c r="J5429" i="10" s="1"/>
  <c r="F5430" i="10" s="1"/>
  <c r="G5443" i="10"/>
  <c r="G5460" i="10"/>
  <c r="G5436" i="10"/>
  <c r="G5452" i="10"/>
  <c r="G5450" i="10"/>
  <c r="G5447" i="10"/>
  <c r="G5440" i="10"/>
  <c r="G5438" i="10"/>
  <c r="G5432" i="10"/>
  <c r="G5430" i="10"/>
  <c r="G5442" i="10"/>
  <c r="G5459" i="10"/>
  <c r="G5463" i="10"/>
  <c r="G5439" i="10"/>
  <c r="G5431" i="10"/>
  <c r="G5466" i="10"/>
  <c r="G5456" i="10"/>
  <c r="G5444" i="10"/>
  <c r="G5472" i="10"/>
  <c r="H5429" i="10"/>
  <c r="G5458" i="10"/>
  <c r="N2709" i="10"/>
  <c r="F2710" i="10"/>
  <c r="L2058" i="10"/>
  <c r="L2059" i="10" s="1"/>
  <c r="L2060" i="10" s="1"/>
  <c r="L2061" i="10" s="1"/>
  <c r="L2062" i="10" s="1"/>
  <c r="I2058" i="10"/>
  <c r="J2058" i="10" s="1"/>
  <c r="F2059" i="10" s="1"/>
  <c r="H4606" i="10"/>
  <c r="G2230" i="10"/>
  <c r="G2222" i="10"/>
  <c r="G2213" i="10"/>
  <c r="G2231" i="10"/>
  <c r="G2223" i="10"/>
  <c r="G2215" i="10"/>
  <c r="G2214" i="10"/>
  <c r="G2232" i="10"/>
  <c r="G2224" i="10"/>
  <c r="G2216" i="10"/>
  <c r="G2225" i="10"/>
  <c r="G2217" i="10"/>
  <c r="G2226" i="10"/>
  <c r="G2218" i="10"/>
  <c r="G2228" i="10"/>
  <c r="G2220" i="10"/>
  <c r="H2212" i="10"/>
  <c r="G2221" i="10"/>
  <c r="G2227" i="10"/>
  <c r="G2229" i="10"/>
  <c r="G2219" i="10"/>
  <c r="G2212" i="10"/>
  <c r="I4188" i="10"/>
  <c r="J4188" i="10" s="1"/>
  <c r="F4189" i="10" s="1"/>
  <c r="H2997" i="10"/>
  <c r="J4371" i="10"/>
  <c r="F4372" i="10" s="1"/>
  <c r="H4371" i="10"/>
  <c r="I4371" i="10" s="1"/>
  <c r="J4307" i="10"/>
  <c r="F4308" i="10" s="1"/>
  <c r="H4307" i="10"/>
  <c r="I4307" i="10" s="1"/>
  <c r="H4746" i="10"/>
  <c r="I4746" i="10" s="1"/>
  <c r="J4746" i="10" s="1"/>
  <c r="F4747" i="10" s="1"/>
  <c r="I1805" i="10"/>
  <c r="J1805" i="10" s="1"/>
  <c r="F1806" i="10" s="1"/>
  <c r="I771" i="10"/>
  <c r="J771" i="10" s="1"/>
  <c r="F772" i="10" s="1"/>
  <c r="C3718" i="10"/>
  <c r="D3717" i="10"/>
  <c r="E3717" i="10" s="1"/>
  <c r="H1524" i="10" l="1"/>
  <c r="I1524" i="10" s="1"/>
  <c r="J1524" i="10" s="1"/>
  <c r="F1525" i="10" s="1"/>
  <c r="H1563" i="10"/>
  <c r="I1563" i="10" s="1"/>
  <c r="J1563" i="10" s="1"/>
  <c r="F1564" i="10" s="1"/>
  <c r="H5071" i="10"/>
  <c r="H1145" i="10"/>
  <c r="I1145" i="10" s="1"/>
  <c r="J1145" i="10" s="1"/>
  <c r="F1146" i="10" s="1"/>
  <c r="H1975" i="10"/>
  <c r="I1975" i="10" s="1"/>
  <c r="J1975" i="10" s="1"/>
  <c r="F1976" i="10" s="1"/>
  <c r="H1768" i="10"/>
  <c r="I1768" i="10" s="1"/>
  <c r="J1768" i="10" s="1"/>
  <c r="F1769" i="10" s="1"/>
  <c r="H891" i="10"/>
  <c r="I891" i="10" s="1"/>
  <c r="J891" i="10" s="1"/>
  <c r="F892" i="10" s="1"/>
  <c r="H1061" i="10"/>
  <c r="I1061" i="10" s="1"/>
  <c r="J1061" i="10" s="1"/>
  <c r="F1062" i="10" s="1"/>
  <c r="H5430" i="10"/>
  <c r="H2622" i="10"/>
  <c r="I2622" i="10" s="1"/>
  <c r="J2622" i="10"/>
  <c r="F2623" i="10" s="1"/>
  <c r="H4073" i="10"/>
  <c r="I4073" i="10" s="1"/>
  <c r="J4073" i="10" s="1"/>
  <c r="F4074" i="10" s="1"/>
  <c r="H5498" i="10"/>
  <c r="I5498" i="10" s="1"/>
  <c r="J5498" i="10" s="1"/>
  <c r="F5499" i="10" s="1"/>
  <c r="H4519" i="10"/>
  <c r="H3453" i="10"/>
  <c r="I3453" i="10" s="1"/>
  <c r="J3453" i="10" s="1"/>
  <c r="F3454" i="10" s="1"/>
  <c r="H5572" i="10"/>
  <c r="I5572" i="10" s="1"/>
  <c r="J5572" i="10"/>
  <c r="F5573" i="10" s="1"/>
  <c r="H2152" i="10"/>
  <c r="G2152" i="10" s="1"/>
  <c r="I2152" i="10" s="1"/>
  <c r="J2152" i="10" s="1"/>
  <c r="F2153" i="10" s="1"/>
  <c r="H4747" i="10"/>
  <c r="I4747" i="10" s="1"/>
  <c r="J4747" i="10" s="1"/>
  <c r="F4748" i="10" s="1"/>
  <c r="H5305" i="10"/>
  <c r="I5305" i="10" s="1"/>
  <c r="J5305" i="10" s="1"/>
  <c r="F5306" i="10" s="1"/>
  <c r="H1254" i="10"/>
  <c r="I1254" i="10" s="1"/>
  <c r="J1254" i="10" s="1"/>
  <c r="F1255" i="10" s="1"/>
  <c r="H271" i="10"/>
  <c r="I271" i="10" s="1"/>
  <c r="J271" i="10" s="1"/>
  <c r="F272" i="10" s="1"/>
  <c r="H4852" i="10"/>
  <c r="I4852" i="10" s="1"/>
  <c r="J4852" i="10" s="1"/>
  <c r="F4853" i="10" s="1"/>
  <c r="H1102" i="10"/>
  <c r="I1102" i="10" s="1"/>
  <c r="J1102" i="10" s="1"/>
  <c r="F1103" i="10" s="1"/>
  <c r="H517" i="10"/>
  <c r="I517" i="10" s="1"/>
  <c r="J517" i="10" s="1"/>
  <c r="F518" i="10" s="1"/>
  <c r="H4007" i="10"/>
  <c r="I4007" i="10" s="1"/>
  <c r="J4007" i="10" s="1"/>
  <c r="F4008" i="10" s="1"/>
  <c r="H2108" i="10"/>
  <c r="I2108" i="10" s="1"/>
  <c r="J2108" i="10" s="1"/>
  <c r="F2109" i="10" s="1"/>
  <c r="H850" i="10"/>
  <c r="I850" i="10" s="1"/>
  <c r="J850" i="10"/>
  <c r="F851" i="10" s="1"/>
  <c r="I3173" i="10"/>
  <c r="J3173" i="10" s="1"/>
  <c r="F3174" i="10" s="1"/>
  <c r="H1454" i="10"/>
  <c r="I1454" i="10" s="1"/>
  <c r="J1454" i="10"/>
  <c r="F1455" i="10" s="1"/>
  <c r="M700" i="10"/>
  <c r="H1885" i="10"/>
  <c r="I1885" i="10" s="1"/>
  <c r="J1885" i="10" s="1"/>
  <c r="F1886" i="10" s="1"/>
  <c r="J712" i="10"/>
  <c r="F713" i="10" s="1"/>
  <c r="H712" i="10"/>
  <c r="G59" i="10"/>
  <c r="H58" i="10"/>
  <c r="G58" i="10"/>
  <c r="I4681" i="10"/>
  <c r="J4681" i="10" s="1"/>
  <c r="F4682" i="10" s="1"/>
  <c r="L4681" i="10"/>
  <c r="H4448" i="10"/>
  <c r="H4979" i="10"/>
  <c r="I4979" i="10" s="1"/>
  <c r="J4979" i="10" s="1"/>
  <c r="F4980" i="10" s="1"/>
  <c r="H418" i="10"/>
  <c r="I418" i="10" s="1"/>
  <c r="J418" i="10" s="1"/>
  <c r="F419" i="10" s="1"/>
  <c r="J969" i="10"/>
  <c r="F970" i="10" s="1"/>
  <c r="H969" i="10"/>
  <c r="I969" i="10" s="1"/>
  <c r="J509" i="10"/>
  <c r="H509" i="10"/>
  <c r="I509" i="10" s="1"/>
  <c r="J4308" i="10"/>
  <c r="F4309" i="10" s="1"/>
  <c r="H4308" i="10"/>
  <c r="I4308" i="10" s="1"/>
  <c r="H4372" i="10"/>
  <c r="I4372" i="10" s="1"/>
  <c r="J4372" i="10" s="1"/>
  <c r="F4373" i="10" s="1"/>
  <c r="J3815" i="10"/>
  <c r="F3816" i="10" s="1"/>
  <c r="H3815" i="10"/>
  <c r="I3815" i="10" s="1"/>
  <c r="X46" i="9"/>
  <c r="L2576" i="10"/>
  <c r="L2577" i="10" s="1"/>
  <c r="L2578" i="10" s="1"/>
  <c r="L2579" i="10" s="1"/>
  <c r="L2580" i="10" s="1"/>
  <c r="L2581" i="10" s="1"/>
  <c r="L2582" i="10" s="1"/>
  <c r="L2583" i="10" s="1"/>
  <c r="L2584" i="10" s="1"/>
  <c r="L2585" i="10" s="1"/>
  <c r="L2586" i="10" s="1"/>
  <c r="L2587" i="10" s="1"/>
  <c r="L2588" i="10" s="1"/>
  <c r="L2589" i="10" s="1"/>
  <c r="L2590" i="10" s="1"/>
  <c r="L2591" i="10" s="1"/>
  <c r="L2592" i="10" s="1"/>
  <c r="L2593" i="10" s="1"/>
  <c r="L2594" i="10" s="1"/>
  <c r="L2595" i="10" s="1"/>
  <c r="L2596" i="10" s="1"/>
  <c r="I2576" i="10"/>
  <c r="J2576" i="10" s="1"/>
  <c r="F2577" i="10" s="1"/>
  <c r="H4127" i="10"/>
  <c r="I4127" i="10" s="1"/>
  <c r="J4127" i="10" s="1"/>
  <c r="F4128" i="10" s="1"/>
  <c r="O101" i="6"/>
  <c r="R104" i="9"/>
  <c r="I4554" i="10"/>
  <c r="J4554" i="10" s="1"/>
  <c r="F4555" i="10" s="1"/>
  <c r="H5111" i="10"/>
  <c r="O99" i="6"/>
  <c r="R102" i="9"/>
  <c r="H2831" i="10"/>
  <c r="I2831" i="10" s="1"/>
  <c r="J2831" i="10" s="1"/>
  <c r="F2832" i="10" s="1"/>
  <c r="J3255" i="10"/>
  <c r="F3256" i="10" s="1"/>
  <c r="H3255" i="10"/>
  <c r="I3255" i="10" s="1"/>
  <c r="C3719" i="10"/>
  <c r="D3718" i="10"/>
  <c r="E3718" i="10" s="1"/>
  <c r="H1806" i="10"/>
  <c r="D3821" i="10"/>
  <c r="E3821" i="10" s="1"/>
  <c r="C3822" i="10"/>
  <c r="W78" i="9"/>
  <c r="Q102" i="6"/>
  <c r="AK102" i="6" s="1"/>
  <c r="I102" i="3"/>
  <c r="T102" i="3" s="1"/>
  <c r="AQ105" i="9"/>
  <c r="I2493" i="10"/>
  <c r="J2493" i="10" s="1"/>
  <c r="F2494" i="10" s="1"/>
  <c r="L2493" i="10"/>
  <c r="I220" i="10"/>
  <c r="J220" i="10" s="1"/>
  <c r="F221" i="10" s="1"/>
  <c r="I3707" i="10"/>
  <c r="J3707" i="10" s="1"/>
  <c r="F3708" i="10" s="1"/>
  <c r="J3133" i="10"/>
  <c r="F3134" i="10" s="1"/>
  <c r="I3490" i="10"/>
  <c r="J3490" i="10" s="1"/>
  <c r="F3491" i="10" s="1"/>
  <c r="I2879" i="10"/>
  <c r="J2879" i="10" s="1"/>
  <c r="F2880" i="10" s="1"/>
  <c r="L2293" i="10"/>
  <c r="L2294" i="10" s="1"/>
  <c r="L2295" i="10" s="1"/>
  <c r="L2296" i="10" s="1"/>
  <c r="L2297" i="10" s="1"/>
  <c r="L2298" i="10" s="1"/>
  <c r="L2299" i="10" s="1"/>
  <c r="L2300" i="10" s="1"/>
  <c r="L2301" i="10" s="1"/>
  <c r="L2302" i="10" s="1"/>
  <c r="L2303" i="10" s="1"/>
  <c r="L2304" i="10" s="1"/>
  <c r="L2305" i="10" s="1"/>
  <c r="L2306" i="10" s="1"/>
  <c r="L2307" i="10" s="1"/>
  <c r="L2308" i="10" s="1"/>
  <c r="L2309" i="10" s="1"/>
  <c r="L2310" i="10" s="1"/>
  <c r="L2311" i="10" s="1"/>
  <c r="L2312" i="10" s="1"/>
  <c r="L2313" i="10" s="1"/>
  <c r="I2293" i="10"/>
  <c r="J2293" i="10" s="1"/>
  <c r="F2294" i="10" s="1"/>
  <c r="H5363" i="10"/>
  <c r="I5363" i="10" s="1"/>
  <c r="J5363" i="10" s="1"/>
  <c r="F5364" i="10" s="1"/>
  <c r="L407" i="10"/>
  <c r="I4419" i="10"/>
  <c r="J4419" i="10" s="1"/>
  <c r="F4420" i="10" s="1"/>
  <c r="L1180" i="10"/>
  <c r="J5225" i="10"/>
  <c r="F5226" i="10" s="1"/>
  <c r="H5225" i="10"/>
  <c r="I5225" i="10" s="1"/>
  <c r="I1019" i="10"/>
  <c r="J1019" i="10" s="1"/>
  <c r="F1020" i="10" s="1"/>
  <c r="C3974" i="10"/>
  <c r="D3973" i="10"/>
  <c r="E3973" i="10" s="1"/>
  <c r="I3856" i="10"/>
  <c r="J3856" i="10" s="1"/>
  <c r="F3857" i="10" s="1"/>
  <c r="I2755" i="10"/>
  <c r="J2755" i="10" s="1"/>
  <c r="F2756" i="10" s="1"/>
  <c r="I3922" i="10"/>
  <c r="J3922" i="10" s="1"/>
  <c r="F3923" i="10" s="1"/>
  <c r="L3922" i="10"/>
  <c r="L3923" i="10" s="1"/>
  <c r="L3924" i="10" s="1"/>
  <c r="L3925" i="10" s="1"/>
  <c r="L3926" i="10" s="1"/>
  <c r="L3927" i="10" s="1"/>
  <c r="L3928" i="10" s="1"/>
  <c r="L3929" i="10" s="1"/>
  <c r="L3930" i="10" s="1"/>
  <c r="L3931" i="10" s="1"/>
  <c r="L3932" i="10" s="1"/>
  <c r="L3933" i="10" s="1"/>
  <c r="I2997" i="10"/>
  <c r="J2997" i="10" s="1"/>
  <c r="F2998" i="10" s="1"/>
  <c r="H2059" i="10"/>
  <c r="I2059" i="10" s="1"/>
  <c r="J2059" i="10" s="1"/>
  <c r="F2060" i="10" s="1"/>
  <c r="L2662" i="10"/>
  <c r="L2663" i="10" s="1"/>
  <c r="L2664" i="10" s="1"/>
  <c r="L2665" i="10" s="1"/>
  <c r="L2666" i="10" s="1"/>
  <c r="L2667" i="10" s="1"/>
  <c r="L2668" i="10" s="1"/>
  <c r="L2669" i="10" s="1"/>
  <c r="L2670" i="10" s="1"/>
  <c r="L2671" i="10" s="1"/>
  <c r="L2672" i="10" s="1"/>
  <c r="L2673" i="10" s="1"/>
  <c r="L2674" i="10" s="1"/>
  <c r="L2675" i="10" s="1"/>
  <c r="L2676" i="10" s="1"/>
  <c r="L2677" i="10" s="1"/>
  <c r="L2678" i="10" s="1"/>
  <c r="L2679" i="10" s="1"/>
  <c r="L2680" i="10" s="1"/>
  <c r="L2681" i="10" s="1"/>
  <c r="S55" i="9" s="1"/>
  <c r="I2662" i="10"/>
  <c r="J2662" i="10" s="1"/>
  <c r="F2663" i="10" s="1"/>
  <c r="L3964" i="10"/>
  <c r="L3965" i="10" s="1"/>
  <c r="L3966" i="10" s="1"/>
  <c r="L3967" i="10" s="1"/>
  <c r="L3968" i="10" s="1"/>
  <c r="L3969" i="10" s="1"/>
  <c r="L3970" i="10" s="1"/>
  <c r="L3971" i="10" s="1"/>
  <c r="L3972" i="10" s="1"/>
  <c r="L3973" i="10" s="1"/>
  <c r="L3974" i="10" s="1"/>
  <c r="L3975" i="10" s="1"/>
  <c r="I3964" i="10"/>
  <c r="J3964" i="10" s="1"/>
  <c r="F3965" i="10" s="1"/>
  <c r="N561" i="10"/>
  <c r="W51" i="9"/>
  <c r="N290" i="10"/>
  <c r="K9" i="9"/>
  <c r="J6" i="6" s="1"/>
  <c r="I3773" i="10"/>
  <c r="J3773" i="10" s="1"/>
  <c r="F3774" i="10" s="1"/>
  <c r="I1399" i="10"/>
  <c r="J1399" i="10" s="1"/>
  <c r="F1400" i="10" s="1"/>
  <c r="H3385" i="10"/>
  <c r="L3088" i="10"/>
  <c r="L3089" i="10" s="1"/>
  <c r="L3090" i="10" s="1"/>
  <c r="L3091" i="10" s="1"/>
  <c r="L3092" i="10" s="1"/>
  <c r="L3093" i="10" s="1"/>
  <c r="L3094" i="10" s="1"/>
  <c r="L3095" i="10" s="1"/>
  <c r="L3096" i="10" s="1"/>
  <c r="L3097" i="10" s="1"/>
  <c r="L3098" i="10" s="1"/>
  <c r="L3099" i="10" s="1"/>
  <c r="L3100" i="10" s="1"/>
  <c r="L3101" i="10" s="1"/>
  <c r="L3102" i="10" s="1"/>
  <c r="L3103" i="10" s="1"/>
  <c r="L3104" i="10" s="1"/>
  <c r="I3088" i="10"/>
  <c r="J3088" i="10" s="1"/>
  <c r="F3089" i="10" s="1"/>
  <c r="H5146" i="10"/>
  <c r="L1183" i="10"/>
  <c r="C3650" i="10"/>
  <c r="D3649" i="10"/>
  <c r="E3649" i="10" s="1"/>
  <c r="L1798" i="10"/>
  <c r="I5430" i="10"/>
  <c r="J5430" i="10" s="1"/>
  <c r="F5431" i="10" s="1"/>
  <c r="H1311" i="10"/>
  <c r="I1311" i="10" s="1"/>
  <c r="J1311" i="10" s="1"/>
  <c r="F1312" i="10" s="1"/>
  <c r="L2252" i="10"/>
  <c r="L2253" i="10" s="1"/>
  <c r="L2254" i="10" s="1"/>
  <c r="L2255" i="10" s="1"/>
  <c r="L2256" i="10" s="1"/>
  <c r="L2257" i="10" s="1"/>
  <c r="L2258" i="10" s="1"/>
  <c r="L2259" i="10" s="1"/>
  <c r="L2260" i="10" s="1"/>
  <c r="L2261" i="10" s="1"/>
  <c r="L2262" i="10" s="1"/>
  <c r="L2263" i="10" s="1"/>
  <c r="L2264" i="10" s="1"/>
  <c r="L2265" i="10" s="1"/>
  <c r="L2266" i="10" s="1"/>
  <c r="L2267" i="10" s="1"/>
  <c r="L2268" i="10" s="1"/>
  <c r="L2269" i="10" s="1"/>
  <c r="L2270" i="10" s="1"/>
  <c r="L2271" i="10" s="1"/>
  <c r="L2272" i="10" s="1"/>
  <c r="I2252" i="10"/>
  <c r="J2252" i="10" s="1"/>
  <c r="F2253" i="10" s="1"/>
  <c r="L2495" i="10"/>
  <c r="L2496" i="10" s="1"/>
  <c r="L2497" i="10" s="1"/>
  <c r="L2498" i="10" s="1"/>
  <c r="L2499" i="10" s="1"/>
  <c r="L2500" i="10" s="1"/>
  <c r="L2501" i="10" s="1"/>
  <c r="L2502" i="10" s="1"/>
  <c r="L2503" i="10" s="1"/>
  <c r="L2504" i="10" s="1"/>
  <c r="L2505" i="10" s="1"/>
  <c r="L2506" i="10" s="1"/>
  <c r="L2507" i="10" s="1"/>
  <c r="L2508" i="10" s="1"/>
  <c r="L2509" i="10" s="1"/>
  <c r="L2510" i="10" s="1"/>
  <c r="L2511" i="10" s="1"/>
  <c r="L2512" i="10" s="1"/>
  <c r="L2513" i="10" s="1"/>
  <c r="C3782" i="10"/>
  <c r="D3781" i="10"/>
  <c r="E3781" i="10" s="1"/>
  <c r="W50" i="9"/>
  <c r="X50" i="9" s="1"/>
  <c r="Y50" i="9" s="1"/>
  <c r="C3864" i="10"/>
  <c r="D3863" i="10"/>
  <c r="E3863" i="10" s="1"/>
  <c r="I2404" i="10"/>
  <c r="J2404" i="10" s="1"/>
  <c r="F2405" i="10" s="1"/>
  <c r="H1643" i="10"/>
  <c r="I1643" i="10" s="1"/>
  <c r="J1643" i="10"/>
  <c r="F1644" i="10" s="1"/>
  <c r="H772" i="10"/>
  <c r="G2334" i="10"/>
  <c r="I2334" i="10" s="1"/>
  <c r="J2334" i="10" s="1"/>
  <c r="F2335" i="10" s="1"/>
  <c r="L2334" i="10"/>
  <c r="Y46" i="9"/>
  <c r="I259" i="10"/>
  <c r="J259" i="10" s="1"/>
  <c r="F260" i="10" s="1"/>
  <c r="I928" i="10"/>
  <c r="J928" i="10" s="1"/>
  <c r="F929" i="10" s="1"/>
  <c r="J2952" i="10"/>
  <c r="F2953" i="10" s="1"/>
  <c r="H2952" i="10"/>
  <c r="I5017" i="10"/>
  <c r="J5017" i="10" s="1"/>
  <c r="F5018" i="10" s="1"/>
  <c r="I2326" i="10"/>
  <c r="H3280" i="10"/>
  <c r="I3280" i="10" s="1"/>
  <c r="J3280" i="10" s="1"/>
  <c r="F3281" i="10" s="1"/>
  <c r="J3556" i="10"/>
  <c r="F3557" i="10" s="1"/>
  <c r="H3556" i="10"/>
  <c r="I3556" i="10" s="1"/>
  <c r="W62" i="9"/>
  <c r="H4245" i="10"/>
  <c r="I4245" i="10" s="1"/>
  <c r="J4245" i="10" s="1"/>
  <c r="F4246" i="10" s="1"/>
  <c r="L1182" i="10"/>
  <c r="L1179" i="10"/>
  <c r="I1179" i="10"/>
  <c r="J1179" i="10" s="1"/>
  <c r="F1180" i="10" s="1"/>
  <c r="I4784" i="10"/>
  <c r="J4784" i="10" s="1"/>
  <c r="F4785" i="10" s="1"/>
  <c r="L2152" i="10"/>
  <c r="H633" i="10"/>
  <c r="I633" i="10" s="1"/>
  <c r="J633" i="10"/>
  <c r="F634" i="10" s="1"/>
  <c r="H4189" i="10"/>
  <c r="I4606" i="10"/>
  <c r="J4606" i="10" s="1"/>
  <c r="F4607" i="10" s="1"/>
  <c r="I4911" i="10"/>
  <c r="J4911" i="10" s="1"/>
  <c r="F4912" i="10" s="1"/>
  <c r="J377" i="10"/>
  <c r="F378" i="10" s="1"/>
  <c r="H377" i="10"/>
  <c r="I377" i="10" s="1"/>
  <c r="H2022" i="10"/>
  <c r="I2022" i="10" s="1"/>
  <c r="J2022" i="10" s="1"/>
  <c r="F2023" i="10" s="1"/>
  <c r="J1603" i="10"/>
  <c r="F1604" i="10" s="1"/>
  <c r="H1603" i="10"/>
  <c r="I1603" i="10" s="1"/>
  <c r="I3319" i="10"/>
  <c r="J3319" i="10" s="1"/>
  <c r="F3320" i="10" s="1"/>
  <c r="H298" i="10"/>
  <c r="I1930" i="10"/>
  <c r="J1930" i="10" s="1"/>
  <c r="F1931" i="10" s="1"/>
  <c r="L1930" i="10"/>
  <c r="L1931" i="10" s="1"/>
  <c r="L1932" i="10" s="1"/>
  <c r="L1933" i="10" s="1"/>
  <c r="L1934" i="10" s="1"/>
  <c r="L1935" i="10" s="1"/>
  <c r="L1936" i="10" s="1"/>
  <c r="L1937" i="10" s="1"/>
  <c r="L1938" i="10" s="1"/>
  <c r="L1939" i="10" s="1"/>
  <c r="L1940" i="10" s="1"/>
  <c r="L1941" i="10" s="1"/>
  <c r="L1942" i="10" s="1"/>
  <c r="L1943" i="10" s="1"/>
  <c r="L1944" i="10" s="1"/>
  <c r="L1945" i="10" s="1"/>
  <c r="L1946" i="10" s="1"/>
  <c r="L1947" i="10" s="1"/>
  <c r="L1948" i="10" s="1"/>
  <c r="L1949" i="10" s="1"/>
  <c r="J3598" i="10"/>
  <c r="F3599" i="10" s="1"/>
  <c r="H3598" i="10"/>
  <c r="I3598" i="10" s="1"/>
  <c r="L2452" i="10"/>
  <c r="L2453" i="10" s="1"/>
  <c r="L2454" i="10" s="1"/>
  <c r="L2455" i="10" s="1"/>
  <c r="L2456" i="10" s="1"/>
  <c r="L2457" i="10" s="1"/>
  <c r="L2458" i="10" s="1"/>
  <c r="L2459" i="10" s="1"/>
  <c r="L2460" i="10" s="1"/>
  <c r="L2461" i="10" s="1"/>
  <c r="L2462" i="10" s="1"/>
  <c r="L2463" i="10" s="1"/>
  <c r="L2464" i="10" s="1"/>
  <c r="L2465" i="10" s="1"/>
  <c r="L2466" i="10" s="1"/>
  <c r="L2467" i="10" s="1"/>
  <c r="L2468" i="10" s="1"/>
  <c r="L2469" i="10" s="1"/>
  <c r="L2470" i="10" s="1"/>
  <c r="L2471" i="10" s="1"/>
  <c r="L2472" i="10" s="1"/>
  <c r="I2452" i="10"/>
  <c r="J2452" i="10" s="1"/>
  <c r="F2453" i="10" s="1"/>
  <c r="L1184" i="10"/>
  <c r="L1185" i="10" s="1"/>
  <c r="L1186" i="10" s="1"/>
  <c r="L1187" i="10" s="1"/>
  <c r="L1188" i="10" s="1"/>
  <c r="L1189" i="10" s="1"/>
  <c r="L1190" i="10" s="1"/>
  <c r="L1191" i="10" s="1"/>
  <c r="L1192" i="10" s="1"/>
  <c r="L1193" i="10" s="1"/>
  <c r="L1194" i="10" s="1"/>
  <c r="L1195" i="10" s="1"/>
  <c r="L1196" i="10" s="1"/>
  <c r="L1197" i="10" s="1"/>
  <c r="L1198" i="10" s="1"/>
  <c r="L1199" i="10" s="1"/>
  <c r="F1200" i="10" s="1"/>
  <c r="I569" i="10"/>
  <c r="J569" i="10" s="1"/>
  <c r="F570" i="10" s="1"/>
  <c r="J1683" i="10"/>
  <c r="F1684" i="10" s="1"/>
  <c r="H1683" i="10"/>
  <c r="I1683" i="10" s="1"/>
  <c r="L2212" i="10"/>
  <c r="L2213" i="10" s="1"/>
  <c r="L2214" i="10" s="1"/>
  <c r="L2215" i="10" s="1"/>
  <c r="L2216" i="10" s="1"/>
  <c r="L2217" i="10" s="1"/>
  <c r="L2218" i="10" s="1"/>
  <c r="L2219" i="10" s="1"/>
  <c r="L2220" i="10" s="1"/>
  <c r="L2221" i="10" s="1"/>
  <c r="L2222" i="10" s="1"/>
  <c r="L2223" i="10" s="1"/>
  <c r="L2224" i="10" s="1"/>
  <c r="L2225" i="10" s="1"/>
  <c r="L2226" i="10" s="1"/>
  <c r="L2227" i="10" s="1"/>
  <c r="L2228" i="10" s="1"/>
  <c r="L2229" i="10" s="1"/>
  <c r="L2230" i="10" s="1"/>
  <c r="L2231" i="10" s="1"/>
  <c r="L2232" i="10" s="1"/>
  <c r="I2212" i="10"/>
  <c r="J2212" i="10" s="1"/>
  <c r="F2213" i="10" s="1"/>
  <c r="H2710" i="10"/>
  <c r="I2710" i="10" s="1"/>
  <c r="J2710" i="10" s="1"/>
  <c r="F2711" i="10" s="1"/>
  <c r="I1720" i="10"/>
  <c r="J1720" i="10" s="1"/>
  <c r="F1721" i="10" s="1"/>
  <c r="N764" i="10"/>
  <c r="D3930" i="10"/>
  <c r="E3930" i="10" s="1"/>
  <c r="C3931" i="10"/>
  <c r="L2494" i="10"/>
  <c r="J21" i="10"/>
  <c r="F22" i="10" s="1"/>
  <c r="H21" i="10"/>
  <c r="I21" i="10" s="1"/>
  <c r="H2538" i="10"/>
  <c r="I2538" i="10" s="1"/>
  <c r="J2538" i="10" s="1"/>
  <c r="F2539" i="10" s="1"/>
  <c r="L1181" i="10"/>
  <c r="H3642" i="10"/>
  <c r="I3642" i="10" s="1"/>
  <c r="J3642" i="10"/>
  <c r="F3643" i="10" s="1"/>
  <c r="O2745" i="10"/>
  <c r="H1103" i="10" l="1"/>
  <c r="I1103" i="10" s="1"/>
  <c r="J1103" i="10" s="1"/>
  <c r="F1104" i="10" s="1"/>
  <c r="H2711" i="10"/>
  <c r="I2711" i="10" s="1"/>
  <c r="J2711" i="10" s="1"/>
  <c r="F2712" i="10" s="1"/>
  <c r="G1371" i="10"/>
  <c r="G1367" i="10"/>
  <c r="G1363" i="10"/>
  <c r="G1359" i="10"/>
  <c r="G1355" i="10"/>
  <c r="G1351" i="10"/>
  <c r="G1347" i="10"/>
  <c r="G1343" i="10"/>
  <c r="G1339" i="10"/>
  <c r="G1335" i="10"/>
  <c r="G1331" i="10"/>
  <c r="G1327" i="10"/>
  <c r="G1323" i="10"/>
  <c r="G1319" i="10"/>
  <c r="G1366" i="10"/>
  <c r="G1334" i="10"/>
  <c r="G1346" i="10"/>
  <c r="G1358" i="10"/>
  <c r="G1326" i="10"/>
  <c r="G1370" i="10"/>
  <c r="G1338" i="10"/>
  <c r="G1350" i="10"/>
  <c r="G1318" i="10"/>
  <c r="G1362" i="10"/>
  <c r="G1330" i="10"/>
  <c r="G1374" i="10"/>
  <c r="G1342" i="10"/>
  <c r="G1354" i="10"/>
  <c r="G1322" i="10"/>
  <c r="G1345" i="10"/>
  <c r="G1348" i="10"/>
  <c r="G1349" i="10"/>
  <c r="G1320" i="10"/>
  <c r="G1352" i="10"/>
  <c r="G1321" i="10"/>
  <c r="G1353" i="10"/>
  <c r="G1324" i="10"/>
  <c r="G1356" i="10"/>
  <c r="G1325" i="10"/>
  <c r="G1357" i="10"/>
  <c r="G1328" i="10"/>
  <c r="G1360" i="10"/>
  <c r="G1361" i="10"/>
  <c r="G1332" i="10"/>
  <c r="G1329" i="10"/>
  <c r="G1364" i="10"/>
  <c r="G1333" i="10"/>
  <c r="G1365" i="10"/>
  <c r="G1336" i="10"/>
  <c r="G1368" i="10"/>
  <c r="G1337" i="10"/>
  <c r="G1369" i="10"/>
  <c r="H1312" i="10"/>
  <c r="I1312" i="10" s="1"/>
  <c r="J1312" i="10" s="1"/>
  <c r="F1313" i="10" s="1"/>
  <c r="G1340" i="10"/>
  <c r="G1372" i="10"/>
  <c r="G1341" i="10"/>
  <c r="G1373" i="10"/>
  <c r="G1344" i="10"/>
  <c r="H4853" i="10"/>
  <c r="H3454" i="10"/>
  <c r="I3454" i="10" s="1"/>
  <c r="J3454" i="10" s="1"/>
  <c r="F3455" i="10" s="1"/>
  <c r="J892" i="10"/>
  <c r="F893" i="10" s="1"/>
  <c r="H892" i="10"/>
  <c r="I892" i="10" s="1"/>
  <c r="H2832" i="10"/>
  <c r="I2832" i="10" s="1"/>
  <c r="J2832" i="10" s="1"/>
  <c r="F2833" i="10" s="1"/>
  <c r="J5431" i="10"/>
  <c r="F5432" i="10" s="1"/>
  <c r="H5431" i="10"/>
  <c r="I5431" i="10" s="1"/>
  <c r="H272" i="10"/>
  <c r="I272" i="10" s="1"/>
  <c r="J272" i="10" s="1"/>
  <c r="F273" i="10" s="1"/>
  <c r="J1769" i="10"/>
  <c r="F1770" i="10" s="1"/>
  <c r="H1769" i="10"/>
  <c r="I1769" i="10" s="1"/>
  <c r="J3281" i="10"/>
  <c r="F3282" i="10" s="1"/>
  <c r="H3281" i="10"/>
  <c r="I3281" i="10" s="1"/>
  <c r="G5401" i="10"/>
  <c r="G5393" i="10"/>
  <c r="G5385" i="10"/>
  <c r="G5402" i="10"/>
  <c r="G5394" i="10"/>
  <c r="G5386" i="10"/>
  <c r="G5404" i="10"/>
  <c r="G5396" i="10"/>
  <c r="G5388" i="10"/>
  <c r="G5380" i="10"/>
  <c r="G5405" i="10"/>
  <c r="G5400" i="10"/>
  <c r="G5390" i="10"/>
  <c r="G5377" i="10"/>
  <c r="G5369" i="10"/>
  <c r="G5403" i="10"/>
  <c r="G5383" i="10"/>
  <c r="G5378" i="10"/>
  <c r="G5370" i="10"/>
  <c r="G5398" i="10"/>
  <c r="G5379" i="10"/>
  <c r="G5371" i="10"/>
  <c r="H5364" i="10"/>
  <c r="G5391" i="10"/>
  <c r="G5372" i="10"/>
  <c r="G5364" i="10"/>
  <c r="G5389" i="10"/>
  <c r="G5384" i="10"/>
  <c r="G5373" i="10"/>
  <c r="G5365" i="10"/>
  <c r="G5397" i="10"/>
  <c r="G5392" i="10"/>
  <c r="G5375" i="10"/>
  <c r="G5367" i="10"/>
  <c r="G5381" i="10"/>
  <c r="G5368" i="10"/>
  <c r="G5374" i="10"/>
  <c r="G5387" i="10"/>
  <c r="G5376" i="10"/>
  <c r="G5382" i="10"/>
  <c r="G5395" i="10"/>
  <c r="G5366" i="10"/>
  <c r="G5399" i="10"/>
  <c r="J1255" i="10"/>
  <c r="F1256" i="10" s="1"/>
  <c r="H1255" i="10"/>
  <c r="I1255" i="10" s="1"/>
  <c r="H5499" i="10"/>
  <c r="I5499" i="10" s="1"/>
  <c r="J5499" i="10" s="1"/>
  <c r="F5500" i="10" s="1"/>
  <c r="J1976" i="10"/>
  <c r="F1977" i="10" s="1"/>
  <c r="H1976" i="10"/>
  <c r="I1976" i="10" s="1"/>
  <c r="H419" i="10"/>
  <c r="I419" i="10" s="1"/>
  <c r="J419" i="10" s="1"/>
  <c r="F420" i="10" s="1"/>
  <c r="H5306" i="10"/>
  <c r="I5306" i="10" s="1"/>
  <c r="J5306" i="10" s="1"/>
  <c r="F5307" i="10" s="1"/>
  <c r="J4074" i="10"/>
  <c r="F4075" i="10" s="1"/>
  <c r="H4074" i="10"/>
  <c r="I4074" i="10" s="1"/>
  <c r="H1146" i="10"/>
  <c r="I1146" i="10" s="1"/>
  <c r="J1146" i="10" s="1"/>
  <c r="F1147" i="10" s="1"/>
  <c r="H1062" i="10"/>
  <c r="I1062" i="10" s="1"/>
  <c r="J1062" i="10" s="1"/>
  <c r="F1063" i="10" s="1"/>
  <c r="H2023" i="10"/>
  <c r="I2023" i="10" s="1"/>
  <c r="J2023" i="10" s="1"/>
  <c r="F2024" i="10" s="1"/>
  <c r="J2060" i="10"/>
  <c r="F2061" i="10" s="1"/>
  <c r="H2060" i="10"/>
  <c r="I2060" i="10" s="1"/>
  <c r="H4373" i="10"/>
  <c r="H4980" i="10"/>
  <c r="J2109" i="10"/>
  <c r="F2110" i="10" s="1"/>
  <c r="H2109" i="10"/>
  <c r="I2109" i="10" s="1"/>
  <c r="H4748" i="10"/>
  <c r="I4748" i="10" s="1"/>
  <c r="J4748" i="10" s="1"/>
  <c r="F4749" i="10" s="1"/>
  <c r="H1886" i="10"/>
  <c r="I1886" i="10" s="1"/>
  <c r="J1886" i="10" s="1"/>
  <c r="F1887" i="10" s="1"/>
  <c r="H4008" i="10"/>
  <c r="I4008" i="10" s="1"/>
  <c r="J4008" i="10"/>
  <c r="F4009" i="10" s="1"/>
  <c r="H2153" i="10"/>
  <c r="G2153" i="10" s="1"/>
  <c r="I2153" i="10" s="1"/>
  <c r="J2153" i="10" s="1"/>
  <c r="F2154" i="10" s="1"/>
  <c r="H1564" i="10"/>
  <c r="I1564" i="10" s="1"/>
  <c r="J1564" i="10" s="1"/>
  <c r="F1565" i="10" s="1"/>
  <c r="H2539" i="10"/>
  <c r="I2539" i="10" s="1"/>
  <c r="J2539" i="10"/>
  <c r="F2540" i="10" s="1"/>
  <c r="H4246" i="10"/>
  <c r="I4246" i="10" s="1"/>
  <c r="J4246" i="10" s="1"/>
  <c r="F4247" i="10" s="1"/>
  <c r="H4128" i="10"/>
  <c r="I4128" i="10" s="1"/>
  <c r="J4128" i="10" s="1"/>
  <c r="F4129" i="10" s="1"/>
  <c r="G520" i="10"/>
  <c r="G519" i="10"/>
  <c r="H518" i="10"/>
  <c r="G518" i="10"/>
  <c r="J1525" i="10"/>
  <c r="F1526" i="10" s="1"/>
  <c r="H1525" i="10"/>
  <c r="I1525" i="10" s="1"/>
  <c r="J3491" i="10"/>
  <c r="F3492" i="10" s="1"/>
  <c r="H3491" i="10"/>
  <c r="I3491" i="10" s="1"/>
  <c r="H4309" i="10"/>
  <c r="I58" i="10"/>
  <c r="J58" i="10" s="1"/>
  <c r="F59" i="10" s="1"/>
  <c r="L58" i="10"/>
  <c r="L59" i="10" s="1"/>
  <c r="H2453" i="10"/>
  <c r="I2453" i="10" s="1"/>
  <c r="J2453" i="10"/>
  <c r="F2454" i="10" s="1"/>
  <c r="I4189" i="10"/>
  <c r="J4189" i="10" s="1"/>
  <c r="F4190" i="10" s="1"/>
  <c r="I772" i="10"/>
  <c r="J772" i="10" s="1"/>
  <c r="F773" i="10" s="1"/>
  <c r="H2663" i="10"/>
  <c r="I2663" i="10" s="1"/>
  <c r="J2663" i="10"/>
  <c r="F2664" i="10" s="1"/>
  <c r="H3134" i="10"/>
  <c r="I3134" i="10" s="1"/>
  <c r="H4682" i="10"/>
  <c r="H3174" i="10"/>
  <c r="I3174" i="10" s="1"/>
  <c r="J3174" i="10" s="1"/>
  <c r="F3175" i="10" s="1"/>
  <c r="L2153" i="10"/>
  <c r="H4785" i="10"/>
  <c r="I4785" i="10" s="1"/>
  <c r="J4785" i="10" s="1"/>
  <c r="F4786" i="10" s="1"/>
  <c r="H5018" i="10"/>
  <c r="I5018" i="10" s="1"/>
  <c r="J5018" i="10" s="1"/>
  <c r="F5019" i="10" s="1"/>
  <c r="H2253" i="10"/>
  <c r="I2253" i="10" s="1"/>
  <c r="J2253" i="10"/>
  <c r="F2254" i="10" s="1"/>
  <c r="D3650" i="10"/>
  <c r="E3650" i="10" s="1"/>
  <c r="C3651" i="10"/>
  <c r="G5146" i="10"/>
  <c r="H3774" i="10"/>
  <c r="I3774" i="10" s="1"/>
  <c r="J3774" i="10"/>
  <c r="F3775" i="10" s="1"/>
  <c r="U55" i="9"/>
  <c r="R52" i="6"/>
  <c r="H2756" i="10"/>
  <c r="I2756" i="10" s="1"/>
  <c r="J2756" i="10" s="1"/>
  <c r="F2757" i="10" s="1"/>
  <c r="G5259" i="10"/>
  <c r="G5227" i="10"/>
  <c r="G5272" i="10"/>
  <c r="G5240" i="10"/>
  <c r="G5266" i="10"/>
  <c r="G5234" i="10"/>
  <c r="G5233" i="10"/>
  <c r="G5231" i="10"/>
  <c r="G5255" i="10"/>
  <c r="G5268" i="10"/>
  <c r="G5236" i="10"/>
  <c r="G5262" i="10"/>
  <c r="G5230" i="10"/>
  <c r="G5265" i="10"/>
  <c r="G5251" i="10"/>
  <c r="G5264" i="10"/>
  <c r="G5232" i="10"/>
  <c r="G5258" i="10"/>
  <c r="G5261" i="10"/>
  <c r="G5270" i="10"/>
  <c r="G5279" i="10"/>
  <c r="G5247" i="10"/>
  <c r="G5260" i="10"/>
  <c r="G5228" i="10"/>
  <c r="G5277" i="10"/>
  <c r="G5254" i="10"/>
  <c r="G5253" i="10"/>
  <c r="G5241" i="10"/>
  <c r="G5269" i="10"/>
  <c r="G5276" i="10"/>
  <c r="G5249" i="10"/>
  <c r="G5275" i="10"/>
  <c r="G5243" i="10"/>
  <c r="G5256" i="10"/>
  <c r="G5273" i="10"/>
  <c r="G5250" i="10"/>
  <c r="G5263" i="10"/>
  <c r="G5271" i="10"/>
  <c r="G5239" i="10"/>
  <c r="G5252" i="10"/>
  <c r="G5278" i="10"/>
  <c r="G5246" i="10"/>
  <c r="G5229" i="10"/>
  <c r="G5245" i="10"/>
  <c r="H5226" i="10"/>
  <c r="G5238" i="10"/>
  <c r="G5267" i="10"/>
  <c r="G5235" i="10"/>
  <c r="G5248" i="10"/>
  <c r="G5274" i="10"/>
  <c r="G5242" i="10"/>
  <c r="G5226" i="10"/>
  <c r="G5237" i="10"/>
  <c r="G5244" i="10"/>
  <c r="G5257" i="10"/>
  <c r="J5573" i="10"/>
  <c r="F5574" i="10" s="1"/>
  <c r="H5573" i="10"/>
  <c r="I5573" i="10" s="1"/>
  <c r="T99" i="9"/>
  <c r="P99" i="9"/>
  <c r="I5071" i="10"/>
  <c r="J5071" i="10" s="1"/>
  <c r="F5072" i="10" s="1"/>
  <c r="H1684" i="10"/>
  <c r="I1684" i="10" s="1"/>
  <c r="J1684" i="10" s="1"/>
  <c r="F1685" i="10" s="1"/>
  <c r="H22" i="10"/>
  <c r="G22" i="10"/>
  <c r="C3932" i="10"/>
  <c r="D3931" i="10"/>
  <c r="E3931" i="10" s="1"/>
  <c r="H1180" i="10"/>
  <c r="I1180" i="10" s="1"/>
  <c r="J1180" i="10" s="1"/>
  <c r="F1181" i="10" s="1"/>
  <c r="L2335" i="10"/>
  <c r="C3865" i="10"/>
  <c r="D3864" i="10"/>
  <c r="E3864" i="10" s="1"/>
  <c r="J4420" i="10"/>
  <c r="F4421" i="10" s="1"/>
  <c r="H4420" i="10"/>
  <c r="I4420" i="10" s="1"/>
  <c r="J2294" i="10"/>
  <c r="F2295" i="10" s="1"/>
  <c r="H2294" i="10"/>
  <c r="I2294" i="10" s="1"/>
  <c r="I1806" i="10"/>
  <c r="J1806" i="10" s="1"/>
  <c r="F1807" i="10" s="1"/>
  <c r="H713" i="10"/>
  <c r="J713" i="10"/>
  <c r="F714" i="10" s="1"/>
  <c r="N700" i="10"/>
  <c r="H3643" i="10"/>
  <c r="I3643" i="10" s="1"/>
  <c r="J3643" i="10"/>
  <c r="F3644" i="10" s="1"/>
  <c r="I298" i="10"/>
  <c r="J298" i="10" s="1"/>
  <c r="F299" i="10" s="1"/>
  <c r="H3923" i="10"/>
  <c r="I3923" i="10" s="1"/>
  <c r="J3923" i="10"/>
  <c r="F3924" i="10" s="1"/>
  <c r="H2213" i="10"/>
  <c r="I2213" i="10" s="1"/>
  <c r="J2213" i="10" s="1"/>
  <c r="F2214" i="10" s="1"/>
  <c r="H378" i="10"/>
  <c r="I378" i="10" s="1"/>
  <c r="J378" i="10" s="1"/>
  <c r="F379" i="10" s="1"/>
  <c r="H3557" i="10"/>
  <c r="I3557" i="10" s="1"/>
  <c r="J3557" i="10" s="1"/>
  <c r="F3558" i="10" s="1"/>
  <c r="H2335" i="10"/>
  <c r="G2335" i="10" s="1"/>
  <c r="I2335" i="10" s="1"/>
  <c r="J2335" i="10" s="1"/>
  <c r="F2336" i="10" s="1"/>
  <c r="H1644" i="10"/>
  <c r="I1644" i="10" s="1"/>
  <c r="J1644" i="10"/>
  <c r="F1645" i="10" s="1"/>
  <c r="C3783" i="10"/>
  <c r="D3783" i="10" s="1"/>
  <c r="E3783" i="10" s="1"/>
  <c r="D3782" i="10"/>
  <c r="E3782" i="10" s="1"/>
  <c r="H3965" i="10"/>
  <c r="I3965" i="10" s="1"/>
  <c r="J3965" i="10" s="1"/>
  <c r="F3966" i="10" s="1"/>
  <c r="H2998" i="10"/>
  <c r="I2998" i="10" s="1"/>
  <c r="J2998" i="10" s="1"/>
  <c r="F2999" i="10" s="1"/>
  <c r="H3857" i="10"/>
  <c r="I3857" i="10" s="1"/>
  <c r="J3857" i="10" s="1"/>
  <c r="F3858" i="10" s="1"/>
  <c r="M407" i="10"/>
  <c r="J3708" i="10"/>
  <c r="F3709" i="10" s="1"/>
  <c r="H3708" i="10"/>
  <c r="I3708" i="10" s="1"/>
  <c r="C3823" i="10"/>
  <c r="D3822" i="10"/>
  <c r="E3822" i="10" s="1"/>
  <c r="J851" i="10"/>
  <c r="F852" i="10" s="1"/>
  <c r="H851" i="10"/>
  <c r="I851" i="10" s="1"/>
  <c r="H2623" i="10"/>
  <c r="I2623" i="10" s="1"/>
  <c r="J2623" i="10" s="1"/>
  <c r="F2624" i="10" s="1"/>
  <c r="J260" i="10"/>
  <c r="L260" i="10" s="1"/>
  <c r="H260" i="10"/>
  <c r="I260" i="10" s="1"/>
  <c r="J3089" i="10"/>
  <c r="F3090" i="10" s="1"/>
  <c r="H3089" i="10"/>
  <c r="I3089" i="10" s="1"/>
  <c r="I3385" i="10"/>
  <c r="J3385" i="10" s="1"/>
  <c r="F3386" i="10" s="1"/>
  <c r="I4448" i="10"/>
  <c r="J4448" i="10" s="1"/>
  <c r="F4449" i="10" s="1"/>
  <c r="J1604" i="10"/>
  <c r="F1605" i="10" s="1"/>
  <c r="H1604" i="10"/>
  <c r="I1604" i="10" s="1"/>
  <c r="J1400" i="10"/>
  <c r="F1401" i="10" s="1"/>
  <c r="H1400" i="10"/>
  <c r="I1400" i="10" s="1"/>
  <c r="J2494" i="10"/>
  <c r="F2495" i="10" s="1"/>
  <c r="H2494" i="10"/>
  <c r="I2494" i="10" s="1"/>
  <c r="J3256" i="10"/>
  <c r="F3257" i="10" s="1"/>
  <c r="H3256" i="10"/>
  <c r="I3256" i="10" s="1"/>
  <c r="H3816" i="10"/>
  <c r="I3816" i="10" s="1"/>
  <c r="J3816" i="10" s="1"/>
  <c r="F3817" i="10" s="1"/>
  <c r="J570" i="10"/>
  <c r="F571" i="10" s="1"/>
  <c r="H570" i="10"/>
  <c r="I570" i="10" s="1"/>
  <c r="H3599" i="10"/>
  <c r="I3599" i="10" s="1"/>
  <c r="J3599" i="10" s="1"/>
  <c r="F3600" i="10" s="1"/>
  <c r="J3320" i="10"/>
  <c r="F3321" i="10" s="1"/>
  <c r="H3320" i="10"/>
  <c r="I3320" i="10" s="1"/>
  <c r="J4912" i="10"/>
  <c r="F4913" i="10" s="1"/>
  <c r="H4912" i="10"/>
  <c r="I4912" i="10" s="1"/>
  <c r="J4607" i="10"/>
  <c r="F4608" i="10" s="1"/>
  <c r="H4607" i="10"/>
  <c r="I4607" i="10" s="1"/>
  <c r="J634" i="10"/>
  <c r="F635" i="10" s="1"/>
  <c r="H634" i="10"/>
  <c r="I634" i="10" s="1"/>
  <c r="J2326" i="10"/>
  <c r="H2953" i="10"/>
  <c r="J2953" i="10"/>
  <c r="F2954" i="10" s="1"/>
  <c r="H929" i="10"/>
  <c r="I929" i="10" s="1"/>
  <c r="J929" i="10" s="1"/>
  <c r="F930" i="10" s="1"/>
  <c r="H2405" i="10"/>
  <c r="I2405" i="10" s="1"/>
  <c r="J2405" i="10" s="1"/>
  <c r="F2406" i="10" s="1"/>
  <c r="C3975" i="10"/>
  <c r="D3974" i="10"/>
  <c r="E3974" i="10" s="1"/>
  <c r="J2880" i="10"/>
  <c r="F2881" i="10" s="1"/>
  <c r="H2880" i="10"/>
  <c r="I2880" i="10" s="1"/>
  <c r="J221" i="10"/>
  <c r="F222" i="10" s="1"/>
  <c r="H221" i="10"/>
  <c r="I221" i="10" s="1"/>
  <c r="C3720" i="10"/>
  <c r="D3719" i="10"/>
  <c r="E3719" i="10" s="1"/>
  <c r="I5111" i="10"/>
  <c r="J5111" i="10" s="1"/>
  <c r="F5112" i="10" s="1"/>
  <c r="P100" i="9"/>
  <c r="J4555" i="10"/>
  <c r="F4556" i="10" s="1"/>
  <c r="H4555" i="10"/>
  <c r="I4555" i="10" s="1"/>
  <c r="H1455" i="10"/>
  <c r="I1455" i="10" s="1"/>
  <c r="J1455" i="10" s="1"/>
  <c r="F1456" i="10" s="1"/>
  <c r="I4519" i="10"/>
  <c r="P89" i="9"/>
  <c r="J1200" i="10"/>
  <c r="F1201" i="10" s="1"/>
  <c r="H1200" i="10"/>
  <c r="I1200" i="10" s="1"/>
  <c r="X51" i="9"/>
  <c r="Y51" i="9"/>
  <c r="J1020" i="10"/>
  <c r="F1021" i="10" s="1"/>
  <c r="H1020" i="10"/>
  <c r="I1020" i="10" s="1"/>
  <c r="J1721" i="10"/>
  <c r="F1722" i="10" s="1"/>
  <c r="H1721" i="10"/>
  <c r="I1721" i="10" s="1"/>
  <c r="H1931" i="10"/>
  <c r="I1931" i="10" s="1"/>
  <c r="J1931" i="10" s="1"/>
  <c r="F1932" i="10" s="1"/>
  <c r="P2745" i="10"/>
  <c r="Q99" i="6"/>
  <c r="AK99" i="6" s="1"/>
  <c r="I99" i="3"/>
  <c r="T99" i="3" s="1"/>
  <c r="AQ102" i="9"/>
  <c r="Q101" i="6"/>
  <c r="AK101" i="6" s="1"/>
  <c r="I101" i="3"/>
  <c r="T101" i="3" s="1"/>
  <c r="AQ104" i="9"/>
  <c r="H2577" i="10"/>
  <c r="I2577" i="10" s="1"/>
  <c r="J2577" i="10" s="1"/>
  <c r="F2578" i="10" s="1"/>
  <c r="H970" i="10"/>
  <c r="I970" i="10" s="1"/>
  <c r="J970" i="10" s="1"/>
  <c r="F971" i="10" s="1"/>
  <c r="H2757" i="10" l="1"/>
  <c r="I2757" i="10" s="1"/>
  <c r="J2757" i="10" s="1"/>
  <c r="F2758" i="10" s="1"/>
  <c r="H3600" i="10"/>
  <c r="I3600" i="10" s="1"/>
  <c r="J3600" i="10"/>
  <c r="F3601" i="10" s="1"/>
  <c r="H4129" i="10"/>
  <c r="I4129" i="10" s="1"/>
  <c r="J4129" i="10" s="1"/>
  <c r="F4130" i="10" s="1"/>
  <c r="H1887" i="10"/>
  <c r="I1887" i="10" s="1"/>
  <c r="J1887" i="10" s="1"/>
  <c r="F1888" i="10" s="1"/>
  <c r="H2024" i="10"/>
  <c r="I2024" i="10" s="1"/>
  <c r="J2024" i="10" s="1"/>
  <c r="F2025" i="10" s="1"/>
  <c r="H1313" i="10"/>
  <c r="I1313" i="10" s="1"/>
  <c r="J1313" i="10" s="1"/>
  <c r="F1314" i="10" s="1"/>
  <c r="H5019" i="10"/>
  <c r="I5019" i="10" s="1"/>
  <c r="J5019" i="10"/>
  <c r="F5020" i="10" s="1"/>
  <c r="H4247" i="10"/>
  <c r="H4749" i="10"/>
  <c r="I4749" i="10" s="1"/>
  <c r="J4749" i="10"/>
  <c r="F4750" i="10" s="1"/>
  <c r="H1063" i="10"/>
  <c r="I1063" i="10" s="1"/>
  <c r="J1063" i="10" s="1"/>
  <c r="F1064" i="10" s="1"/>
  <c r="G5546" i="10"/>
  <c r="G5538" i="10"/>
  <c r="G5530" i="10"/>
  <c r="G5522" i="10"/>
  <c r="G5514" i="10"/>
  <c r="G5506" i="10"/>
  <c r="G5547" i="10"/>
  <c r="G5539" i="10"/>
  <c r="G5531" i="10"/>
  <c r="G5523" i="10"/>
  <c r="G5515" i="10"/>
  <c r="G5507" i="10"/>
  <c r="H5500" i="10"/>
  <c r="G5540" i="10"/>
  <c r="G5532" i="10"/>
  <c r="G5524" i="10"/>
  <c r="G5516" i="10"/>
  <c r="G5508" i="10"/>
  <c r="G5500" i="10"/>
  <c r="I5500" i="10" s="1"/>
  <c r="G5536" i="10"/>
  <c r="G5504" i="10"/>
  <c r="G5534" i="10"/>
  <c r="G5529" i="10"/>
  <c r="G5519" i="10"/>
  <c r="G5517" i="10"/>
  <c r="G5502" i="10"/>
  <c r="J5500" i="10"/>
  <c r="F5501" i="10" s="1"/>
  <c r="G5544" i="10"/>
  <c r="G5512" i="10"/>
  <c r="G5542" i="10"/>
  <c r="G5537" i="10"/>
  <c r="G5527" i="10"/>
  <c r="G5525" i="10"/>
  <c r="G5510" i="10"/>
  <c r="G5505" i="10"/>
  <c r="G5520" i="10"/>
  <c r="G5545" i="10"/>
  <c r="G5535" i="10"/>
  <c r="G5533" i="10"/>
  <c r="G5518" i="10"/>
  <c r="G5513" i="10"/>
  <c r="G5503" i="10"/>
  <c r="G5501" i="10"/>
  <c r="G5509" i="10"/>
  <c r="G5541" i="10"/>
  <c r="G5528" i="10"/>
  <c r="G5521" i="10"/>
  <c r="G5511" i="10"/>
  <c r="G5543" i="10"/>
  <c r="G5526" i="10"/>
  <c r="H3455" i="10"/>
  <c r="I3455" i="10" s="1"/>
  <c r="J3455" i="10" s="1"/>
  <c r="F3456" i="10" s="1"/>
  <c r="H971" i="10"/>
  <c r="I971" i="10" s="1"/>
  <c r="J971" i="10" s="1"/>
  <c r="F972" i="10" s="1"/>
  <c r="H2624" i="10"/>
  <c r="I2624" i="10" s="1"/>
  <c r="J2624" i="10" s="1"/>
  <c r="F2625" i="10" s="1"/>
  <c r="H3858" i="10"/>
  <c r="I3858" i="10" s="1"/>
  <c r="J3858" i="10"/>
  <c r="F3859" i="10" s="1"/>
  <c r="H3558" i="10"/>
  <c r="I3558" i="10" s="1"/>
  <c r="J3558" i="10"/>
  <c r="F3559" i="10" s="1"/>
  <c r="H1685" i="10"/>
  <c r="I1685" i="10" s="1"/>
  <c r="J1685" i="10" s="1"/>
  <c r="F1686" i="10" s="1"/>
  <c r="G4820" i="10"/>
  <c r="G4821" i="10"/>
  <c r="G4814" i="10"/>
  <c r="G4810" i="10"/>
  <c r="G4806" i="10"/>
  <c r="G4802" i="10"/>
  <c r="G4798" i="10"/>
  <c r="G4794" i="10"/>
  <c r="G4790" i="10"/>
  <c r="G4822" i="10"/>
  <c r="G4823" i="10"/>
  <c r="G4815" i="10"/>
  <c r="G4811" i="10"/>
  <c r="G4807" i="10"/>
  <c r="G4803" i="10"/>
  <c r="G4799" i="10"/>
  <c r="G4795" i="10"/>
  <c r="G4791" i="10"/>
  <c r="G4824" i="10"/>
  <c r="G4816" i="10"/>
  <c r="H4786" i="10"/>
  <c r="G4825" i="10"/>
  <c r="G4817" i="10"/>
  <c r="G4812" i="10"/>
  <c r="G4808" i="10"/>
  <c r="G4804" i="10"/>
  <c r="G4800" i="10"/>
  <c r="G4796" i="10"/>
  <c r="G4792" i="10"/>
  <c r="G4786" i="10"/>
  <c r="G4797" i="10"/>
  <c r="G4826" i="10"/>
  <c r="G4793" i="10"/>
  <c r="G4789" i="10"/>
  <c r="G4819" i="10"/>
  <c r="G4813" i="10"/>
  <c r="G4788" i="10"/>
  <c r="G4809" i="10"/>
  <c r="G4805" i="10"/>
  <c r="G4827" i="10"/>
  <c r="G4818" i="10"/>
  <c r="G4801" i="10"/>
  <c r="G4787" i="10"/>
  <c r="H1147" i="10"/>
  <c r="I1147" i="10" s="1"/>
  <c r="J1147" i="10"/>
  <c r="F1148" i="10" s="1"/>
  <c r="H2578" i="10"/>
  <c r="I2578" i="10" s="1"/>
  <c r="J2578" i="10" s="1"/>
  <c r="F2579" i="10" s="1"/>
  <c r="H2999" i="10"/>
  <c r="I2999" i="10" s="1"/>
  <c r="J2999" i="10" s="1"/>
  <c r="F3000" i="10" s="1"/>
  <c r="H379" i="10"/>
  <c r="I379" i="10" s="1"/>
  <c r="J379" i="10"/>
  <c r="F380" i="10" s="1"/>
  <c r="H273" i="10"/>
  <c r="I273" i="10" s="1"/>
  <c r="J273" i="10" s="1"/>
  <c r="F274" i="10" s="1"/>
  <c r="H3817" i="10"/>
  <c r="I3817" i="10" s="1"/>
  <c r="J3817" i="10" s="1"/>
  <c r="F3818" i="10" s="1"/>
  <c r="H930" i="10"/>
  <c r="I930" i="10" s="1"/>
  <c r="J930" i="10"/>
  <c r="F931" i="10" s="1"/>
  <c r="H3966" i="10"/>
  <c r="I3966" i="10" s="1"/>
  <c r="J3966" i="10" s="1"/>
  <c r="F3967" i="10" s="1"/>
  <c r="H2214" i="10"/>
  <c r="I2214" i="10" s="1"/>
  <c r="J2214" i="10"/>
  <c r="F2215" i="10" s="1"/>
  <c r="G3176" i="10"/>
  <c r="G3177" i="10"/>
  <c r="G3178" i="10"/>
  <c r="G3175" i="10"/>
  <c r="G3180" i="10"/>
  <c r="G3179" i="10"/>
  <c r="H3175" i="10"/>
  <c r="H1565" i="10"/>
  <c r="I1565" i="10" s="1"/>
  <c r="J1565" i="10"/>
  <c r="F1566" i="10" s="1"/>
  <c r="G2337" i="10"/>
  <c r="H2336" i="10"/>
  <c r="G2336" i="10"/>
  <c r="I2336" i="10" s="1"/>
  <c r="J2336" i="10" s="1"/>
  <c r="F2337" i="10" s="1"/>
  <c r="H2406" i="10"/>
  <c r="G2406" i="10"/>
  <c r="H1181" i="10"/>
  <c r="I1181" i="10" s="1"/>
  <c r="J1181" i="10" s="1"/>
  <c r="F1182" i="10" s="1"/>
  <c r="J2154" i="10"/>
  <c r="F2155" i="10" s="1"/>
  <c r="H2154" i="10"/>
  <c r="G2154" i="10" s="1"/>
  <c r="I2154" i="10" s="1"/>
  <c r="H5307" i="10"/>
  <c r="I5307" i="10" s="1"/>
  <c r="J5307" i="10" s="1"/>
  <c r="F5308" i="10" s="1"/>
  <c r="J2712" i="10"/>
  <c r="F2713" i="10" s="1"/>
  <c r="H2712" i="10"/>
  <c r="I2712" i="10" s="1"/>
  <c r="J1932" i="10"/>
  <c r="F1933" i="10" s="1"/>
  <c r="H1932" i="10"/>
  <c r="I1932" i="10" s="1"/>
  <c r="J1456" i="10"/>
  <c r="F1457" i="10" s="1"/>
  <c r="H1456" i="10"/>
  <c r="I1456" i="10" s="1"/>
  <c r="J420" i="10"/>
  <c r="F421" i="10" s="1"/>
  <c r="H420" i="10"/>
  <c r="I420" i="10" s="1"/>
  <c r="H2833" i="10"/>
  <c r="I2833" i="10" s="1"/>
  <c r="J2833" i="10" s="1"/>
  <c r="F2834" i="10" s="1"/>
  <c r="H1104" i="10"/>
  <c r="I1104" i="10" s="1"/>
  <c r="J1104" i="10" s="1"/>
  <c r="F1105" i="10" s="1"/>
  <c r="H3644" i="10"/>
  <c r="I3644" i="10" s="1"/>
  <c r="J3644" i="10" s="1"/>
  <c r="F3645" i="10" s="1"/>
  <c r="O97" i="6"/>
  <c r="R100" i="9"/>
  <c r="E3795" i="10"/>
  <c r="L2154" i="10"/>
  <c r="H4190" i="10"/>
  <c r="I4190" i="10" s="1"/>
  <c r="J4190" i="10" s="1"/>
  <c r="F4191" i="10" s="1"/>
  <c r="J2495" i="10"/>
  <c r="F2496" i="10" s="1"/>
  <c r="H2495" i="10"/>
  <c r="I2495" i="10" s="1"/>
  <c r="J1807" i="10"/>
  <c r="F1808" i="10" s="1"/>
  <c r="H1807" i="10"/>
  <c r="I1807" i="10" s="1"/>
  <c r="H2664" i="10"/>
  <c r="I2664" i="10" s="1"/>
  <c r="J2664" i="10"/>
  <c r="F2665" i="10" s="1"/>
  <c r="T85" i="9"/>
  <c r="I4309" i="10"/>
  <c r="J4309" i="10" s="1"/>
  <c r="F4310" i="10" s="1"/>
  <c r="P85" i="9"/>
  <c r="G1203" i="10"/>
  <c r="G1210" i="10"/>
  <c r="G1204" i="10"/>
  <c r="G1205" i="10"/>
  <c r="G1211" i="10"/>
  <c r="G1206" i="10"/>
  <c r="G1207" i="10"/>
  <c r="G1201" i="10"/>
  <c r="G1209" i="10"/>
  <c r="G1202" i="10"/>
  <c r="G1208" i="10"/>
  <c r="H1201" i="10"/>
  <c r="H5112" i="10"/>
  <c r="I5112" i="10" s="1"/>
  <c r="J5112" i="10" s="1"/>
  <c r="F5113" i="10" s="1"/>
  <c r="C3976" i="10"/>
  <c r="D3975" i="10"/>
  <c r="E3975" i="10" s="1"/>
  <c r="K2326" i="10"/>
  <c r="J4913" i="10"/>
  <c r="F4914" i="10" s="1"/>
  <c r="H4913" i="10"/>
  <c r="I4913" i="10" s="1"/>
  <c r="J571" i="10"/>
  <c r="F572" i="10" s="1"/>
  <c r="H571" i="10"/>
  <c r="I571" i="10" s="1"/>
  <c r="J1401" i="10"/>
  <c r="F1402" i="10" s="1"/>
  <c r="H1401" i="10"/>
  <c r="I1401" i="10" s="1"/>
  <c r="J3386" i="10"/>
  <c r="F3387" i="10" s="1"/>
  <c r="H3386" i="10"/>
  <c r="I3386" i="10" s="1"/>
  <c r="J852" i="10"/>
  <c r="F853" i="10" s="1"/>
  <c r="H852" i="10"/>
  <c r="I852" i="10" s="1"/>
  <c r="H1645" i="10"/>
  <c r="I1645" i="10" s="1"/>
  <c r="J1645" i="10" s="1"/>
  <c r="F1646" i="10" s="1"/>
  <c r="H2295" i="10"/>
  <c r="I2295" i="10" s="1"/>
  <c r="J2295" i="10" s="1"/>
  <c r="F2296" i="10" s="1"/>
  <c r="J5072" i="10"/>
  <c r="F5073" i="10" s="1"/>
  <c r="H5072" i="10"/>
  <c r="I5072" i="10" s="1"/>
  <c r="H2254" i="10"/>
  <c r="I2254" i="10" s="1"/>
  <c r="J2254" i="10" s="1"/>
  <c r="F2255" i="10" s="1"/>
  <c r="H2454" i="10"/>
  <c r="I2454" i="10" s="1"/>
  <c r="J2454" i="10" s="1"/>
  <c r="F2455" i="10" s="1"/>
  <c r="G3498" i="10"/>
  <c r="G3529" i="10"/>
  <c r="G3525" i="10"/>
  <c r="G3521" i="10"/>
  <c r="G3517" i="10"/>
  <c r="G3513" i="10"/>
  <c r="G3509" i="10"/>
  <c r="G3505" i="10"/>
  <c r="G3499" i="10"/>
  <c r="H3492" i="10"/>
  <c r="G3533" i="10"/>
  <c r="G3500" i="10"/>
  <c r="G3492" i="10"/>
  <c r="G3530" i="10"/>
  <c r="G3526" i="10"/>
  <c r="G3522" i="10"/>
  <c r="G3518" i="10"/>
  <c r="G3514" i="10"/>
  <c r="G3510" i="10"/>
  <c r="G3506" i="10"/>
  <c r="G3501" i="10"/>
  <c r="G3493" i="10"/>
  <c r="G3502" i="10"/>
  <c r="G3494" i="10"/>
  <c r="G3496" i="10"/>
  <c r="G3495" i="10"/>
  <c r="G3497" i="10"/>
  <c r="G3524" i="10"/>
  <c r="G3519" i="10"/>
  <c r="G3508" i="10"/>
  <c r="G3503" i="10"/>
  <c r="G3528" i="10"/>
  <c r="G3523" i="10"/>
  <c r="G3512" i="10"/>
  <c r="G3507" i="10"/>
  <c r="G3531" i="10"/>
  <c r="G3511" i="10"/>
  <c r="G3504" i="10"/>
  <c r="G3516" i="10"/>
  <c r="G3527" i="10"/>
  <c r="G3520" i="10"/>
  <c r="G3532" i="10"/>
  <c r="G3515" i="10"/>
  <c r="J2061" i="10"/>
  <c r="F2062" i="10" s="1"/>
  <c r="H2061" i="10"/>
  <c r="I2061" i="10" s="1"/>
  <c r="J4075" i="10"/>
  <c r="F4076" i="10" s="1"/>
  <c r="H4075" i="10"/>
  <c r="I4075" i="10" s="1"/>
  <c r="H3282" i="10"/>
  <c r="I3282" i="10" s="1"/>
  <c r="J3282" i="10" s="1"/>
  <c r="F3283" i="10" s="1"/>
  <c r="H2881" i="10"/>
  <c r="I2881" i="10" s="1"/>
  <c r="J2881" i="10" s="1"/>
  <c r="F2882" i="10" s="1"/>
  <c r="O86" i="6"/>
  <c r="R89" i="9"/>
  <c r="O700" i="10"/>
  <c r="O96" i="6"/>
  <c r="R99" i="9"/>
  <c r="I5226" i="10"/>
  <c r="J5226" i="10" s="1"/>
  <c r="F5227" i="10" s="1"/>
  <c r="X55" i="9"/>
  <c r="W55" i="9"/>
  <c r="T52" i="6"/>
  <c r="H5432" i="10"/>
  <c r="I5432" i="10" s="1"/>
  <c r="J5432" i="10" s="1"/>
  <c r="F5433" i="10" s="1"/>
  <c r="H1722" i="10"/>
  <c r="I1722" i="10" s="1"/>
  <c r="J1722" i="10" s="1"/>
  <c r="F1723" i="10" s="1"/>
  <c r="J3321" i="10"/>
  <c r="F3322" i="10" s="1"/>
  <c r="H3321" i="10"/>
  <c r="I3321" i="10" s="1"/>
  <c r="J1605" i="10"/>
  <c r="F1606" i="10" s="1"/>
  <c r="H1605" i="10"/>
  <c r="I1605" i="10" s="1"/>
  <c r="H3090" i="10"/>
  <c r="I3090" i="10" s="1"/>
  <c r="J3090" i="10" s="1"/>
  <c r="F3091" i="10" s="1"/>
  <c r="C3824" i="10"/>
  <c r="D3823" i="10"/>
  <c r="E3823" i="10" s="1"/>
  <c r="J3924" i="10"/>
  <c r="F3925" i="10" s="1"/>
  <c r="H3924" i="10"/>
  <c r="I3924" i="10" s="1"/>
  <c r="J4421" i="10"/>
  <c r="F4422" i="10" s="1"/>
  <c r="H4421" i="10"/>
  <c r="I4421" i="10" s="1"/>
  <c r="C3933" i="10"/>
  <c r="D3932" i="10"/>
  <c r="E3932" i="10" s="1"/>
  <c r="S96" i="6"/>
  <c r="S99" i="9"/>
  <c r="H3775" i="10"/>
  <c r="I3775" i="10" s="1"/>
  <c r="J3775" i="10"/>
  <c r="F3776" i="10" s="1"/>
  <c r="G4682" i="10"/>
  <c r="J1526" i="10"/>
  <c r="F1527" i="10" s="1"/>
  <c r="H1526" i="10"/>
  <c r="I1526" i="10" s="1"/>
  <c r="J4009" i="10"/>
  <c r="F4010" i="10" s="1"/>
  <c r="H4009" i="10"/>
  <c r="I4009" i="10" s="1"/>
  <c r="J2110" i="10"/>
  <c r="F2111" i="10" s="1"/>
  <c r="H2110" i="10"/>
  <c r="I2110" i="10" s="1"/>
  <c r="J1256" i="10"/>
  <c r="F1257" i="10" s="1"/>
  <c r="H1256" i="10"/>
  <c r="I1256" i="10" s="1"/>
  <c r="H1770" i="10"/>
  <c r="I1770" i="10" s="1"/>
  <c r="J1770" i="10" s="1"/>
  <c r="F1771" i="10" s="1"/>
  <c r="H893" i="10"/>
  <c r="I893" i="10" s="1"/>
  <c r="J893" i="10" s="1"/>
  <c r="F894" i="10" s="1"/>
  <c r="G2958" i="10"/>
  <c r="G2977" i="10"/>
  <c r="G2973" i="10"/>
  <c r="G2969" i="10"/>
  <c r="G2965" i="10"/>
  <c r="G2959" i="10"/>
  <c r="G2960" i="10"/>
  <c r="G2974" i="10"/>
  <c r="G2970" i="10"/>
  <c r="G2966" i="10"/>
  <c r="G2961" i="10"/>
  <c r="H2954" i="10"/>
  <c r="G2962" i="10"/>
  <c r="G2954" i="10"/>
  <c r="G2956" i="10"/>
  <c r="G2955" i="10"/>
  <c r="G2976" i="10"/>
  <c r="G2972" i="10"/>
  <c r="G2968" i="10"/>
  <c r="G2964" i="10"/>
  <c r="G2957" i="10"/>
  <c r="G2975" i="10"/>
  <c r="G2971" i="10"/>
  <c r="G2967" i="10"/>
  <c r="G2963" i="10"/>
  <c r="L2336" i="10"/>
  <c r="L2337" i="10" s="1"/>
  <c r="D3651" i="10"/>
  <c r="E3651" i="10" s="1"/>
  <c r="C3652" i="10"/>
  <c r="C3721" i="10"/>
  <c r="D3720" i="10"/>
  <c r="E3720" i="10" s="1"/>
  <c r="J714" i="10"/>
  <c r="F715" i="10" s="1"/>
  <c r="H714" i="10"/>
  <c r="I22" i="10"/>
  <c r="J22" i="10" s="1"/>
  <c r="F23" i="10" s="1"/>
  <c r="L22" i="10"/>
  <c r="H59" i="10"/>
  <c r="I59" i="10" s="1"/>
  <c r="J59" i="10" s="1"/>
  <c r="F60" i="10" s="1"/>
  <c r="I518" i="10"/>
  <c r="J518" i="10" s="1"/>
  <c r="F519" i="10" s="1"/>
  <c r="L519" i="10"/>
  <c r="P97" i="9"/>
  <c r="I4980" i="10"/>
  <c r="J4556" i="10"/>
  <c r="F4557" i="10" s="1"/>
  <c r="H4556" i="10"/>
  <c r="I4556" i="10" s="1"/>
  <c r="H1021" i="10"/>
  <c r="I1021" i="10" s="1"/>
  <c r="J1021" i="10" s="1"/>
  <c r="F1022" i="10" s="1"/>
  <c r="G230" i="10"/>
  <c r="G222" i="10"/>
  <c r="G231" i="10"/>
  <c r="G223" i="10"/>
  <c r="G232" i="10"/>
  <c r="G224" i="10"/>
  <c r="G233" i="10"/>
  <c r="G225" i="10"/>
  <c r="G234" i="10"/>
  <c r="G226" i="10"/>
  <c r="G235" i="10"/>
  <c r="G227" i="10"/>
  <c r="G236" i="10"/>
  <c r="H222" i="10"/>
  <c r="G228" i="10"/>
  <c r="G229" i="10"/>
  <c r="J635" i="10"/>
  <c r="F636" i="10" s="1"/>
  <c r="H635" i="10"/>
  <c r="I635" i="10" s="1"/>
  <c r="H3257" i="10"/>
  <c r="I3257" i="10" s="1"/>
  <c r="J3257" i="10" s="1"/>
  <c r="F3258" i="10" s="1"/>
  <c r="J4449" i="10"/>
  <c r="F4450" i="10" s="1"/>
  <c r="H4449" i="10"/>
  <c r="I4449" i="10" s="1"/>
  <c r="J3709" i="10"/>
  <c r="F3710" i="10" s="1"/>
  <c r="H3709" i="10"/>
  <c r="I3709" i="10" s="1"/>
  <c r="J5574" i="10"/>
  <c r="F5575" i="10" s="1"/>
  <c r="H5574" i="10"/>
  <c r="I5574" i="10" s="1"/>
  <c r="H2540" i="10"/>
  <c r="I2540" i="10" s="1"/>
  <c r="J2540" i="10" s="1"/>
  <c r="F2541" i="10" s="1"/>
  <c r="I5364" i="10"/>
  <c r="J5364" i="10" s="1"/>
  <c r="F5365" i="10" s="1"/>
  <c r="J4608" i="10"/>
  <c r="F4609" i="10" s="1"/>
  <c r="H4608" i="10"/>
  <c r="I4608" i="10" s="1"/>
  <c r="H1977" i="10"/>
  <c r="I1977" i="10" s="1"/>
  <c r="J1977" i="10" s="1"/>
  <c r="F1978" i="10" s="1"/>
  <c r="S89" i="9"/>
  <c r="J4519" i="10"/>
  <c r="F4520" i="10" s="1"/>
  <c r="N407" i="10"/>
  <c r="H299" i="10"/>
  <c r="I299" i="10" s="1"/>
  <c r="J299" i="10" s="1"/>
  <c r="F300" i="10" s="1"/>
  <c r="D3865" i="10"/>
  <c r="E3865" i="10" s="1"/>
  <c r="C3866" i="10"/>
  <c r="L5146" i="10"/>
  <c r="I5146" i="10"/>
  <c r="J5146" i="10" s="1"/>
  <c r="F5147" i="10" s="1"/>
  <c r="J3134" i="10"/>
  <c r="F3135" i="10" s="1"/>
  <c r="J773" i="10"/>
  <c r="F774" i="10" s="1"/>
  <c r="H773" i="10"/>
  <c r="I773" i="10" s="1"/>
  <c r="I4373" i="10"/>
  <c r="J4373" i="10" s="1"/>
  <c r="F4374" i="10" s="1"/>
  <c r="P86" i="9"/>
  <c r="I4853" i="10"/>
  <c r="P95" i="9"/>
  <c r="H3456" i="10" l="1"/>
  <c r="I3456" i="10" s="1"/>
  <c r="J3456" i="10" s="1"/>
  <c r="F3457" i="10" s="1"/>
  <c r="H3258" i="10"/>
  <c r="I3258" i="10" s="1"/>
  <c r="J3258" i="10" s="1"/>
  <c r="H5113" i="10"/>
  <c r="I5113" i="10" s="1"/>
  <c r="J5113" i="10"/>
  <c r="F5114" i="10" s="1"/>
  <c r="H1686" i="10"/>
  <c r="I1686" i="10" s="1"/>
  <c r="J1686" i="10" s="1"/>
  <c r="F1687" i="10" s="1"/>
  <c r="H1314" i="10"/>
  <c r="I1314" i="10" s="1"/>
  <c r="J1314" i="10" s="1"/>
  <c r="F1315" i="10" s="1"/>
  <c r="G1741" i="10"/>
  <c r="G1740" i="10"/>
  <c r="G1729" i="10"/>
  <c r="G1728" i="10"/>
  <c r="G1742" i="10"/>
  <c r="G1731" i="10"/>
  <c r="G1730" i="10"/>
  <c r="G1743" i="10"/>
  <c r="G1733" i="10"/>
  <c r="G1732" i="10"/>
  <c r="H1723" i="10"/>
  <c r="G1734" i="10"/>
  <c r="G1723" i="10"/>
  <c r="G1735" i="10"/>
  <c r="G1724" i="10"/>
  <c r="G1738" i="10"/>
  <c r="G1737" i="10"/>
  <c r="G1726" i="10"/>
  <c r="G1739" i="10"/>
  <c r="G1725" i="10"/>
  <c r="G1736" i="10"/>
  <c r="G1727" i="10"/>
  <c r="H2296" i="10"/>
  <c r="I2296" i="10" s="1"/>
  <c r="J2296" i="10"/>
  <c r="F2297" i="10" s="1"/>
  <c r="H1182" i="10"/>
  <c r="I1182" i="10" s="1"/>
  <c r="J1182" i="10" s="1"/>
  <c r="F1183" i="10" s="1"/>
  <c r="H3000" i="10"/>
  <c r="I3000" i="10" s="1"/>
  <c r="J3000" i="10" s="1"/>
  <c r="F3001" i="10" s="1"/>
  <c r="J2025" i="10"/>
  <c r="F2026" i="10" s="1"/>
  <c r="H2025" i="10"/>
  <c r="I2025" i="10" s="1"/>
  <c r="H5433" i="10"/>
  <c r="I5433" i="10" s="1"/>
  <c r="J5433" i="10" s="1"/>
  <c r="F5434" i="10" s="1"/>
  <c r="H1646" i="10"/>
  <c r="I1646" i="10" s="1"/>
  <c r="J1646" i="10" s="1"/>
  <c r="F1647" i="10" s="1"/>
  <c r="H3967" i="10"/>
  <c r="I3967" i="10" s="1"/>
  <c r="J3967" i="10" s="1"/>
  <c r="F3968" i="10" s="1"/>
  <c r="H2579" i="10"/>
  <c r="I2579" i="10" s="1"/>
  <c r="J2579" i="10" s="1"/>
  <c r="F2580" i="10" s="1"/>
  <c r="H1064" i="10"/>
  <c r="I1064" i="10" s="1"/>
  <c r="J1064" i="10" s="1"/>
  <c r="F1065" i="10" s="1"/>
  <c r="G1900" i="10"/>
  <c r="H1888" i="10"/>
  <c r="G1896" i="10"/>
  <c r="G1892" i="10"/>
  <c r="G1888" i="10"/>
  <c r="G1901" i="10"/>
  <c r="G1897" i="10"/>
  <c r="G1893" i="10"/>
  <c r="G1889" i="10"/>
  <c r="G1902" i="10"/>
  <c r="G1898" i="10"/>
  <c r="G1899" i="10"/>
  <c r="G1894" i="10"/>
  <c r="G1890" i="10"/>
  <c r="G1891" i="10"/>
  <c r="G1895" i="10"/>
  <c r="H2541" i="10"/>
  <c r="I2541" i="10" s="1"/>
  <c r="J2541" i="10"/>
  <c r="F2542" i="10" s="1"/>
  <c r="H3645" i="10"/>
  <c r="I3645" i="10" s="1"/>
  <c r="J3645" i="10"/>
  <c r="F3646" i="10" s="1"/>
  <c r="H4130" i="10"/>
  <c r="I4130" i="10" s="1"/>
  <c r="J4130" i="10" s="1"/>
  <c r="F4131" i="10" s="1"/>
  <c r="G60" i="10"/>
  <c r="H60" i="10"/>
  <c r="H1022" i="10"/>
  <c r="I1022" i="10" s="1"/>
  <c r="J1022" i="10" s="1"/>
  <c r="F1023" i="10" s="1"/>
  <c r="H3091" i="10"/>
  <c r="I3091" i="10" s="1"/>
  <c r="J3091" i="10" s="1"/>
  <c r="F3092" i="10" s="1"/>
  <c r="H2882" i="10"/>
  <c r="G2882" i="10"/>
  <c r="H1105" i="10"/>
  <c r="I1105" i="10" s="1"/>
  <c r="J1105" i="10" s="1"/>
  <c r="F1106" i="10" s="1"/>
  <c r="H2337" i="10"/>
  <c r="H1978" i="10"/>
  <c r="I1978" i="10" s="1"/>
  <c r="J1978" i="10" s="1"/>
  <c r="F1979" i="10" s="1"/>
  <c r="H894" i="10"/>
  <c r="I894" i="10" s="1"/>
  <c r="J894" i="10" s="1"/>
  <c r="F895" i="10" s="1"/>
  <c r="H3283" i="10"/>
  <c r="I3283" i="10" s="1"/>
  <c r="J3283" i="10" s="1"/>
  <c r="F3284" i="10" s="1"/>
  <c r="H2455" i="10"/>
  <c r="I2455" i="10" s="1"/>
  <c r="J2834" i="10"/>
  <c r="F2835" i="10" s="1"/>
  <c r="H2834" i="10"/>
  <c r="I2834" i="10" s="1"/>
  <c r="H3818" i="10"/>
  <c r="I3818" i="10" s="1"/>
  <c r="J3818" i="10" s="1"/>
  <c r="F3819" i="10" s="1"/>
  <c r="H2625" i="10"/>
  <c r="I2625" i="10" s="1"/>
  <c r="J2625" i="10" s="1"/>
  <c r="F2626" i="10" s="1"/>
  <c r="H300" i="10"/>
  <c r="I300" i="10" s="1"/>
  <c r="J300" i="10" s="1"/>
  <c r="F301" i="10" s="1"/>
  <c r="H1771" i="10"/>
  <c r="I1771" i="10" s="1"/>
  <c r="J1771" i="10" s="1"/>
  <c r="F1772" i="10" s="1"/>
  <c r="H2255" i="10"/>
  <c r="I2255" i="10" s="1"/>
  <c r="J2255" i="10"/>
  <c r="F2256" i="10" s="1"/>
  <c r="G4218" i="10"/>
  <c r="G4214" i="10"/>
  <c r="G4210" i="10"/>
  <c r="G4206" i="10"/>
  <c r="G4202" i="10"/>
  <c r="G4198" i="10"/>
  <c r="G4191" i="10"/>
  <c r="G4192" i="10"/>
  <c r="G4219" i="10"/>
  <c r="G4215" i="10"/>
  <c r="G4211" i="10"/>
  <c r="G4207" i="10"/>
  <c r="G4203" i="10"/>
  <c r="G4199" i="10"/>
  <c r="G4193" i="10"/>
  <c r="G4194" i="10"/>
  <c r="G4196" i="10"/>
  <c r="G4220" i="10"/>
  <c r="G4213" i="10"/>
  <c r="G4216" i="10"/>
  <c r="G4209" i="10"/>
  <c r="G4195" i="10"/>
  <c r="G4212" i="10"/>
  <c r="G4205" i="10"/>
  <c r="G4208" i="10"/>
  <c r="G4201" i="10"/>
  <c r="G4204" i="10"/>
  <c r="G4197" i="10"/>
  <c r="H4191" i="10"/>
  <c r="G4200" i="10"/>
  <c r="G4217" i="10"/>
  <c r="H5308" i="10"/>
  <c r="I5308" i="10" s="1"/>
  <c r="J5308" i="10" s="1"/>
  <c r="F5309" i="10" s="1"/>
  <c r="H274" i="10"/>
  <c r="H972" i="10"/>
  <c r="I972" i="10" s="1"/>
  <c r="J972" i="10"/>
  <c r="F973" i="10" s="1"/>
  <c r="H2758" i="10"/>
  <c r="I2758" i="10" s="1"/>
  <c r="J2758" i="10" s="1"/>
  <c r="F2759" i="10" s="1"/>
  <c r="C3867" i="10"/>
  <c r="D3866" i="10"/>
  <c r="E3866" i="10" s="1"/>
  <c r="D3652" i="10"/>
  <c r="E3652" i="10" s="1"/>
  <c r="C3653" i="10"/>
  <c r="W60" i="9"/>
  <c r="I4682" i="10"/>
  <c r="J4682" i="10" s="1"/>
  <c r="F4683" i="10" s="1"/>
  <c r="L4682" i="10"/>
  <c r="D3976" i="10"/>
  <c r="E3976" i="10" s="1"/>
  <c r="C3977" i="10"/>
  <c r="W25" i="9"/>
  <c r="H5501" i="10"/>
  <c r="I5501" i="10" s="1"/>
  <c r="J5501" i="10" s="1"/>
  <c r="F5502" i="10" s="1"/>
  <c r="R86" i="6"/>
  <c r="T89" i="9"/>
  <c r="S86" i="6" s="1"/>
  <c r="H2215" i="10"/>
  <c r="I2215" i="10" s="1"/>
  <c r="J2215" i="10" s="1"/>
  <c r="F2216" i="10" s="1"/>
  <c r="O92" i="6"/>
  <c r="R95" i="9"/>
  <c r="J4450" i="10"/>
  <c r="F4451" i="10" s="1"/>
  <c r="H4450" i="10"/>
  <c r="I4450" i="10" s="1"/>
  <c r="H23" i="10"/>
  <c r="G27" i="10"/>
  <c r="G23" i="10"/>
  <c r="I23" i="10" s="1"/>
  <c r="J23" i="10" s="1"/>
  <c r="F24" i="10" s="1"/>
  <c r="G26" i="10"/>
  <c r="G24" i="10"/>
  <c r="G25" i="10"/>
  <c r="H2111" i="10"/>
  <c r="I2111" i="10" s="1"/>
  <c r="J2111" i="10"/>
  <c r="F2112" i="10" s="1"/>
  <c r="G3778" i="10"/>
  <c r="G3777" i="10"/>
  <c r="H3776" i="10"/>
  <c r="G3776" i="10"/>
  <c r="G3782" i="10"/>
  <c r="G3780" i="10"/>
  <c r="G3779" i="10"/>
  <c r="G3781" i="10"/>
  <c r="G3783" i="10"/>
  <c r="J3925" i="10"/>
  <c r="F3926" i="10" s="1"/>
  <c r="H3925" i="10"/>
  <c r="I3925" i="10" s="1"/>
  <c r="G3322" i="10"/>
  <c r="G3323" i="10"/>
  <c r="H3322" i="10"/>
  <c r="J572" i="10"/>
  <c r="F573" i="10" s="1"/>
  <c r="H572" i="10"/>
  <c r="I572" i="10" s="1"/>
  <c r="H1808" i="10"/>
  <c r="I1808" i="10" s="1"/>
  <c r="J1808" i="10" s="1"/>
  <c r="F1809" i="10" s="1"/>
  <c r="J421" i="10"/>
  <c r="F422" i="10" s="1"/>
  <c r="H421" i="10"/>
  <c r="I421" i="10" s="1"/>
  <c r="I3180" i="10"/>
  <c r="H380" i="10"/>
  <c r="I380" i="10" s="1"/>
  <c r="J380" i="10" s="1"/>
  <c r="F381" i="10" s="1"/>
  <c r="G3898" i="10"/>
  <c r="G3890" i="10"/>
  <c r="G3882" i="10"/>
  <c r="G3867" i="10"/>
  <c r="G3860" i="10"/>
  <c r="H3859" i="10"/>
  <c r="G3897" i="10"/>
  <c r="G3889" i="10"/>
  <c r="G3881" i="10"/>
  <c r="G3866" i="10"/>
  <c r="G3859" i="10"/>
  <c r="G3896" i="10"/>
  <c r="G3888" i="10"/>
  <c r="G3880" i="10"/>
  <c r="G3865" i="10"/>
  <c r="G3895" i="10"/>
  <c r="G3887" i="10"/>
  <c r="G3879" i="10"/>
  <c r="G3864" i="10"/>
  <c r="G3894" i="10"/>
  <c r="G3886" i="10"/>
  <c r="G3878" i="10"/>
  <c r="G3863" i="10"/>
  <c r="G3900" i="10"/>
  <c r="G3892" i="10"/>
  <c r="G3884" i="10"/>
  <c r="G3876" i="10"/>
  <c r="G3883" i="10"/>
  <c r="G3893" i="10"/>
  <c r="G3872" i="10"/>
  <c r="G3868" i="10"/>
  <c r="G3861" i="10"/>
  <c r="G3885" i="10"/>
  <c r="G3875" i="10"/>
  <c r="G3871" i="10"/>
  <c r="G3899" i="10"/>
  <c r="G3891" i="10"/>
  <c r="G3862" i="10"/>
  <c r="G3877" i="10"/>
  <c r="G3874" i="10"/>
  <c r="G3870" i="10"/>
  <c r="G3873" i="10"/>
  <c r="G3869" i="10"/>
  <c r="G5047" i="10"/>
  <c r="G5043" i="10"/>
  <c r="G5039" i="10"/>
  <c r="G5035" i="10"/>
  <c r="G5031" i="10"/>
  <c r="G5027" i="10"/>
  <c r="G5023" i="10"/>
  <c r="G5048" i="10"/>
  <c r="G5049" i="10"/>
  <c r="G5044" i="10"/>
  <c r="G5040" i="10"/>
  <c r="G5036" i="10"/>
  <c r="G5032" i="10"/>
  <c r="G5028" i="10"/>
  <c r="G5024" i="10"/>
  <c r="H5020" i="10"/>
  <c r="P98" i="9" s="1"/>
  <c r="G5020" i="10"/>
  <c r="G5045" i="10"/>
  <c r="G5041" i="10"/>
  <c r="G5037" i="10"/>
  <c r="G5033" i="10"/>
  <c r="G5029" i="10"/>
  <c r="G5025" i="10"/>
  <c r="G5021" i="10"/>
  <c r="G5038" i="10"/>
  <c r="G5022" i="10"/>
  <c r="G5042" i="10"/>
  <c r="G5026" i="10"/>
  <c r="G5046" i="10"/>
  <c r="G5030" i="10"/>
  <c r="G5034" i="10"/>
  <c r="J1257" i="10"/>
  <c r="F1258" i="10" s="1"/>
  <c r="H1257" i="10"/>
  <c r="I1257" i="10" s="1"/>
  <c r="H1402" i="10"/>
  <c r="I1402" i="10" s="1"/>
  <c r="J1402" i="10" s="1"/>
  <c r="F1403" i="10" s="1"/>
  <c r="H3559" i="10"/>
  <c r="I3559" i="10" s="1"/>
  <c r="J3559" i="10"/>
  <c r="F3560" i="10" s="1"/>
  <c r="I4247" i="10"/>
  <c r="P84" i="9"/>
  <c r="O83" i="6"/>
  <c r="R86" i="9"/>
  <c r="S95" i="9"/>
  <c r="J4853" i="10"/>
  <c r="F4854" i="10" s="1"/>
  <c r="H4374" i="10"/>
  <c r="I4374" i="10" s="1"/>
  <c r="J4374" i="10" s="1"/>
  <c r="F4375" i="10" s="1"/>
  <c r="U99" i="9"/>
  <c r="R96" i="6"/>
  <c r="O82" i="6"/>
  <c r="R85" i="9"/>
  <c r="I3175" i="10"/>
  <c r="J3175" i="10" s="1"/>
  <c r="F3176" i="10" s="1"/>
  <c r="G3744" i="10"/>
  <c r="G3751" i="10"/>
  <c r="G3743" i="10"/>
  <c r="G3750" i="10"/>
  <c r="G3742" i="10"/>
  <c r="G3748" i="10"/>
  <c r="G3740" i="10"/>
  <c r="G3746" i="10"/>
  <c r="G3730" i="10"/>
  <c r="G3716" i="10"/>
  <c r="G3737" i="10"/>
  <c r="G3729" i="10"/>
  <c r="G3738" i="10"/>
  <c r="G3736" i="10"/>
  <c r="G3728" i="10"/>
  <c r="G3715" i="10"/>
  <c r="G3735" i="10"/>
  <c r="G3727" i="10"/>
  <c r="G3714" i="10"/>
  <c r="G3741" i="10"/>
  <c r="G3734" i="10"/>
  <c r="G3726" i="10"/>
  <c r="G3725" i="10"/>
  <c r="G3724" i="10"/>
  <c r="G3723" i="10"/>
  <c r="G3722" i="10"/>
  <c r="G3721" i="10"/>
  <c r="G3720" i="10"/>
  <c r="G3719" i="10"/>
  <c r="G3713" i="10"/>
  <c r="G3747" i="10"/>
  <c r="G3732" i="10"/>
  <c r="G3711" i="10"/>
  <c r="H3710" i="10"/>
  <c r="G3731" i="10"/>
  <c r="G3717" i="10"/>
  <c r="G3745" i="10"/>
  <c r="G3710" i="10"/>
  <c r="G3733" i="10"/>
  <c r="G3718" i="10"/>
  <c r="G3712" i="10"/>
  <c r="G3749" i="10"/>
  <c r="G3739" i="10"/>
  <c r="L1201" i="10"/>
  <c r="L1202" i="10" s="1"/>
  <c r="L1203" i="10" s="1"/>
  <c r="L1204" i="10" s="1"/>
  <c r="L1205" i="10" s="1"/>
  <c r="L1206" i="10" s="1"/>
  <c r="L1207" i="10" s="1"/>
  <c r="I1201" i="10"/>
  <c r="J1201" i="10" s="1"/>
  <c r="F1202" i="10" s="1"/>
  <c r="S97" i="9"/>
  <c r="J4980" i="10"/>
  <c r="F4981" i="10" s="1"/>
  <c r="J715" i="10"/>
  <c r="H715" i="10"/>
  <c r="H4010" i="10"/>
  <c r="I4010" i="10" s="1"/>
  <c r="J4010" i="10" s="1"/>
  <c r="F4011" i="10" s="1"/>
  <c r="C3825" i="10"/>
  <c r="D3824" i="10"/>
  <c r="E3824" i="10" s="1"/>
  <c r="H4076" i="10"/>
  <c r="I4076" i="10" s="1"/>
  <c r="J4076" i="10" s="1"/>
  <c r="F4077" i="10" s="1"/>
  <c r="J853" i="10"/>
  <c r="F854" i="10" s="1"/>
  <c r="H853" i="10"/>
  <c r="I853" i="10" s="1"/>
  <c r="G4953" i="10"/>
  <c r="G4945" i="10"/>
  <c r="G4954" i="10"/>
  <c r="G4946" i="10"/>
  <c r="G4940" i="10"/>
  <c r="G4955" i="10"/>
  <c r="G4947" i="10"/>
  <c r="G4948" i="10"/>
  <c r="G4941" i="10"/>
  <c r="G4937" i="10"/>
  <c r="G4933" i="10"/>
  <c r="G4951" i="10"/>
  <c r="G4943" i="10"/>
  <c r="G4938" i="10"/>
  <c r="G4936" i="10"/>
  <c r="G4928" i="10"/>
  <c r="G4924" i="10"/>
  <c r="G4920" i="10"/>
  <c r="G4916" i="10"/>
  <c r="G4934" i="10"/>
  <c r="G4932" i="10"/>
  <c r="G4929" i="10"/>
  <c r="G4925" i="10"/>
  <c r="G4921" i="10"/>
  <c r="G4917" i="10"/>
  <c r="G4952" i="10"/>
  <c r="G4950" i="10"/>
  <c r="G4944" i="10"/>
  <c r="G4942" i="10"/>
  <c r="G4930" i="10"/>
  <c r="G4926" i="10"/>
  <c r="G4922" i="10"/>
  <c r="G4918" i="10"/>
  <c r="G4935" i="10"/>
  <c r="H4914" i="10"/>
  <c r="G4927" i="10"/>
  <c r="G4939" i="10"/>
  <c r="G4949" i="10"/>
  <c r="G4931" i="10"/>
  <c r="G4915" i="10"/>
  <c r="G4919" i="10"/>
  <c r="G4914" i="10"/>
  <c r="G4923" i="10"/>
  <c r="H4310" i="10"/>
  <c r="I4310" i="10" s="1"/>
  <c r="J4310" i="10" s="1"/>
  <c r="F4311" i="10" s="1"/>
  <c r="J2496" i="10"/>
  <c r="F2497" i="10" s="1"/>
  <c r="H2496" i="10"/>
  <c r="I2496" i="10" s="1"/>
  <c r="L2155" i="10"/>
  <c r="J1457" i="10"/>
  <c r="F1458" i="10" s="1"/>
  <c r="H1457" i="10"/>
  <c r="I1457" i="10" s="1"/>
  <c r="J2155" i="10"/>
  <c r="F2156" i="10" s="1"/>
  <c r="H2155" i="10"/>
  <c r="G2155" i="10" s="1"/>
  <c r="I2155" i="10" s="1"/>
  <c r="I2337" i="10"/>
  <c r="J2337" i="10" s="1"/>
  <c r="F2338" i="10" s="1"/>
  <c r="L3179" i="10"/>
  <c r="L3180" i="10" s="1"/>
  <c r="L3181" i="10" s="1"/>
  <c r="L3178" i="10"/>
  <c r="J931" i="10"/>
  <c r="F932" i="10" s="1"/>
  <c r="H931" i="10"/>
  <c r="I931" i="10" s="1"/>
  <c r="H3601" i="10"/>
  <c r="I3601" i="10" s="1"/>
  <c r="J3601" i="10" s="1"/>
  <c r="F3602" i="10" s="1"/>
  <c r="H5365" i="10"/>
  <c r="I5365" i="10" s="1"/>
  <c r="J5365" i="10" s="1"/>
  <c r="F5366" i="10" s="1"/>
  <c r="J1606" i="10"/>
  <c r="F1607" i="10" s="1"/>
  <c r="H1606" i="10"/>
  <c r="I1606" i="10" s="1"/>
  <c r="J1148" i="10"/>
  <c r="F1149" i="10" s="1"/>
  <c r="H1148" i="10"/>
  <c r="I1148" i="10" s="1"/>
  <c r="O94" i="6"/>
  <c r="R97" i="9"/>
  <c r="Q86" i="6"/>
  <c r="AK86" i="6" s="1"/>
  <c r="I86" i="3"/>
  <c r="T86" i="3" s="1"/>
  <c r="AQ89" i="9"/>
  <c r="L2326" i="10"/>
  <c r="S82" i="6"/>
  <c r="S85" i="9"/>
  <c r="I97" i="3"/>
  <c r="T97" i="3" s="1"/>
  <c r="Q97" i="6"/>
  <c r="AK97" i="6" s="1"/>
  <c r="AQ100" i="9"/>
  <c r="L2954" i="10"/>
  <c r="L2955" i="10" s="1"/>
  <c r="L2956" i="10" s="1"/>
  <c r="L2957" i="10" s="1"/>
  <c r="L2958" i="10" s="1"/>
  <c r="L2959" i="10" s="1"/>
  <c r="L2960" i="10" s="1"/>
  <c r="L2961" i="10" s="1"/>
  <c r="L2962" i="10" s="1"/>
  <c r="I2954" i="10"/>
  <c r="J2954" i="10" s="1"/>
  <c r="F2955" i="10" s="1"/>
  <c r="H4422" i="10"/>
  <c r="I4422" i="10" s="1"/>
  <c r="J4422" i="10" s="1"/>
  <c r="F4423" i="10" s="1"/>
  <c r="H2713" i="10"/>
  <c r="I2713" i="10" s="1"/>
  <c r="J2713" i="10" s="1"/>
  <c r="F2714" i="10" s="1"/>
  <c r="L4786" i="10"/>
  <c r="L4787" i="10" s="1"/>
  <c r="L4788" i="10" s="1"/>
  <c r="I4786" i="10"/>
  <c r="J4786" i="10" s="1"/>
  <c r="F4787" i="10" s="1"/>
  <c r="H4609" i="10"/>
  <c r="I4609" i="10" s="1"/>
  <c r="J4609" i="10"/>
  <c r="F4610" i="10" s="1"/>
  <c r="H5575" i="10"/>
  <c r="I5575" i="10" s="1"/>
  <c r="J5575" i="10" s="1"/>
  <c r="F5576" i="10" s="1"/>
  <c r="L222" i="10"/>
  <c r="L223" i="10" s="1"/>
  <c r="L224" i="10" s="1"/>
  <c r="L225" i="10" s="1"/>
  <c r="L226" i="10" s="1"/>
  <c r="L227" i="10" s="1"/>
  <c r="L228" i="10" s="1"/>
  <c r="L229" i="10" s="1"/>
  <c r="L230" i="10" s="1"/>
  <c r="L231" i="10" s="1"/>
  <c r="L232" i="10" s="1"/>
  <c r="L233" i="10" s="1"/>
  <c r="L234" i="10" s="1"/>
  <c r="L235" i="10" s="1"/>
  <c r="L236" i="10" s="1"/>
  <c r="I222" i="10"/>
  <c r="J222" i="10" s="1"/>
  <c r="F223" i="10" s="1"/>
  <c r="H4557" i="10"/>
  <c r="I4557" i="10" s="1"/>
  <c r="J4557" i="10"/>
  <c r="F4558" i="10" s="1"/>
  <c r="C3722" i="10"/>
  <c r="D3721" i="10"/>
  <c r="E3721" i="10" s="1"/>
  <c r="J1527" i="10"/>
  <c r="F1528" i="10" s="1"/>
  <c r="H1527" i="10"/>
  <c r="I1527" i="10" s="1"/>
  <c r="C3934" i="10"/>
  <c r="D3933" i="10"/>
  <c r="E3933" i="10" s="1"/>
  <c r="H2062" i="10"/>
  <c r="I2062" i="10" s="1"/>
  <c r="J2062" i="10" s="1"/>
  <c r="F2063" i="10" s="1"/>
  <c r="I3492" i="10"/>
  <c r="J3492" i="10" s="1"/>
  <c r="F3493" i="10" s="1"/>
  <c r="L3492" i="10"/>
  <c r="L3493" i="10" s="1"/>
  <c r="L3494" i="10" s="1"/>
  <c r="L3495" i="10" s="1"/>
  <c r="L3496" i="10" s="1"/>
  <c r="L3497" i="10" s="1"/>
  <c r="L3498" i="10" s="1"/>
  <c r="L3499" i="10" s="1"/>
  <c r="L3500" i="10" s="1"/>
  <c r="L3501" i="10" s="1"/>
  <c r="L3502" i="10" s="1"/>
  <c r="H5073" i="10"/>
  <c r="I5073" i="10" s="1"/>
  <c r="J5073" i="10"/>
  <c r="F5074" i="10" s="1"/>
  <c r="J3387" i="10"/>
  <c r="F3388" i="10" s="1"/>
  <c r="H3387" i="10"/>
  <c r="I3387" i="10" s="1"/>
  <c r="J2665" i="10"/>
  <c r="F2666" i="10" s="1"/>
  <c r="H2665" i="10"/>
  <c r="I2665" i="10" s="1"/>
  <c r="H1933" i="10"/>
  <c r="I1933" i="10" s="1"/>
  <c r="J1933" i="10" s="1"/>
  <c r="F1934" i="10" s="1"/>
  <c r="J1566" i="10"/>
  <c r="F1567" i="10" s="1"/>
  <c r="H1566" i="10"/>
  <c r="I1566" i="10" s="1"/>
  <c r="H4750" i="10"/>
  <c r="H5147" i="10"/>
  <c r="I96" i="3"/>
  <c r="T96" i="3" s="1"/>
  <c r="Q96" i="6"/>
  <c r="AK96" i="6" s="1"/>
  <c r="AQ99" i="9"/>
  <c r="J774" i="10"/>
  <c r="F775" i="10" s="1"/>
  <c r="H774" i="10"/>
  <c r="I774" i="10" s="1"/>
  <c r="J636" i="10"/>
  <c r="F637" i="10" s="1"/>
  <c r="H636" i="10"/>
  <c r="I636" i="10" s="1"/>
  <c r="H3135" i="10"/>
  <c r="G3136" i="10"/>
  <c r="G3135" i="10"/>
  <c r="J4520" i="10"/>
  <c r="F4521" i="10" s="1"/>
  <c r="H4520" i="10"/>
  <c r="I4520" i="10" s="1"/>
  <c r="J519" i="10"/>
  <c r="F520" i="10" s="1"/>
  <c r="H519" i="10"/>
  <c r="I519" i="10" s="1"/>
  <c r="H5227" i="10"/>
  <c r="I5227" i="10" s="1"/>
  <c r="J5227" i="10" s="1"/>
  <c r="F5228" i="10" s="1"/>
  <c r="I2406" i="10"/>
  <c r="J2406" i="10" s="1"/>
  <c r="F2407" i="10" s="1"/>
  <c r="H4011" i="10" l="1"/>
  <c r="I4011" i="10" s="1"/>
  <c r="J4011" i="10" s="1"/>
  <c r="F4012" i="10" s="1"/>
  <c r="H5576" i="10"/>
  <c r="I5576" i="10" s="1"/>
  <c r="J5576" i="10" s="1"/>
  <c r="F5577" i="10" s="1"/>
  <c r="H5366" i="10"/>
  <c r="I5366" i="10" s="1"/>
  <c r="J5366" i="10" s="1"/>
  <c r="F5367" i="10" s="1"/>
  <c r="H1809" i="10"/>
  <c r="I1809" i="10" s="1"/>
  <c r="J1809" i="10" s="1"/>
  <c r="F1810" i="10" s="1"/>
  <c r="H5502" i="10"/>
  <c r="I5502" i="10" s="1"/>
  <c r="J5502" i="10" s="1"/>
  <c r="F5503" i="10" s="1"/>
  <c r="H3284" i="10"/>
  <c r="I3284" i="10" s="1"/>
  <c r="J3284" i="10"/>
  <c r="F3285" i="10" s="1"/>
  <c r="H1023" i="10"/>
  <c r="I1023" i="10" s="1"/>
  <c r="J1023" i="10" s="1"/>
  <c r="F1024" i="10" s="1"/>
  <c r="H1065" i="10"/>
  <c r="I1065" i="10" s="1"/>
  <c r="J1065" i="10" s="1"/>
  <c r="F1066" i="10" s="1"/>
  <c r="H1183" i="10"/>
  <c r="I1183" i="10" s="1"/>
  <c r="J1183" i="10" s="1"/>
  <c r="F1184" i="10" s="1"/>
  <c r="H3092" i="10"/>
  <c r="I3092" i="10" s="1"/>
  <c r="J3092" i="10" s="1"/>
  <c r="F3093" i="10" s="1"/>
  <c r="H3602" i="10"/>
  <c r="I3602" i="10" s="1"/>
  <c r="J3602" i="10" s="1"/>
  <c r="F3603" i="10" s="1"/>
  <c r="H1772" i="10"/>
  <c r="I1772" i="10" s="1"/>
  <c r="J1772" i="10"/>
  <c r="F1773" i="10" s="1"/>
  <c r="H895" i="10"/>
  <c r="I895" i="10" s="1"/>
  <c r="J895" i="10" s="1"/>
  <c r="F896" i="10" s="1"/>
  <c r="H2580" i="10"/>
  <c r="I2580" i="10" s="1"/>
  <c r="J2580" i="10"/>
  <c r="F2581" i="10" s="1"/>
  <c r="H1315" i="10"/>
  <c r="I1315" i="10" s="1"/>
  <c r="J1315" i="10" s="1"/>
  <c r="F1316" i="10" s="1"/>
  <c r="H3001" i="10"/>
  <c r="I3001" i="10" s="1"/>
  <c r="J3001" i="10" s="1"/>
  <c r="F3002" i="10" s="1"/>
  <c r="H5228" i="10"/>
  <c r="I5228" i="10" s="1"/>
  <c r="J5228" i="10" s="1"/>
  <c r="F5229" i="10" s="1"/>
  <c r="H301" i="10"/>
  <c r="I301" i="10" s="1"/>
  <c r="J301" i="10" s="1"/>
  <c r="F302" i="10" s="1"/>
  <c r="H1979" i="10"/>
  <c r="I1979" i="10" s="1"/>
  <c r="J1979" i="10"/>
  <c r="F1980" i="10" s="1"/>
  <c r="H3968" i="10"/>
  <c r="I3968" i="10" s="1"/>
  <c r="J3968" i="10"/>
  <c r="F3969" i="10" s="1"/>
  <c r="H1687" i="10"/>
  <c r="I1687" i="10" s="1"/>
  <c r="J1687" i="10" s="1"/>
  <c r="F1688" i="10" s="1"/>
  <c r="H2759" i="10"/>
  <c r="I2759" i="10" s="1"/>
  <c r="J2759" i="10" s="1"/>
  <c r="F2760" i="10" s="1"/>
  <c r="H2626" i="10"/>
  <c r="I2626" i="10" s="1"/>
  <c r="J2626" i="10" s="1"/>
  <c r="F2627" i="10" s="1"/>
  <c r="H4131" i="10"/>
  <c r="I4131" i="10" s="1"/>
  <c r="J4131" i="10"/>
  <c r="F4132" i="10" s="1"/>
  <c r="H1647" i="10"/>
  <c r="I1647" i="10" s="1"/>
  <c r="J1647" i="10" s="1"/>
  <c r="F1648" i="10" s="1"/>
  <c r="H1934" i="10"/>
  <c r="I1934" i="10" s="1"/>
  <c r="J1934" i="10" s="1"/>
  <c r="F1935" i="10" s="1"/>
  <c r="H4077" i="10"/>
  <c r="I4077" i="10" s="1"/>
  <c r="J4077" i="10"/>
  <c r="F4078" i="10" s="1"/>
  <c r="H381" i="10"/>
  <c r="I381" i="10" s="1"/>
  <c r="J381" i="10" s="1"/>
  <c r="F382" i="10" s="1"/>
  <c r="H3819" i="10"/>
  <c r="I3819" i="10" s="1"/>
  <c r="J3819" i="10" s="1"/>
  <c r="F3820" i="10" s="1"/>
  <c r="H1106" i="10"/>
  <c r="I1106" i="10" s="1"/>
  <c r="J1106" i="10" s="1"/>
  <c r="F1107" i="10" s="1"/>
  <c r="H5434" i="10"/>
  <c r="I5434" i="10" s="1"/>
  <c r="J5434" i="10"/>
  <c r="F5435" i="10" s="1"/>
  <c r="H5309" i="10"/>
  <c r="I5309" i="10" s="1"/>
  <c r="J5309" i="10" s="1"/>
  <c r="F5310" i="10" s="1"/>
  <c r="H2063" i="10"/>
  <c r="I2063" i="10" s="1"/>
  <c r="J2063" i="10" s="1"/>
  <c r="F2064" i="10" s="1"/>
  <c r="H2714" i="10"/>
  <c r="I2714" i="10" s="1"/>
  <c r="J2714" i="10"/>
  <c r="F2715" i="10" s="1"/>
  <c r="H2216" i="10"/>
  <c r="I2216" i="10" s="1"/>
  <c r="J2216" i="10"/>
  <c r="F2217" i="10" s="1"/>
  <c r="H1403" i="10"/>
  <c r="I1403" i="10" s="1"/>
  <c r="J1403" i="10" s="1"/>
  <c r="F1404" i="10" s="1"/>
  <c r="H4423" i="10"/>
  <c r="I4423" i="10" s="1"/>
  <c r="J4423" i="10"/>
  <c r="F4424" i="10" s="1"/>
  <c r="G2339" i="10"/>
  <c r="H2338" i="10"/>
  <c r="G2338" i="10"/>
  <c r="H4311" i="10"/>
  <c r="I4311" i="10" s="1"/>
  <c r="J4311" i="10" s="1"/>
  <c r="F4312" i="10" s="1"/>
  <c r="H4375" i="10"/>
  <c r="I4375" i="10" s="1"/>
  <c r="J4375" i="10"/>
  <c r="F4376" i="10" s="1"/>
  <c r="H24" i="10"/>
  <c r="H3457" i="10"/>
  <c r="I3457" i="10" s="1"/>
  <c r="J3457" i="10" s="1"/>
  <c r="F3458" i="10" s="1"/>
  <c r="H3646" i="10"/>
  <c r="I3646" i="10" s="1"/>
  <c r="J3646" i="10" s="1"/>
  <c r="F3647" i="10" s="1"/>
  <c r="I1888" i="10"/>
  <c r="J1888" i="10" s="1"/>
  <c r="F1889" i="10" s="1"/>
  <c r="L1902" i="10"/>
  <c r="L1896" i="10"/>
  <c r="H2026" i="10"/>
  <c r="I2026" i="10" s="1"/>
  <c r="J2026" i="10" s="1"/>
  <c r="F2027" i="10" s="1"/>
  <c r="J3493" i="10"/>
  <c r="F3494" i="10" s="1"/>
  <c r="H3493" i="10"/>
  <c r="I3493" i="10" s="1"/>
  <c r="D3825" i="10"/>
  <c r="E3825" i="10" s="1"/>
  <c r="C3826" i="10"/>
  <c r="F716" i="10"/>
  <c r="S84" i="9"/>
  <c r="J4247" i="10"/>
  <c r="F4248" i="10" s="1"/>
  <c r="I3776" i="10"/>
  <c r="J3776" i="10" s="1"/>
  <c r="F3777" i="10" s="1"/>
  <c r="L3776" i="10"/>
  <c r="L3777" i="10" s="1"/>
  <c r="L3778" i="10" s="1"/>
  <c r="L3779" i="10" s="1"/>
  <c r="L3780" i="10" s="1"/>
  <c r="L3781" i="10" s="1"/>
  <c r="L3782" i="10" s="1"/>
  <c r="L3783" i="10" s="1"/>
  <c r="J2455" i="10"/>
  <c r="F2456" i="10" s="1"/>
  <c r="G573" i="10"/>
  <c r="G574" i="10"/>
  <c r="G575" i="10"/>
  <c r="H573" i="10"/>
  <c r="I274" i="10"/>
  <c r="J274" i="10" s="1"/>
  <c r="F275" i="10" s="1"/>
  <c r="P8" i="9"/>
  <c r="I1723" i="10"/>
  <c r="J1723" i="10" s="1"/>
  <c r="F1724" i="10" s="1"/>
  <c r="L1723" i="10"/>
  <c r="L1724" i="10" s="1"/>
  <c r="L1725" i="10" s="1"/>
  <c r="L1726" i="10" s="1"/>
  <c r="L1727" i="10" s="1"/>
  <c r="L1728" i="10" s="1"/>
  <c r="L1729" i="10" s="1"/>
  <c r="L1730" i="10" s="1"/>
  <c r="L1731" i="10" s="1"/>
  <c r="L1732" i="10" s="1"/>
  <c r="L1733" i="10" s="1"/>
  <c r="L1734" i="10" s="1"/>
  <c r="L1735" i="10" s="1"/>
  <c r="L1736" i="10" s="1"/>
  <c r="L1737" i="10" s="1"/>
  <c r="L1738" i="10" s="1"/>
  <c r="L1739" i="10" s="1"/>
  <c r="L1740" i="10" s="1"/>
  <c r="L1741" i="10" s="1"/>
  <c r="L1742" i="10" s="1"/>
  <c r="L1743" i="10" s="1"/>
  <c r="H637" i="10"/>
  <c r="I637" i="10" s="1"/>
  <c r="J637" i="10" s="1"/>
  <c r="F638" i="10" s="1"/>
  <c r="J1528" i="10"/>
  <c r="F1529" i="10" s="1"/>
  <c r="H1528" i="10"/>
  <c r="I1528" i="10" s="1"/>
  <c r="J4558" i="10"/>
  <c r="F4559" i="10" s="1"/>
  <c r="H4558" i="10"/>
  <c r="I4558" i="10" s="1"/>
  <c r="H4610" i="10"/>
  <c r="J1607" i="10"/>
  <c r="F1608" i="10" s="1"/>
  <c r="H1607" i="10"/>
  <c r="I1607" i="10" s="1"/>
  <c r="J2156" i="10"/>
  <c r="F2157" i="10" s="1"/>
  <c r="H2156" i="10"/>
  <c r="G2156" i="10" s="1"/>
  <c r="I2156" i="10" s="1"/>
  <c r="H4981" i="10"/>
  <c r="I4981" i="10" s="1"/>
  <c r="J4981" i="10" s="1"/>
  <c r="F4982" i="10" s="1"/>
  <c r="J3176" i="10"/>
  <c r="F3177" i="10" s="1"/>
  <c r="H3176" i="10"/>
  <c r="I3176" i="10" s="1"/>
  <c r="J3560" i="10"/>
  <c r="F3561" i="10" s="1"/>
  <c r="H3560" i="10"/>
  <c r="I3560" i="10" s="1"/>
  <c r="H1258" i="10"/>
  <c r="I1258" i="10" s="1"/>
  <c r="J1258" i="10" s="1"/>
  <c r="F1259" i="10" s="1"/>
  <c r="J3926" i="10"/>
  <c r="F3927" i="10" s="1"/>
  <c r="H3926" i="10"/>
  <c r="I3926" i="10" s="1"/>
  <c r="I24" i="10"/>
  <c r="J24" i="10" s="1"/>
  <c r="F25" i="10" s="1"/>
  <c r="D3653" i="10"/>
  <c r="E3653" i="10" s="1"/>
  <c r="C3654" i="10"/>
  <c r="J2542" i="10"/>
  <c r="F2543" i="10" s="1"/>
  <c r="H2542" i="10"/>
  <c r="I2542" i="10" s="1"/>
  <c r="J5114" i="10"/>
  <c r="F5115" i="10" s="1"/>
  <c r="H5114" i="10"/>
  <c r="I5114" i="10" s="1"/>
  <c r="J2666" i="10"/>
  <c r="F2667" i="10" s="1"/>
  <c r="H2666" i="10"/>
  <c r="I2666" i="10" s="1"/>
  <c r="R94" i="6"/>
  <c r="T97" i="9"/>
  <c r="S94" i="6" s="1"/>
  <c r="I82" i="3"/>
  <c r="T82" i="3" s="1"/>
  <c r="Q82" i="6"/>
  <c r="AK82" i="6" s="1"/>
  <c r="AQ85" i="9"/>
  <c r="L5020" i="10"/>
  <c r="S98" i="9" s="1"/>
  <c r="I5020" i="10"/>
  <c r="J5020" i="10" s="1"/>
  <c r="F5021" i="10" s="1"/>
  <c r="C3868" i="10"/>
  <c r="D3867" i="10"/>
  <c r="E3867" i="10" s="1"/>
  <c r="W83" i="9"/>
  <c r="X83" i="9" s="1"/>
  <c r="C3723" i="10"/>
  <c r="D3722" i="10"/>
  <c r="E3722" i="10" s="1"/>
  <c r="H854" i="10"/>
  <c r="I854" i="10" s="1"/>
  <c r="J854" i="10" s="1"/>
  <c r="F855" i="10" s="1"/>
  <c r="O81" i="6"/>
  <c r="R84" i="9"/>
  <c r="H520" i="10"/>
  <c r="I520" i="10" s="1"/>
  <c r="J520" i="10" s="1"/>
  <c r="F521" i="10" s="1"/>
  <c r="H775" i="10"/>
  <c r="I775" i="10" s="1"/>
  <c r="J775" i="10"/>
  <c r="F776" i="10" s="1"/>
  <c r="G5147" i="10"/>
  <c r="H1567" i="10"/>
  <c r="I1567" i="10" s="1"/>
  <c r="J1567" i="10" s="1"/>
  <c r="F1568" i="10" s="1"/>
  <c r="G3397" i="10"/>
  <c r="G3396" i="10"/>
  <c r="H3388" i="10"/>
  <c r="G3427" i="10"/>
  <c r="G3423" i="10"/>
  <c r="G3419" i="10"/>
  <c r="G3415" i="10"/>
  <c r="G3411" i="10"/>
  <c r="G3407" i="10"/>
  <c r="G3403" i="10"/>
  <c r="G3398" i="10"/>
  <c r="G3388" i="10"/>
  <c r="G3399" i="10"/>
  <c r="G3389" i="10"/>
  <c r="G3428" i="10"/>
  <c r="G3424" i="10"/>
  <c r="G3420" i="10"/>
  <c r="G3416" i="10"/>
  <c r="G3412" i="10"/>
  <c r="G3408" i="10"/>
  <c r="G3404" i="10"/>
  <c r="G3400" i="10"/>
  <c r="G3390" i="10"/>
  <c r="G3391" i="10"/>
  <c r="G3393" i="10"/>
  <c r="G3394" i="10"/>
  <c r="G3426" i="10"/>
  <c r="G3422" i="10"/>
  <c r="G3418" i="10"/>
  <c r="G3414" i="10"/>
  <c r="G3410" i="10"/>
  <c r="G3406" i="10"/>
  <c r="G3402" i="10"/>
  <c r="G3429" i="10"/>
  <c r="G3425" i="10"/>
  <c r="G3421" i="10"/>
  <c r="G3417" i="10"/>
  <c r="G3413" i="10"/>
  <c r="G3409" i="10"/>
  <c r="G3405" i="10"/>
  <c r="G3401" i="10"/>
  <c r="G3395" i="10"/>
  <c r="G3392" i="10"/>
  <c r="H223" i="10"/>
  <c r="I223" i="10" s="1"/>
  <c r="J223" i="10"/>
  <c r="F224" i="10" s="1"/>
  <c r="H2955" i="10"/>
  <c r="I2955" i="10" s="1"/>
  <c r="J2955" i="10" s="1"/>
  <c r="F2956" i="10" s="1"/>
  <c r="Q94" i="6"/>
  <c r="AK94" i="6" s="1"/>
  <c r="I94" i="3"/>
  <c r="T94" i="3" s="1"/>
  <c r="AQ97" i="9"/>
  <c r="J932" i="10"/>
  <c r="F933" i="10" s="1"/>
  <c r="H932" i="10"/>
  <c r="I932" i="10" s="1"/>
  <c r="J1458" i="10"/>
  <c r="F1459" i="10" s="1"/>
  <c r="H1458" i="10"/>
  <c r="I1458" i="10" s="1"/>
  <c r="L4914" i="10"/>
  <c r="I4914" i="10"/>
  <c r="W74" i="9"/>
  <c r="X74" i="9" s="1"/>
  <c r="T96" i="6"/>
  <c r="W99" i="9"/>
  <c r="X99" i="9" s="1"/>
  <c r="H4854" i="10"/>
  <c r="I4854" i="10" s="1"/>
  <c r="J4854" i="10" s="1"/>
  <c r="F4855" i="10" s="1"/>
  <c r="O95" i="6"/>
  <c r="R98" i="9"/>
  <c r="H422" i="10"/>
  <c r="I422" i="10" s="1"/>
  <c r="J422" i="10" s="1"/>
  <c r="F423" i="10" s="1"/>
  <c r="L23" i="10"/>
  <c r="L24" i="10" s="1"/>
  <c r="L25" i="10" s="1"/>
  <c r="L26" i="10" s="1"/>
  <c r="L27" i="10" s="1"/>
  <c r="H2256" i="10"/>
  <c r="I2256" i="10" s="1"/>
  <c r="J2256" i="10" s="1"/>
  <c r="F2257" i="10" s="1"/>
  <c r="I2882" i="10"/>
  <c r="J2882" i="10" s="1"/>
  <c r="F2883" i="10" s="1"/>
  <c r="L2882" i="10"/>
  <c r="I60" i="10"/>
  <c r="J60" i="10" s="1"/>
  <c r="F61" i="10" s="1"/>
  <c r="L60" i="10"/>
  <c r="I3135" i="10"/>
  <c r="J3135" i="10" s="1"/>
  <c r="F3136" i="10" s="1"/>
  <c r="L3135" i="10"/>
  <c r="L3136" i="10" s="1"/>
  <c r="L2156" i="10"/>
  <c r="R92" i="6"/>
  <c r="U95" i="9"/>
  <c r="T95" i="9"/>
  <c r="S92" i="6" s="1"/>
  <c r="I3859" i="10"/>
  <c r="J3859" i="10" s="1"/>
  <c r="F3860" i="10" s="1"/>
  <c r="L3859" i="10"/>
  <c r="L3860" i="10" s="1"/>
  <c r="L3861" i="10" s="1"/>
  <c r="L3862" i="10" s="1"/>
  <c r="L3863" i="10" s="1"/>
  <c r="L3864" i="10" s="1"/>
  <c r="L3865" i="10" s="1"/>
  <c r="L3866" i="10" s="1"/>
  <c r="L3867" i="10" s="1"/>
  <c r="H2112" i="10"/>
  <c r="I2112" i="10" s="1"/>
  <c r="J2112" i="10"/>
  <c r="F2113" i="10" s="1"/>
  <c r="H4451" i="10"/>
  <c r="I4451" i="10" s="1"/>
  <c r="H4683" i="10"/>
  <c r="L4191" i="10"/>
  <c r="L4192" i="10" s="1"/>
  <c r="L4193" i="10" s="1"/>
  <c r="L4194" i="10" s="1"/>
  <c r="L4195" i="10" s="1"/>
  <c r="L4196" i="10" s="1"/>
  <c r="I4191" i="10"/>
  <c r="H2297" i="10"/>
  <c r="I2297" i="10" s="1"/>
  <c r="J2297" i="10"/>
  <c r="F2298" i="10" s="1"/>
  <c r="C3935" i="10"/>
  <c r="D3934" i="10"/>
  <c r="E3934" i="10" s="1"/>
  <c r="H4521" i="10"/>
  <c r="I4521" i="10" s="1"/>
  <c r="J4521" i="10" s="1"/>
  <c r="F4522" i="10" s="1"/>
  <c r="H5074" i="10"/>
  <c r="I5074" i="10" s="1"/>
  <c r="J5074" i="10" s="1"/>
  <c r="F5075" i="10" s="1"/>
  <c r="P93" i="9"/>
  <c r="I4750" i="10"/>
  <c r="J4750" i="10" s="1"/>
  <c r="F4751" i="10" s="1"/>
  <c r="L4915" i="10"/>
  <c r="W96" i="9"/>
  <c r="L3710" i="10"/>
  <c r="L3711" i="10" s="1"/>
  <c r="L3712" i="10" s="1"/>
  <c r="L3713" i="10" s="1"/>
  <c r="L3714" i="10" s="1"/>
  <c r="L3715" i="10" s="1"/>
  <c r="L3716" i="10" s="1"/>
  <c r="L3717" i="10" s="1"/>
  <c r="L3718" i="10" s="1"/>
  <c r="I3710" i="10"/>
  <c r="J3710" i="10" s="1"/>
  <c r="F3711" i="10" s="1"/>
  <c r="Q83" i="6"/>
  <c r="AK83" i="6" s="1"/>
  <c r="I83" i="3"/>
  <c r="T83" i="3" s="1"/>
  <c r="AQ86" i="9"/>
  <c r="Q92" i="6"/>
  <c r="AK92" i="6" s="1"/>
  <c r="I92" i="3"/>
  <c r="T92" i="3" s="1"/>
  <c r="AQ95" i="9"/>
  <c r="U89" i="9"/>
  <c r="D3977" i="10"/>
  <c r="E3977" i="10" s="1"/>
  <c r="C3978" i="10"/>
  <c r="H973" i="10"/>
  <c r="I973" i="10" s="1"/>
  <c r="J973" i="10" s="1"/>
  <c r="F974" i="10" s="1"/>
  <c r="H2407" i="10"/>
  <c r="G2407" i="10"/>
  <c r="I2407" i="10" s="1"/>
  <c r="J2407" i="10" s="1"/>
  <c r="F2408" i="10" s="1"/>
  <c r="H4787" i="10"/>
  <c r="I4787" i="10" s="1"/>
  <c r="J4787" i="10" s="1"/>
  <c r="F4788" i="10" s="1"/>
  <c r="U85" i="9"/>
  <c r="R82" i="6"/>
  <c r="H1149" i="10"/>
  <c r="I1149" i="10" s="1"/>
  <c r="J1149" i="10" s="1"/>
  <c r="F1150" i="10" s="1"/>
  <c r="H2497" i="10"/>
  <c r="I2497" i="10" s="1"/>
  <c r="J2497" i="10" s="1"/>
  <c r="F2498" i="10" s="1"/>
  <c r="J1202" i="10"/>
  <c r="F1203" i="10" s="1"/>
  <c r="H1202" i="10"/>
  <c r="I1202" i="10" s="1"/>
  <c r="I3322" i="10"/>
  <c r="J3322" i="10" s="1"/>
  <c r="F3323" i="10" s="1"/>
  <c r="H2835" i="10"/>
  <c r="I2835" i="10" s="1"/>
  <c r="J2835" i="10" s="1"/>
  <c r="F2836" i="10" s="1"/>
  <c r="H855" i="10" l="1"/>
  <c r="I855" i="10" s="1"/>
  <c r="J855" i="10" s="1"/>
  <c r="F856" i="10" s="1"/>
  <c r="H1259" i="10"/>
  <c r="I1259" i="10" s="1"/>
  <c r="J1259" i="10"/>
  <c r="F1260" i="10" s="1"/>
  <c r="H1648" i="10"/>
  <c r="I1648" i="10" s="1"/>
  <c r="J1648" i="10" s="1"/>
  <c r="F1649" i="10" s="1"/>
  <c r="H896" i="10"/>
  <c r="I896" i="10" s="1"/>
  <c r="J896" i="10"/>
  <c r="F897" i="10" s="1"/>
  <c r="H1935" i="10"/>
  <c r="I1935" i="10" s="1"/>
  <c r="J1935" i="10" s="1"/>
  <c r="F1936" i="10" s="1"/>
  <c r="H974" i="10"/>
  <c r="I974" i="10" s="1"/>
  <c r="J974" i="10" s="1"/>
  <c r="F975" i="10" s="1"/>
  <c r="H5075" i="10"/>
  <c r="I5075" i="10" s="1"/>
  <c r="J5075" i="10" s="1"/>
  <c r="F5076" i="10" s="1"/>
  <c r="H2257" i="10"/>
  <c r="I2257" i="10" s="1"/>
  <c r="J2257" i="10" s="1"/>
  <c r="F2258" i="10" s="1"/>
  <c r="H1568" i="10"/>
  <c r="I1568" i="10" s="1"/>
  <c r="J1568" i="10" s="1"/>
  <c r="F1569" i="10" s="1"/>
  <c r="H1404" i="10"/>
  <c r="I1404" i="10" s="1"/>
  <c r="J1404" i="10" s="1"/>
  <c r="F1405" i="10" s="1"/>
  <c r="H2408" i="10"/>
  <c r="G2408" i="10"/>
  <c r="J4522" i="10"/>
  <c r="F4523" i="10" s="1"/>
  <c r="H4522" i="10"/>
  <c r="I4522" i="10" s="1"/>
  <c r="H2027" i="10"/>
  <c r="I2027" i="10" s="1"/>
  <c r="J2027" i="10" s="1"/>
  <c r="F2028" i="10" s="1"/>
  <c r="H1107" i="10"/>
  <c r="I1107" i="10" s="1"/>
  <c r="J1107" i="10" s="1"/>
  <c r="F1108" i="10" s="1"/>
  <c r="H302" i="10"/>
  <c r="G302" i="10"/>
  <c r="G303" i="10"/>
  <c r="G304" i="10"/>
  <c r="G305" i="10"/>
  <c r="H5503" i="10"/>
  <c r="I5503" i="10" s="1"/>
  <c r="J5503" i="10" s="1"/>
  <c r="F5504" i="10" s="1"/>
  <c r="H638" i="10"/>
  <c r="I638" i="10" s="1"/>
  <c r="J638" i="10" s="1"/>
  <c r="F639" i="10" s="1"/>
  <c r="H4312" i="10"/>
  <c r="I4312" i="10" s="1"/>
  <c r="J4312" i="10"/>
  <c r="F4313" i="10" s="1"/>
  <c r="H3820" i="10"/>
  <c r="I3820" i="10" s="1"/>
  <c r="J3820" i="10"/>
  <c r="F3821" i="10" s="1"/>
  <c r="H2627" i="10"/>
  <c r="I2627" i="10" s="1"/>
  <c r="J2627" i="10" s="1"/>
  <c r="F2628" i="10" s="1"/>
  <c r="H5229" i="10"/>
  <c r="I5229" i="10" s="1"/>
  <c r="J5229" i="10" s="1"/>
  <c r="F5230" i="10" s="1"/>
  <c r="H3603" i="10"/>
  <c r="I3603" i="10" s="1"/>
  <c r="J3603" i="10" s="1"/>
  <c r="F3604" i="10" s="1"/>
  <c r="H1810" i="10"/>
  <c r="I1810" i="10" s="1"/>
  <c r="J1810" i="10" s="1"/>
  <c r="F1811" i="10" s="1"/>
  <c r="H5310" i="10"/>
  <c r="I5310" i="10" s="1"/>
  <c r="J5310" i="10" s="1"/>
  <c r="F5311" i="10" s="1"/>
  <c r="H2498" i="10"/>
  <c r="I2498" i="10" s="1"/>
  <c r="J2498" i="10" s="1"/>
  <c r="F2499" i="10" s="1"/>
  <c r="H2956" i="10"/>
  <c r="I2956" i="10" s="1"/>
  <c r="J2956" i="10" s="1"/>
  <c r="F2957" i="10" s="1"/>
  <c r="H382" i="10"/>
  <c r="I382" i="10" s="1"/>
  <c r="J382" i="10" s="1"/>
  <c r="F383" i="10" s="1"/>
  <c r="H2760" i="10"/>
  <c r="I2760" i="10" s="1"/>
  <c r="J2760" i="10" s="1"/>
  <c r="F2761" i="10" s="1"/>
  <c r="H3002" i="10"/>
  <c r="I3002" i="10" s="1"/>
  <c r="J3002" i="10"/>
  <c r="F3003" i="10" s="1"/>
  <c r="H3093" i="10"/>
  <c r="I3093" i="10" s="1"/>
  <c r="J3093" i="10" s="1"/>
  <c r="F3094" i="10" s="1"/>
  <c r="H5367" i="10"/>
  <c r="I5367" i="10" s="1"/>
  <c r="J5367" i="10" s="1"/>
  <c r="F5368" i="10" s="1"/>
  <c r="H1024" i="10"/>
  <c r="I1024" i="10" s="1"/>
  <c r="J1024" i="10" s="1"/>
  <c r="F1025" i="10" s="1"/>
  <c r="H423" i="10"/>
  <c r="I423" i="10" s="1"/>
  <c r="J423" i="10"/>
  <c r="F424" i="10" s="1"/>
  <c r="H521" i="10"/>
  <c r="G521" i="10"/>
  <c r="J25" i="10"/>
  <c r="F26" i="10" s="1"/>
  <c r="H25" i="10"/>
  <c r="I25" i="10" s="1"/>
  <c r="H4982" i="10"/>
  <c r="I4982" i="10" s="1"/>
  <c r="J4982" i="10" s="1"/>
  <c r="F4983" i="10" s="1"/>
  <c r="J1688" i="10"/>
  <c r="F1689" i="10" s="1"/>
  <c r="H1688" i="10"/>
  <c r="I1688" i="10" s="1"/>
  <c r="J1316" i="10"/>
  <c r="F1317" i="10" s="1"/>
  <c r="H1316" i="10"/>
  <c r="I1316" i="10" s="1"/>
  <c r="J1184" i="10"/>
  <c r="F1185" i="10" s="1"/>
  <c r="H1184" i="10"/>
  <c r="I1184" i="10" s="1"/>
  <c r="J5577" i="10"/>
  <c r="F5578" i="10" s="1"/>
  <c r="H5577" i="10"/>
  <c r="I5577" i="10" s="1"/>
  <c r="H3458" i="10"/>
  <c r="I3458" i="10" s="1"/>
  <c r="J3458" i="10" s="1"/>
  <c r="F3459" i="10" s="1"/>
  <c r="J1150" i="10"/>
  <c r="F1151" i="10" s="1"/>
  <c r="H1150" i="10"/>
  <c r="I1150" i="10" s="1"/>
  <c r="J2836" i="10"/>
  <c r="F2837" i="10" s="1"/>
  <c r="H2836" i="10"/>
  <c r="I2836" i="10" s="1"/>
  <c r="H4788" i="10"/>
  <c r="J4855" i="10"/>
  <c r="F4856" i="10" s="1"/>
  <c r="H4855" i="10"/>
  <c r="I4855" i="10" s="1"/>
  <c r="H3647" i="10"/>
  <c r="I3647" i="10" s="1"/>
  <c r="J3647" i="10" s="1"/>
  <c r="F3648" i="10" s="1"/>
  <c r="J2064" i="10"/>
  <c r="F2065" i="10" s="1"/>
  <c r="H2064" i="10"/>
  <c r="I2064" i="10" s="1"/>
  <c r="H1066" i="10"/>
  <c r="I1066" i="10" s="1"/>
  <c r="J1066" i="10" s="1"/>
  <c r="F1067" i="10" s="1"/>
  <c r="H4012" i="10"/>
  <c r="I4012" i="10" s="1"/>
  <c r="J4012" i="10" s="1"/>
  <c r="F4013" i="10" s="1"/>
  <c r="J1724" i="10"/>
  <c r="F1725" i="10" s="1"/>
  <c r="H1724" i="10"/>
  <c r="I1724" i="10" s="1"/>
  <c r="J2456" i="10"/>
  <c r="F2457" i="10" s="1"/>
  <c r="H2456" i="10"/>
  <c r="I2456" i="10" s="1"/>
  <c r="J1889" i="10"/>
  <c r="F1890" i="10" s="1"/>
  <c r="H1889" i="10"/>
  <c r="I1889" i="10" s="1"/>
  <c r="H4132" i="10"/>
  <c r="J1773" i="10"/>
  <c r="F1774" i="10" s="1"/>
  <c r="H1773" i="10"/>
  <c r="I1773" i="10" s="1"/>
  <c r="J4451" i="10"/>
  <c r="F4452" i="10" s="1"/>
  <c r="H3860" i="10"/>
  <c r="I3860" i="10" s="1"/>
  <c r="J3860" i="10" s="1"/>
  <c r="F3861" i="10" s="1"/>
  <c r="H3136" i="10"/>
  <c r="I3136" i="10" s="1"/>
  <c r="J3136" i="10" s="1"/>
  <c r="F3137" i="10" s="1"/>
  <c r="J4914" i="10"/>
  <c r="F4915" i="10" s="1"/>
  <c r="O5" i="6"/>
  <c r="R8" i="9"/>
  <c r="H4248" i="10"/>
  <c r="I4248" i="10" s="1"/>
  <c r="J4248" i="10" s="1"/>
  <c r="F4249" i="10" s="1"/>
  <c r="J716" i="10"/>
  <c r="F717" i="10" s="1"/>
  <c r="H716" i="10"/>
  <c r="D3935" i="10"/>
  <c r="E3935" i="10" s="1"/>
  <c r="C3936" i="10"/>
  <c r="W95" i="9"/>
  <c r="T92" i="6"/>
  <c r="X95" i="9"/>
  <c r="Q81" i="6"/>
  <c r="AK81" i="6" s="1"/>
  <c r="I81" i="3"/>
  <c r="T81" i="3" s="1"/>
  <c r="AQ84" i="9"/>
  <c r="H5115" i="10"/>
  <c r="I5115" i="10" s="1"/>
  <c r="J5115" i="10" s="1"/>
  <c r="F5116" i="10" s="1"/>
  <c r="H4559" i="10"/>
  <c r="J275" i="10"/>
  <c r="F276" i="10" s="1"/>
  <c r="H275" i="10"/>
  <c r="I275" i="10" s="1"/>
  <c r="R81" i="6"/>
  <c r="T84" i="9"/>
  <c r="S81" i="6" s="1"/>
  <c r="D3826" i="10"/>
  <c r="E3826" i="10" s="1"/>
  <c r="C3827" i="10"/>
  <c r="H3494" i="10"/>
  <c r="I3494" i="10" s="1"/>
  <c r="J3494" i="10" s="1"/>
  <c r="F3495" i="10" s="1"/>
  <c r="I2338" i="10"/>
  <c r="J2338" i="10" s="1"/>
  <c r="F2339" i="10" s="1"/>
  <c r="L2338" i="10"/>
  <c r="L2339" i="10" s="1"/>
  <c r="H2217" i="10"/>
  <c r="I2217" i="10" s="1"/>
  <c r="J2217" i="10" s="1"/>
  <c r="F2218" i="10" s="1"/>
  <c r="H5435" i="10"/>
  <c r="I5435" i="10" s="1"/>
  <c r="J5435" i="10"/>
  <c r="F5436" i="10" s="1"/>
  <c r="H4078" i="10"/>
  <c r="I4078" i="10" s="1"/>
  <c r="J4078" i="10" s="1"/>
  <c r="F4079" i="10" s="1"/>
  <c r="H1980" i="10"/>
  <c r="I1980" i="10" s="1"/>
  <c r="J1980" i="10" s="1"/>
  <c r="F1981" i="10" s="1"/>
  <c r="H2543" i="10"/>
  <c r="I2543" i="10" s="1"/>
  <c r="J2543" i="10" s="1"/>
  <c r="F2544" i="10" s="1"/>
  <c r="H3323" i="10"/>
  <c r="I3323" i="10" s="1"/>
  <c r="J3323" i="10" s="1"/>
  <c r="F3324" i="10" s="1"/>
  <c r="D3978" i="10"/>
  <c r="E3978" i="10" s="1"/>
  <c r="C3979" i="10"/>
  <c r="H3711" i="10"/>
  <c r="I3711" i="10" s="1"/>
  <c r="J3711" i="10" s="1"/>
  <c r="F3712" i="10" s="1"/>
  <c r="D3868" i="10"/>
  <c r="E3868" i="10" s="1"/>
  <c r="C3869" i="10"/>
  <c r="U97" i="9"/>
  <c r="J3927" i="10"/>
  <c r="F3928" i="10" s="1"/>
  <c r="H3927" i="10"/>
  <c r="I3927" i="10" s="1"/>
  <c r="H2113" i="10"/>
  <c r="I2113" i="10" s="1"/>
  <c r="J2113" i="10"/>
  <c r="F2114" i="10" s="1"/>
  <c r="J1459" i="10"/>
  <c r="F1460" i="10" s="1"/>
  <c r="H1459" i="10"/>
  <c r="I1459" i="10" s="1"/>
  <c r="H224" i="10"/>
  <c r="I224" i="10" s="1"/>
  <c r="J224" i="10" s="1"/>
  <c r="F225" i="10" s="1"/>
  <c r="D3654" i="10"/>
  <c r="E3654" i="10" s="1"/>
  <c r="C3655" i="10"/>
  <c r="H3561" i="10"/>
  <c r="I3561" i="10" s="1"/>
  <c r="J3561" i="10" s="1"/>
  <c r="F3562" i="10" s="1"/>
  <c r="G2157" i="10"/>
  <c r="I2157" i="10" s="1"/>
  <c r="J2157" i="10" s="1"/>
  <c r="H2157" i="10"/>
  <c r="H1529" i="10"/>
  <c r="I1529" i="10" s="1"/>
  <c r="J1529" i="10" s="1"/>
  <c r="F1530" i="10" s="1"/>
  <c r="H2715" i="10"/>
  <c r="I2715" i="10" s="1"/>
  <c r="J2715" i="10"/>
  <c r="F2716" i="10" s="1"/>
  <c r="H2581" i="10"/>
  <c r="I2581" i="10" s="1"/>
  <c r="J2581" i="10" s="1"/>
  <c r="F2582" i="10" s="1"/>
  <c r="H3285" i="10"/>
  <c r="I3285" i="10" s="1"/>
  <c r="J3285" i="10"/>
  <c r="F3286" i="10" s="1"/>
  <c r="H2667" i="10"/>
  <c r="I2667" i="10" s="1"/>
  <c r="J2667" i="10" s="1"/>
  <c r="F2668" i="10" s="1"/>
  <c r="H1203" i="10"/>
  <c r="I1203" i="10" s="1"/>
  <c r="J1203" i="10"/>
  <c r="F1204" i="10" s="1"/>
  <c r="J2298" i="10"/>
  <c r="F2299" i="10" s="1"/>
  <c r="H2298" i="10"/>
  <c r="I2298" i="10" s="1"/>
  <c r="T86" i="6"/>
  <c r="X89" i="9"/>
  <c r="H4751" i="10"/>
  <c r="I4751" i="10" s="1"/>
  <c r="J4751" i="10" s="1"/>
  <c r="F4752" i="10" s="1"/>
  <c r="G61" i="10"/>
  <c r="G64" i="10"/>
  <c r="G65" i="10"/>
  <c r="H61" i="10"/>
  <c r="G62" i="10"/>
  <c r="G63" i="10"/>
  <c r="Q95" i="6"/>
  <c r="AK95" i="6" s="1"/>
  <c r="I95" i="3"/>
  <c r="T95" i="3" s="1"/>
  <c r="AQ98" i="9"/>
  <c r="L5147" i="10"/>
  <c r="I5147" i="10"/>
  <c r="J5147" i="10" s="1"/>
  <c r="F5148" i="10" s="1"/>
  <c r="O90" i="6"/>
  <c r="R93" i="9"/>
  <c r="L2883" i="10"/>
  <c r="H933" i="10"/>
  <c r="I933" i="10" s="1"/>
  <c r="J933" i="10" s="1"/>
  <c r="F934" i="10" s="1"/>
  <c r="I3388" i="10"/>
  <c r="J3388" i="10" s="1"/>
  <c r="F3389" i="10" s="1"/>
  <c r="L3388" i="10"/>
  <c r="L3389" i="10" s="1"/>
  <c r="L3390" i="10" s="1"/>
  <c r="L3391" i="10" s="1"/>
  <c r="L3392" i="10" s="1"/>
  <c r="L3393" i="10" s="1"/>
  <c r="L3394" i="10" s="1"/>
  <c r="L3395" i="10" s="1"/>
  <c r="L3396" i="10" s="1"/>
  <c r="L3397" i="10" s="1"/>
  <c r="L3398" i="10" s="1"/>
  <c r="L3399" i="10" s="1"/>
  <c r="J776" i="10"/>
  <c r="F777" i="10" s="1"/>
  <c r="H776" i="10"/>
  <c r="I776" i="10" s="1"/>
  <c r="J5021" i="10"/>
  <c r="F5022" i="10" s="1"/>
  <c r="H5021" i="10"/>
  <c r="I5021" i="10" s="1"/>
  <c r="H3177" i="10"/>
  <c r="I3177" i="10" s="1"/>
  <c r="J3177" i="10" s="1"/>
  <c r="F3178" i="10" s="1"/>
  <c r="H1608" i="10"/>
  <c r="I1608" i="10" s="1"/>
  <c r="J1608" i="10" s="1"/>
  <c r="F1609" i="10" s="1"/>
  <c r="J4376" i="10"/>
  <c r="F4377" i="10" s="1"/>
  <c r="H4376" i="10"/>
  <c r="I4376" i="10" s="1"/>
  <c r="J4424" i="10"/>
  <c r="F4425" i="10" s="1"/>
  <c r="H4424" i="10"/>
  <c r="I4424" i="10" s="1"/>
  <c r="J4191" i="10"/>
  <c r="F4192" i="10" s="1"/>
  <c r="H3969" i="10"/>
  <c r="I3969" i="10" s="1"/>
  <c r="J3969" i="10" s="1"/>
  <c r="F3970" i="10" s="1"/>
  <c r="X85" i="9"/>
  <c r="T82" i="6"/>
  <c r="W85" i="9"/>
  <c r="G4683" i="10"/>
  <c r="H2883" i="10"/>
  <c r="G2883" i="10"/>
  <c r="I2883" i="10" s="1"/>
  <c r="J2883" i="10" s="1"/>
  <c r="F2884" i="10" s="1"/>
  <c r="C3724" i="10"/>
  <c r="D3723" i="10"/>
  <c r="E3723" i="10" s="1"/>
  <c r="R95" i="6"/>
  <c r="U98" i="9"/>
  <c r="I4610" i="10"/>
  <c r="J4610" i="10" s="1"/>
  <c r="F4611" i="10" s="1"/>
  <c r="P91" i="9"/>
  <c r="L573" i="10"/>
  <c r="L574" i="10" s="1"/>
  <c r="L575" i="10" s="1"/>
  <c r="I573" i="10"/>
  <c r="J573" i="10" s="1"/>
  <c r="F574" i="10" s="1"/>
  <c r="H3777" i="10"/>
  <c r="I3777" i="10" s="1"/>
  <c r="J3777" i="10" s="1"/>
  <c r="F3778" i="10" s="1"/>
  <c r="H975" i="10" l="1"/>
  <c r="I975" i="10" s="1"/>
  <c r="J975" i="10" s="1"/>
  <c r="F976" i="10" s="1"/>
  <c r="H3778" i="10"/>
  <c r="I3778" i="10" s="1"/>
  <c r="J3778" i="10" s="1"/>
  <c r="F3779" i="10" s="1"/>
  <c r="H4249" i="10"/>
  <c r="I4249" i="10" s="1"/>
  <c r="J4249" i="10" s="1"/>
  <c r="F4250" i="10" s="1"/>
  <c r="H4013" i="10"/>
  <c r="I4013" i="10" s="1"/>
  <c r="J4013" i="10" s="1"/>
  <c r="F4014" i="10" s="1"/>
  <c r="H5230" i="10"/>
  <c r="I5230" i="10" s="1"/>
  <c r="J5230" i="10" s="1"/>
  <c r="F5231" i="10" s="1"/>
  <c r="H1936" i="10"/>
  <c r="I1936" i="10" s="1"/>
  <c r="J1936" i="10" s="1"/>
  <c r="F1937" i="10" s="1"/>
  <c r="H3712" i="10"/>
  <c r="I3712" i="10" s="1"/>
  <c r="H1067" i="10"/>
  <c r="I1067" i="10" s="1"/>
  <c r="J1067" i="10"/>
  <c r="F1068" i="10" s="1"/>
  <c r="H2761" i="10"/>
  <c r="I2761" i="10" s="1"/>
  <c r="J2761" i="10" s="1"/>
  <c r="F2762" i="10" s="1"/>
  <c r="H2628" i="10"/>
  <c r="I2628" i="10" s="1"/>
  <c r="H4079" i="10"/>
  <c r="I4079" i="10" s="1"/>
  <c r="J4079" i="10" s="1"/>
  <c r="F4080" i="10" s="1"/>
  <c r="H2218" i="10"/>
  <c r="I2218" i="10" s="1"/>
  <c r="J2218" i="10" s="1"/>
  <c r="F2219" i="10" s="1"/>
  <c r="H383" i="10"/>
  <c r="I383" i="10" s="1"/>
  <c r="J383" i="10" s="1"/>
  <c r="F384" i="10" s="1"/>
  <c r="H3604" i="10"/>
  <c r="I3604" i="10" s="1"/>
  <c r="J3604" i="10" s="1"/>
  <c r="F3605" i="10" s="1"/>
  <c r="J2957" i="10"/>
  <c r="F2958" i="10" s="1"/>
  <c r="H2957" i="10"/>
  <c r="I2957" i="10" s="1"/>
  <c r="J1405" i="10"/>
  <c r="F1406" i="10" s="1"/>
  <c r="H1405" i="10"/>
  <c r="I1405" i="10" s="1"/>
  <c r="J1649" i="10"/>
  <c r="F1650" i="10" s="1"/>
  <c r="H1649" i="10"/>
  <c r="I1649" i="10" s="1"/>
  <c r="J3970" i="10"/>
  <c r="F3971" i="10" s="1"/>
  <c r="H3970" i="10"/>
  <c r="I3970" i="10" s="1"/>
  <c r="H1530" i="10"/>
  <c r="I1530" i="10" s="1"/>
  <c r="J1530" i="10" s="1"/>
  <c r="F1531" i="10" s="1"/>
  <c r="J2668" i="10"/>
  <c r="F2669" i="10" s="1"/>
  <c r="H2668" i="10"/>
  <c r="I2668" i="10" s="1"/>
  <c r="J4752" i="10"/>
  <c r="F4753" i="10" s="1"/>
  <c r="H4752" i="10"/>
  <c r="I4752" i="10" s="1"/>
  <c r="J3562" i="10"/>
  <c r="F3563" i="10" s="1"/>
  <c r="H3562" i="10"/>
  <c r="I3562" i="10" s="1"/>
  <c r="J3324" i="10"/>
  <c r="F3325" i="10" s="1"/>
  <c r="G3324" i="10"/>
  <c r="I3324" i="10" s="1"/>
  <c r="G3325" i="10"/>
  <c r="H3324" i="10"/>
  <c r="G3138" i="10"/>
  <c r="G3139" i="10"/>
  <c r="H3137" i="10"/>
  <c r="G3137" i="10"/>
  <c r="H3648" i="10"/>
  <c r="I3648" i="10" s="1"/>
  <c r="J3648" i="10"/>
  <c r="F3649" i="10" s="1"/>
  <c r="H3459" i="10"/>
  <c r="I3459" i="10" s="1"/>
  <c r="J3459" i="10"/>
  <c r="F3460" i="10" s="1"/>
  <c r="H1025" i="10"/>
  <c r="I1025" i="10" s="1"/>
  <c r="J1025" i="10"/>
  <c r="F1026" i="10" s="1"/>
  <c r="H2499" i="10"/>
  <c r="I2499" i="10" s="1"/>
  <c r="J2499" i="10"/>
  <c r="F2500" i="10" s="1"/>
  <c r="H1569" i="10"/>
  <c r="I1569" i="10" s="1"/>
  <c r="J1569" i="10"/>
  <c r="F1570" i="10" s="1"/>
  <c r="H5504" i="10"/>
  <c r="I5504" i="10" s="1"/>
  <c r="J5504" i="10" s="1"/>
  <c r="F5505" i="10" s="1"/>
  <c r="H1609" i="10"/>
  <c r="I1609" i="10" s="1"/>
  <c r="J1609" i="10"/>
  <c r="F1610" i="10" s="1"/>
  <c r="H2544" i="10"/>
  <c r="I2544" i="10" s="1"/>
  <c r="J2544" i="10" s="1"/>
  <c r="F2545" i="10" s="1"/>
  <c r="H3495" i="10"/>
  <c r="I3495" i="10" s="1"/>
  <c r="J3495" i="10" s="1"/>
  <c r="F3496" i="10" s="1"/>
  <c r="H5116" i="10"/>
  <c r="I5116" i="10" s="1"/>
  <c r="J5116" i="10" s="1"/>
  <c r="F5117" i="10" s="1"/>
  <c r="H3861" i="10"/>
  <c r="I3861" i="10" s="1"/>
  <c r="J3861" i="10" s="1"/>
  <c r="F3862" i="10" s="1"/>
  <c r="H4983" i="10"/>
  <c r="I4983" i="10" s="1"/>
  <c r="J4983" i="10" s="1"/>
  <c r="F4984" i="10" s="1"/>
  <c r="H5368" i="10"/>
  <c r="I5368" i="10" s="1"/>
  <c r="J5368" i="10" s="1"/>
  <c r="F5369" i="10" s="1"/>
  <c r="H5311" i="10"/>
  <c r="I5311" i="10" s="1"/>
  <c r="J5311" i="10"/>
  <c r="F5312" i="10" s="1"/>
  <c r="H1108" i="10"/>
  <c r="I1108" i="10" s="1"/>
  <c r="J1108" i="10"/>
  <c r="F1109" i="10" s="1"/>
  <c r="H2258" i="10"/>
  <c r="I2258" i="10" s="1"/>
  <c r="J2258" i="10" s="1"/>
  <c r="F2259" i="10" s="1"/>
  <c r="H225" i="10"/>
  <c r="I225" i="10" s="1"/>
  <c r="J225" i="10" s="1"/>
  <c r="F226" i="10" s="1"/>
  <c r="G2884" i="10"/>
  <c r="G2885" i="10"/>
  <c r="H2884" i="10"/>
  <c r="H934" i="10"/>
  <c r="I934" i="10" s="1"/>
  <c r="J934" i="10" s="1"/>
  <c r="F935" i="10" s="1"/>
  <c r="H3178" i="10"/>
  <c r="I3178" i="10" s="1"/>
  <c r="J3178" i="10" s="1"/>
  <c r="F3179" i="10" s="1"/>
  <c r="H2582" i="10"/>
  <c r="I2582" i="10" s="1"/>
  <c r="J2582" i="10" s="1"/>
  <c r="F2583" i="10" s="1"/>
  <c r="H1981" i="10"/>
  <c r="I1981" i="10" s="1"/>
  <c r="J1981" i="10" s="1"/>
  <c r="F1982" i="10" s="1"/>
  <c r="H3094" i="10"/>
  <c r="I3094" i="10" s="1"/>
  <c r="J3094" i="10" s="1"/>
  <c r="F3095" i="10" s="1"/>
  <c r="H1811" i="10"/>
  <c r="G1811" i="10"/>
  <c r="J639" i="10"/>
  <c r="F640" i="10" s="1"/>
  <c r="H639" i="10"/>
  <c r="I639" i="10" s="1"/>
  <c r="J2028" i="10"/>
  <c r="F2029" i="10" s="1"/>
  <c r="H2028" i="10"/>
  <c r="I2028" i="10" s="1"/>
  <c r="J5076" i="10"/>
  <c r="F5077" i="10" s="1"/>
  <c r="H5076" i="10"/>
  <c r="I5076" i="10" s="1"/>
  <c r="H856" i="10"/>
  <c r="I856" i="10" s="1"/>
  <c r="J856" i="10" s="1"/>
  <c r="F857" i="10" s="1"/>
  <c r="I4683" i="10"/>
  <c r="J4683" i="10" s="1"/>
  <c r="F4684" i="10" s="1"/>
  <c r="L4683" i="10"/>
  <c r="J3003" i="10"/>
  <c r="F3004" i="10" s="1"/>
  <c r="H3003" i="10"/>
  <c r="I3003" i="10" s="1"/>
  <c r="I302" i="10"/>
  <c r="J302" i="10" s="1"/>
  <c r="F303" i="10" s="1"/>
  <c r="L302" i="10"/>
  <c r="L303" i="10" s="1"/>
  <c r="L304" i="10" s="1"/>
  <c r="L305" i="10" s="1"/>
  <c r="H4523" i="10"/>
  <c r="I4523" i="10" s="1"/>
  <c r="J4523" i="10" s="1"/>
  <c r="F4524" i="10" s="1"/>
  <c r="H897" i="10"/>
  <c r="I897" i="10" s="1"/>
  <c r="J897" i="10" s="1"/>
  <c r="F898" i="10" s="1"/>
  <c r="O88" i="6"/>
  <c r="R91" i="9"/>
  <c r="H3389" i="10"/>
  <c r="I3389" i="10" s="1"/>
  <c r="J3389" i="10" s="1"/>
  <c r="F3390" i="10" s="1"/>
  <c r="L2157" i="10"/>
  <c r="F2158" i="10" s="1"/>
  <c r="I4559" i="10"/>
  <c r="J4559" i="10" s="1"/>
  <c r="F4560" i="10" s="1"/>
  <c r="P90" i="9"/>
  <c r="P94" i="9"/>
  <c r="I4788" i="10"/>
  <c r="J4788" i="10" s="1"/>
  <c r="F4789" i="10" s="1"/>
  <c r="I2408" i="10"/>
  <c r="J2408" i="10" s="1"/>
  <c r="F2409" i="10" s="1"/>
  <c r="H4611" i="10"/>
  <c r="I4611" i="10" s="1"/>
  <c r="J4611" i="10" s="1"/>
  <c r="F4612" i="10" s="1"/>
  <c r="I90" i="3"/>
  <c r="T90" i="3" s="1"/>
  <c r="Q90" i="6"/>
  <c r="AK90" i="6" s="1"/>
  <c r="AQ93" i="9"/>
  <c r="D3655" i="10"/>
  <c r="E3655" i="10" s="1"/>
  <c r="C3656" i="10"/>
  <c r="J3928" i="10"/>
  <c r="F3929" i="10" s="1"/>
  <c r="H3928" i="10"/>
  <c r="I3928" i="10" s="1"/>
  <c r="J5436" i="10"/>
  <c r="F5437" i="10" s="1"/>
  <c r="H5436" i="10"/>
  <c r="I5436" i="10" s="1"/>
  <c r="D3827" i="10"/>
  <c r="E3827" i="10" s="1"/>
  <c r="C3828" i="10"/>
  <c r="J1890" i="10"/>
  <c r="F1891" i="10" s="1"/>
  <c r="H1890" i="10"/>
  <c r="I1890" i="10" s="1"/>
  <c r="H5578" i="10"/>
  <c r="I5578" i="10" s="1"/>
  <c r="J5578" i="10" s="1"/>
  <c r="F5579" i="10" s="1"/>
  <c r="J276" i="10"/>
  <c r="F277" i="10" s="1"/>
  <c r="H276" i="10"/>
  <c r="I276" i="10" s="1"/>
  <c r="H4425" i="10"/>
  <c r="T95" i="6"/>
  <c r="W98" i="9"/>
  <c r="J717" i="10"/>
  <c r="F718" i="10" s="1"/>
  <c r="H717" i="10"/>
  <c r="L2884" i="10"/>
  <c r="L2885" i="10" s="1"/>
  <c r="H4856" i="10"/>
  <c r="I4856" i="10" s="1"/>
  <c r="J4856" i="10" s="1"/>
  <c r="F4857" i="10" s="1"/>
  <c r="J5022" i="10"/>
  <c r="F5023" i="10" s="1"/>
  <c r="H5022" i="10"/>
  <c r="I5022" i="10" s="1"/>
  <c r="J2299" i="10"/>
  <c r="F2300" i="10" s="1"/>
  <c r="H2299" i="10"/>
  <c r="I2299" i="10" s="1"/>
  <c r="J1460" i="10"/>
  <c r="F1461" i="10" s="1"/>
  <c r="H1460" i="10"/>
  <c r="I1460" i="10" s="1"/>
  <c r="T94" i="6"/>
  <c r="W97" i="9"/>
  <c r="J4452" i="10"/>
  <c r="F4453" i="10" s="1"/>
  <c r="H4452" i="10"/>
  <c r="I4452" i="10" s="1"/>
  <c r="J2457" i="10"/>
  <c r="F2458" i="10" s="1"/>
  <c r="H2457" i="10"/>
  <c r="I2457" i="10" s="1"/>
  <c r="J2065" i="10"/>
  <c r="F2066" i="10" s="1"/>
  <c r="H2065" i="10"/>
  <c r="I2065" i="10" s="1"/>
  <c r="J2837" i="10"/>
  <c r="F2838" i="10" s="1"/>
  <c r="H2837" i="10"/>
  <c r="I2837" i="10" s="1"/>
  <c r="J1185" i="10"/>
  <c r="F1186" i="10" s="1"/>
  <c r="H1185" i="10"/>
  <c r="I1185" i="10" s="1"/>
  <c r="J26" i="10"/>
  <c r="F27" i="10" s="1"/>
  <c r="H26" i="10"/>
  <c r="I26" i="10" s="1"/>
  <c r="H3821" i="10"/>
  <c r="I3821" i="10" s="1"/>
  <c r="J3821" i="10" s="1"/>
  <c r="F3822" i="10" s="1"/>
  <c r="H1260" i="10"/>
  <c r="I1260" i="10" s="1"/>
  <c r="J1260" i="10" s="1"/>
  <c r="F1261" i="10" s="1"/>
  <c r="H4377" i="10"/>
  <c r="I4377" i="10" s="1"/>
  <c r="J4377" i="10" s="1"/>
  <c r="F4378" i="10" s="1"/>
  <c r="H3286" i="10"/>
  <c r="I3286" i="10" s="1"/>
  <c r="J3286" i="10" s="1"/>
  <c r="F3287" i="10" s="1"/>
  <c r="I61" i="10"/>
  <c r="J61" i="10" s="1"/>
  <c r="F62" i="10" s="1"/>
  <c r="L61" i="10"/>
  <c r="L62" i="10" s="1"/>
  <c r="L63" i="10" s="1"/>
  <c r="L64" i="10" s="1"/>
  <c r="L65" i="10" s="1"/>
  <c r="D3869" i="10"/>
  <c r="E3869" i="10" s="1"/>
  <c r="C3870" i="10"/>
  <c r="I521" i="10"/>
  <c r="J521" i="10" s="1"/>
  <c r="F522" i="10" s="1"/>
  <c r="H2716" i="10"/>
  <c r="I2716" i="10" s="1"/>
  <c r="J2716" i="10" s="1"/>
  <c r="F2717" i="10" s="1"/>
  <c r="D3936" i="10"/>
  <c r="E3936" i="10" s="1"/>
  <c r="C3937" i="10"/>
  <c r="H1689" i="10"/>
  <c r="I1689" i="10" s="1"/>
  <c r="J1689" i="10" s="1"/>
  <c r="F1690" i="10" s="1"/>
  <c r="C3725" i="10"/>
  <c r="D3724" i="10"/>
  <c r="E3724" i="10" s="1"/>
  <c r="H1204" i="10"/>
  <c r="I1204" i="10" s="1"/>
  <c r="J1204" i="10" s="1"/>
  <c r="F1205" i="10" s="1"/>
  <c r="J2114" i="10"/>
  <c r="F2115" i="10" s="1"/>
  <c r="H2114" i="10"/>
  <c r="I2114" i="10" s="1"/>
  <c r="D3979" i="10"/>
  <c r="E3979" i="10" s="1"/>
  <c r="C3980" i="10"/>
  <c r="U84" i="9"/>
  <c r="I5" i="3"/>
  <c r="T5" i="3" s="1"/>
  <c r="Q5" i="6"/>
  <c r="AK5" i="6" s="1"/>
  <c r="AQ8" i="9"/>
  <c r="H4915" i="10"/>
  <c r="H1774" i="10"/>
  <c r="I1774" i="10" s="1"/>
  <c r="J1774" i="10" s="1"/>
  <c r="F1775" i="10" s="1"/>
  <c r="H1725" i="10"/>
  <c r="I1725" i="10" s="1"/>
  <c r="J1725" i="10" s="1"/>
  <c r="F1726" i="10" s="1"/>
  <c r="H1151" i="10"/>
  <c r="I1151" i="10" s="1"/>
  <c r="J1151" i="10"/>
  <c r="F1152" i="10" s="1"/>
  <c r="H1317" i="10"/>
  <c r="I1317" i="10" s="1"/>
  <c r="J1317" i="10" s="1"/>
  <c r="H4313" i="10"/>
  <c r="I4313" i="10" s="1"/>
  <c r="J4313" i="10" s="1"/>
  <c r="F4314" i="10" s="1"/>
  <c r="H424" i="10"/>
  <c r="I424" i="10" s="1"/>
  <c r="J424" i="10"/>
  <c r="F425" i="10" s="1"/>
  <c r="G778" i="10"/>
  <c r="G779" i="10"/>
  <c r="G780" i="10"/>
  <c r="H777" i="10"/>
  <c r="G777" i="10"/>
  <c r="H5148" i="10"/>
  <c r="H574" i="10"/>
  <c r="I574" i="10" s="1"/>
  <c r="J574" i="10"/>
  <c r="F575" i="10" s="1"/>
  <c r="H4192" i="10"/>
  <c r="H2339" i="10"/>
  <c r="I2339" i="10" s="1"/>
  <c r="J2339" i="10" s="1"/>
  <c r="F2340" i="10" s="1"/>
  <c r="I4132" i="10"/>
  <c r="J4132" i="10" s="1"/>
  <c r="F4133" i="10" s="1"/>
  <c r="P82" i="9"/>
  <c r="H5579" i="10" l="1"/>
  <c r="I5579" i="10" s="1"/>
  <c r="J5579" i="10"/>
  <c r="F5580" i="10" s="1"/>
  <c r="H898" i="10"/>
  <c r="I898" i="10" s="1"/>
  <c r="J898" i="10"/>
  <c r="F899" i="10" s="1"/>
  <c r="H857" i="10"/>
  <c r="I857" i="10" s="1"/>
  <c r="J857" i="10" s="1"/>
  <c r="F858" i="10" s="1"/>
  <c r="H1775" i="10"/>
  <c r="I1775" i="10" s="1"/>
  <c r="J1775" i="10" s="1"/>
  <c r="F1776" i="10" s="1"/>
  <c r="H2717" i="10"/>
  <c r="I2717" i="10" s="1"/>
  <c r="J2717" i="10" s="1"/>
  <c r="F2718" i="10" s="1"/>
  <c r="H1261" i="10"/>
  <c r="I1261" i="10" s="1"/>
  <c r="J1261" i="10" s="1"/>
  <c r="F1262" i="10" s="1"/>
  <c r="H4524" i="10"/>
  <c r="I4524" i="10" s="1"/>
  <c r="J4524" i="10" s="1"/>
  <c r="F4525" i="10" s="1"/>
  <c r="H3095" i="10"/>
  <c r="I3095" i="10" s="1"/>
  <c r="J3095" i="10" s="1"/>
  <c r="F3096" i="10" s="1"/>
  <c r="H226" i="10"/>
  <c r="I226" i="10" s="1"/>
  <c r="J226" i="10" s="1"/>
  <c r="F227" i="10" s="1"/>
  <c r="H3862" i="10"/>
  <c r="I3862" i="10" s="1"/>
  <c r="J3862" i="10" s="1"/>
  <c r="F3863" i="10" s="1"/>
  <c r="H3605" i="10"/>
  <c r="I3605" i="10" s="1"/>
  <c r="J3605" i="10" s="1"/>
  <c r="F3606" i="10" s="1"/>
  <c r="H4378" i="10"/>
  <c r="I4378" i="10" s="1"/>
  <c r="J4378" i="10" s="1"/>
  <c r="F4379" i="10" s="1"/>
  <c r="H3822" i="10"/>
  <c r="I3822" i="10" s="1"/>
  <c r="H1982" i="10"/>
  <c r="I1982" i="10" s="1"/>
  <c r="J1982" i="10" s="1"/>
  <c r="F1983" i="10" s="1"/>
  <c r="H2259" i="10"/>
  <c r="I2259" i="10" s="1"/>
  <c r="J2259" i="10" s="1"/>
  <c r="F2260" i="10" s="1"/>
  <c r="H5117" i="10"/>
  <c r="I5117" i="10" s="1"/>
  <c r="J5117" i="10" s="1"/>
  <c r="F5118" i="10" s="1"/>
  <c r="H384" i="10"/>
  <c r="I384" i="10" s="1"/>
  <c r="J384" i="10" s="1"/>
  <c r="F385" i="10" s="1"/>
  <c r="H1937" i="10"/>
  <c r="I1937" i="10" s="1"/>
  <c r="J1937" i="10" s="1"/>
  <c r="F1938" i="10" s="1"/>
  <c r="H2340" i="10"/>
  <c r="G2340" i="10"/>
  <c r="H1205" i="10"/>
  <c r="I1205" i="10" s="1"/>
  <c r="J1205" i="10" s="1"/>
  <c r="F1206" i="10" s="1"/>
  <c r="H2583" i="10"/>
  <c r="I2583" i="10" s="1"/>
  <c r="J2583" i="10" s="1"/>
  <c r="F2584" i="10" s="1"/>
  <c r="H3496" i="10"/>
  <c r="I3496" i="10" s="1"/>
  <c r="J3496" i="10" s="1"/>
  <c r="F3497" i="10" s="1"/>
  <c r="H2219" i="10"/>
  <c r="I2219" i="10" s="1"/>
  <c r="J2219" i="10" s="1"/>
  <c r="F2220" i="10" s="1"/>
  <c r="H5231" i="10"/>
  <c r="I5231" i="10" s="1"/>
  <c r="J5231" i="10" s="1"/>
  <c r="F5232" i="10" s="1"/>
  <c r="H4984" i="10"/>
  <c r="I4984" i="10" s="1"/>
  <c r="J4984" i="10" s="1"/>
  <c r="F4985" i="10" s="1"/>
  <c r="H4314" i="10"/>
  <c r="I4314" i="10" s="1"/>
  <c r="J4314" i="10"/>
  <c r="F4315" i="10" s="1"/>
  <c r="G2176" i="10"/>
  <c r="G2177" i="10"/>
  <c r="G2178" i="10"/>
  <c r="G2187" i="10"/>
  <c r="G2172" i="10"/>
  <c r="G2173" i="10"/>
  <c r="G2174" i="10"/>
  <c r="G2183" i="10"/>
  <c r="G2168" i="10"/>
  <c r="G2169" i="10"/>
  <c r="G2170" i="10"/>
  <c r="G2179" i="10"/>
  <c r="G2164" i="10"/>
  <c r="G2165" i="10"/>
  <c r="G2166" i="10"/>
  <c r="G2175" i="10"/>
  <c r="G2192" i="10"/>
  <c r="G2160" i="10"/>
  <c r="G2161" i="10"/>
  <c r="G2162" i="10"/>
  <c r="G2171" i="10"/>
  <c r="G2188" i="10"/>
  <c r="G2189" i="10"/>
  <c r="G2190" i="10"/>
  <c r="H2158" i="10"/>
  <c r="J2158" i="10" s="1"/>
  <c r="G2167" i="10"/>
  <c r="G2184" i="10"/>
  <c r="G2185" i="10"/>
  <c r="G2186" i="10"/>
  <c r="G2163" i="10"/>
  <c r="G2180" i="10"/>
  <c r="G2181" i="10"/>
  <c r="G2182" i="10"/>
  <c r="G2191" i="10"/>
  <c r="G2159" i="10"/>
  <c r="H3179" i="10"/>
  <c r="I3179" i="10" s="1"/>
  <c r="J3179" i="10" s="1"/>
  <c r="F3180" i="10" s="1"/>
  <c r="J3180" i="10" s="1"/>
  <c r="F3181" i="10" s="1"/>
  <c r="H2545" i="10"/>
  <c r="I2545" i="10" s="1"/>
  <c r="J2545" i="10" s="1"/>
  <c r="F2546" i="10" s="1"/>
  <c r="H4080" i="10"/>
  <c r="I4080" i="10" s="1"/>
  <c r="J4080" i="10" s="1"/>
  <c r="F4081" i="10" s="1"/>
  <c r="H4014" i="10"/>
  <c r="I4014" i="10" s="1"/>
  <c r="J4014" i="10" s="1"/>
  <c r="F4015" i="10" s="1"/>
  <c r="M1317" i="10"/>
  <c r="F1318" i="10"/>
  <c r="H3390" i="10"/>
  <c r="I3390" i="10" s="1"/>
  <c r="J3390" i="10" s="1"/>
  <c r="F3391" i="10" s="1"/>
  <c r="H935" i="10"/>
  <c r="I935" i="10" s="1"/>
  <c r="J935" i="10"/>
  <c r="F936" i="10" s="1"/>
  <c r="H4250" i="10"/>
  <c r="I4250" i="10" s="1"/>
  <c r="J4250" i="10"/>
  <c r="F4251" i="10" s="1"/>
  <c r="H1531" i="10"/>
  <c r="I1531" i="10" s="1"/>
  <c r="J1531" i="10" s="1"/>
  <c r="F1532" i="10" s="1"/>
  <c r="H1690" i="10"/>
  <c r="I1690" i="10" s="1"/>
  <c r="J1690" i="10"/>
  <c r="F1691" i="10" s="1"/>
  <c r="H4612" i="10"/>
  <c r="I4612" i="10" s="1"/>
  <c r="J4612" i="10"/>
  <c r="F4613" i="10" s="1"/>
  <c r="H2762" i="10"/>
  <c r="I2762" i="10" s="1"/>
  <c r="J2762" i="10" s="1"/>
  <c r="F2763" i="10" s="1"/>
  <c r="H3779" i="10"/>
  <c r="I3779" i="10" s="1"/>
  <c r="J3779" i="10" s="1"/>
  <c r="F3780" i="10" s="1"/>
  <c r="H1726" i="10"/>
  <c r="I1726" i="10" s="1"/>
  <c r="J1726" i="10" s="1"/>
  <c r="F1727" i="10" s="1"/>
  <c r="H3287" i="10"/>
  <c r="I3287" i="10" s="1"/>
  <c r="J3287" i="10" s="1"/>
  <c r="F3288" i="10" s="1"/>
  <c r="H4857" i="10"/>
  <c r="I4857" i="10" s="1"/>
  <c r="J4857" i="10" s="1"/>
  <c r="F4858" i="10" s="1"/>
  <c r="H5369" i="10"/>
  <c r="I5369" i="10" s="1"/>
  <c r="J5369" i="10" s="1"/>
  <c r="F5370" i="10" s="1"/>
  <c r="H5505" i="10"/>
  <c r="I5505" i="10" s="1"/>
  <c r="J5505" i="10" s="1"/>
  <c r="F5506" i="10" s="1"/>
  <c r="H976" i="10"/>
  <c r="I976" i="10" s="1"/>
  <c r="J976" i="10" s="1"/>
  <c r="F977" i="10" s="1"/>
  <c r="J27" i="10"/>
  <c r="F28" i="10" s="1"/>
  <c r="H27" i="10"/>
  <c r="I27" i="10" s="1"/>
  <c r="H1570" i="10"/>
  <c r="I1570" i="10" s="1"/>
  <c r="J1570" i="10" s="1"/>
  <c r="F1571" i="10" s="1"/>
  <c r="D3937" i="10"/>
  <c r="E3937" i="10" s="1"/>
  <c r="C3938" i="10"/>
  <c r="D3870" i="10"/>
  <c r="E3870" i="10" s="1"/>
  <c r="C3871" i="10"/>
  <c r="H718" i="10"/>
  <c r="J718" i="10"/>
  <c r="F719" i="10" s="1"/>
  <c r="J2458" i="10"/>
  <c r="F2459" i="10" s="1"/>
  <c r="H2458" i="10"/>
  <c r="I2458" i="10" s="1"/>
  <c r="H1068" i="10"/>
  <c r="I1068" i="10" s="1"/>
  <c r="J1068" i="10" s="1"/>
  <c r="F1069" i="10" s="1"/>
  <c r="O79" i="6"/>
  <c r="R82" i="9"/>
  <c r="J425" i="10"/>
  <c r="F426" i="10" s="1"/>
  <c r="H425" i="10"/>
  <c r="I425" i="10" s="1"/>
  <c r="J1152" i="10"/>
  <c r="F1153" i="10" s="1"/>
  <c r="H1152" i="10"/>
  <c r="I1152" i="10" s="1"/>
  <c r="J2115" i="10"/>
  <c r="F2116" i="10" s="1"/>
  <c r="H2115" i="10"/>
  <c r="I2115" i="10" s="1"/>
  <c r="J1186" i="10"/>
  <c r="F1187" i="10" s="1"/>
  <c r="H1186" i="10"/>
  <c r="I1186" i="10" s="1"/>
  <c r="H4453" i="10"/>
  <c r="H5023" i="10"/>
  <c r="I5023" i="10" s="1"/>
  <c r="J5023" i="10" s="1"/>
  <c r="F5024" i="10" s="1"/>
  <c r="J3929" i="10"/>
  <c r="F3930" i="10" s="1"/>
  <c r="H3929" i="10"/>
  <c r="I3929" i="10" s="1"/>
  <c r="G2409" i="10"/>
  <c r="H2409" i="10"/>
  <c r="G2410" i="10"/>
  <c r="J303" i="10"/>
  <c r="F304" i="10" s="1"/>
  <c r="H303" i="10"/>
  <c r="I303" i="10" s="1"/>
  <c r="H5077" i="10"/>
  <c r="I5077" i="10" s="1"/>
  <c r="J5077" i="10" s="1"/>
  <c r="F5078" i="10" s="1"/>
  <c r="H2500" i="10"/>
  <c r="I2500" i="10" s="1"/>
  <c r="J2500" i="10" s="1"/>
  <c r="F2501" i="10" s="1"/>
  <c r="I3137" i="10"/>
  <c r="J3137" i="10" s="1"/>
  <c r="F3138" i="10" s="1"/>
  <c r="L3137" i="10"/>
  <c r="L3138" i="10" s="1"/>
  <c r="L3139" i="10" s="1"/>
  <c r="H3325" i="10"/>
  <c r="H2958" i="10"/>
  <c r="I2958" i="10" s="1"/>
  <c r="J2958" i="10" s="1"/>
  <c r="F2959" i="10" s="1"/>
  <c r="H4133" i="10"/>
  <c r="I4133" i="10" s="1"/>
  <c r="J4133" i="10" s="1"/>
  <c r="F4134" i="10" s="1"/>
  <c r="G5148" i="10"/>
  <c r="D3656" i="10"/>
  <c r="E3656" i="10" s="1"/>
  <c r="C3657" i="10"/>
  <c r="J4789" i="10"/>
  <c r="F4790" i="10" s="1"/>
  <c r="H4789" i="10"/>
  <c r="I4789" i="10" s="1"/>
  <c r="Q88" i="6"/>
  <c r="AK88" i="6" s="1"/>
  <c r="I88" i="3"/>
  <c r="T88" i="3" s="1"/>
  <c r="AQ91" i="9"/>
  <c r="J3712" i="10"/>
  <c r="F3713" i="10" s="1"/>
  <c r="J277" i="10"/>
  <c r="F278" i="10" s="1"/>
  <c r="H277" i="10"/>
  <c r="I277" i="10" s="1"/>
  <c r="J2669" i="10"/>
  <c r="F2670" i="10" s="1"/>
  <c r="H2669" i="10"/>
  <c r="I2669" i="10" s="1"/>
  <c r="I777" i="10"/>
  <c r="J777" i="10" s="1"/>
  <c r="F778" i="10" s="1"/>
  <c r="L779" i="10"/>
  <c r="J62" i="10"/>
  <c r="F63" i="10" s="1"/>
  <c r="H62" i="10"/>
  <c r="I62" i="10" s="1"/>
  <c r="J2838" i="10"/>
  <c r="F2839" i="10" s="1"/>
  <c r="H2838" i="10"/>
  <c r="I2838" i="10" s="1"/>
  <c r="J1891" i="10"/>
  <c r="F1892" i="10" s="1"/>
  <c r="H1891" i="10"/>
  <c r="I1891" i="10" s="1"/>
  <c r="O91" i="6"/>
  <c r="R94" i="9"/>
  <c r="J3004" i="10"/>
  <c r="F3005" i="10" s="1"/>
  <c r="H3004" i="10"/>
  <c r="I3004" i="10" s="1"/>
  <c r="H2029" i="10"/>
  <c r="I2029" i="10" s="1"/>
  <c r="J2029" i="10" s="1"/>
  <c r="F2030" i="10" s="1"/>
  <c r="J1109" i="10"/>
  <c r="F1110" i="10" s="1"/>
  <c r="H1109" i="10"/>
  <c r="I1109" i="10" s="1"/>
  <c r="H1610" i="10"/>
  <c r="I1610" i="10" s="1"/>
  <c r="J1610" i="10" s="1"/>
  <c r="F1611" i="10" s="1"/>
  <c r="J1026" i="10"/>
  <c r="F1027" i="10" s="1"/>
  <c r="H1026" i="10"/>
  <c r="I1026" i="10" s="1"/>
  <c r="H3563" i="10"/>
  <c r="I3563" i="10" s="1"/>
  <c r="J3563" i="10" s="1"/>
  <c r="F3564" i="10" s="1"/>
  <c r="H3971" i="10"/>
  <c r="I3971" i="10" s="1"/>
  <c r="J3971" i="10" s="1"/>
  <c r="F3972" i="10" s="1"/>
  <c r="J5437" i="10"/>
  <c r="F5438" i="10" s="1"/>
  <c r="H5437" i="10"/>
  <c r="I5437" i="10" s="1"/>
  <c r="H1406" i="10"/>
  <c r="I1406" i="10" s="1"/>
  <c r="J1406" i="10" s="1"/>
  <c r="F1407" i="10" s="1"/>
  <c r="X84" i="9"/>
  <c r="T81" i="6"/>
  <c r="D3828" i="10"/>
  <c r="E3828" i="10" s="1"/>
  <c r="C3829" i="10"/>
  <c r="R90" i="9"/>
  <c r="O87" i="6"/>
  <c r="J2628" i="10"/>
  <c r="F2629" i="10" s="1"/>
  <c r="H575" i="10"/>
  <c r="I575" i="10" s="1"/>
  <c r="J575" i="10"/>
  <c r="F576" i="10" s="1"/>
  <c r="P96" i="9"/>
  <c r="I4915" i="10"/>
  <c r="H2300" i="10"/>
  <c r="I2300" i="10" s="1"/>
  <c r="J2300" i="10" s="1"/>
  <c r="F2301" i="10" s="1"/>
  <c r="H3649" i="10"/>
  <c r="I3649" i="10" s="1"/>
  <c r="J3649" i="10"/>
  <c r="F3650" i="10" s="1"/>
  <c r="C3726" i="10"/>
  <c r="C3727" i="10" s="1"/>
  <c r="C3728" i="10" s="1"/>
  <c r="C3729" i="10" s="1"/>
  <c r="C3730" i="10" s="1"/>
  <c r="C3731" i="10" s="1"/>
  <c r="C3732" i="10" s="1"/>
  <c r="C3733" i="10" s="1"/>
  <c r="C3734" i="10" s="1"/>
  <c r="C3735" i="10" s="1"/>
  <c r="C3736" i="10" s="1"/>
  <c r="C3737" i="10" s="1"/>
  <c r="C3738" i="10" s="1"/>
  <c r="C3739" i="10" s="1"/>
  <c r="C3740" i="10" s="1"/>
  <c r="C3741" i="10" s="1"/>
  <c r="C3742" i="10" s="1"/>
  <c r="C3743" i="10" s="1"/>
  <c r="C3744" i="10" s="1"/>
  <c r="C3745" i="10" s="1"/>
  <c r="C3746" i="10" s="1"/>
  <c r="C3747" i="10" s="1"/>
  <c r="C3748" i="10" s="1"/>
  <c r="C3749" i="10" s="1"/>
  <c r="C3750" i="10" s="1"/>
  <c r="C3751" i="10" s="1"/>
  <c r="D3725" i="10"/>
  <c r="G2066" i="10"/>
  <c r="G2067" i="10"/>
  <c r="G2068" i="10"/>
  <c r="G2069" i="10"/>
  <c r="H2066" i="10"/>
  <c r="J1461" i="10"/>
  <c r="F1462" i="10" s="1"/>
  <c r="H1461" i="10"/>
  <c r="I1461" i="10" s="1"/>
  <c r="I4425" i="10"/>
  <c r="J4425" i="10" s="1"/>
  <c r="F4426" i="10" s="1"/>
  <c r="P87" i="9"/>
  <c r="H4428" i="10"/>
  <c r="H4430" i="10" s="1"/>
  <c r="H4560" i="10"/>
  <c r="I4560" i="10" s="1"/>
  <c r="J4560" i="10" s="1"/>
  <c r="F4561" i="10" s="1"/>
  <c r="G4719" i="10"/>
  <c r="G4712" i="10"/>
  <c r="G4708" i="10"/>
  <c r="G4704" i="10"/>
  <c r="G4700" i="10"/>
  <c r="G4696" i="10"/>
  <c r="G4692" i="10"/>
  <c r="G4720" i="10"/>
  <c r="G4722" i="10"/>
  <c r="G4714" i="10"/>
  <c r="G4723" i="10"/>
  <c r="G4715" i="10"/>
  <c r="G4710" i="10"/>
  <c r="G4706" i="10"/>
  <c r="G4702" i="10"/>
  <c r="G4698" i="10"/>
  <c r="G4694" i="10"/>
  <c r="G4724" i="10"/>
  <c r="G4716" i="10"/>
  <c r="G4718" i="10"/>
  <c r="G4713" i="10"/>
  <c r="G4695" i="10"/>
  <c r="G4690" i="10"/>
  <c r="G4686" i="10"/>
  <c r="G4685" i="10"/>
  <c r="G4725" i="10"/>
  <c r="G4709" i="10"/>
  <c r="G4687" i="10"/>
  <c r="G4705" i="10"/>
  <c r="G4717" i="10"/>
  <c r="G4701" i="10"/>
  <c r="G4688" i="10"/>
  <c r="G4711" i="10"/>
  <c r="G4697" i="10"/>
  <c r="G4691" i="10"/>
  <c r="G4707" i="10"/>
  <c r="G4693" i="10"/>
  <c r="G4689" i="10"/>
  <c r="G4721" i="10"/>
  <c r="G4703" i="10"/>
  <c r="G4684" i="10"/>
  <c r="I4684" i="10" s="1"/>
  <c r="J4684" i="10" s="1"/>
  <c r="F4685" i="10" s="1"/>
  <c r="G4699" i="10"/>
  <c r="H4684" i="10"/>
  <c r="G641" i="10"/>
  <c r="G642" i="10"/>
  <c r="G643" i="10"/>
  <c r="H640" i="10"/>
  <c r="G640" i="10"/>
  <c r="I2884" i="10"/>
  <c r="H5312" i="10"/>
  <c r="I5312" i="10" s="1"/>
  <c r="J5312" i="10" s="1"/>
  <c r="F5313" i="10" s="1"/>
  <c r="H3460" i="10"/>
  <c r="I3460" i="10" s="1"/>
  <c r="J3460" i="10" s="1"/>
  <c r="F3461" i="10" s="1"/>
  <c r="H4753" i="10"/>
  <c r="I4753" i="10" s="1"/>
  <c r="J4753" i="10" s="1"/>
  <c r="F4754" i="10" s="1"/>
  <c r="J1650" i="10"/>
  <c r="F1651" i="10" s="1"/>
  <c r="H1650" i="10"/>
  <c r="I1650" i="10" s="1"/>
  <c r="G522" i="10"/>
  <c r="H522" i="10"/>
  <c r="I3325" i="10"/>
  <c r="J3325" i="10" s="1"/>
  <c r="F3326" i="10" s="1"/>
  <c r="I4192" i="10"/>
  <c r="D3980" i="10"/>
  <c r="E3980" i="10" s="1"/>
  <c r="C3981" i="10"/>
  <c r="L1811" i="10"/>
  <c r="I1811" i="10"/>
  <c r="J1811" i="10" s="1"/>
  <c r="F1812" i="10" s="1"/>
  <c r="H1262" i="10" l="1"/>
  <c r="I1262" i="10" s="1"/>
  <c r="J1262" i="10" s="1"/>
  <c r="F1263" i="10" s="1"/>
  <c r="H3326" i="10"/>
  <c r="G3327" i="10"/>
  <c r="G3326" i="10"/>
  <c r="I3326" i="10" s="1"/>
  <c r="J3326" i="10" s="1"/>
  <c r="F3327" i="10" s="1"/>
  <c r="G3328" i="10"/>
  <c r="J4685" i="10"/>
  <c r="F4686" i="10" s="1"/>
  <c r="H4685" i="10"/>
  <c r="H2301" i="10"/>
  <c r="I2301" i="10" s="1"/>
  <c r="J2301" i="10" s="1"/>
  <c r="F2302" i="10" s="1"/>
  <c r="H3564" i="10"/>
  <c r="I3564" i="10" s="1"/>
  <c r="J3564" i="10" s="1"/>
  <c r="F3565" i="10" s="1"/>
  <c r="J4134" i="10"/>
  <c r="F4135" i="10" s="1"/>
  <c r="H4134" i="10"/>
  <c r="I4134" i="10" s="1"/>
  <c r="H5370" i="10"/>
  <c r="I5370" i="10" s="1"/>
  <c r="J5370" i="10" s="1"/>
  <c r="F5371" i="10" s="1"/>
  <c r="L2158" i="10"/>
  <c r="F2159" i="10"/>
  <c r="H1206" i="10"/>
  <c r="I1206" i="10" s="1"/>
  <c r="J1206" i="10" s="1"/>
  <c r="F1207" i="10" s="1"/>
  <c r="J2718" i="10"/>
  <c r="F2719" i="10" s="1"/>
  <c r="H2718" i="10"/>
  <c r="I2718" i="10" s="1"/>
  <c r="J5313" i="10"/>
  <c r="F5314" i="10" s="1"/>
  <c r="H5313" i="10"/>
  <c r="I5313" i="10" s="1"/>
  <c r="H2959" i="10"/>
  <c r="I2959" i="10" s="1"/>
  <c r="J2959" i="10"/>
  <c r="F2960" i="10" s="1"/>
  <c r="H4858" i="10"/>
  <c r="I4858" i="10" s="1"/>
  <c r="J4858" i="10" s="1"/>
  <c r="F4859" i="10" s="1"/>
  <c r="H4379" i="10"/>
  <c r="I4379" i="10" s="1"/>
  <c r="J4379" i="10" s="1"/>
  <c r="F4380" i="10" s="1"/>
  <c r="H1776" i="10"/>
  <c r="I1776" i="10" s="1"/>
  <c r="J1776" i="10" s="1"/>
  <c r="F1777" i="10" s="1"/>
  <c r="H1983" i="10"/>
  <c r="I1983" i="10" s="1"/>
  <c r="J1983" i="10" s="1"/>
  <c r="F1984" i="10" s="1"/>
  <c r="H1069" i="10"/>
  <c r="I1069" i="10" s="1"/>
  <c r="J1069" i="10" s="1"/>
  <c r="F1070" i="10" s="1"/>
  <c r="J3288" i="10"/>
  <c r="F3289" i="10" s="1"/>
  <c r="H3288" i="10"/>
  <c r="I3288" i="10" s="1"/>
  <c r="J1532" i="10"/>
  <c r="F1533" i="10" s="1"/>
  <c r="H1532" i="10"/>
  <c r="I1532" i="10" s="1"/>
  <c r="H4015" i="10"/>
  <c r="I4015" i="10" s="1"/>
  <c r="J4015" i="10" s="1"/>
  <c r="F4016" i="10" s="1"/>
  <c r="H3606" i="10"/>
  <c r="I3606" i="10" s="1"/>
  <c r="J3606" i="10" s="1"/>
  <c r="F3607" i="10" s="1"/>
  <c r="J858" i="10"/>
  <c r="F859" i="10" s="1"/>
  <c r="H858" i="10"/>
  <c r="I858" i="10" s="1"/>
  <c r="J5506" i="10"/>
  <c r="F5507" i="10" s="1"/>
  <c r="H5506" i="10"/>
  <c r="I5506" i="10" s="1"/>
  <c r="H1571" i="10"/>
  <c r="I1571" i="10" s="1"/>
  <c r="J1571" i="10" s="1"/>
  <c r="F1572" i="10" s="1"/>
  <c r="H1727" i="10"/>
  <c r="I1727" i="10" s="1"/>
  <c r="J1727" i="10" s="1"/>
  <c r="F1728" i="10" s="1"/>
  <c r="H4081" i="10"/>
  <c r="J4985" i="10"/>
  <c r="F4986" i="10" s="1"/>
  <c r="H4985" i="10"/>
  <c r="I4985" i="10" s="1"/>
  <c r="H1938" i="10"/>
  <c r="I1938" i="10" s="1"/>
  <c r="J1938" i="10"/>
  <c r="F1939" i="10" s="1"/>
  <c r="H3863" i="10"/>
  <c r="I3863" i="10" s="1"/>
  <c r="J3863" i="10" s="1"/>
  <c r="F3864" i="10" s="1"/>
  <c r="J3391" i="10"/>
  <c r="F3392" i="10" s="1"/>
  <c r="H3391" i="10"/>
  <c r="I3391" i="10" s="1"/>
  <c r="J1611" i="10"/>
  <c r="F1612" i="10" s="1"/>
  <c r="H1611" i="10"/>
  <c r="I1611" i="10" s="1"/>
  <c r="H1407" i="10"/>
  <c r="I1407" i="10" s="1"/>
  <c r="J1407" i="10" s="1"/>
  <c r="F1408" i="10" s="1"/>
  <c r="H3780" i="10"/>
  <c r="I3780" i="10" s="1"/>
  <c r="J3780" i="10" s="1"/>
  <c r="F3781" i="10" s="1"/>
  <c r="J2546" i="10"/>
  <c r="F2547" i="10" s="1"/>
  <c r="H2546" i="10"/>
  <c r="I2546" i="10" s="1"/>
  <c r="J5232" i="10"/>
  <c r="F5233" i="10" s="1"/>
  <c r="H5232" i="10"/>
  <c r="I5232" i="10" s="1"/>
  <c r="H385" i="10"/>
  <c r="I385" i="10" s="1"/>
  <c r="J385" i="10" s="1"/>
  <c r="F386" i="10" s="1"/>
  <c r="H227" i="10"/>
  <c r="I227" i="10" s="1"/>
  <c r="J227" i="10" s="1"/>
  <c r="F228" i="10" s="1"/>
  <c r="J3972" i="10"/>
  <c r="F3973" i="10" s="1"/>
  <c r="H3972" i="10"/>
  <c r="I3972" i="10" s="1"/>
  <c r="J4561" i="10"/>
  <c r="F4562" i="10" s="1"/>
  <c r="H4561" i="10"/>
  <c r="I4561" i="10" s="1"/>
  <c r="H4754" i="10"/>
  <c r="I4754" i="10" s="1"/>
  <c r="J4754" i="10" s="1"/>
  <c r="F4755" i="10" s="1"/>
  <c r="H2501" i="10"/>
  <c r="I2501" i="10" s="1"/>
  <c r="J2501" i="10"/>
  <c r="F2502" i="10" s="1"/>
  <c r="G2764" i="10"/>
  <c r="H2763" i="10"/>
  <c r="G2763" i="10"/>
  <c r="G3182" i="10"/>
  <c r="G3226" i="10"/>
  <c r="G3222" i="10"/>
  <c r="G3218" i="10"/>
  <c r="G3214" i="10"/>
  <c r="G3210" i="10"/>
  <c r="G3206" i="10"/>
  <c r="G3202" i="10"/>
  <c r="G3198" i="10"/>
  <c r="G3194" i="10"/>
  <c r="G3190" i="10"/>
  <c r="G3183" i="10"/>
  <c r="G3184" i="10"/>
  <c r="G3227" i="10"/>
  <c r="G3223" i="10"/>
  <c r="G3219" i="10"/>
  <c r="G3215" i="10"/>
  <c r="G3211" i="10"/>
  <c r="G3207" i="10"/>
  <c r="G3203" i="10"/>
  <c r="G3199" i="10"/>
  <c r="G3195" i="10"/>
  <c r="G3191" i="10"/>
  <c r="G3185" i="10"/>
  <c r="G3187" i="10"/>
  <c r="G3186" i="10"/>
  <c r="H3181" i="10"/>
  <c r="G3181" i="10"/>
  <c r="G3225" i="10"/>
  <c r="G3221" i="10"/>
  <c r="G3217" i="10"/>
  <c r="G3213" i="10"/>
  <c r="G3209" i="10"/>
  <c r="G3205" i="10"/>
  <c r="G3201" i="10"/>
  <c r="G3197" i="10"/>
  <c r="G3193" i="10"/>
  <c r="G3189" i="10"/>
  <c r="G3228" i="10"/>
  <c r="G3224" i="10"/>
  <c r="G3220" i="10"/>
  <c r="G3216" i="10"/>
  <c r="G3212" i="10"/>
  <c r="G3208" i="10"/>
  <c r="G3204" i="10"/>
  <c r="G3200" i="10"/>
  <c r="G3196" i="10"/>
  <c r="G3192" i="10"/>
  <c r="G3188" i="10"/>
  <c r="H2220" i="10"/>
  <c r="I2220" i="10" s="1"/>
  <c r="J2220" i="10" s="1"/>
  <c r="F2221" i="10" s="1"/>
  <c r="J5118" i="10"/>
  <c r="F5119" i="10" s="1"/>
  <c r="H5118" i="10"/>
  <c r="I5118" i="10" s="1"/>
  <c r="J3096" i="10"/>
  <c r="F3097" i="10" s="1"/>
  <c r="H3096" i="10"/>
  <c r="I3096" i="10" s="1"/>
  <c r="H2584" i="10"/>
  <c r="I2584" i="10" s="1"/>
  <c r="J2584" i="10" s="1"/>
  <c r="F2585" i="10" s="1"/>
  <c r="H3461" i="10"/>
  <c r="I3461" i="10" s="1"/>
  <c r="J3461" i="10" s="1"/>
  <c r="F3462" i="10" s="1"/>
  <c r="H2030" i="10"/>
  <c r="I2030" i="10" s="1"/>
  <c r="J2030" i="10" s="1"/>
  <c r="F2031" i="10" s="1"/>
  <c r="J5078" i="10"/>
  <c r="F5079" i="10" s="1"/>
  <c r="H5078" i="10"/>
  <c r="I5078" i="10" s="1"/>
  <c r="H5024" i="10"/>
  <c r="I5024" i="10" s="1"/>
  <c r="J5024" i="10" s="1"/>
  <c r="F5025" i="10" s="1"/>
  <c r="H977" i="10"/>
  <c r="I977" i="10" s="1"/>
  <c r="J977" i="10" s="1"/>
  <c r="F978" i="10" s="1"/>
  <c r="J3497" i="10"/>
  <c r="F3498" i="10" s="1"/>
  <c r="H3497" i="10"/>
  <c r="I3497" i="10" s="1"/>
  <c r="J2260" i="10"/>
  <c r="F2261" i="10" s="1"/>
  <c r="H2260" i="10"/>
  <c r="I2260" i="10" s="1"/>
  <c r="H4525" i="10"/>
  <c r="I4525" i="10" s="1"/>
  <c r="J4525" i="10" s="1"/>
  <c r="F4526" i="10" s="1"/>
  <c r="D3981" i="10"/>
  <c r="E3981" i="10" s="1"/>
  <c r="C3982" i="10"/>
  <c r="H4426" i="10"/>
  <c r="I4426" i="10" s="1"/>
  <c r="J4426" i="10" s="1"/>
  <c r="L2066" i="10"/>
  <c r="L2067" i="10" s="1"/>
  <c r="L2068" i="10" s="1"/>
  <c r="L2069" i="10" s="1"/>
  <c r="I2066" i="10"/>
  <c r="J2066" i="10" s="1"/>
  <c r="F2067" i="10" s="1"/>
  <c r="O93" i="6"/>
  <c r="R96" i="9"/>
  <c r="Q87" i="6"/>
  <c r="AK87" i="6" s="1"/>
  <c r="I87" i="3"/>
  <c r="T87" i="3" s="1"/>
  <c r="AQ90" i="9"/>
  <c r="H3713" i="10"/>
  <c r="I3713" i="10" s="1"/>
  <c r="I2340" i="10"/>
  <c r="J2340" i="10" s="1"/>
  <c r="F2341" i="10" s="1"/>
  <c r="L2340" i="10"/>
  <c r="G4657" i="10"/>
  <c r="G4649" i="10"/>
  <c r="G4641" i="10"/>
  <c r="G4635" i="10"/>
  <c r="G4631" i="10"/>
  <c r="G4627" i="10"/>
  <c r="G4623" i="10"/>
  <c r="G4619" i="10"/>
  <c r="G4615" i="10"/>
  <c r="G4658" i="10"/>
  <c r="G4650" i="10"/>
  <c r="G4642" i="10"/>
  <c r="G4659" i="10"/>
  <c r="G4651" i="10"/>
  <c r="G4643" i="10"/>
  <c r="G4636" i="10"/>
  <c r="G4632" i="10"/>
  <c r="G4628" i="10"/>
  <c r="G4624" i="10"/>
  <c r="G4620" i="10"/>
  <c r="G4616" i="10"/>
  <c r="G4661" i="10"/>
  <c r="G4660" i="10"/>
  <c r="G4652" i="10"/>
  <c r="G4644" i="10"/>
  <c r="H4613" i="10"/>
  <c r="G4653" i="10"/>
  <c r="G4645" i="10"/>
  <c r="G4637" i="10"/>
  <c r="G4633" i="10"/>
  <c r="G4629" i="10"/>
  <c r="G4625" i="10"/>
  <c r="G4621" i="10"/>
  <c r="G4617" i="10"/>
  <c r="G4613" i="10"/>
  <c r="G4654" i="10"/>
  <c r="G4646" i="10"/>
  <c r="G4638" i="10"/>
  <c r="G4647" i="10"/>
  <c r="G4626" i="10"/>
  <c r="G4656" i="10"/>
  <c r="G4640" i="10"/>
  <c r="G4630" i="10"/>
  <c r="G4614" i="10"/>
  <c r="G4648" i="10"/>
  <c r="G4639" i="10"/>
  <c r="G4634" i="10"/>
  <c r="G4622" i="10"/>
  <c r="G4618" i="10"/>
  <c r="G4655" i="10"/>
  <c r="J2884" i="10"/>
  <c r="F2885" i="10" s="1"/>
  <c r="E3725" i="10"/>
  <c r="D3726" i="10"/>
  <c r="G577" i="10"/>
  <c r="H576" i="10"/>
  <c r="G576" i="10"/>
  <c r="D3829" i="10"/>
  <c r="E3829" i="10" s="1"/>
  <c r="C3830" i="10"/>
  <c r="J5438" i="10"/>
  <c r="F5439" i="10" s="1"/>
  <c r="H5438" i="10"/>
  <c r="I5438" i="10" s="1"/>
  <c r="J1027" i="10"/>
  <c r="F1028" i="10" s="1"/>
  <c r="H1027" i="10"/>
  <c r="I1027" i="10" s="1"/>
  <c r="H3005" i="10"/>
  <c r="I3005" i="10" s="1"/>
  <c r="J3005" i="10"/>
  <c r="F3006" i="10" s="1"/>
  <c r="H63" i="10"/>
  <c r="I63" i="10" s="1"/>
  <c r="J63" i="10" s="1"/>
  <c r="F64" i="10" s="1"/>
  <c r="J304" i="10"/>
  <c r="F305" i="10" s="1"/>
  <c r="H304" i="10"/>
  <c r="I304" i="10" s="1"/>
  <c r="J1153" i="10"/>
  <c r="F1154" i="10" s="1"/>
  <c r="H1153" i="10"/>
  <c r="I1153" i="10" s="1"/>
  <c r="H2459" i="10"/>
  <c r="I2459" i="10" s="1"/>
  <c r="J2459" i="10" s="1"/>
  <c r="F2460" i="10" s="1"/>
  <c r="H1691" i="10"/>
  <c r="I1691" i="10" s="1"/>
  <c r="J1691" i="10" s="1"/>
  <c r="F1692" i="10" s="1"/>
  <c r="H4315" i="10"/>
  <c r="I4315" i="10" s="1"/>
  <c r="J4315" i="10" s="1"/>
  <c r="F4316" i="10" s="1"/>
  <c r="I522" i="10"/>
  <c r="J522" i="10" s="1"/>
  <c r="F523" i="10" s="1"/>
  <c r="L522" i="10"/>
  <c r="O84" i="6"/>
  <c r="R87" i="9"/>
  <c r="J2839" i="10"/>
  <c r="F2840" i="10" s="1"/>
  <c r="H2839" i="10"/>
  <c r="I2839" i="10" s="1"/>
  <c r="J1462" i="10"/>
  <c r="F1463" i="10" s="1"/>
  <c r="H1462" i="10"/>
  <c r="I1462" i="10" s="1"/>
  <c r="Q91" i="6"/>
  <c r="AK91" i="6" s="1"/>
  <c r="I91" i="3"/>
  <c r="T91" i="3" s="1"/>
  <c r="AQ94" i="9"/>
  <c r="I5148" i="10"/>
  <c r="J5148" i="10" s="1"/>
  <c r="F5149" i="10" s="1"/>
  <c r="L5148" i="10"/>
  <c r="J719" i="10"/>
  <c r="F720" i="10" s="1"/>
  <c r="H719" i="10"/>
  <c r="J2116" i="10"/>
  <c r="F2117" i="10" s="1"/>
  <c r="H2116" i="10"/>
  <c r="I2116" i="10" s="1"/>
  <c r="I640" i="10"/>
  <c r="J640" i="10" s="1"/>
  <c r="F641" i="10" s="1"/>
  <c r="J4192" i="10"/>
  <c r="F4193" i="10" s="1"/>
  <c r="H3650" i="10"/>
  <c r="I3650" i="10" s="1"/>
  <c r="J3650" i="10"/>
  <c r="F3651" i="10" s="1"/>
  <c r="J2629" i="10"/>
  <c r="F2630" i="10" s="1"/>
  <c r="H2629" i="10"/>
  <c r="I2629" i="10" s="1"/>
  <c r="J778" i="10"/>
  <c r="F779" i="10" s="1"/>
  <c r="H778" i="10"/>
  <c r="I778" i="10" s="1"/>
  <c r="J3138" i="10"/>
  <c r="F3139" i="10" s="1"/>
  <c r="H3138" i="10"/>
  <c r="I3138" i="10" s="1"/>
  <c r="I4453" i="10"/>
  <c r="P88" i="9"/>
  <c r="H426" i="10"/>
  <c r="I426" i="10" s="1"/>
  <c r="J426" i="10" s="1"/>
  <c r="F427" i="10" s="1"/>
  <c r="J1318" i="10"/>
  <c r="F1319" i="10" s="1"/>
  <c r="H1318" i="10"/>
  <c r="I1318" i="10" s="1"/>
  <c r="H899" i="10"/>
  <c r="I899" i="10" s="1"/>
  <c r="J899" i="10" s="1"/>
  <c r="F900" i="10" s="1"/>
  <c r="J278" i="10"/>
  <c r="H278" i="10"/>
  <c r="I278" i="10" s="1"/>
  <c r="W92" i="9"/>
  <c r="I2409" i="10"/>
  <c r="J2409" i="10" s="1"/>
  <c r="F2410" i="10" s="1"/>
  <c r="AQ82" i="9"/>
  <c r="Q79" i="6"/>
  <c r="AK79" i="6" s="1"/>
  <c r="I79" i="3"/>
  <c r="T79" i="3" s="1"/>
  <c r="H3930" i="10"/>
  <c r="I3930" i="10" s="1"/>
  <c r="J3930" i="10" s="1"/>
  <c r="F3931" i="10" s="1"/>
  <c r="H936" i="10"/>
  <c r="I936" i="10" s="1"/>
  <c r="J936" i="10" s="1"/>
  <c r="F937" i="10" s="1"/>
  <c r="J1651" i="10"/>
  <c r="F1652" i="10" s="1"/>
  <c r="H1651" i="10"/>
  <c r="I1651" i="10" s="1"/>
  <c r="I4685" i="10"/>
  <c r="J1110" i="10"/>
  <c r="F1111" i="10" s="1"/>
  <c r="H1110" i="10"/>
  <c r="I1110" i="10" s="1"/>
  <c r="H1892" i="10"/>
  <c r="I1892" i="10" s="1"/>
  <c r="J1892" i="10"/>
  <c r="F1893" i="10" s="1"/>
  <c r="H2670" i="10"/>
  <c r="I2670" i="10" s="1"/>
  <c r="J2670" i="10" s="1"/>
  <c r="F2671" i="10" s="1"/>
  <c r="H4790" i="10"/>
  <c r="I4790" i="10" s="1"/>
  <c r="J4790" i="10" s="1"/>
  <c r="F4791" i="10" s="1"/>
  <c r="J1187" i="10"/>
  <c r="F1188" i="10" s="1"/>
  <c r="H1187" i="10"/>
  <c r="I1187" i="10" s="1"/>
  <c r="D3871" i="10"/>
  <c r="E3871" i="10" s="1"/>
  <c r="C3872" i="10"/>
  <c r="G29" i="10"/>
  <c r="H28" i="10"/>
  <c r="G28" i="10"/>
  <c r="J4251" i="10"/>
  <c r="F4252" i="10" s="1"/>
  <c r="H4251" i="10"/>
  <c r="I4251" i="10" s="1"/>
  <c r="H5580" i="10"/>
  <c r="I5580" i="10" s="1"/>
  <c r="J5580" i="10" s="1"/>
  <c r="F5581" i="10" s="1"/>
  <c r="S96" i="9"/>
  <c r="J4915" i="10"/>
  <c r="F4916" i="10" s="1"/>
  <c r="D3938" i="10"/>
  <c r="E3938" i="10" s="1"/>
  <c r="C3939" i="10"/>
  <c r="H1812" i="10"/>
  <c r="G1812" i="10"/>
  <c r="I1812" i="10" s="1"/>
  <c r="J1812" i="10" s="1"/>
  <c r="F1813" i="10" s="1"/>
  <c r="L4684" i="10"/>
  <c r="L4685" i="10" s="1"/>
  <c r="L4686" i="10" s="1"/>
  <c r="D3657" i="10"/>
  <c r="E3657" i="10" s="1"/>
  <c r="C3658" i="10"/>
  <c r="J3822" i="10"/>
  <c r="F3823" i="10" s="1"/>
  <c r="H2460" i="10" l="1"/>
  <c r="I2460" i="10" s="1"/>
  <c r="J2460" i="10" s="1"/>
  <c r="F2461" i="10" s="1"/>
  <c r="H978" i="10"/>
  <c r="I978" i="10" s="1"/>
  <c r="J978" i="10" s="1"/>
  <c r="F979" i="10" s="1"/>
  <c r="H386" i="10"/>
  <c r="I386" i="10" s="1"/>
  <c r="J386" i="10" s="1"/>
  <c r="F387" i="10" s="1"/>
  <c r="H4016" i="10"/>
  <c r="H4380" i="10"/>
  <c r="I4380" i="10" s="1"/>
  <c r="J4380" i="10" s="1"/>
  <c r="F4381" i="10" s="1"/>
  <c r="H1207" i="10"/>
  <c r="H5025" i="10"/>
  <c r="I5025" i="10" s="1"/>
  <c r="J5025" i="10" s="1"/>
  <c r="F5026" i="10" s="1"/>
  <c r="H1728" i="10"/>
  <c r="I1728" i="10" s="1"/>
  <c r="J1728" i="10" s="1"/>
  <c r="F1729" i="10" s="1"/>
  <c r="H4859" i="10"/>
  <c r="I4859" i="10" s="1"/>
  <c r="J4859" i="10" s="1"/>
  <c r="F4860" i="10" s="1"/>
  <c r="H2302" i="10"/>
  <c r="I2302" i="10" s="1"/>
  <c r="J2302" i="10" s="1"/>
  <c r="F2303" i="10" s="1"/>
  <c r="H5581" i="10"/>
  <c r="I5581" i="10" s="1"/>
  <c r="J5581" i="10" s="1"/>
  <c r="F5582" i="10" s="1"/>
  <c r="H4755" i="10"/>
  <c r="I4755" i="10" s="1"/>
  <c r="J4755" i="10"/>
  <c r="F4756" i="10" s="1"/>
  <c r="H1572" i="10"/>
  <c r="I1572" i="10" s="1"/>
  <c r="J1572" i="10" s="1"/>
  <c r="F1573" i="10" s="1"/>
  <c r="H1692" i="10"/>
  <c r="I1692" i="10" s="1"/>
  <c r="J1692" i="10" s="1"/>
  <c r="F1693" i="10" s="1"/>
  <c r="H4526" i="10"/>
  <c r="I4526" i="10" s="1"/>
  <c r="J4526" i="10" s="1"/>
  <c r="F4527" i="10" s="1"/>
  <c r="H2221" i="10"/>
  <c r="I2221" i="10" s="1"/>
  <c r="J2221" i="10" s="1"/>
  <c r="F2222" i="10" s="1"/>
  <c r="H3864" i="10"/>
  <c r="I3864" i="10" s="1"/>
  <c r="J3864" i="10" s="1"/>
  <c r="F3865" i="10" s="1"/>
  <c r="H5371" i="10"/>
  <c r="I5371" i="10" s="1"/>
  <c r="J5371" i="10"/>
  <c r="F5372" i="10" s="1"/>
  <c r="H3327" i="10"/>
  <c r="H3607" i="10"/>
  <c r="I3607" i="10" s="1"/>
  <c r="J3607" i="10" s="1"/>
  <c r="F3608" i="10" s="1"/>
  <c r="H427" i="10"/>
  <c r="I427" i="10" s="1"/>
  <c r="J427" i="10" s="1"/>
  <c r="F428" i="10" s="1"/>
  <c r="H2671" i="10"/>
  <c r="I2671" i="10" s="1"/>
  <c r="J2671" i="10"/>
  <c r="F2672" i="10" s="1"/>
  <c r="H937" i="10"/>
  <c r="I937" i="10" s="1"/>
  <c r="J937" i="10" s="1"/>
  <c r="F938" i="10" s="1"/>
  <c r="H2031" i="10"/>
  <c r="I2031" i="10" s="1"/>
  <c r="J2031" i="10"/>
  <c r="F2032" i="10" s="1"/>
  <c r="H228" i="10"/>
  <c r="I228" i="10" s="1"/>
  <c r="J228" i="10" s="1"/>
  <c r="F229" i="10" s="1"/>
  <c r="H4791" i="10"/>
  <c r="I4791" i="10" s="1"/>
  <c r="J4791" i="10" s="1"/>
  <c r="F4792" i="10" s="1"/>
  <c r="H3931" i="10"/>
  <c r="I3931" i="10" s="1"/>
  <c r="J3931" i="10" s="1"/>
  <c r="F3932" i="10" s="1"/>
  <c r="H900" i="10"/>
  <c r="I900" i="10" s="1"/>
  <c r="J900" i="10" s="1"/>
  <c r="F901" i="10" s="1"/>
  <c r="H64" i="10"/>
  <c r="I64" i="10" s="1"/>
  <c r="J64" i="10" s="1"/>
  <c r="F65" i="10" s="1"/>
  <c r="H3462" i="10"/>
  <c r="I3462" i="10" s="1"/>
  <c r="H3781" i="10"/>
  <c r="I3781" i="10" s="1"/>
  <c r="J3781" i="10" s="1"/>
  <c r="F3782" i="10" s="1"/>
  <c r="H1070" i="10"/>
  <c r="I1070" i="10" s="1"/>
  <c r="J1070" i="10" s="1"/>
  <c r="F1071" i="10" s="1"/>
  <c r="H1777" i="10"/>
  <c r="I1777" i="10" s="1"/>
  <c r="J1777" i="10" s="1"/>
  <c r="F1778" i="10" s="1"/>
  <c r="G1813" i="10"/>
  <c r="I1813" i="10" s="1"/>
  <c r="J1813" i="10" s="1"/>
  <c r="F1814" i="10" s="1"/>
  <c r="H1813" i="10"/>
  <c r="J4316" i="10"/>
  <c r="F4317" i="10" s="1"/>
  <c r="H4316" i="10"/>
  <c r="I4316" i="10" s="1"/>
  <c r="J2585" i="10"/>
  <c r="F2586" i="10" s="1"/>
  <c r="H2585" i="10"/>
  <c r="I2585" i="10" s="1"/>
  <c r="J1408" i="10"/>
  <c r="F1409" i="10" s="1"/>
  <c r="H1408" i="10"/>
  <c r="I1408" i="10" s="1"/>
  <c r="J1984" i="10"/>
  <c r="F1985" i="10" s="1"/>
  <c r="H1984" i="10"/>
  <c r="I1984" i="10" s="1"/>
  <c r="J3565" i="10"/>
  <c r="F3566" i="10" s="1"/>
  <c r="H3565" i="10"/>
  <c r="I3565" i="10" s="1"/>
  <c r="J1263" i="10"/>
  <c r="F1264" i="10" s="1"/>
  <c r="H1263" i="10"/>
  <c r="I1263" i="10" s="1"/>
  <c r="J4252" i="10"/>
  <c r="F4253" i="10" s="1"/>
  <c r="H4252" i="10"/>
  <c r="I4252" i="10" s="1"/>
  <c r="J5079" i="10"/>
  <c r="F5080" i="10" s="1"/>
  <c r="H5079" i="10"/>
  <c r="I5079" i="10" s="1"/>
  <c r="H4562" i="10"/>
  <c r="I4562" i="10" s="1"/>
  <c r="J4562" i="10" s="1"/>
  <c r="F4563" i="10" s="1"/>
  <c r="H1612" i="10"/>
  <c r="I1612" i="10" s="1"/>
  <c r="J1612" i="10" s="1"/>
  <c r="F1613" i="10" s="1"/>
  <c r="H4686" i="10"/>
  <c r="D3939" i="10"/>
  <c r="E3939" i="10" s="1"/>
  <c r="C3940" i="10"/>
  <c r="I28" i="10"/>
  <c r="J28" i="10" s="1"/>
  <c r="F29" i="10" s="1"/>
  <c r="L28" i="10"/>
  <c r="L29" i="10" s="1"/>
  <c r="H4193" i="10"/>
  <c r="G523" i="10"/>
  <c r="I523" i="10" s="1"/>
  <c r="J523" i="10" s="1"/>
  <c r="F524" i="10" s="1"/>
  <c r="H523" i="10"/>
  <c r="G524" i="10"/>
  <c r="H2067" i="10"/>
  <c r="I2067" i="10" s="1"/>
  <c r="J2067" i="10" s="1"/>
  <c r="F2068" i="10" s="1"/>
  <c r="D3982" i="10"/>
  <c r="C3983" i="10"/>
  <c r="C3984" i="10" s="1"/>
  <c r="I4081" i="10"/>
  <c r="J4081" i="10" s="1"/>
  <c r="F4082" i="10" s="1"/>
  <c r="P81" i="9"/>
  <c r="H1111" i="10"/>
  <c r="I1111" i="10" s="1"/>
  <c r="J1111" i="10" s="1"/>
  <c r="F1112" i="10" s="1"/>
  <c r="H3097" i="10"/>
  <c r="I3097" i="10" s="1"/>
  <c r="J3097" i="10" s="1"/>
  <c r="F3098" i="10" s="1"/>
  <c r="H5507" i="10"/>
  <c r="I5507" i="10" s="1"/>
  <c r="J5507" i="10" s="1"/>
  <c r="F5508" i="10" s="1"/>
  <c r="J1319" i="10"/>
  <c r="F1320" i="10" s="1"/>
  <c r="H1319" i="10"/>
  <c r="I1319" i="10" s="1"/>
  <c r="H779" i="10"/>
  <c r="I779" i="10" s="1"/>
  <c r="J779" i="10" s="1"/>
  <c r="F780" i="10" s="1"/>
  <c r="H5149" i="10"/>
  <c r="G3065" i="10"/>
  <c r="G3061" i="10"/>
  <c r="G3057" i="10"/>
  <c r="G3053" i="10"/>
  <c r="G3049" i="10"/>
  <c r="G3045" i="10"/>
  <c r="G3041" i="10"/>
  <c r="G3037" i="10"/>
  <c r="G3033" i="10"/>
  <c r="G3029" i="10"/>
  <c r="G3025" i="10"/>
  <c r="G3021" i="10"/>
  <c r="G3017" i="10"/>
  <c r="G3011" i="10"/>
  <c r="G3013" i="10"/>
  <c r="G3012" i="10"/>
  <c r="G3062" i="10"/>
  <c r="G3058" i="10"/>
  <c r="G3054" i="10"/>
  <c r="G3050" i="10"/>
  <c r="G3046" i="10"/>
  <c r="G3042" i="10"/>
  <c r="G3038" i="10"/>
  <c r="G3034" i="10"/>
  <c r="G3030" i="10"/>
  <c r="G3026" i="10"/>
  <c r="G3022" i="10"/>
  <c r="G3018" i="10"/>
  <c r="G3014" i="10"/>
  <c r="H3006" i="10"/>
  <c r="G3006" i="10"/>
  <c r="G3063" i="10"/>
  <c r="G3059" i="10"/>
  <c r="G3055" i="10"/>
  <c r="G3051" i="10"/>
  <c r="G3047" i="10"/>
  <c r="G3043" i="10"/>
  <c r="G3039" i="10"/>
  <c r="G3035" i="10"/>
  <c r="G3031" i="10"/>
  <c r="G3027" i="10"/>
  <c r="G3023" i="10"/>
  <c r="G3019" i="10"/>
  <c r="G3015" i="10"/>
  <c r="G3007" i="10"/>
  <c r="G3064" i="10"/>
  <c r="G3060" i="10"/>
  <c r="G3056" i="10"/>
  <c r="G3052" i="10"/>
  <c r="G3048" i="10"/>
  <c r="G3044" i="10"/>
  <c r="G3040" i="10"/>
  <c r="G3036" i="10"/>
  <c r="G3032" i="10"/>
  <c r="G3028" i="10"/>
  <c r="G3024" i="10"/>
  <c r="G3020" i="10"/>
  <c r="G3016" i="10"/>
  <c r="G3009" i="10"/>
  <c r="G3008" i="10"/>
  <c r="G3010" i="10"/>
  <c r="I576" i="10"/>
  <c r="L576" i="10"/>
  <c r="L577" i="10" s="1"/>
  <c r="J3498" i="10"/>
  <c r="F3499" i="10" s="1"/>
  <c r="H3498" i="10"/>
  <c r="I3498" i="10" s="1"/>
  <c r="H5119" i="10"/>
  <c r="I5119" i="10" s="1"/>
  <c r="J5119" i="10" s="1"/>
  <c r="F5120" i="10" s="1"/>
  <c r="L3182" i="10"/>
  <c r="I3181" i="10"/>
  <c r="J3181" i="10" s="1"/>
  <c r="F3182" i="10" s="1"/>
  <c r="J3973" i="10"/>
  <c r="F3974" i="10" s="1"/>
  <c r="H3973" i="10"/>
  <c r="I3973" i="10" s="1"/>
  <c r="H2547" i="10"/>
  <c r="I2547" i="10" s="1"/>
  <c r="J2547" i="10"/>
  <c r="F2548" i="10" s="1"/>
  <c r="J3392" i="10"/>
  <c r="F3393" i="10" s="1"/>
  <c r="H3392" i="10"/>
  <c r="I3392" i="10" s="1"/>
  <c r="J859" i="10"/>
  <c r="F860" i="10" s="1"/>
  <c r="H859" i="10"/>
  <c r="I859" i="10" s="1"/>
  <c r="J3289" i="10"/>
  <c r="F3290" i="10" s="1"/>
  <c r="H3289" i="10"/>
  <c r="I3289" i="10" s="1"/>
  <c r="H2719" i="10"/>
  <c r="I2719" i="10" s="1"/>
  <c r="J2719" i="10" s="1"/>
  <c r="F2720" i="10" s="1"/>
  <c r="J4135" i="10"/>
  <c r="F4136" i="10" s="1"/>
  <c r="H4135" i="10"/>
  <c r="I4135" i="10" s="1"/>
  <c r="H1463" i="10"/>
  <c r="I1463" i="10" s="1"/>
  <c r="J1463" i="10" s="1"/>
  <c r="F1464" i="10" s="1"/>
  <c r="H4986" i="10"/>
  <c r="I4986" i="10" s="1"/>
  <c r="J4986" i="10"/>
  <c r="F4987" i="10" s="1"/>
  <c r="H641" i="10"/>
  <c r="I641" i="10" s="1"/>
  <c r="J641" i="10" s="1"/>
  <c r="F642" i="10" s="1"/>
  <c r="J3713" i="10"/>
  <c r="F3714" i="10" s="1"/>
  <c r="J2502" i="10"/>
  <c r="F2503" i="10" s="1"/>
  <c r="H2502" i="10"/>
  <c r="I2502" i="10" s="1"/>
  <c r="I3327" i="10"/>
  <c r="J3327" i="10" s="1"/>
  <c r="F3328" i="10" s="1"/>
  <c r="H3823" i="10"/>
  <c r="I3823" i="10" s="1"/>
  <c r="J3823" i="10"/>
  <c r="F3824" i="10" s="1"/>
  <c r="H2261" i="10"/>
  <c r="I2261" i="10" s="1"/>
  <c r="J2261" i="10" s="1"/>
  <c r="F2262" i="10" s="1"/>
  <c r="R93" i="6"/>
  <c r="T96" i="9"/>
  <c r="S93" i="6" s="1"/>
  <c r="H2630" i="10"/>
  <c r="I2630" i="10" s="1"/>
  <c r="J2630" i="10"/>
  <c r="F2631" i="10" s="1"/>
  <c r="L2341" i="10"/>
  <c r="J1188" i="10"/>
  <c r="F1189" i="10" s="1"/>
  <c r="H1188" i="10"/>
  <c r="I1188" i="10" s="1"/>
  <c r="H5233" i="10"/>
  <c r="I5233" i="10" s="1"/>
  <c r="J5233" i="10" s="1"/>
  <c r="F5234" i="10" s="1"/>
  <c r="J1533" i="10"/>
  <c r="F1534" i="10" s="1"/>
  <c r="H1533" i="10"/>
  <c r="I1533" i="10" s="1"/>
  <c r="J4916" i="10"/>
  <c r="F4917" i="10" s="1"/>
  <c r="H4916" i="10"/>
  <c r="I4916" i="10" s="1"/>
  <c r="J1893" i="10"/>
  <c r="F1894" i="10" s="1"/>
  <c r="H1893" i="10"/>
  <c r="I1893" i="10" s="1"/>
  <c r="R88" i="9"/>
  <c r="O85" i="6"/>
  <c r="H3651" i="10"/>
  <c r="I3651" i="10" s="1"/>
  <c r="J3651" i="10" s="1"/>
  <c r="F3652" i="10" s="1"/>
  <c r="H2840" i="10"/>
  <c r="I2840" i="10" s="1"/>
  <c r="J2840" i="10" s="1"/>
  <c r="F2841" i="10" s="1"/>
  <c r="J1154" i="10"/>
  <c r="F1155" i="10" s="1"/>
  <c r="H1154" i="10"/>
  <c r="I1154" i="10" s="1"/>
  <c r="H1028" i="10"/>
  <c r="I1028" i="10" s="1"/>
  <c r="J1028" i="10" s="1"/>
  <c r="F1029" i="10" s="1"/>
  <c r="H2341" i="10"/>
  <c r="G2341" i="10"/>
  <c r="I2341" i="10" s="1"/>
  <c r="J2341" i="10" s="1"/>
  <c r="F2342" i="10" s="1"/>
  <c r="H1939" i="10"/>
  <c r="I1939" i="10" s="1"/>
  <c r="J1939" i="10"/>
  <c r="F1940" i="10" s="1"/>
  <c r="H2960" i="10"/>
  <c r="I2960" i="10" s="1"/>
  <c r="J2960" i="10"/>
  <c r="F2961" i="10" s="1"/>
  <c r="H2159" i="10"/>
  <c r="I2159" i="10" s="1"/>
  <c r="J2159" i="10" s="1"/>
  <c r="F2160" i="10" s="1"/>
  <c r="H1652" i="10"/>
  <c r="I1652" i="10" s="1"/>
  <c r="J1652" i="10" s="1"/>
  <c r="F1653" i="10" s="1"/>
  <c r="D3830" i="10"/>
  <c r="E3830" i="10" s="1"/>
  <c r="C3831" i="10"/>
  <c r="H5314" i="10"/>
  <c r="I5314" i="10" s="1"/>
  <c r="J5314" i="10"/>
  <c r="F5315" i="10" s="1"/>
  <c r="J2410" i="10"/>
  <c r="F2411" i="10" s="1"/>
  <c r="H2410" i="10"/>
  <c r="I2410" i="10" s="1"/>
  <c r="D3658" i="10"/>
  <c r="E3658" i="10" s="1"/>
  <c r="C3659" i="10"/>
  <c r="L1812" i="10"/>
  <c r="L1813" i="10" s="1"/>
  <c r="S88" i="9"/>
  <c r="J4453" i="10"/>
  <c r="F4454" i="10" s="1"/>
  <c r="J720" i="10"/>
  <c r="F721" i="10" s="1"/>
  <c r="H720" i="10"/>
  <c r="Q84" i="6"/>
  <c r="AK84" i="6" s="1"/>
  <c r="I84" i="3"/>
  <c r="T84" i="3" s="1"/>
  <c r="AQ87" i="9"/>
  <c r="D3727" i="10"/>
  <c r="E3726" i="10"/>
  <c r="H2885" i="10"/>
  <c r="I2885" i="10" s="1"/>
  <c r="L3183" i="10"/>
  <c r="L3184" i="10" s="1"/>
  <c r="L3185" i="10" s="1"/>
  <c r="L3186" i="10" s="1"/>
  <c r="L3187" i="10" s="1"/>
  <c r="H3139" i="10"/>
  <c r="I3139" i="10" s="1"/>
  <c r="J3139" i="10" s="1"/>
  <c r="F3140" i="10" s="1"/>
  <c r="D3872" i="10"/>
  <c r="E3872" i="10" s="1"/>
  <c r="C3873" i="10"/>
  <c r="J2117" i="10"/>
  <c r="F2118" i="10" s="1"/>
  <c r="H2117" i="10"/>
  <c r="I2117" i="10" s="1"/>
  <c r="H305" i="10"/>
  <c r="I305" i="10" s="1"/>
  <c r="J305" i="10" s="1"/>
  <c r="F306" i="10" s="1"/>
  <c r="J5439" i="10"/>
  <c r="F5440" i="10" s="1"/>
  <c r="H5439" i="10"/>
  <c r="I5439" i="10" s="1"/>
  <c r="I4613" i="10"/>
  <c r="J4613" i="10" s="1"/>
  <c r="F4614" i="10" s="1"/>
  <c r="Q93" i="6"/>
  <c r="AK93" i="6" s="1"/>
  <c r="I93" i="3"/>
  <c r="T93" i="3" s="1"/>
  <c r="AQ96" i="9"/>
  <c r="L2763" i="10"/>
  <c r="L2764" i="10" s="1"/>
  <c r="I2763" i="10"/>
  <c r="J2763" i="10" s="1"/>
  <c r="F2764" i="10" s="1"/>
  <c r="H1729" i="10" l="1"/>
  <c r="I1729" i="10" s="1"/>
  <c r="J1729" i="10"/>
  <c r="F1730" i="10" s="1"/>
  <c r="H1653" i="10"/>
  <c r="I1653" i="10" s="1"/>
  <c r="J1653" i="10"/>
  <c r="F1654" i="10" s="1"/>
  <c r="G1032" i="10"/>
  <c r="G1033" i="10"/>
  <c r="G1034" i="10"/>
  <c r="G1035" i="10"/>
  <c r="G1036" i="10"/>
  <c r="H1029" i="10"/>
  <c r="G1038" i="10"/>
  <c r="G1030" i="10"/>
  <c r="G1039" i="10"/>
  <c r="G1029" i="10"/>
  <c r="G1031" i="10"/>
  <c r="G1037" i="10"/>
  <c r="H3328" i="10"/>
  <c r="I3328" i="10" s="1"/>
  <c r="J3328" i="10" s="1"/>
  <c r="F3329" i="10" s="1"/>
  <c r="H3932" i="10"/>
  <c r="I3932" i="10" s="1"/>
  <c r="J3932" i="10" s="1"/>
  <c r="F3933" i="10" s="1"/>
  <c r="J428" i="10"/>
  <c r="F429" i="10" s="1"/>
  <c r="H428" i="10"/>
  <c r="I428" i="10" s="1"/>
  <c r="J1693" i="10"/>
  <c r="F1694" i="10" s="1"/>
  <c r="H1693" i="10"/>
  <c r="I1693" i="10" s="1"/>
  <c r="H5026" i="10"/>
  <c r="I5026" i="10" s="1"/>
  <c r="J5026" i="10" s="1"/>
  <c r="F5027" i="10" s="1"/>
  <c r="H1112" i="10"/>
  <c r="I1112" i="10" s="1"/>
  <c r="J1112" i="10"/>
  <c r="F1113" i="10" s="1"/>
  <c r="H1814" i="10"/>
  <c r="G1814" i="10"/>
  <c r="I1814" i="10" s="1"/>
  <c r="J1814" i="10" s="1"/>
  <c r="F1815" i="10" s="1"/>
  <c r="H4792" i="10"/>
  <c r="I4792" i="10" s="1"/>
  <c r="J4792" i="10" s="1"/>
  <c r="F4793" i="10" s="1"/>
  <c r="H3608" i="10"/>
  <c r="I3608" i="10" s="1"/>
  <c r="J3608" i="10"/>
  <c r="F3609" i="10" s="1"/>
  <c r="H1573" i="10"/>
  <c r="I1573" i="10" s="1"/>
  <c r="J1573" i="10" s="1"/>
  <c r="F1574" i="10" s="1"/>
  <c r="H1464" i="10"/>
  <c r="I1464" i="10" s="1"/>
  <c r="J1464" i="10"/>
  <c r="F1465" i="10" s="1"/>
  <c r="H524" i="10"/>
  <c r="H2720" i="10"/>
  <c r="I2720" i="10" s="1"/>
  <c r="J2720" i="10"/>
  <c r="F2721" i="10" s="1"/>
  <c r="H780" i="10"/>
  <c r="I780" i="10" s="1"/>
  <c r="J780" i="10" s="1"/>
  <c r="F781" i="10" s="1"/>
  <c r="H1778" i="10"/>
  <c r="I1778" i="10" s="1"/>
  <c r="J1778" i="10" s="1"/>
  <c r="F1779" i="10" s="1"/>
  <c r="H229" i="10"/>
  <c r="I229" i="10" s="1"/>
  <c r="J229" i="10" s="1"/>
  <c r="F230" i="10" s="1"/>
  <c r="H4381" i="10"/>
  <c r="I4381" i="10" s="1"/>
  <c r="J4381" i="10" s="1"/>
  <c r="F4382" i="10" s="1"/>
  <c r="H5120" i="10"/>
  <c r="I5120" i="10" s="1"/>
  <c r="J5120" i="10" s="1"/>
  <c r="F5121" i="10" s="1"/>
  <c r="H2160" i="10"/>
  <c r="I2160" i="10" s="1"/>
  <c r="J2160" i="10" s="1"/>
  <c r="F2161" i="10" s="1"/>
  <c r="H3140" i="10"/>
  <c r="G3140" i="10"/>
  <c r="H2841" i="10"/>
  <c r="J1071" i="10"/>
  <c r="F1072" i="10" s="1"/>
  <c r="H1071" i="10"/>
  <c r="I1071" i="10" s="1"/>
  <c r="J4563" i="10"/>
  <c r="F4564" i="10" s="1"/>
  <c r="H4563" i="10"/>
  <c r="I4563" i="10" s="1"/>
  <c r="H3652" i="10"/>
  <c r="H642" i="10"/>
  <c r="I642" i="10" s="1"/>
  <c r="J642" i="10" s="1"/>
  <c r="F643" i="10" s="1"/>
  <c r="H2068" i="10"/>
  <c r="I2068" i="10" s="1"/>
  <c r="J2068" i="10" s="1"/>
  <c r="F2069" i="10" s="1"/>
  <c r="J3782" i="10"/>
  <c r="F3783" i="10" s="1"/>
  <c r="H3782" i="10"/>
  <c r="I3782" i="10" s="1"/>
  <c r="H5582" i="10"/>
  <c r="I5582" i="10" s="1"/>
  <c r="J5582" i="10" s="1"/>
  <c r="F5583" i="10" s="1"/>
  <c r="H387" i="10"/>
  <c r="I387" i="10" s="1"/>
  <c r="J387" i="10" s="1"/>
  <c r="F388" i="10" s="1"/>
  <c r="H4527" i="10"/>
  <c r="I4527" i="10" s="1"/>
  <c r="J4527" i="10" s="1"/>
  <c r="F4528" i="10" s="1"/>
  <c r="J5234" i="10"/>
  <c r="F5235" i="10" s="1"/>
  <c r="H5234" i="10"/>
  <c r="I5234" i="10" s="1"/>
  <c r="H2262" i="10"/>
  <c r="I2262" i="10" s="1"/>
  <c r="J2262" i="10"/>
  <c r="F2263" i="10" s="1"/>
  <c r="H5508" i="10"/>
  <c r="I5508" i="10" s="1"/>
  <c r="J5508" i="10" s="1"/>
  <c r="F5509" i="10" s="1"/>
  <c r="J938" i="10"/>
  <c r="F939" i="10" s="1"/>
  <c r="H938" i="10"/>
  <c r="I938" i="10" s="1"/>
  <c r="H3865" i="10"/>
  <c r="I3865" i="10" s="1"/>
  <c r="J3865" i="10" s="1"/>
  <c r="F3866" i="10" s="1"/>
  <c r="H2303" i="10"/>
  <c r="I2303" i="10" s="1"/>
  <c r="J2303" i="10" s="1"/>
  <c r="F2304" i="10" s="1"/>
  <c r="J979" i="10"/>
  <c r="F980" i="10" s="1"/>
  <c r="H979" i="10"/>
  <c r="I979" i="10" s="1"/>
  <c r="J901" i="10"/>
  <c r="F902" i="10" s="1"/>
  <c r="H901" i="10"/>
  <c r="I901" i="10" s="1"/>
  <c r="H306" i="10"/>
  <c r="G306" i="10"/>
  <c r="G307" i="10"/>
  <c r="G2342" i="10"/>
  <c r="H2342" i="10"/>
  <c r="H3098" i="10"/>
  <c r="I3098" i="10" s="1"/>
  <c r="J3098" i="10" s="1"/>
  <c r="F3099" i="10" s="1"/>
  <c r="H1613" i="10"/>
  <c r="I1613" i="10" s="1"/>
  <c r="J1613" i="10" s="1"/>
  <c r="F1614" i="10" s="1"/>
  <c r="H65" i="10"/>
  <c r="I65" i="10" s="1"/>
  <c r="J65" i="10" s="1"/>
  <c r="F66" i="10" s="1"/>
  <c r="H2222" i="10"/>
  <c r="I2222" i="10" s="1"/>
  <c r="J2222" i="10" s="1"/>
  <c r="F2223" i="10" s="1"/>
  <c r="H4860" i="10"/>
  <c r="I4860" i="10" s="1"/>
  <c r="J4860" i="10"/>
  <c r="F4861" i="10" s="1"/>
  <c r="H2461" i="10"/>
  <c r="I2461" i="10" s="1"/>
  <c r="J2461" i="10" s="1"/>
  <c r="F2462" i="10" s="1"/>
  <c r="L2342" i="10"/>
  <c r="J1264" i="10"/>
  <c r="F1265" i="10" s="1"/>
  <c r="H1264" i="10"/>
  <c r="I1264" i="10" s="1"/>
  <c r="J2764" i="10"/>
  <c r="F2765" i="10" s="1"/>
  <c r="H2764" i="10"/>
  <c r="I2764" i="10" s="1"/>
  <c r="H4614" i="10"/>
  <c r="I4614" i="10" s="1"/>
  <c r="J4614" i="10" s="1"/>
  <c r="F4615" i="10" s="1"/>
  <c r="D3873" i="10"/>
  <c r="E3873" i="10" s="1"/>
  <c r="C3874" i="10"/>
  <c r="D3659" i="10"/>
  <c r="C3660" i="10"/>
  <c r="C3661" i="10" s="1"/>
  <c r="C3662" i="10" s="1"/>
  <c r="C3663" i="10" s="1"/>
  <c r="C3664" i="10" s="1"/>
  <c r="C3665" i="10" s="1"/>
  <c r="C3666" i="10" s="1"/>
  <c r="C3667" i="10" s="1"/>
  <c r="C3668" i="10" s="1"/>
  <c r="C3669" i="10" s="1"/>
  <c r="C3670" i="10" s="1"/>
  <c r="C3671" i="10" s="1"/>
  <c r="C3672" i="10" s="1"/>
  <c r="C3673" i="10" s="1"/>
  <c r="C3674" i="10" s="1"/>
  <c r="C3675" i="10" s="1"/>
  <c r="C3676" i="10" s="1"/>
  <c r="C3677" i="10" s="1"/>
  <c r="C3678" i="10" s="1"/>
  <c r="C3679" i="10" s="1"/>
  <c r="C3680" i="10" s="1"/>
  <c r="C3681" i="10" s="1"/>
  <c r="C3682" i="10" s="1"/>
  <c r="C3683" i="10" s="1"/>
  <c r="C3684" i="10" s="1"/>
  <c r="C3685" i="10" s="1"/>
  <c r="I4016" i="10"/>
  <c r="J4016" i="10" s="1"/>
  <c r="F4017" i="10" s="1"/>
  <c r="P80" i="9"/>
  <c r="H2961" i="10"/>
  <c r="I2961" i="10" s="1"/>
  <c r="J2961" i="10" s="1"/>
  <c r="F2962" i="10" s="1"/>
  <c r="H3824" i="10"/>
  <c r="I3824" i="10" s="1"/>
  <c r="J3824" i="10" s="1"/>
  <c r="F3825" i="10" s="1"/>
  <c r="D3940" i="10"/>
  <c r="C3941" i="10"/>
  <c r="C3942" i="10" s="1"/>
  <c r="H2586" i="10"/>
  <c r="I2586" i="10" s="1"/>
  <c r="J2586" i="10"/>
  <c r="F2587" i="10" s="1"/>
  <c r="H4756" i="10"/>
  <c r="I4756" i="10" s="1"/>
  <c r="J4756" i="10" s="1"/>
  <c r="F4757" i="10" s="1"/>
  <c r="H1940" i="10"/>
  <c r="I1940" i="10" s="1"/>
  <c r="J1940" i="10" s="1"/>
  <c r="F1941" i="10" s="1"/>
  <c r="H4917" i="10"/>
  <c r="I4917" i="10" s="1"/>
  <c r="J4917" i="10"/>
  <c r="F4918" i="10" s="1"/>
  <c r="H1189" i="10"/>
  <c r="I1189" i="10" s="1"/>
  <c r="J1189" i="10" s="1"/>
  <c r="F1190" i="10" s="1"/>
  <c r="H860" i="10"/>
  <c r="I860" i="10" s="1"/>
  <c r="J860" i="10"/>
  <c r="F861" i="10" s="1"/>
  <c r="H1320" i="10"/>
  <c r="I1320" i="10" s="1"/>
  <c r="J1320" i="10" s="1"/>
  <c r="F1321" i="10" s="1"/>
  <c r="P92" i="9"/>
  <c r="I4686" i="10"/>
  <c r="H5080" i="10"/>
  <c r="I5080" i="10" s="1"/>
  <c r="J5080" i="10" s="1"/>
  <c r="F5081" i="10" s="1"/>
  <c r="H3566" i="10"/>
  <c r="I3566" i="10" s="1"/>
  <c r="J3566" i="10"/>
  <c r="F3567" i="10" s="1"/>
  <c r="H4317" i="10"/>
  <c r="I4317" i="10" s="1"/>
  <c r="J4317" i="10" s="1"/>
  <c r="F4318" i="10" s="1"/>
  <c r="H1894" i="10"/>
  <c r="I1894" i="10" s="1"/>
  <c r="J1894" i="10" s="1"/>
  <c r="F1895" i="10" s="1"/>
  <c r="H3290" i="10"/>
  <c r="I3290" i="10" s="1"/>
  <c r="J3290" i="10" s="1"/>
  <c r="F3291" i="10" s="1"/>
  <c r="D3831" i="10"/>
  <c r="E3831" i="10" s="1"/>
  <c r="C3832" i="10"/>
  <c r="U96" i="9"/>
  <c r="H3714" i="10"/>
  <c r="I3714" i="10" s="1"/>
  <c r="H2118" i="10"/>
  <c r="I2118" i="10" s="1"/>
  <c r="J2118" i="10" s="1"/>
  <c r="F2119" i="10" s="1"/>
  <c r="I524" i="10"/>
  <c r="J524" i="10" s="1"/>
  <c r="F525" i="10" s="1"/>
  <c r="H1534" i="10"/>
  <c r="I1534" i="10" s="1"/>
  <c r="J1534" i="10" s="1"/>
  <c r="F1535" i="10" s="1"/>
  <c r="H4136" i="10"/>
  <c r="I4136" i="10" s="1"/>
  <c r="J4136" i="10"/>
  <c r="F4137" i="10" s="1"/>
  <c r="H3393" i="10"/>
  <c r="I3393" i="10" s="1"/>
  <c r="J3393" i="10" s="1"/>
  <c r="F3394" i="10" s="1"/>
  <c r="H3499" i="10"/>
  <c r="I3499" i="10" s="1"/>
  <c r="J3499" i="10"/>
  <c r="F3500" i="10" s="1"/>
  <c r="R81" i="9"/>
  <c r="O78" i="6"/>
  <c r="H1985" i="10"/>
  <c r="I1985" i="10" s="1"/>
  <c r="J1985" i="10" s="1"/>
  <c r="F1986" i="10" s="1"/>
  <c r="H2672" i="10"/>
  <c r="I2672" i="10" s="1"/>
  <c r="J2672" i="10" s="1"/>
  <c r="F2673" i="10" s="1"/>
  <c r="H5372" i="10"/>
  <c r="I5372" i="10" s="1"/>
  <c r="J5372" i="10" s="1"/>
  <c r="F5373" i="10" s="1"/>
  <c r="I1207" i="10"/>
  <c r="H1155" i="10"/>
  <c r="I1155" i="10" s="1"/>
  <c r="J1155" i="10"/>
  <c r="F1156" i="10" s="1"/>
  <c r="H3974" i="10"/>
  <c r="I3974" i="10" s="1"/>
  <c r="J2032" i="10"/>
  <c r="F2033" i="10" s="1"/>
  <c r="H2032" i="10"/>
  <c r="I2032" i="10" s="1"/>
  <c r="J5440" i="10"/>
  <c r="F5441" i="10" s="1"/>
  <c r="H5440" i="10"/>
  <c r="I5440" i="10" s="1"/>
  <c r="H2411" i="10"/>
  <c r="G2411" i="10"/>
  <c r="I2411" i="10" s="1"/>
  <c r="J2411" i="10" s="1"/>
  <c r="F2412" i="10" s="1"/>
  <c r="G2412" i="10"/>
  <c r="H4987" i="10"/>
  <c r="I4987" i="10" s="1"/>
  <c r="J4987" i="10" s="1"/>
  <c r="F4988" i="10" s="1"/>
  <c r="H2548" i="10"/>
  <c r="I2548" i="10" s="1"/>
  <c r="J2548" i="10" s="1"/>
  <c r="F2549" i="10" s="1"/>
  <c r="H3182" i="10"/>
  <c r="I3182" i="10" s="1"/>
  <c r="J3182" i="10"/>
  <c r="F3183" i="10" s="1"/>
  <c r="I3006" i="10"/>
  <c r="J3006" i="10" s="1"/>
  <c r="F3007" i="10" s="1"/>
  <c r="L3006" i="10"/>
  <c r="L3007" i="10" s="1"/>
  <c r="L3008" i="10" s="1"/>
  <c r="L3009" i="10" s="1"/>
  <c r="L3010" i="10" s="1"/>
  <c r="L3011" i="10" s="1"/>
  <c r="L3012" i="10" s="1"/>
  <c r="L3013" i="10" s="1"/>
  <c r="G5149" i="10"/>
  <c r="P101" i="9"/>
  <c r="T101" i="9"/>
  <c r="S98" i="6" s="1"/>
  <c r="H4082" i="10"/>
  <c r="I4082" i="10" s="1"/>
  <c r="J4082" i="10" s="1"/>
  <c r="F4083" i="10" s="1"/>
  <c r="I4193" i="10"/>
  <c r="J3462" i="10"/>
  <c r="F3463" i="10" s="1"/>
  <c r="J2503" i="10"/>
  <c r="F2504" i="10" s="1"/>
  <c r="H2503" i="10"/>
  <c r="I2503" i="10" s="1"/>
  <c r="J4454" i="10"/>
  <c r="F4455" i="10" s="1"/>
  <c r="H4454" i="10"/>
  <c r="I4454" i="10" s="1"/>
  <c r="H5315" i="10"/>
  <c r="I5315" i="10" s="1"/>
  <c r="J5315" i="10" s="1"/>
  <c r="F5316" i="10" s="1"/>
  <c r="Q85" i="6"/>
  <c r="AK85" i="6" s="1"/>
  <c r="I85" i="3"/>
  <c r="T85" i="3" s="1"/>
  <c r="AQ88" i="9"/>
  <c r="J576" i="10"/>
  <c r="F577" i="10" s="1"/>
  <c r="E3982" i="10"/>
  <c r="D3983" i="10"/>
  <c r="H4253" i="10"/>
  <c r="I4253" i="10" s="1"/>
  <c r="J4253" i="10" s="1"/>
  <c r="F4254" i="10" s="1"/>
  <c r="H1409" i="10"/>
  <c r="I1409" i="10" s="1"/>
  <c r="J1409" i="10"/>
  <c r="F1410" i="10" s="1"/>
  <c r="E3727" i="10"/>
  <c r="D3728" i="10"/>
  <c r="H2631" i="10"/>
  <c r="I2631" i="10" s="1"/>
  <c r="J2631" i="10"/>
  <c r="F2632" i="10" s="1"/>
  <c r="J721" i="10"/>
  <c r="F722" i="10" s="1"/>
  <c r="H721" i="10"/>
  <c r="J2885" i="10"/>
  <c r="F2886" i="10" s="1"/>
  <c r="R85" i="6"/>
  <c r="U88" i="9"/>
  <c r="T88" i="9"/>
  <c r="S85" i="6" s="1"/>
  <c r="J29" i="10"/>
  <c r="F30" i="10" s="1"/>
  <c r="H29" i="10"/>
  <c r="I29" i="10" s="1"/>
  <c r="H4382" i="10" l="1"/>
  <c r="I4382" i="10" s="1"/>
  <c r="J4382" i="10"/>
  <c r="F4383" i="10" s="1"/>
  <c r="H2412" i="10"/>
  <c r="H5081" i="10"/>
  <c r="I5081" i="10" s="1"/>
  <c r="J5081" i="10"/>
  <c r="F5082" i="10" s="1"/>
  <c r="H2962" i="10"/>
  <c r="H2223" i="10"/>
  <c r="I2223" i="10" s="1"/>
  <c r="J2223" i="10"/>
  <c r="F2224" i="10" s="1"/>
  <c r="H5583" i="10"/>
  <c r="I5583" i="10" s="1"/>
  <c r="J5583" i="10" s="1"/>
  <c r="F5584" i="10" s="1"/>
  <c r="H230" i="10"/>
  <c r="I230" i="10" s="1"/>
  <c r="J230" i="10" s="1"/>
  <c r="F231" i="10" s="1"/>
  <c r="H1574" i="10"/>
  <c r="I1574" i="10" s="1"/>
  <c r="J1574" i="10" s="1"/>
  <c r="F1575" i="10" s="1"/>
  <c r="H5027" i="10"/>
  <c r="I5027" i="10" s="1"/>
  <c r="J5027" i="10"/>
  <c r="F5028" i="10" s="1"/>
  <c r="H388" i="10"/>
  <c r="G388" i="10"/>
  <c r="G389" i="10"/>
  <c r="G390" i="10"/>
  <c r="G391" i="10"/>
  <c r="H1941" i="10"/>
  <c r="I1941" i="10" s="1"/>
  <c r="J1941" i="10" s="1"/>
  <c r="F1942" i="10" s="1"/>
  <c r="G66" i="10"/>
  <c r="G67" i="10"/>
  <c r="H66" i="10"/>
  <c r="H5509" i="10"/>
  <c r="I5509" i="10" s="1"/>
  <c r="J5509" i="10" s="1"/>
  <c r="F5510" i="10" s="1"/>
  <c r="H1779" i="10"/>
  <c r="I1779" i="10" s="1"/>
  <c r="J1779" i="10" s="1"/>
  <c r="F1780" i="10" s="1"/>
  <c r="H4757" i="10"/>
  <c r="I4757" i="10" s="1"/>
  <c r="J4757" i="10" s="1"/>
  <c r="F4758" i="10" s="1"/>
  <c r="H1614" i="10"/>
  <c r="I1614" i="10" s="1"/>
  <c r="J1614" i="10" s="1"/>
  <c r="F1615" i="10" s="1"/>
  <c r="G782" i="10"/>
  <c r="G781" i="10"/>
  <c r="H781" i="10"/>
  <c r="H4615" i="10"/>
  <c r="I4615" i="10" s="1"/>
  <c r="J4615" i="10" s="1"/>
  <c r="F4616" i="10" s="1"/>
  <c r="H3099" i="10"/>
  <c r="I3099" i="10" s="1"/>
  <c r="J3099" i="10"/>
  <c r="F3100" i="10" s="1"/>
  <c r="H2069" i="10"/>
  <c r="I2069" i="10" s="1"/>
  <c r="J2069" i="10" s="1"/>
  <c r="F2070" i="10" s="1"/>
  <c r="H4793" i="10"/>
  <c r="I4793" i="10" s="1"/>
  <c r="J4793" i="10" s="1"/>
  <c r="F4794" i="10" s="1"/>
  <c r="H2673" i="10"/>
  <c r="I2673" i="10" s="1"/>
  <c r="J2673" i="10" s="1"/>
  <c r="F2674" i="10" s="1"/>
  <c r="H1321" i="10"/>
  <c r="I1321" i="10" s="1"/>
  <c r="J1321" i="10" s="1"/>
  <c r="F1322" i="10" s="1"/>
  <c r="H1986" i="10"/>
  <c r="I1986" i="10" s="1"/>
  <c r="J1986" i="10"/>
  <c r="F1987" i="10" s="1"/>
  <c r="H1535" i="10"/>
  <c r="I1535" i="10" s="1"/>
  <c r="J1535" i="10" s="1"/>
  <c r="F1536" i="10" s="1"/>
  <c r="H1895" i="10"/>
  <c r="I1895" i="10" s="1"/>
  <c r="J1895" i="10" s="1"/>
  <c r="F1896" i="10" s="1"/>
  <c r="H643" i="10"/>
  <c r="I643" i="10" s="1"/>
  <c r="J643" i="10" s="1"/>
  <c r="F644" i="10" s="1"/>
  <c r="H1815" i="10"/>
  <c r="G1815" i="10"/>
  <c r="H3825" i="10"/>
  <c r="J3394" i="10"/>
  <c r="F3395" i="10" s="1"/>
  <c r="H3394" i="10"/>
  <c r="I3394" i="10" s="1"/>
  <c r="H4083" i="10"/>
  <c r="I4083" i="10" s="1"/>
  <c r="J4083" i="10" s="1"/>
  <c r="F4084" i="10" s="1"/>
  <c r="J2549" i="10"/>
  <c r="F2550" i="10" s="1"/>
  <c r="H2549" i="10"/>
  <c r="I2549" i="10" s="1"/>
  <c r="G525" i="10"/>
  <c r="G526" i="10"/>
  <c r="H525" i="10"/>
  <c r="J4318" i="10"/>
  <c r="F4319" i="10" s="1"/>
  <c r="H4318" i="10"/>
  <c r="I4318" i="10" s="1"/>
  <c r="H2462" i="10"/>
  <c r="I2462" i="10" s="1"/>
  <c r="J2462" i="10" s="1"/>
  <c r="F2463" i="10" s="1"/>
  <c r="H2304" i="10"/>
  <c r="I2304" i="10" s="1"/>
  <c r="J2304" i="10" s="1"/>
  <c r="F2305" i="10" s="1"/>
  <c r="J2161" i="10"/>
  <c r="F2162" i="10" s="1"/>
  <c r="H2161" i="10"/>
  <c r="I2161" i="10" s="1"/>
  <c r="H3933" i="10"/>
  <c r="J4254" i="10"/>
  <c r="F4255" i="10" s="1"/>
  <c r="H4254" i="10"/>
  <c r="I4254" i="10" s="1"/>
  <c r="H5373" i="10"/>
  <c r="I5373" i="10" s="1"/>
  <c r="J5373" i="10" s="1"/>
  <c r="F5374" i="10" s="1"/>
  <c r="J3291" i="10"/>
  <c r="F3292" i="10" s="1"/>
  <c r="H3291" i="10"/>
  <c r="I3291" i="10" s="1"/>
  <c r="J5316" i="10"/>
  <c r="F5317" i="10" s="1"/>
  <c r="H5316" i="10"/>
  <c r="I5316" i="10" s="1"/>
  <c r="J4988" i="10"/>
  <c r="F4989" i="10" s="1"/>
  <c r="H4988" i="10"/>
  <c r="I4988" i="10" s="1"/>
  <c r="H2119" i="10"/>
  <c r="I2119" i="10" s="1"/>
  <c r="J2119" i="10" s="1"/>
  <c r="F2120" i="10" s="1"/>
  <c r="H1190" i="10"/>
  <c r="I1190" i="10" s="1"/>
  <c r="J1190" i="10" s="1"/>
  <c r="F1191" i="10" s="1"/>
  <c r="H3866" i="10"/>
  <c r="I3866" i="10" s="1"/>
  <c r="J3866" i="10" s="1"/>
  <c r="F3867" i="10" s="1"/>
  <c r="J4528" i="10"/>
  <c r="F4529" i="10" s="1"/>
  <c r="H4528" i="10"/>
  <c r="I4528" i="10" s="1"/>
  <c r="H5121" i="10"/>
  <c r="I5121" i="10" s="1"/>
  <c r="J5121" i="10" s="1"/>
  <c r="F5122" i="10" s="1"/>
  <c r="H3329" i="10"/>
  <c r="G3329" i="10"/>
  <c r="I3329" i="10" s="1"/>
  <c r="J3329" i="10" s="1"/>
  <c r="F3330" i="10" s="1"/>
  <c r="G2886" i="10"/>
  <c r="H2886" i="10"/>
  <c r="G2887" i="10"/>
  <c r="H2033" i="10"/>
  <c r="I2033" i="10" s="1"/>
  <c r="J2033" i="10" s="1"/>
  <c r="F2034" i="10" s="1"/>
  <c r="J3463" i="10"/>
  <c r="F3464" i="10" s="1"/>
  <c r="H3463" i="10"/>
  <c r="I3463" i="10" s="1"/>
  <c r="I2412" i="10"/>
  <c r="J2412" i="10" s="1"/>
  <c r="F2413" i="10" s="1"/>
  <c r="Q78" i="6"/>
  <c r="AK78" i="6" s="1"/>
  <c r="I78" i="3"/>
  <c r="T78" i="3" s="1"/>
  <c r="AQ81" i="9"/>
  <c r="D3832" i="10"/>
  <c r="C3833" i="10"/>
  <c r="C3834" i="10" s="1"/>
  <c r="L1029" i="10"/>
  <c r="L1030" i="10" s="1"/>
  <c r="L1031" i="10" s="1"/>
  <c r="L1032" i="10" s="1"/>
  <c r="L1033" i="10" s="1"/>
  <c r="L1034" i="10" s="1"/>
  <c r="L1035" i="10" s="1"/>
  <c r="L1036" i="10" s="1"/>
  <c r="L1037" i="10" s="1"/>
  <c r="L1038" i="10" s="1"/>
  <c r="L1039" i="10" s="1"/>
  <c r="I1029" i="10"/>
  <c r="J1029" i="10" s="1"/>
  <c r="F1030" i="10" s="1"/>
  <c r="H1410" i="10"/>
  <c r="I1410" i="10" s="1"/>
  <c r="J1410" i="10"/>
  <c r="F1411" i="10" s="1"/>
  <c r="H4564" i="10"/>
  <c r="I4564" i="10" s="1"/>
  <c r="J4564" i="10" s="1"/>
  <c r="F4565" i="10" s="1"/>
  <c r="H1694" i="10"/>
  <c r="I1694" i="10" s="1"/>
  <c r="J1694" i="10" s="1"/>
  <c r="F1695" i="10" s="1"/>
  <c r="J722" i="10"/>
  <c r="F723" i="10" s="1"/>
  <c r="H722" i="10"/>
  <c r="H3183" i="10"/>
  <c r="I3183" i="10" s="1"/>
  <c r="J3183" i="10"/>
  <c r="F3184" i="10" s="1"/>
  <c r="H3500" i="10"/>
  <c r="I3500" i="10" s="1"/>
  <c r="J3500" i="10" s="1"/>
  <c r="F3501" i="10" s="1"/>
  <c r="H3567" i="10"/>
  <c r="I3567" i="10" s="1"/>
  <c r="J3567" i="10" s="1"/>
  <c r="F3568" i="10" s="1"/>
  <c r="H861" i="10"/>
  <c r="I861" i="10" s="1"/>
  <c r="J861" i="10" s="1"/>
  <c r="F862" i="10" s="1"/>
  <c r="E3659" i="10"/>
  <c r="D3660" i="10"/>
  <c r="H1265" i="10"/>
  <c r="I1265" i="10" s="1"/>
  <c r="J1265" i="10" s="1"/>
  <c r="F1266" i="10" s="1"/>
  <c r="J902" i="10"/>
  <c r="F903" i="10" s="1"/>
  <c r="H902" i="10"/>
  <c r="I902" i="10" s="1"/>
  <c r="J939" i="10"/>
  <c r="F940" i="10" s="1"/>
  <c r="H939" i="10"/>
  <c r="I939" i="10" s="1"/>
  <c r="H1072" i="10"/>
  <c r="I1072" i="10" s="1"/>
  <c r="J1072" i="10" s="1"/>
  <c r="F1073" i="10" s="1"/>
  <c r="G430" i="10"/>
  <c r="G431" i="10"/>
  <c r="G432" i="10"/>
  <c r="H429" i="10"/>
  <c r="G429" i="10"/>
  <c r="X96" i="9"/>
  <c r="T93" i="6"/>
  <c r="G2765" i="10"/>
  <c r="H2765" i="10"/>
  <c r="H3783" i="10"/>
  <c r="I3783" i="10" s="1"/>
  <c r="J3783" i="10" s="1"/>
  <c r="F3784" i="10" s="1"/>
  <c r="J4193" i="10"/>
  <c r="F4194" i="10" s="1"/>
  <c r="J3974" i="10"/>
  <c r="F3975" i="10" s="1"/>
  <c r="D3874" i="10"/>
  <c r="C3875" i="10"/>
  <c r="C3876" i="10" s="1"/>
  <c r="C3877" i="10" s="1"/>
  <c r="C3878" i="10" s="1"/>
  <c r="C3879" i="10" s="1"/>
  <c r="C3880" i="10" s="1"/>
  <c r="C3881" i="10" s="1"/>
  <c r="C3882" i="10" s="1"/>
  <c r="C3883" i="10" s="1"/>
  <c r="C3884" i="10" s="1"/>
  <c r="C3885" i="10" s="1"/>
  <c r="C3886" i="10" s="1"/>
  <c r="C3887" i="10" s="1"/>
  <c r="C3888" i="10" s="1"/>
  <c r="C3889" i="10" s="1"/>
  <c r="C3890" i="10" s="1"/>
  <c r="C3891" i="10" s="1"/>
  <c r="C3892" i="10" s="1"/>
  <c r="C3893" i="10" s="1"/>
  <c r="C3894" i="10" s="1"/>
  <c r="C3895" i="10" s="1"/>
  <c r="C3896" i="10" s="1"/>
  <c r="C3897" i="10" s="1"/>
  <c r="C3898" i="10" s="1"/>
  <c r="C3899" i="10" s="1"/>
  <c r="C3900" i="10" s="1"/>
  <c r="I2342" i="10"/>
  <c r="J2342" i="10" s="1"/>
  <c r="F2343" i="10" s="1"/>
  <c r="I2841" i="10"/>
  <c r="J2841" i="10" s="1"/>
  <c r="F2842" i="10" s="1"/>
  <c r="P58" i="9"/>
  <c r="H1113" i="10"/>
  <c r="I1113" i="10" s="1"/>
  <c r="J1113" i="10" s="1"/>
  <c r="F1114" i="10" s="1"/>
  <c r="H5235" i="10"/>
  <c r="I5235" i="10" s="1"/>
  <c r="J5235" i="10" s="1"/>
  <c r="F5236" i="10" s="1"/>
  <c r="H577" i="10"/>
  <c r="I577" i="10" s="1"/>
  <c r="H2587" i="10"/>
  <c r="I2587" i="10" s="1"/>
  <c r="J2587" i="10"/>
  <c r="F2588" i="10" s="1"/>
  <c r="H980" i="10"/>
  <c r="I980" i="10" s="1"/>
  <c r="J980" i="10" s="1"/>
  <c r="F981" i="10" s="1"/>
  <c r="J2721" i="10"/>
  <c r="F2722" i="10" s="1"/>
  <c r="H2721" i="10"/>
  <c r="I2721" i="10" s="1"/>
  <c r="H3609" i="10"/>
  <c r="I3609" i="10" s="1"/>
  <c r="J3609" i="10" s="1"/>
  <c r="F3610" i="10" s="1"/>
  <c r="H1654" i="10"/>
  <c r="I1654" i="10" s="1"/>
  <c r="J1654" i="10"/>
  <c r="F1655" i="10" s="1"/>
  <c r="I5149" i="10"/>
  <c r="L5149" i="10"/>
  <c r="W101" i="9"/>
  <c r="J4861" i="10"/>
  <c r="F4862" i="10" s="1"/>
  <c r="H4861" i="10"/>
  <c r="I4861" i="10" s="1"/>
  <c r="H1156" i="10"/>
  <c r="I1156" i="10" s="1"/>
  <c r="J1156" i="10" s="1"/>
  <c r="F1157" i="10" s="1"/>
  <c r="D3984" i="10"/>
  <c r="E3983" i="10"/>
  <c r="J3007" i="10"/>
  <c r="F3008" i="10" s="1"/>
  <c r="H3007" i="10"/>
  <c r="I3007" i="10" s="1"/>
  <c r="L1814" i="10"/>
  <c r="L1815" i="10" s="1"/>
  <c r="H2263" i="10"/>
  <c r="I2263" i="10" s="1"/>
  <c r="J2263" i="10"/>
  <c r="F2264" i="10" s="1"/>
  <c r="I3140" i="10"/>
  <c r="J3140" i="10" s="1"/>
  <c r="F3141" i="10" s="1"/>
  <c r="L3140" i="10"/>
  <c r="H1465" i="10"/>
  <c r="I1465" i="10" s="1"/>
  <c r="J1465" i="10"/>
  <c r="F1466" i="10" s="1"/>
  <c r="H30" i="10"/>
  <c r="G30" i="10"/>
  <c r="Y88" i="9"/>
  <c r="X88" i="9"/>
  <c r="T85" i="6"/>
  <c r="H2504" i="10"/>
  <c r="I2504" i="10" s="1"/>
  <c r="H5441" i="10"/>
  <c r="I5441" i="10" s="1"/>
  <c r="J5441" i="10" s="1"/>
  <c r="F5442" i="10" s="1"/>
  <c r="S25" i="9"/>
  <c r="J1207" i="10"/>
  <c r="F1208" i="10" s="1"/>
  <c r="H4137" i="10"/>
  <c r="I4137" i="10" s="1"/>
  <c r="J4137" i="10" s="1"/>
  <c r="F4138" i="10" s="1"/>
  <c r="S92" i="9"/>
  <c r="J4686" i="10"/>
  <c r="F4687" i="10" s="1"/>
  <c r="J4918" i="10"/>
  <c r="F4919" i="10" s="1"/>
  <c r="H4918" i="10"/>
  <c r="I4918" i="10" s="1"/>
  <c r="R80" i="9"/>
  <c r="O77" i="6"/>
  <c r="T73" i="9"/>
  <c r="S70" i="6" s="1"/>
  <c r="P73" i="9"/>
  <c r="I3652" i="10"/>
  <c r="H1730" i="10"/>
  <c r="I1730" i="10" s="1"/>
  <c r="J1730" i="10"/>
  <c r="F1731" i="10" s="1"/>
  <c r="H2632" i="10"/>
  <c r="I2632" i="10" s="1"/>
  <c r="J2632" i="10" s="1"/>
  <c r="F2633" i="10" s="1"/>
  <c r="H4455" i="10"/>
  <c r="I4455" i="10" s="1"/>
  <c r="J4455" i="10"/>
  <c r="F4456" i="10" s="1"/>
  <c r="D3729" i="10"/>
  <c r="E3728" i="10"/>
  <c r="R101" i="9"/>
  <c r="O98" i="6"/>
  <c r="J3714" i="10"/>
  <c r="F3715" i="10" s="1"/>
  <c r="O89" i="6"/>
  <c r="R92" i="9"/>
  <c r="E3940" i="10"/>
  <c r="D3941" i="10"/>
  <c r="H4017" i="10"/>
  <c r="I4017" i="10" s="1"/>
  <c r="J4017" i="10" s="1"/>
  <c r="F4018" i="10" s="1"/>
  <c r="I306" i="10"/>
  <c r="J306" i="10" s="1"/>
  <c r="F307" i="10" s="1"/>
  <c r="H2305" i="10" l="1"/>
  <c r="I2305" i="10" s="1"/>
  <c r="J2305" i="10"/>
  <c r="F2306" i="10" s="1"/>
  <c r="G3788" i="10"/>
  <c r="G3791" i="10"/>
  <c r="G3786" i="10"/>
  <c r="G3792" i="10"/>
  <c r="H3784" i="10"/>
  <c r="P75" i="9" s="1"/>
  <c r="G3790" i="10"/>
  <c r="G3784" i="10"/>
  <c r="G3787" i="10"/>
  <c r="G3789" i="10"/>
  <c r="G3785" i="10"/>
  <c r="G3793" i="10"/>
  <c r="H3867" i="10"/>
  <c r="H2463" i="10"/>
  <c r="I2463" i="10" s="1"/>
  <c r="J2463" i="10" s="1"/>
  <c r="F2464" i="10" s="1"/>
  <c r="H4084" i="10"/>
  <c r="I4084" i="10" s="1"/>
  <c r="J4084" i="10"/>
  <c r="F4085" i="10" s="1"/>
  <c r="H1536" i="10"/>
  <c r="I1536" i="10" s="1"/>
  <c r="J1536" i="10" s="1"/>
  <c r="F1537" i="10" s="1"/>
  <c r="H5510" i="10"/>
  <c r="I5510" i="10" s="1"/>
  <c r="J5510" i="10" s="1"/>
  <c r="F5511" i="10" s="1"/>
  <c r="H2034" i="10"/>
  <c r="I2034" i="10" s="1"/>
  <c r="J2034" i="10" s="1"/>
  <c r="F2035" i="10" s="1"/>
  <c r="H1191" i="10"/>
  <c r="H5374" i="10"/>
  <c r="I5374" i="10" s="1"/>
  <c r="J5374" i="10" s="1"/>
  <c r="F5375" i="10" s="1"/>
  <c r="H4616" i="10"/>
  <c r="I4616" i="10" s="1"/>
  <c r="J4616" i="10"/>
  <c r="F4617" i="10" s="1"/>
  <c r="H1780" i="10"/>
  <c r="I1780" i="10" s="1"/>
  <c r="J1780" i="10"/>
  <c r="F1781" i="10" s="1"/>
  <c r="H1114" i="10"/>
  <c r="I1114" i="10" s="1"/>
  <c r="J1114" i="10" s="1"/>
  <c r="F1115" i="10" s="1"/>
  <c r="H1073" i="10"/>
  <c r="I1073" i="10" s="1"/>
  <c r="J1073" i="10" s="1"/>
  <c r="F1074" i="10" s="1"/>
  <c r="H862" i="10"/>
  <c r="I862" i="10" s="1"/>
  <c r="J862" i="10" s="1"/>
  <c r="F863" i="10" s="1"/>
  <c r="H4565" i="10"/>
  <c r="I4565" i="10" s="1"/>
  <c r="J4565" i="10"/>
  <c r="F4566" i="10" s="1"/>
  <c r="H2120" i="10"/>
  <c r="I2120" i="10" s="1"/>
  <c r="J2120" i="10"/>
  <c r="F2121" i="10" s="1"/>
  <c r="H5236" i="10"/>
  <c r="I5236" i="10" s="1"/>
  <c r="J5236" i="10" s="1"/>
  <c r="F5237" i="10" s="1"/>
  <c r="H4138" i="10"/>
  <c r="I4138" i="10" s="1"/>
  <c r="J4138" i="10" s="1"/>
  <c r="F4139" i="10" s="1"/>
  <c r="H3330" i="10"/>
  <c r="G3330" i="10"/>
  <c r="I3330" i="10" s="1"/>
  <c r="J3330" i="10" s="1"/>
  <c r="F3331" i="10" s="1"/>
  <c r="J1322" i="10"/>
  <c r="F1323" i="10" s="1"/>
  <c r="H1322" i="10"/>
  <c r="I1322" i="10" s="1"/>
  <c r="H1266" i="10"/>
  <c r="I1266" i="10" s="1"/>
  <c r="J1266" i="10" s="1"/>
  <c r="F1267" i="10" s="1"/>
  <c r="J1695" i="10"/>
  <c r="F1696" i="10" s="1"/>
  <c r="H1695" i="10"/>
  <c r="I1695" i="10" s="1"/>
  <c r="H4018" i="10"/>
  <c r="I4018" i="10" s="1"/>
  <c r="J4018" i="10" s="1"/>
  <c r="F4019" i="10" s="1"/>
  <c r="H3568" i="10"/>
  <c r="J3501" i="10"/>
  <c r="F3502" i="10" s="1"/>
  <c r="H3501" i="10"/>
  <c r="I3501" i="10" s="1"/>
  <c r="G2431" i="10"/>
  <c r="G2426" i="10"/>
  <c r="G2413" i="10"/>
  <c r="G2427" i="10"/>
  <c r="G2428" i="10"/>
  <c r="H2413" i="10"/>
  <c r="G2422" i="10"/>
  <c r="G2423" i="10"/>
  <c r="G2424" i="10"/>
  <c r="G2418" i="10"/>
  <c r="G2419" i="10"/>
  <c r="G2420" i="10"/>
  <c r="G2414" i="10"/>
  <c r="G2415" i="10"/>
  <c r="G2416" i="10"/>
  <c r="G2429" i="10"/>
  <c r="G2425" i="10"/>
  <c r="G2421" i="10"/>
  <c r="G2430" i="10"/>
  <c r="G2417" i="10"/>
  <c r="H2674" i="10"/>
  <c r="I2674" i="10" s="1"/>
  <c r="J2674" i="10"/>
  <c r="F2675" i="10" s="1"/>
  <c r="H1942" i="10"/>
  <c r="I1942" i="10" s="1"/>
  <c r="J1942" i="10" s="1"/>
  <c r="F1943" i="10" s="1"/>
  <c r="H1575" i="10"/>
  <c r="I1575" i="10" s="1"/>
  <c r="J1575" i="10" s="1"/>
  <c r="F1576" i="10" s="1"/>
  <c r="H1896" i="10"/>
  <c r="I1896" i="10" s="1"/>
  <c r="J1896" i="10"/>
  <c r="F1897" i="10" s="1"/>
  <c r="H3610" i="10"/>
  <c r="H5122" i="10"/>
  <c r="I5122" i="10" s="1"/>
  <c r="J5122" i="10" s="1"/>
  <c r="F5123" i="10" s="1"/>
  <c r="H4794" i="10"/>
  <c r="I4794" i="10" s="1"/>
  <c r="J4794" i="10"/>
  <c r="F4795" i="10" s="1"/>
  <c r="H1615" i="10"/>
  <c r="I1615" i="10" s="1"/>
  <c r="J1615" i="10" s="1"/>
  <c r="F1616" i="10" s="1"/>
  <c r="H231" i="10"/>
  <c r="I231" i="10" s="1"/>
  <c r="J231" i="10"/>
  <c r="F232" i="10" s="1"/>
  <c r="H2633" i="10"/>
  <c r="I2633" i="10" s="1"/>
  <c r="J2633" i="10" s="1"/>
  <c r="F2634" i="10" s="1"/>
  <c r="H1157" i="10"/>
  <c r="I1157" i="10" s="1"/>
  <c r="J1157" i="10" s="1"/>
  <c r="F1158" i="10" s="1"/>
  <c r="H981" i="10"/>
  <c r="I981" i="10" s="1"/>
  <c r="J981" i="10"/>
  <c r="F982" i="10" s="1"/>
  <c r="H5442" i="10"/>
  <c r="I5442" i="10" s="1"/>
  <c r="J5442" i="10" s="1"/>
  <c r="F5443" i="10" s="1"/>
  <c r="G644" i="10"/>
  <c r="G645" i="10"/>
  <c r="H644" i="10"/>
  <c r="J2070" i="10"/>
  <c r="F2071" i="10" s="1"/>
  <c r="H2070" i="10"/>
  <c r="L2070" i="10" s="1"/>
  <c r="H4758" i="10"/>
  <c r="I4758" i="10" s="1"/>
  <c r="J4758" i="10" s="1"/>
  <c r="F4759" i="10" s="1"/>
  <c r="H5584" i="10"/>
  <c r="I5584" i="10" s="1"/>
  <c r="J5584" i="10" s="1"/>
  <c r="F5585" i="10" s="1"/>
  <c r="H3715" i="10"/>
  <c r="I3715" i="10" s="1"/>
  <c r="J3715" i="10"/>
  <c r="F3716" i="10" s="1"/>
  <c r="H4529" i="10"/>
  <c r="I4529" i="10" s="1"/>
  <c r="J4529" i="10" s="1"/>
  <c r="F4530" i="10" s="1"/>
  <c r="G3141" i="10"/>
  <c r="I3141" i="10" s="1"/>
  <c r="J3141" i="10" s="1"/>
  <c r="F3142" i="10" s="1"/>
  <c r="H3141" i="10"/>
  <c r="S101" i="9"/>
  <c r="J5149" i="10"/>
  <c r="F5150" i="10" s="1"/>
  <c r="I2765" i="10"/>
  <c r="J2765" i="10" s="1"/>
  <c r="L2765" i="10"/>
  <c r="J723" i="10"/>
  <c r="F724" i="10" s="1"/>
  <c r="H723" i="10"/>
  <c r="J1030" i="10"/>
  <c r="F1031" i="10" s="1"/>
  <c r="H1030" i="10"/>
  <c r="I1030" i="10" s="1"/>
  <c r="H2722" i="10"/>
  <c r="I2722" i="10" s="1"/>
  <c r="J2722" i="10" s="1"/>
  <c r="F2723" i="10" s="1"/>
  <c r="H1987" i="10"/>
  <c r="I1987" i="10" s="1"/>
  <c r="J1987" i="10"/>
  <c r="F1988" i="10" s="1"/>
  <c r="E3874" i="10"/>
  <c r="D3875" i="10"/>
  <c r="H903" i="10"/>
  <c r="I903" i="10" s="1"/>
  <c r="J903" i="10" s="1"/>
  <c r="F904" i="10" s="1"/>
  <c r="H3464" i="10"/>
  <c r="J5317" i="10"/>
  <c r="F5318" i="10" s="1"/>
  <c r="H5317" i="10"/>
  <c r="I5317" i="10" s="1"/>
  <c r="P77" i="9"/>
  <c r="I3933" i="10"/>
  <c r="J3933" i="10" s="1"/>
  <c r="F3934" i="10" s="1"/>
  <c r="H4319" i="10"/>
  <c r="I4319" i="10" s="1"/>
  <c r="J4319" i="10" s="1"/>
  <c r="F4320" i="10" s="1"/>
  <c r="H3100" i="10"/>
  <c r="I3100" i="10" s="1"/>
  <c r="J3100" i="10" s="1"/>
  <c r="F3101" i="10" s="1"/>
  <c r="J5082" i="10"/>
  <c r="F5083" i="10" s="1"/>
  <c r="H5082" i="10"/>
  <c r="I5082" i="10" s="1"/>
  <c r="H307" i="10"/>
  <c r="I307" i="10" s="1"/>
  <c r="J307" i="10" s="1"/>
  <c r="F308" i="10" s="1"/>
  <c r="E3984" i="10"/>
  <c r="E3986" i="10" s="1"/>
  <c r="H78" i="9"/>
  <c r="G75" i="6" s="1"/>
  <c r="J4255" i="10"/>
  <c r="F4256" i="10" s="1"/>
  <c r="H4255" i="10"/>
  <c r="I4255" i="10" s="1"/>
  <c r="J1208" i="10"/>
  <c r="F1209" i="10" s="1"/>
  <c r="H1208" i="10"/>
  <c r="I1208" i="10" s="1"/>
  <c r="I98" i="3"/>
  <c r="T98" i="3" s="1"/>
  <c r="Q98" i="6"/>
  <c r="AK98" i="6" s="1"/>
  <c r="AQ101" i="9"/>
  <c r="U25" i="9"/>
  <c r="R22" i="6"/>
  <c r="T25" i="9"/>
  <c r="S22" i="6" s="1"/>
  <c r="I30" i="10"/>
  <c r="J30" i="10" s="1"/>
  <c r="F31" i="10" s="1"/>
  <c r="L30" i="10"/>
  <c r="H3975" i="10"/>
  <c r="J4919" i="10"/>
  <c r="F4920" i="10" s="1"/>
  <c r="H4919" i="10"/>
  <c r="I4919" i="10" s="1"/>
  <c r="H2588" i="10"/>
  <c r="I2588" i="10" s="1"/>
  <c r="J2588" i="10"/>
  <c r="F2589" i="10" s="1"/>
  <c r="H4194" i="10"/>
  <c r="D3833" i="10"/>
  <c r="E3832" i="10"/>
  <c r="H3292" i="10"/>
  <c r="I3292" i="10" s="1"/>
  <c r="J3292" i="10" s="1"/>
  <c r="F3293" i="10" s="1"/>
  <c r="J2162" i="10"/>
  <c r="F2163" i="10" s="1"/>
  <c r="H2162" i="10"/>
  <c r="I2162" i="10" s="1"/>
  <c r="H3395" i="10"/>
  <c r="I3395" i="10" s="1"/>
  <c r="J3395" i="10" s="1"/>
  <c r="F3396" i="10" s="1"/>
  <c r="I66" i="10"/>
  <c r="J66" i="10" s="1"/>
  <c r="F67" i="10" s="1"/>
  <c r="L66" i="10"/>
  <c r="L67" i="10" s="1"/>
  <c r="I388" i="10"/>
  <c r="J388" i="10" s="1"/>
  <c r="F389" i="10" s="1"/>
  <c r="L388" i="10"/>
  <c r="L389" i="10" s="1"/>
  <c r="L390" i="10" s="1"/>
  <c r="L391" i="10" s="1"/>
  <c r="L3141" i="10"/>
  <c r="J940" i="10"/>
  <c r="F941" i="10" s="1"/>
  <c r="H940" i="10"/>
  <c r="I940" i="10" s="1"/>
  <c r="J4989" i="10"/>
  <c r="F4990" i="10" s="1"/>
  <c r="H4989" i="10"/>
  <c r="I4989" i="10" s="1"/>
  <c r="P60" i="9"/>
  <c r="I2962" i="10"/>
  <c r="Q77" i="6"/>
  <c r="AK77" i="6" s="1"/>
  <c r="I77" i="3"/>
  <c r="T77" i="3" s="1"/>
  <c r="AQ80" i="9"/>
  <c r="H2264" i="10"/>
  <c r="I2264" i="10" s="1"/>
  <c r="J2264" i="10" s="1"/>
  <c r="F2265" i="10" s="1"/>
  <c r="D3942" i="10"/>
  <c r="E3941" i="10"/>
  <c r="D3730" i="10"/>
  <c r="E3729" i="10"/>
  <c r="S73" i="9"/>
  <c r="J3652" i="10"/>
  <c r="F3653" i="10" s="1"/>
  <c r="H4687" i="10"/>
  <c r="I4687" i="10" s="1"/>
  <c r="J4687" i="10"/>
  <c r="F4688" i="10" s="1"/>
  <c r="D3661" i="10"/>
  <c r="E3660" i="10"/>
  <c r="I525" i="10"/>
  <c r="J525" i="10" s="1"/>
  <c r="F526" i="10" s="1"/>
  <c r="L525" i="10"/>
  <c r="P79" i="9"/>
  <c r="I3825" i="10"/>
  <c r="H2550" i="10"/>
  <c r="I2550" i="10" s="1"/>
  <c r="J2550" i="10" s="1"/>
  <c r="F2551" i="10" s="1"/>
  <c r="H1655" i="10"/>
  <c r="I1655" i="10" s="1"/>
  <c r="J1655" i="10" s="1"/>
  <c r="F1656" i="10" s="1"/>
  <c r="Q89" i="6"/>
  <c r="AK89" i="6" s="1"/>
  <c r="I89" i="3"/>
  <c r="T89" i="3" s="1"/>
  <c r="AQ92" i="9"/>
  <c r="H4456" i="10"/>
  <c r="I4456" i="10" s="1"/>
  <c r="J4456" i="10" s="1"/>
  <c r="F4457" i="10" s="1"/>
  <c r="O70" i="6"/>
  <c r="R73" i="9"/>
  <c r="R89" i="6"/>
  <c r="T92" i="9"/>
  <c r="S89" i="6" s="1"/>
  <c r="H1466" i="10"/>
  <c r="I1466" i="10" s="1"/>
  <c r="J1466" i="10" s="1"/>
  <c r="F1467" i="10" s="1"/>
  <c r="H3008" i="10"/>
  <c r="I3008" i="10" s="1"/>
  <c r="J3008" i="10" s="1"/>
  <c r="F3009" i="10" s="1"/>
  <c r="H4862" i="10"/>
  <c r="I4862" i="10" s="1"/>
  <c r="J4862" i="10" s="1"/>
  <c r="F4863" i="10" s="1"/>
  <c r="O55" i="6"/>
  <c r="R58" i="9"/>
  <c r="H3184" i="10"/>
  <c r="I3184" i="10" s="1"/>
  <c r="J3184" i="10" s="1"/>
  <c r="F3185" i="10" s="1"/>
  <c r="H1411" i="10"/>
  <c r="I1411" i="10" s="1"/>
  <c r="J1411" i="10" s="1"/>
  <c r="F1412" i="10" s="1"/>
  <c r="H5028" i="10"/>
  <c r="I5028" i="10" s="1"/>
  <c r="J5028" i="10" s="1"/>
  <c r="F5029" i="10" s="1"/>
  <c r="H2224" i="10"/>
  <c r="I2224" i="10" s="1"/>
  <c r="J2224" i="10"/>
  <c r="F2225" i="10" s="1"/>
  <c r="H4383" i="10"/>
  <c r="I4383" i="10" s="1"/>
  <c r="J4383" i="10"/>
  <c r="F4384" i="10" s="1"/>
  <c r="G2343" i="10"/>
  <c r="H2343" i="10"/>
  <c r="G2344" i="10"/>
  <c r="I2886" i="10"/>
  <c r="L2886" i="10"/>
  <c r="L2887" i="10" s="1"/>
  <c r="H1731" i="10"/>
  <c r="I1731" i="10" s="1"/>
  <c r="J1731" i="10"/>
  <c r="F1732" i="10" s="1"/>
  <c r="J2504" i="10"/>
  <c r="F2505" i="10" s="1"/>
  <c r="J577" i="10"/>
  <c r="F578" i="10" s="1"/>
  <c r="H2842" i="10"/>
  <c r="I2842" i="10" s="1"/>
  <c r="J2842" i="10"/>
  <c r="F2843" i="10" s="1"/>
  <c r="I429" i="10"/>
  <c r="J429" i="10" s="1"/>
  <c r="F430" i="10" s="1"/>
  <c r="L429" i="10"/>
  <c r="L430" i="10" s="1"/>
  <c r="L431" i="10" s="1"/>
  <c r="L432" i="10" s="1"/>
  <c r="I1815" i="10"/>
  <c r="J1815" i="10" s="1"/>
  <c r="F1816" i="10" s="1"/>
  <c r="I781" i="10"/>
  <c r="J781" i="10" s="1"/>
  <c r="F782" i="10" s="1"/>
  <c r="H2634" i="10" l="1"/>
  <c r="I2634" i="10" s="1"/>
  <c r="J2634" i="10" s="1"/>
  <c r="F2635" i="10" s="1"/>
  <c r="H1267" i="10"/>
  <c r="I1267" i="10" s="1"/>
  <c r="J1267" i="10"/>
  <c r="F1268" i="10" s="1"/>
  <c r="H3185" i="10"/>
  <c r="I3185" i="10" s="1"/>
  <c r="J3185" i="10" s="1"/>
  <c r="F3186" i="10" s="1"/>
  <c r="H3293" i="10"/>
  <c r="I3293" i="10" s="1"/>
  <c r="J3293" i="10"/>
  <c r="F3294" i="10" s="1"/>
  <c r="G3142" i="10"/>
  <c r="G3145" i="10"/>
  <c r="G3146" i="10"/>
  <c r="G3149" i="10"/>
  <c r="G3147" i="10"/>
  <c r="G3144" i="10"/>
  <c r="H3142" i="10"/>
  <c r="G3148" i="10"/>
  <c r="G3143" i="10"/>
  <c r="H2464" i="10"/>
  <c r="I2464" i="10" s="1"/>
  <c r="J2464" i="10" s="1"/>
  <c r="F2465" i="10" s="1"/>
  <c r="H4530" i="10"/>
  <c r="I4530" i="10" s="1"/>
  <c r="J4530" i="10" s="1"/>
  <c r="F4531" i="10" s="1"/>
  <c r="H1576" i="10"/>
  <c r="I1576" i="10" s="1"/>
  <c r="J1576" i="10" s="1"/>
  <c r="F1577" i="10" s="1"/>
  <c r="H5375" i="10"/>
  <c r="I5375" i="10" s="1"/>
  <c r="J5375" i="10" s="1"/>
  <c r="F5376" i="10" s="1"/>
  <c r="H308" i="10"/>
  <c r="G308" i="10"/>
  <c r="J1616" i="10"/>
  <c r="F1617" i="10" s="1"/>
  <c r="H1616" i="10"/>
  <c r="I1616" i="10" s="1"/>
  <c r="J1943" i="10"/>
  <c r="F1944" i="10" s="1"/>
  <c r="H1943" i="10"/>
  <c r="I1943" i="10" s="1"/>
  <c r="G3351" i="10"/>
  <c r="G3346" i="10"/>
  <c r="G3353" i="10"/>
  <c r="G3362" i="10"/>
  <c r="G3344" i="10"/>
  <c r="G3347" i="10"/>
  <c r="G3348" i="10"/>
  <c r="G3357" i="10"/>
  <c r="G3356" i="10"/>
  <c r="G3349" i="10"/>
  <c r="G3343" i="10"/>
  <c r="G3338" i="10"/>
  <c r="G3345" i="10"/>
  <c r="G3352" i="10"/>
  <c r="G3339" i="10"/>
  <c r="G3358" i="10"/>
  <c r="G3360" i="10"/>
  <c r="G3340" i="10"/>
  <c r="G3331" i="10"/>
  <c r="I3331" i="10" s="1"/>
  <c r="J3331" i="10" s="1"/>
  <c r="F3332" i="10" s="1"/>
  <c r="G3334" i="10"/>
  <c r="G3335" i="10"/>
  <c r="G3350" i="10"/>
  <c r="G3354" i="10"/>
  <c r="G3363" i="10"/>
  <c r="H3331" i="10"/>
  <c r="G3332" i="10"/>
  <c r="G3333" i="10"/>
  <c r="G3341" i="10"/>
  <c r="G3342" i="10"/>
  <c r="G3355" i="10"/>
  <c r="G3359" i="10"/>
  <c r="G3361" i="10"/>
  <c r="G3336" i="10"/>
  <c r="G3337" i="10"/>
  <c r="H863" i="10"/>
  <c r="I863" i="10" s="1"/>
  <c r="J863" i="10" s="1"/>
  <c r="F864" i="10" s="1"/>
  <c r="H2551" i="10"/>
  <c r="I2551" i="10" s="1"/>
  <c r="J2551" i="10"/>
  <c r="F2552" i="10" s="1"/>
  <c r="H5443" i="10"/>
  <c r="I5443" i="10" s="1"/>
  <c r="J5443" i="10" s="1"/>
  <c r="F5444" i="10" s="1"/>
  <c r="H1074" i="10"/>
  <c r="I1074" i="10" s="1"/>
  <c r="J1074" i="10" s="1"/>
  <c r="F1075" i="10" s="1"/>
  <c r="H2035" i="10"/>
  <c r="I2035" i="10" s="1"/>
  <c r="J2035" i="10" s="1"/>
  <c r="F2036" i="10" s="1"/>
  <c r="H1412" i="10"/>
  <c r="I1412" i="10" s="1"/>
  <c r="J1412" i="10" s="1"/>
  <c r="F1413" i="10" s="1"/>
  <c r="H904" i="10"/>
  <c r="I904" i="10" s="1"/>
  <c r="J904" i="10" s="1"/>
  <c r="F905" i="10" s="1"/>
  <c r="H3101" i="10"/>
  <c r="I3101" i="10" s="1"/>
  <c r="J3101" i="10"/>
  <c r="F3102" i="10" s="1"/>
  <c r="H5585" i="10"/>
  <c r="I5585" i="10" s="1"/>
  <c r="J5585" i="10" s="1"/>
  <c r="F5586" i="10" s="1"/>
  <c r="H4019" i="10"/>
  <c r="I4019" i="10" s="1"/>
  <c r="J4019" i="10" s="1"/>
  <c r="F4020" i="10" s="1"/>
  <c r="H4139" i="10"/>
  <c r="I4139" i="10" s="1"/>
  <c r="J4139" i="10" s="1"/>
  <c r="F4140" i="10" s="1"/>
  <c r="H1115" i="10"/>
  <c r="I1115" i="10" s="1"/>
  <c r="J1115" i="10" s="1"/>
  <c r="F1116" i="10" s="1"/>
  <c r="H5511" i="10"/>
  <c r="I5511" i="10" s="1"/>
  <c r="J5511" i="10" s="1"/>
  <c r="F5512" i="10" s="1"/>
  <c r="H4320" i="10"/>
  <c r="I4320" i="10" s="1"/>
  <c r="J4320" i="10" s="1"/>
  <c r="F4321" i="10" s="1"/>
  <c r="H3009" i="10"/>
  <c r="I3009" i="10" s="1"/>
  <c r="J3009" i="10" s="1"/>
  <c r="F3010" i="10" s="1"/>
  <c r="H1467" i="10"/>
  <c r="I1467" i="10" s="1"/>
  <c r="J1467" i="10" s="1"/>
  <c r="F1468" i="10" s="1"/>
  <c r="H3396" i="10"/>
  <c r="I3396" i="10" s="1"/>
  <c r="J3396" i="10" s="1"/>
  <c r="F3397" i="10" s="1"/>
  <c r="H4759" i="10"/>
  <c r="I4759" i="10" s="1"/>
  <c r="J4759" i="10"/>
  <c r="F4760" i="10" s="1"/>
  <c r="H5123" i="10"/>
  <c r="I5123" i="10" s="1"/>
  <c r="J5123" i="10"/>
  <c r="F5124" i="10" s="1"/>
  <c r="H5237" i="10"/>
  <c r="I5237" i="10" s="1"/>
  <c r="J5237" i="10" s="1"/>
  <c r="F5238" i="10" s="1"/>
  <c r="H1537" i="10"/>
  <c r="I1537" i="10" s="1"/>
  <c r="J1537" i="10"/>
  <c r="F1538" i="10" s="1"/>
  <c r="H4457" i="10"/>
  <c r="I4457" i="10" s="1"/>
  <c r="J4457" i="10" s="1"/>
  <c r="F4458" i="10" s="1"/>
  <c r="H4863" i="10"/>
  <c r="I4863" i="10" s="1"/>
  <c r="J4863" i="10" s="1"/>
  <c r="F4864" i="10" s="1"/>
  <c r="H5029" i="10"/>
  <c r="I5029" i="10" s="1"/>
  <c r="J5029" i="10" s="1"/>
  <c r="F5030" i="10" s="1"/>
  <c r="H1656" i="10"/>
  <c r="I1656" i="10" s="1"/>
  <c r="J1656" i="10" s="1"/>
  <c r="F1657" i="10" s="1"/>
  <c r="H2265" i="10"/>
  <c r="I2265" i="10" s="1"/>
  <c r="J2265" i="10" s="1"/>
  <c r="F2266" i="10" s="1"/>
  <c r="H2723" i="10"/>
  <c r="I2723" i="10" s="1"/>
  <c r="J2723" i="10" s="1"/>
  <c r="F2724" i="10" s="1"/>
  <c r="H1158" i="10"/>
  <c r="I1158" i="10" s="1"/>
  <c r="J1158" i="10" s="1"/>
  <c r="F1159" i="10" s="1"/>
  <c r="J4688" i="10"/>
  <c r="F4689" i="10" s="1"/>
  <c r="H4688" i="10"/>
  <c r="I4688" i="10" s="1"/>
  <c r="J1209" i="10"/>
  <c r="F1210" i="10" s="1"/>
  <c r="H1209" i="10"/>
  <c r="I1209" i="10" s="1"/>
  <c r="U101" i="9"/>
  <c r="R98" i="6"/>
  <c r="H1696" i="10"/>
  <c r="I1696" i="10" s="1"/>
  <c r="J1696" i="10" s="1"/>
  <c r="F1697" i="10" s="1"/>
  <c r="H4617" i="10"/>
  <c r="I4617" i="10" s="1"/>
  <c r="J4617" i="10" s="1"/>
  <c r="F4618" i="10" s="1"/>
  <c r="P76" i="9"/>
  <c r="I3867" i="10"/>
  <c r="J3867" i="10" s="1"/>
  <c r="F3868" i="10" s="1"/>
  <c r="O72" i="6"/>
  <c r="R75" i="9"/>
  <c r="H430" i="10"/>
  <c r="I430" i="10" s="1"/>
  <c r="J430" i="10" s="1"/>
  <c r="F431" i="10" s="1"/>
  <c r="J2886" i="10"/>
  <c r="F2887" i="10" s="1"/>
  <c r="I55" i="3"/>
  <c r="T55" i="3" s="1"/>
  <c r="Q55" i="6"/>
  <c r="AK55" i="6" s="1"/>
  <c r="AQ58" i="9"/>
  <c r="O74" i="6"/>
  <c r="R77" i="9"/>
  <c r="S79" i="9"/>
  <c r="J3825" i="10"/>
  <c r="F3826" i="10" s="1"/>
  <c r="H3653" i="10"/>
  <c r="I3653" i="10" s="1"/>
  <c r="J3653" i="10" s="1"/>
  <c r="F3654" i="10" s="1"/>
  <c r="J941" i="10"/>
  <c r="F942" i="10" s="1"/>
  <c r="H941" i="10"/>
  <c r="I941" i="10" s="1"/>
  <c r="I4194" i="10"/>
  <c r="J4256" i="10"/>
  <c r="F4257" i="10" s="1"/>
  <c r="H4256" i="10"/>
  <c r="I4256" i="10" s="1"/>
  <c r="J5318" i="10"/>
  <c r="F5319" i="10" s="1"/>
  <c r="H5318" i="10"/>
  <c r="I5318" i="10" s="1"/>
  <c r="J1988" i="10"/>
  <c r="F1989" i="10" s="1"/>
  <c r="H1988" i="10"/>
  <c r="I1988" i="10" s="1"/>
  <c r="J1031" i="10"/>
  <c r="F1032" i="10" s="1"/>
  <c r="H1031" i="10"/>
  <c r="I1031" i="10" s="1"/>
  <c r="H232" i="10"/>
  <c r="I232" i="10" s="1"/>
  <c r="J232" i="10" s="1"/>
  <c r="F233" i="10" s="1"/>
  <c r="J2675" i="10"/>
  <c r="F2676" i="10" s="1"/>
  <c r="H2675" i="10"/>
  <c r="I2675" i="10" s="1"/>
  <c r="H3502" i="10"/>
  <c r="D3834" i="10"/>
  <c r="E3833" i="10"/>
  <c r="O76" i="6"/>
  <c r="R79" i="9"/>
  <c r="R70" i="6"/>
  <c r="U73" i="9"/>
  <c r="L3142" i="10"/>
  <c r="L3143" i="10" s="1"/>
  <c r="L3144" i="10" s="1"/>
  <c r="L3145" i="10" s="1"/>
  <c r="Y25" i="9"/>
  <c r="X25" i="9"/>
  <c r="T22" i="6"/>
  <c r="I3464" i="10"/>
  <c r="P69" i="9"/>
  <c r="I3610" i="10"/>
  <c r="P72" i="9"/>
  <c r="H31" i="10"/>
  <c r="G31" i="10"/>
  <c r="G578" i="10"/>
  <c r="H578" i="10"/>
  <c r="H2163" i="10"/>
  <c r="I2163" i="10" s="1"/>
  <c r="J2163" i="10" s="1"/>
  <c r="F2164" i="10" s="1"/>
  <c r="H2589" i="10"/>
  <c r="I2589" i="10" s="1"/>
  <c r="J2589" i="10" s="1"/>
  <c r="F2590" i="10" s="1"/>
  <c r="J724" i="10"/>
  <c r="F725" i="10" s="1"/>
  <c r="H724" i="10"/>
  <c r="J982" i="10"/>
  <c r="F983" i="10" s="1"/>
  <c r="H982" i="10"/>
  <c r="I982" i="10" s="1"/>
  <c r="H1897" i="10"/>
  <c r="I1897" i="10" s="1"/>
  <c r="J1897" i="10" s="1"/>
  <c r="F1898" i="10" s="1"/>
  <c r="P71" i="9"/>
  <c r="I3568" i="10"/>
  <c r="J3568" i="10" s="1"/>
  <c r="F3569" i="10" s="1"/>
  <c r="H1323" i="10"/>
  <c r="I1323" i="10" s="1"/>
  <c r="J1323" i="10" s="1"/>
  <c r="F1324" i="10" s="1"/>
  <c r="H2121" i="10"/>
  <c r="I2121" i="10" s="1"/>
  <c r="J2121" i="10" s="1"/>
  <c r="F2122" i="10" s="1"/>
  <c r="H4085" i="10"/>
  <c r="I4085" i="10" s="1"/>
  <c r="J4085" i="10" s="1"/>
  <c r="F4086" i="10" s="1"/>
  <c r="I2343" i="10"/>
  <c r="J2343" i="10" s="1"/>
  <c r="F2344" i="10" s="1"/>
  <c r="L2343" i="10"/>
  <c r="L2344" i="10" s="1"/>
  <c r="J2505" i="10"/>
  <c r="F2506" i="10" s="1"/>
  <c r="H2505" i="10"/>
  <c r="I2505" i="10" s="1"/>
  <c r="U92" i="9"/>
  <c r="H526" i="10"/>
  <c r="I526" i="10" s="1"/>
  <c r="J526" i="10" s="1"/>
  <c r="F527" i="10" s="1"/>
  <c r="D3731" i="10"/>
  <c r="E3730" i="10"/>
  <c r="S60" i="9"/>
  <c r="J2962" i="10"/>
  <c r="F2963" i="10" s="1"/>
  <c r="H389" i="10"/>
  <c r="I389" i="10" s="1"/>
  <c r="J389" i="10" s="1"/>
  <c r="F390" i="10" s="1"/>
  <c r="J2071" i="10"/>
  <c r="F2072" i="10" s="1"/>
  <c r="H2071" i="10"/>
  <c r="L2071" i="10" s="1"/>
  <c r="I2413" i="10"/>
  <c r="J2413" i="10" s="1"/>
  <c r="F2414" i="10" s="1"/>
  <c r="I1191" i="10"/>
  <c r="J1191" i="10" s="1"/>
  <c r="F1192" i="10" s="1"/>
  <c r="H4990" i="10"/>
  <c r="I4990" i="10" s="1"/>
  <c r="J4990" i="10" s="1"/>
  <c r="F4991" i="10" s="1"/>
  <c r="J5083" i="10"/>
  <c r="F5084" i="10" s="1"/>
  <c r="H5083" i="10"/>
  <c r="I5083" i="10" s="1"/>
  <c r="I644" i="10"/>
  <c r="J644" i="10" s="1"/>
  <c r="F645" i="10" s="1"/>
  <c r="J2843" i="10"/>
  <c r="F2844" i="10" s="1"/>
  <c r="H2843" i="10"/>
  <c r="I2843" i="10" s="1"/>
  <c r="J4384" i="10"/>
  <c r="F4385" i="10" s="1"/>
  <c r="H4384" i="10"/>
  <c r="I4384" i="10" s="1"/>
  <c r="Q70" i="6"/>
  <c r="AK70" i="6" s="1"/>
  <c r="I70" i="3"/>
  <c r="T70" i="3" s="1"/>
  <c r="AQ73" i="9"/>
  <c r="R60" i="9"/>
  <c r="O57" i="6"/>
  <c r="I3975" i="10"/>
  <c r="P78" i="9"/>
  <c r="F2766" i="10"/>
  <c r="H3716" i="10"/>
  <c r="I3716" i="10" s="1"/>
  <c r="J3716" i="10" s="1"/>
  <c r="F3717" i="10" s="1"/>
  <c r="H4795" i="10"/>
  <c r="I4795" i="10" s="1"/>
  <c r="J4795" i="10" s="1"/>
  <c r="F4796" i="10" s="1"/>
  <c r="J4566" i="10"/>
  <c r="F4567" i="10" s="1"/>
  <c r="H4566" i="10"/>
  <c r="I4566" i="10" s="1"/>
  <c r="J1781" i="10"/>
  <c r="F1782" i="10" s="1"/>
  <c r="H1781" i="10"/>
  <c r="I1781" i="10" s="1"/>
  <c r="I3784" i="10"/>
  <c r="J3784" i="10" s="1"/>
  <c r="F3785" i="10" s="1"/>
  <c r="L3784" i="10"/>
  <c r="T75" i="9" s="1"/>
  <c r="H2306" i="10"/>
  <c r="I2306" i="10" s="1"/>
  <c r="J2306" i="10" s="1"/>
  <c r="F2307" i="10" s="1"/>
  <c r="J2225" i="10"/>
  <c r="F2226" i="10" s="1"/>
  <c r="H2225" i="10"/>
  <c r="I2225" i="10" s="1"/>
  <c r="J4920" i="10"/>
  <c r="F4921" i="10" s="1"/>
  <c r="H4920" i="10"/>
  <c r="I4920" i="10" s="1"/>
  <c r="D3876" i="10"/>
  <c r="E3875" i="10"/>
  <c r="J782" i="10"/>
  <c r="F783" i="10" s="1"/>
  <c r="H782" i="10"/>
  <c r="I782" i="10" s="1"/>
  <c r="H1732" i="10"/>
  <c r="I1732" i="10" s="1"/>
  <c r="J1732" i="10" s="1"/>
  <c r="F1733" i="10" s="1"/>
  <c r="H1816" i="10"/>
  <c r="G1816" i="10"/>
  <c r="D3662" i="10"/>
  <c r="E3661" i="10"/>
  <c r="E3942" i="10"/>
  <c r="E3944" i="10" s="1"/>
  <c r="H77" i="9"/>
  <c r="G74" i="6" s="1"/>
  <c r="H67" i="10"/>
  <c r="I67" i="10" s="1"/>
  <c r="J67" i="10" s="1"/>
  <c r="F68" i="10" s="1"/>
  <c r="L31" i="10"/>
  <c r="H3934" i="10"/>
  <c r="I3934" i="10" s="1"/>
  <c r="J3934" i="10" s="1"/>
  <c r="F3935" i="10" s="1"/>
  <c r="G5200" i="10"/>
  <c r="G5196" i="10"/>
  <c r="G5192" i="10"/>
  <c r="G5188" i="10"/>
  <c r="G5184" i="10"/>
  <c r="G5180" i="10"/>
  <c r="G5176" i="10"/>
  <c r="G5172" i="10"/>
  <c r="G5168" i="10"/>
  <c r="G5164" i="10"/>
  <c r="G5181" i="10"/>
  <c r="G5178" i="10"/>
  <c r="G5175" i="10"/>
  <c r="G5160" i="10"/>
  <c r="G5156" i="10"/>
  <c r="G5152" i="10"/>
  <c r="G5197" i="10"/>
  <c r="G5190" i="10"/>
  <c r="G5187" i="10"/>
  <c r="G5201" i="10"/>
  <c r="G5195" i="10"/>
  <c r="G5193" i="10"/>
  <c r="G5173" i="10"/>
  <c r="G5170" i="10"/>
  <c r="G5167" i="10"/>
  <c r="G5161" i="10"/>
  <c r="G5157" i="10"/>
  <c r="G5153" i="10"/>
  <c r="G5199" i="10"/>
  <c r="G5185" i="10"/>
  <c r="G5182" i="10"/>
  <c r="G5179" i="10"/>
  <c r="H5150" i="10"/>
  <c r="G5203" i="10"/>
  <c r="G5191" i="10"/>
  <c r="G5165" i="10"/>
  <c r="G5162" i="10"/>
  <c r="G5158" i="10"/>
  <c r="G5154" i="10"/>
  <c r="G5177" i="10"/>
  <c r="G5174" i="10"/>
  <c r="G5171" i="10"/>
  <c r="G5194" i="10"/>
  <c r="G5202" i="10"/>
  <c r="G5169" i="10"/>
  <c r="G5163" i="10"/>
  <c r="G5186" i="10"/>
  <c r="G5198" i="10"/>
  <c r="G5155" i="10"/>
  <c r="G5151" i="10"/>
  <c r="G5150" i="10"/>
  <c r="I5150" i="10" s="1"/>
  <c r="J5150" i="10" s="1"/>
  <c r="F5151" i="10" s="1"/>
  <c r="G5166" i="10"/>
  <c r="G5189" i="10"/>
  <c r="G5183" i="10"/>
  <c r="G5159" i="10"/>
  <c r="H1075" i="10" l="1"/>
  <c r="I1075" i="10" s="1"/>
  <c r="J1075" i="10"/>
  <c r="F1076" i="10" s="1"/>
  <c r="H2465" i="10"/>
  <c r="I2465" i="10" s="1"/>
  <c r="J2465" i="10" s="1"/>
  <c r="F2466" i="10" s="1"/>
  <c r="H68" i="10"/>
  <c r="G68" i="10"/>
  <c r="H2307" i="10"/>
  <c r="I2307" i="10" s="1"/>
  <c r="J2307" i="10" s="1"/>
  <c r="F2308" i="10" s="1"/>
  <c r="H3717" i="10"/>
  <c r="I3717" i="10" s="1"/>
  <c r="J3717" i="10" s="1"/>
  <c r="F3718" i="10" s="1"/>
  <c r="H4991" i="10"/>
  <c r="I4991" i="10" s="1"/>
  <c r="J4991" i="10" s="1"/>
  <c r="F4992" i="10" s="1"/>
  <c r="J4086" i="10"/>
  <c r="F4087" i="10" s="1"/>
  <c r="H4086" i="10"/>
  <c r="I4086" i="10" s="1"/>
  <c r="H4864" i="10"/>
  <c r="I4864" i="10" s="1"/>
  <c r="J4864" i="10" s="1"/>
  <c r="F4865" i="10" s="1"/>
  <c r="H4020" i="10"/>
  <c r="I4020" i="10" s="1"/>
  <c r="J4020" i="10"/>
  <c r="F4021" i="10" s="1"/>
  <c r="H5444" i="10"/>
  <c r="I5444" i="10" s="1"/>
  <c r="J5444" i="10" s="1"/>
  <c r="F5445" i="10" s="1"/>
  <c r="H1733" i="10"/>
  <c r="I1733" i="10" s="1"/>
  <c r="J1733" i="10" s="1"/>
  <c r="F1734" i="10" s="1"/>
  <c r="J233" i="10"/>
  <c r="F234" i="10" s="1"/>
  <c r="H233" i="10"/>
  <c r="I233" i="10" s="1"/>
  <c r="H4458" i="10"/>
  <c r="I4458" i="10" s="1"/>
  <c r="J4458" i="10" s="1"/>
  <c r="F4459" i="10" s="1"/>
  <c r="H3397" i="10"/>
  <c r="I3397" i="10" s="1"/>
  <c r="J3397" i="10" s="1"/>
  <c r="F3398" i="10" s="1"/>
  <c r="J5586" i="10"/>
  <c r="F5587" i="10" s="1"/>
  <c r="H5586" i="10"/>
  <c r="I5586" i="10" s="1"/>
  <c r="H4796" i="10"/>
  <c r="I4796" i="10" s="1"/>
  <c r="J4796" i="10" s="1"/>
  <c r="F4797" i="10" s="1"/>
  <c r="G528" i="10"/>
  <c r="G529" i="10"/>
  <c r="H527" i="10"/>
  <c r="G527" i="10"/>
  <c r="H1324" i="10"/>
  <c r="I1324" i="10" s="1"/>
  <c r="J1324" i="10" s="1"/>
  <c r="F1325" i="10" s="1"/>
  <c r="H2590" i="10"/>
  <c r="I2590" i="10" s="1"/>
  <c r="J2590" i="10" s="1"/>
  <c r="F2591" i="10" s="1"/>
  <c r="H1468" i="10"/>
  <c r="I1468" i="10" s="1"/>
  <c r="J1468" i="10" s="1"/>
  <c r="F1469" i="10" s="1"/>
  <c r="H4140" i="10"/>
  <c r="I4140" i="10" s="1"/>
  <c r="J4140" i="10"/>
  <c r="F4141" i="10" s="1"/>
  <c r="H4618" i="10"/>
  <c r="I4618" i="10" s="1"/>
  <c r="J4618" i="10" s="1"/>
  <c r="F4619" i="10" s="1"/>
  <c r="H1159" i="10"/>
  <c r="I1159" i="10" s="1"/>
  <c r="J1159" i="10"/>
  <c r="H3010" i="10"/>
  <c r="I3010" i="10" s="1"/>
  <c r="J3010" i="10" s="1"/>
  <c r="F3011" i="10" s="1"/>
  <c r="H864" i="10"/>
  <c r="I864" i="10" s="1"/>
  <c r="J864" i="10" s="1"/>
  <c r="H3332" i="10"/>
  <c r="I3332" i="10" s="1"/>
  <c r="J3332" i="10" s="1"/>
  <c r="F3333" i="10" s="1"/>
  <c r="H3186" i="10"/>
  <c r="I3186" i="10" s="1"/>
  <c r="J3186" i="10" s="1"/>
  <c r="F3187" i="10" s="1"/>
  <c r="H5030" i="10"/>
  <c r="I5030" i="10" s="1"/>
  <c r="J5030" i="10" s="1"/>
  <c r="F5031" i="10" s="1"/>
  <c r="H2122" i="10"/>
  <c r="I2122" i="10" s="1"/>
  <c r="J2122" i="10" s="1"/>
  <c r="F2123" i="10" s="1"/>
  <c r="H2164" i="10"/>
  <c r="I2164" i="10" s="1"/>
  <c r="J2164" i="10" s="1"/>
  <c r="F2165" i="10" s="1"/>
  <c r="H1697" i="10"/>
  <c r="I1697" i="10" s="1"/>
  <c r="J1697" i="10" s="1"/>
  <c r="F1698" i="10" s="1"/>
  <c r="H2724" i="10"/>
  <c r="I2724" i="10" s="1"/>
  <c r="J2724" i="10"/>
  <c r="F2725" i="10" s="1"/>
  <c r="H5238" i="10"/>
  <c r="I5238" i="10" s="1"/>
  <c r="J5238" i="10" s="1"/>
  <c r="F5239" i="10" s="1"/>
  <c r="H4321" i="10"/>
  <c r="I4321" i="10" s="1"/>
  <c r="J4321" i="10"/>
  <c r="F4322" i="10" s="1"/>
  <c r="H905" i="10"/>
  <c r="I905" i="10" s="1"/>
  <c r="J905" i="10" s="1"/>
  <c r="H5376" i="10"/>
  <c r="I5376" i="10" s="1"/>
  <c r="J5376" i="10" s="1"/>
  <c r="F5377" i="10" s="1"/>
  <c r="J390" i="10"/>
  <c r="F391" i="10" s="1"/>
  <c r="H390" i="10"/>
  <c r="I390" i="10" s="1"/>
  <c r="J1898" i="10"/>
  <c r="F1899" i="10" s="1"/>
  <c r="H1898" i="10"/>
  <c r="I1898" i="10" s="1"/>
  <c r="H3654" i="10"/>
  <c r="I3654" i="10" s="1"/>
  <c r="J3654" i="10"/>
  <c r="F3655" i="10" s="1"/>
  <c r="J2266" i="10"/>
  <c r="F2267" i="10" s="1"/>
  <c r="H2266" i="10"/>
  <c r="I2266" i="10" s="1"/>
  <c r="H5512" i="10"/>
  <c r="I5512" i="10" s="1"/>
  <c r="J5512" i="10" s="1"/>
  <c r="F5513" i="10" s="1"/>
  <c r="J1413" i="10"/>
  <c r="F1414" i="10" s="1"/>
  <c r="H1413" i="10"/>
  <c r="I1413" i="10" s="1"/>
  <c r="H1577" i="10"/>
  <c r="I1577" i="10" s="1"/>
  <c r="J1577" i="10"/>
  <c r="F1578" i="10" s="1"/>
  <c r="H5151" i="10"/>
  <c r="H3935" i="10"/>
  <c r="I3935" i="10" s="1"/>
  <c r="J3935" i="10" s="1"/>
  <c r="F3936" i="10" s="1"/>
  <c r="H431" i="10"/>
  <c r="I431" i="10" s="1"/>
  <c r="J431" i="10" s="1"/>
  <c r="F432" i="10" s="1"/>
  <c r="H1657" i="10"/>
  <c r="I1657" i="10" s="1"/>
  <c r="J1657" i="10" s="1"/>
  <c r="F1658" i="10" s="1"/>
  <c r="H1116" i="10"/>
  <c r="I1116" i="10" s="1"/>
  <c r="J1116" i="10" s="1"/>
  <c r="F1117" i="10" s="1"/>
  <c r="J2036" i="10"/>
  <c r="F2037" i="10" s="1"/>
  <c r="H2036" i="10"/>
  <c r="I2036" i="10" s="1"/>
  <c r="H4531" i="10"/>
  <c r="I4531" i="10" s="1"/>
  <c r="J4531" i="10" s="1"/>
  <c r="F4532" i="10" s="1"/>
  <c r="H2635" i="10"/>
  <c r="I2635" i="10" s="1"/>
  <c r="J2635" i="10" s="1"/>
  <c r="F2636" i="10" s="1"/>
  <c r="H1192" i="10"/>
  <c r="T70" i="6"/>
  <c r="X73" i="9"/>
  <c r="W73" i="9"/>
  <c r="H1210" i="10"/>
  <c r="I1210" i="10" s="1"/>
  <c r="J1210" i="10"/>
  <c r="F1211" i="10" s="1"/>
  <c r="H3294" i="10"/>
  <c r="J2414" i="10"/>
  <c r="F2415" i="10" s="1"/>
  <c r="H2414" i="10"/>
  <c r="I2414" i="10" s="1"/>
  <c r="R57" i="6"/>
  <c r="T60" i="9"/>
  <c r="S57" i="6" s="1"/>
  <c r="J725" i="10"/>
  <c r="F726" i="10" s="1"/>
  <c r="H725" i="10"/>
  <c r="I31" i="10"/>
  <c r="J31" i="10" s="1"/>
  <c r="F32" i="10" s="1"/>
  <c r="S72" i="9"/>
  <c r="J3610" i="10"/>
  <c r="F3611" i="10" s="1"/>
  <c r="H4921" i="10"/>
  <c r="I4921" i="10" s="1"/>
  <c r="J4921" i="10" s="1"/>
  <c r="F4922" i="10" s="1"/>
  <c r="J2963" i="10"/>
  <c r="F2964" i="10" s="1"/>
  <c r="H2963" i="10"/>
  <c r="I2963" i="10" s="1"/>
  <c r="P70" i="9"/>
  <c r="I3502" i="10"/>
  <c r="J3502" i="10" s="1"/>
  <c r="F3503" i="10" s="1"/>
  <c r="I5151" i="10"/>
  <c r="J5151" i="10" s="1"/>
  <c r="F5152" i="10" s="1"/>
  <c r="H2226" i="10"/>
  <c r="I2226" i="10" s="1"/>
  <c r="J2226" i="10" s="1"/>
  <c r="F2227" i="10" s="1"/>
  <c r="H4567" i="10"/>
  <c r="I4567" i="10" s="1"/>
  <c r="J4567" i="10" s="1"/>
  <c r="F4568" i="10" s="1"/>
  <c r="H2766" i="10"/>
  <c r="G2766" i="10"/>
  <c r="G2767" i="10"/>
  <c r="H5084" i="10"/>
  <c r="I5084" i="10" s="1"/>
  <c r="J5084" i="10" s="1"/>
  <c r="F5085" i="10" s="1"/>
  <c r="O66" i="6"/>
  <c r="R69" i="9"/>
  <c r="Q76" i="6"/>
  <c r="AK76" i="6" s="1"/>
  <c r="I76" i="3"/>
  <c r="T76" i="3" s="1"/>
  <c r="AQ79" i="9"/>
  <c r="J1989" i="10"/>
  <c r="F1990" i="10" s="1"/>
  <c r="H1989" i="10"/>
  <c r="I1989" i="10" s="1"/>
  <c r="H942" i="10"/>
  <c r="I942" i="10" s="1"/>
  <c r="J942" i="10" s="1"/>
  <c r="F943" i="10" s="1"/>
  <c r="H4689" i="10"/>
  <c r="I4689" i="10" s="1"/>
  <c r="J4689" i="10" s="1"/>
  <c r="F4690" i="10" s="1"/>
  <c r="H1538" i="10"/>
  <c r="I1538" i="10" s="1"/>
  <c r="J1538" i="10" s="1"/>
  <c r="H1617" i="10"/>
  <c r="I1617" i="10" s="1"/>
  <c r="J1617" i="10"/>
  <c r="F1618" i="10" s="1"/>
  <c r="J645" i="10"/>
  <c r="F646" i="10" s="1"/>
  <c r="H645" i="10"/>
  <c r="I645" i="10" s="1"/>
  <c r="R72" i="9"/>
  <c r="O69" i="6"/>
  <c r="I74" i="3"/>
  <c r="T74" i="3" s="1"/>
  <c r="Q74" i="6"/>
  <c r="AK74" i="6" s="1"/>
  <c r="AQ77" i="9"/>
  <c r="H4760" i="10"/>
  <c r="I4760" i="10" s="1"/>
  <c r="J4760" i="10" s="1"/>
  <c r="F4761" i="10" s="1"/>
  <c r="H1944" i="10"/>
  <c r="I1944" i="10" s="1"/>
  <c r="J1944" i="10" s="1"/>
  <c r="F1945" i="10" s="1"/>
  <c r="O75" i="6"/>
  <c r="R78" i="9"/>
  <c r="D3732" i="10"/>
  <c r="E3731" i="10"/>
  <c r="S69" i="9"/>
  <c r="J3464" i="10"/>
  <c r="F3465" i="10" s="1"/>
  <c r="I308" i="10"/>
  <c r="J308" i="10" s="1"/>
  <c r="F309" i="10" s="1"/>
  <c r="H2552" i="10"/>
  <c r="I2552" i="10" s="1"/>
  <c r="J2552" i="10" s="1"/>
  <c r="F2553" i="10" s="1"/>
  <c r="S78" i="9"/>
  <c r="J3975" i="10"/>
  <c r="F3976" i="10" s="1"/>
  <c r="J4385" i="10"/>
  <c r="F4386" i="10" s="1"/>
  <c r="H4385" i="10"/>
  <c r="I4385" i="10" s="1"/>
  <c r="J2344" i="10"/>
  <c r="F2345" i="10" s="1"/>
  <c r="H2344" i="10"/>
  <c r="I2344" i="10" s="1"/>
  <c r="J2676" i="10"/>
  <c r="F2677" i="10" s="1"/>
  <c r="H2676" i="10"/>
  <c r="I2676" i="10" s="1"/>
  <c r="H5319" i="10"/>
  <c r="I5319" i="10" s="1"/>
  <c r="J5319" i="10"/>
  <c r="F5320" i="10" s="1"/>
  <c r="I72" i="3"/>
  <c r="T72" i="3" s="1"/>
  <c r="Q72" i="6"/>
  <c r="AK72" i="6" s="1"/>
  <c r="AQ75" i="9"/>
  <c r="H3102" i="10"/>
  <c r="I3102" i="10" s="1"/>
  <c r="J3102" i="10" s="1"/>
  <c r="F3103" i="10" s="1"/>
  <c r="G1273" i="10"/>
  <c r="G1281" i="10"/>
  <c r="G1274" i="10"/>
  <c r="G1275" i="10"/>
  <c r="H1268" i="10"/>
  <c r="G1282" i="10"/>
  <c r="G1276" i="10"/>
  <c r="G1268" i="10"/>
  <c r="G1277" i="10"/>
  <c r="G1269" i="10"/>
  <c r="G1279" i="10"/>
  <c r="G1271" i="10"/>
  <c r="G1284" i="10"/>
  <c r="G1280" i="10"/>
  <c r="G1270" i="10"/>
  <c r="G1283" i="10"/>
  <c r="G1272" i="10"/>
  <c r="G1278" i="10"/>
  <c r="J2506" i="10"/>
  <c r="F2507" i="10" s="1"/>
  <c r="H2506" i="10"/>
  <c r="I2506" i="10" s="1"/>
  <c r="J1032" i="10"/>
  <c r="F1033" i="10" s="1"/>
  <c r="H1032" i="10"/>
  <c r="I1032" i="10" s="1"/>
  <c r="J2887" i="10"/>
  <c r="F2888" i="10" s="1"/>
  <c r="H2887" i="10"/>
  <c r="I2887" i="10" s="1"/>
  <c r="G783" i="10"/>
  <c r="H783" i="10"/>
  <c r="D3663" i="10"/>
  <c r="E3662" i="10"/>
  <c r="S72" i="6"/>
  <c r="U75" i="9"/>
  <c r="J2072" i="10"/>
  <c r="F2073" i="10" s="1"/>
  <c r="H2072" i="10"/>
  <c r="L2072" i="10" s="1"/>
  <c r="J3826" i="10"/>
  <c r="F3827" i="10" s="1"/>
  <c r="H3826" i="10"/>
  <c r="I3826" i="10" s="1"/>
  <c r="W63" i="9"/>
  <c r="H1782" i="10"/>
  <c r="I1782" i="10" s="1"/>
  <c r="J1782" i="10" s="1"/>
  <c r="F1783" i="10" s="1"/>
  <c r="I1816" i="10"/>
  <c r="J1816" i="10" s="1"/>
  <c r="F1817" i="10" s="1"/>
  <c r="L1816" i="10"/>
  <c r="D3877" i="10"/>
  <c r="E3876" i="10"/>
  <c r="J3785" i="10"/>
  <c r="F3786" i="10" s="1"/>
  <c r="H3785" i="10"/>
  <c r="I3785" i="10" s="1"/>
  <c r="H2844" i="10"/>
  <c r="I2844" i="10" s="1"/>
  <c r="J2844" i="10" s="1"/>
  <c r="F2845" i="10" s="1"/>
  <c r="T89" i="6"/>
  <c r="X92" i="9"/>
  <c r="J3569" i="10"/>
  <c r="F3570" i="10" s="1"/>
  <c r="H3569" i="10"/>
  <c r="I3569" i="10" s="1"/>
  <c r="J983" i="10"/>
  <c r="F984" i="10" s="1"/>
  <c r="H983" i="10"/>
  <c r="I983" i="10" s="1"/>
  <c r="E3834" i="10"/>
  <c r="E3836" i="10" s="1"/>
  <c r="H79" i="9"/>
  <c r="G76" i="6" s="1"/>
  <c r="J4257" i="10"/>
  <c r="F4258" i="10" s="1"/>
  <c r="H4257" i="10"/>
  <c r="I4257" i="10" s="1"/>
  <c r="R76" i="6"/>
  <c r="T79" i="9"/>
  <c r="S76" i="6" s="1"/>
  <c r="H3868" i="10"/>
  <c r="I3868" i="10" s="1"/>
  <c r="J3868" i="10" s="1"/>
  <c r="F3869" i="10" s="1"/>
  <c r="X101" i="9"/>
  <c r="T98" i="6"/>
  <c r="H5124" i="10"/>
  <c r="I5124" i="10" s="1"/>
  <c r="J5124" i="10" s="1"/>
  <c r="F5125" i="10" s="1"/>
  <c r="I3142" i="10"/>
  <c r="J3142" i="10" s="1"/>
  <c r="F3143" i="10" s="1"/>
  <c r="X63" i="9"/>
  <c r="Y63" i="9" s="1"/>
  <c r="J4194" i="10"/>
  <c r="F4195" i="10" s="1"/>
  <c r="Q57" i="6"/>
  <c r="AK57" i="6" s="1"/>
  <c r="I57" i="3"/>
  <c r="T57" i="3" s="1"/>
  <c r="AQ60" i="9"/>
  <c r="O68" i="6"/>
  <c r="R71" i="9"/>
  <c r="I578" i="10"/>
  <c r="L578" i="10"/>
  <c r="O73" i="6"/>
  <c r="R76" i="9"/>
  <c r="H2553" i="10" l="1"/>
  <c r="I2553" i="10" s="1"/>
  <c r="J2553" i="10" s="1"/>
  <c r="F2554" i="10" s="1"/>
  <c r="H2123" i="10"/>
  <c r="I2123" i="10" s="1"/>
  <c r="J2123" i="10"/>
  <c r="F2124" i="10" s="1"/>
  <c r="H4619" i="10"/>
  <c r="I4619" i="10" s="1"/>
  <c r="J4619" i="10" s="1"/>
  <c r="F4620" i="10" s="1"/>
  <c r="H4992" i="10"/>
  <c r="I4992" i="10" s="1"/>
  <c r="J4992" i="10" s="1"/>
  <c r="F4993" i="10" s="1"/>
  <c r="H4761" i="10"/>
  <c r="I4761" i="10" s="1"/>
  <c r="J4761" i="10" s="1"/>
  <c r="F4762" i="10" s="1"/>
  <c r="H4568" i="10"/>
  <c r="I4568" i="10" s="1"/>
  <c r="J4568" i="10"/>
  <c r="F4569" i="10" s="1"/>
  <c r="H2636" i="10"/>
  <c r="I2636" i="10" s="1"/>
  <c r="J2636" i="10" s="1"/>
  <c r="F2637" i="10" s="1"/>
  <c r="H5031" i="10"/>
  <c r="I5031" i="10" s="1"/>
  <c r="J5031" i="10"/>
  <c r="F5032" i="10" s="1"/>
  <c r="H1734" i="10"/>
  <c r="I1734" i="10" s="1"/>
  <c r="J1734" i="10" s="1"/>
  <c r="F1735" i="10" s="1"/>
  <c r="H3718" i="10"/>
  <c r="H4532" i="10"/>
  <c r="I4532" i="10" s="1"/>
  <c r="J4532" i="10" s="1"/>
  <c r="F4533" i="10" s="1"/>
  <c r="H3187" i="10"/>
  <c r="I3187" i="10" s="1"/>
  <c r="J3187" i="10" s="1"/>
  <c r="F3188" i="10" s="1"/>
  <c r="H4797" i="10"/>
  <c r="I4797" i="10" s="1"/>
  <c r="J4797" i="10" s="1"/>
  <c r="F4798" i="10" s="1"/>
  <c r="H5445" i="10"/>
  <c r="I5445" i="10" s="1"/>
  <c r="J5445" i="10"/>
  <c r="F5446" i="10" s="1"/>
  <c r="H2308" i="10"/>
  <c r="I2308" i="10" s="1"/>
  <c r="J2308" i="10" s="1"/>
  <c r="F2309" i="10" s="1"/>
  <c r="J5152" i="10"/>
  <c r="F5153" i="10" s="1"/>
  <c r="H5152" i="10"/>
  <c r="I5152" i="10" s="1"/>
  <c r="H5239" i="10"/>
  <c r="I5239" i="10" s="1"/>
  <c r="J5239" i="10" s="1"/>
  <c r="F5240" i="10" s="1"/>
  <c r="H3333" i="10"/>
  <c r="I3333" i="10" s="1"/>
  <c r="J3333" i="10" s="1"/>
  <c r="F3334" i="10" s="1"/>
  <c r="J1469" i="10"/>
  <c r="F1470" i="10" s="1"/>
  <c r="H1469" i="10"/>
  <c r="I1469" i="10" s="1"/>
  <c r="H1945" i="10"/>
  <c r="I1945" i="10" s="1"/>
  <c r="J1945" i="10" s="1"/>
  <c r="F1946" i="10" s="1"/>
  <c r="H4690" i="10"/>
  <c r="I4690" i="10" s="1"/>
  <c r="J4690" i="10"/>
  <c r="F4691" i="10" s="1"/>
  <c r="H2591" i="10"/>
  <c r="I2591" i="10" s="1"/>
  <c r="J2591" i="10" s="1"/>
  <c r="F2592" i="10" s="1"/>
  <c r="J4922" i="10"/>
  <c r="F4923" i="10" s="1"/>
  <c r="H4922" i="10"/>
  <c r="I4922" i="10" s="1"/>
  <c r="J3103" i="10"/>
  <c r="F3104" i="10" s="1"/>
  <c r="H3103" i="10"/>
  <c r="I3103" i="10" s="1"/>
  <c r="H943" i="10"/>
  <c r="I943" i="10" s="1"/>
  <c r="J943" i="10" s="1"/>
  <c r="F944" i="10" s="1"/>
  <c r="H5085" i="10"/>
  <c r="I5085" i="10" s="1"/>
  <c r="J5085" i="10"/>
  <c r="F5086" i="10" s="1"/>
  <c r="J1117" i="10"/>
  <c r="H1117" i="10"/>
  <c r="I1117" i="10" s="1"/>
  <c r="J3011" i="10"/>
  <c r="F3012" i="10" s="1"/>
  <c r="H3011" i="10"/>
  <c r="I3011" i="10" s="1"/>
  <c r="H1325" i="10"/>
  <c r="I1325" i="10" s="1"/>
  <c r="J1325" i="10" s="1"/>
  <c r="F1326" i="10" s="1"/>
  <c r="H3398" i="10"/>
  <c r="I3398" i="10" s="1"/>
  <c r="J3398" i="10"/>
  <c r="F3399" i="10" s="1"/>
  <c r="J4865" i="10"/>
  <c r="F4866" i="10" s="1"/>
  <c r="H4865" i="10"/>
  <c r="I4865" i="10" s="1"/>
  <c r="J2466" i="10"/>
  <c r="F2467" i="10" s="1"/>
  <c r="H2466" i="10"/>
  <c r="I2466" i="10" s="1"/>
  <c r="H3936" i="10"/>
  <c r="I3936" i="10" s="1"/>
  <c r="J3936" i="10"/>
  <c r="F3937" i="10" s="1"/>
  <c r="H3869" i="10"/>
  <c r="I3869" i="10" s="1"/>
  <c r="J3869" i="10" s="1"/>
  <c r="F3870" i="10" s="1"/>
  <c r="H1783" i="10"/>
  <c r="I1783" i="10" s="1"/>
  <c r="J1783" i="10" s="1"/>
  <c r="F1784" i="10" s="1"/>
  <c r="H1658" i="10"/>
  <c r="I1658" i="10" s="1"/>
  <c r="J1658" i="10" s="1"/>
  <c r="H5513" i="10"/>
  <c r="I5513" i="10" s="1"/>
  <c r="J5513" i="10" s="1"/>
  <c r="F5514" i="10" s="1"/>
  <c r="H1698" i="10"/>
  <c r="I1698" i="10" s="1"/>
  <c r="J1698" i="10"/>
  <c r="F1699" i="10" s="1"/>
  <c r="H4459" i="10"/>
  <c r="I4459" i="10" s="1"/>
  <c r="J4459" i="10" s="1"/>
  <c r="F4460" i="10" s="1"/>
  <c r="J2227" i="10"/>
  <c r="F2228" i="10" s="1"/>
  <c r="H2227" i="10"/>
  <c r="I2227" i="10" s="1"/>
  <c r="H5125" i="10"/>
  <c r="I5125" i="10" s="1"/>
  <c r="J5125" i="10" s="1"/>
  <c r="F5126" i="10" s="1"/>
  <c r="H2845" i="10"/>
  <c r="I2845" i="10" s="1"/>
  <c r="J2845" i="10" s="1"/>
  <c r="F2846" i="10" s="1"/>
  <c r="H432" i="10"/>
  <c r="I432" i="10" s="1"/>
  <c r="J432" i="10" s="1"/>
  <c r="F433" i="10" s="1"/>
  <c r="J5377" i="10"/>
  <c r="F5378" i="10" s="1"/>
  <c r="H5377" i="10"/>
  <c r="I5377" i="10" s="1"/>
  <c r="H2165" i="10"/>
  <c r="I2165" i="10" s="1"/>
  <c r="J2165" i="10" s="1"/>
  <c r="F2166" i="10" s="1"/>
  <c r="H2677" i="10"/>
  <c r="I2677" i="10" s="1"/>
  <c r="J2677" i="10" s="1"/>
  <c r="F2678" i="10" s="1"/>
  <c r="H1414" i="10"/>
  <c r="I1414" i="10" s="1"/>
  <c r="J1414" i="10" s="1"/>
  <c r="F1415" i="10" s="1"/>
  <c r="J234" i="10"/>
  <c r="F235" i="10" s="1"/>
  <c r="H234" i="10"/>
  <c r="I234" i="10" s="1"/>
  <c r="J578" i="10"/>
  <c r="F579" i="10" s="1"/>
  <c r="U79" i="9"/>
  <c r="I1268" i="10"/>
  <c r="J1268" i="10" s="1"/>
  <c r="F1269" i="10" s="1"/>
  <c r="L1268" i="10"/>
  <c r="I68" i="10"/>
  <c r="J68" i="10" s="1"/>
  <c r="F69" i="10" s="1"/>
  <c r="L68" i="10"/>
  <c r="O67" i="6"/>
  <c r="R70" i="9"/>
  <c r="J3570" i="10"/>
  <c r="F3571" i="10" s="1"/>
  <c r="H3570" i="10"/>
  <c r="I3570" i="10" s="1"/>
  <c r="D3878" i="10"/>
  <c r="E3877" i="10"/>
  <c r="G2083" i="10"/>
  <c r="G2076" i="10"/>
  <c r="G2077" i="10"/>
  <c r="G2084" i="10"/>
  <c r="G2078" i="10"/>
  <c r="G2079" i="10"/>
  <c r="G2085" i="10"/>
  <c r="G2080" i="10"/>
  <c r="H2073" i="10"/>
  <c r="G2082" i="10"/>
  <c r="G2074" i="10"/>
  <c r="G2073" i="10"/>
  <c r="I2073" i="10" s="1"/>
  <c r="J2073" i="10" s="1"/>
  <c r="F2074" i="10" s="1"/>
  <c r="G2075" i="10"/>
  <c r="G2081" i="10"/>
  <c r="H1033" i="10"/>
  <c r="I1033" i="10" s="1"/>
  <c r="J1033" i="10"/>
  <c r="F1034" i="10" s="1"/>
  <c r="G2346" i="10"/>
  <c r="H2345" i="10"/>
  <c r="G2345" i="10"/>
  <c r="H3465" i="10"/>
  <c r="I3465" i="10" s="1"/>
  <c r="J3465" i="10" s="1"/>
  <c r="F3466" i="10" s="1"/>
  <c r="G646" i="10"/>
  <c r="H646" i="10"/>
  <c r="J1990" i="10"/>
  <c r="F1991" i="10" s="1"/>
  <c r="H1990" i="10"/>
  <c r="I1990" i="10" s="1"/>
  <c r="H2964" i="10"/>
  <c r="I2964" i="10" s="1"/>
  <c r="J2964" i="10" s="1"/>
  <c r="F2965" i="10" s="1"/>
  <c r="U60" i="9"/>
  <c r="T57" i="6" s="1"/>
  <c r="I1192" i="10"/>
  <c r="J1192" i="10" s="1"/>
  <c r="F1193" i="10" s="1"/>
  <c r="H2037" i="10"/>
  <c r="I2037" i="10" s="1"/>
  <c r="J2037" i="10" s="1"/>
  <c r="J391" i="10"/>
  <c r="F392" i="10" s="1"/>
  <c r="H391" i="10"/>
  <c r="I391" i="10" s="1"/>
  <c r="H4141" i="10"/>
  <c r="I4141" i="10" s="1"/>
  <c r="J4141" i="10" s="1"/>
  <c r="F4142" i="10" s="1"/>
  <c r="I527" i="10"/>
  <c r="J527" i="10" s="1"/>
  <c r="F528" i="10" s="1"/>
  <c r="L528" i="10"/>
  <c r="L529" i="10"/>
  <c r="L530" i="10" s="1"/>
  <c r="H5587" i="10"/>
  <c r="I5587" i="10" s="1"/>
  <c r="J5587" i="10"/>
  <c r="F5588" i="10" s="1"/>
  <c r="H4087" i="10"/>
  <c r="I4087" i="10" s="1"/>
  <c r="J4087" i="10"/>
  <c r="F4088" i="10" s="1"/>
  <c r="H984" i="10"/>
  <c r="I984" i="10" s="1"/>
  <c r="J984" i="10" s="1"/>
  <c r="F985" i="10" s="1"/>
  <c r="H3827" i="10"/>
  <c r="I3827" i="10" s="1"/>
  <c r="J3827" i="10" s="1"/>
  <c r="F3828" i="10" s="1"/>
  <c r="X75" i="9"/>
  <c r="W75" i="9"/>
  <c r="T72" i="6"/>
  <c r="U69" i="9"/>
  <c r="R66" i="6"/>
  <c r="T69" i="9"/>
  <c r="S66" i="6" s="1"/>
  <c r="I2766" i="10"/>
  <c r="J2766" i="10" s="1"/>
  <c r="F2767" i="10" s="1"/>
  <c r="H3611" i="10"/>
  <c r="I3611" i="10" s="1"/>
  <c r="J3611" i="10" s="1"/>
  <c r="F3612" i="10" s="1"/>
  <c r="I3294" i="10"/>
  <c r="P66" i="9"/>
  <c r="H4195" i="10"/>
  <c r="I4195" i="10" s="1"/>
  <c r="J3143" i="10"/>
  <c r="F3144" i="10" s="1"/>
  <c r="H3143" i="10"/>
  <c r="I3143" i="10" s="1"/>
  <c r="H2507" i="10"/>
  <c r="I2507" i="10" s="1"/>
  <c r="H4386" i="10"/>
  <c r="I4386" i="10" s="1"/>
  <c r="J4386" i="10"/>
  <c r="F4387" i="10" s="1"/>
  <c r="R69" i="6"/>
  <c r="U72" i="9"/>
  <c r="T72" i="9"/>
  <c r="S69" i="6" s="1"/>
  <c r="H2415" i="10"/>
  <c r="I2415" i="10" s="1"/>
  <c r="J2415" i="10" s="1"/>
  <c r="F2416" i="10" s="1"/>
  <c r="H2267" i="10"/>
  <c r="I2267" i="10" s="1"/>
  <c r="J2725" i="10"/>
  <c r="F2726" i="10" s="1"/>
  <c r="H2725" i="10"/>
  <c r="I2725" i="10" s="1"/>
  <c r="H4322" i="10"/>
  <c r="I4322" i="10" s="1"/>
  <c r="J4322" i="10" s="1"/>
  <c r="F4323" i="10" s="1"/>
  <c r="H1817" i="10"/>
  <c r="G1817" i="10"/>
  <c r="I1817" i="10" s="1"/>
  <c r="J1817" i="10" s="1"/>
  <c r="F1818" i="10" s="1"/>
  <c r="G1818" i="10"/>
  <c r="H5320" i="10"/>
  <c r="I5320" i="10" s="1"/>
  <c r="J5320" i="10" s="1"/>
  <c r="F5321" i="10" s="1"/>
  <c r="H3976" i="10"/>
  <c r="I3976" i="10" s="1"/>
  <c r="J3976" i="10"/>
  <c r="F3977" i="10" s="1"/>
  <c r="H1618" i="10"/>
  <c r="I1618" i="10" s="1"/>
  <c r="J1618" i="10" s="1"/>
  <c r="H32" i="10"/>
  <c r="G32" i="10"/>
  <c r="H1211" i="10"/>
  <c r="I1211" i="10" s="1"/>
  <c r="J1211" i="10" s="1"/>
  <c r="H1578" i="10"/>
  <c r="I1578" i="10" s="1"/>
  <c r="J1578" i="10" s="1"/>
  <c r="H3655" i="10"/>
  <c r="I3655" i="10" s="1"/>
  <c r="J3655" i="10"/>
  <c r="F3656" i="10" s="1"/>
  <c r="H4021" i="10"/>
  <c r="I4021" i="10" s="1"/>
  <c r="J4021" i="10" s="1"/>
  <c r="F4022" i="10" s="1"/>
  <c r="H3786" i="10"/>
  <c r="I3786" i="10" s="1"/>
  <c r="J3786" i="10"/>
  <c r="F3787" i="10" s="1"/>
  <c r="G2890" i="10"/>
  <c r="H2888" i="10"/>
  <c r="G2888" i="10"/>
  <c r="G2889" i="10"/>
  <c r="H1899" i="10"/>
  <c r="I1899" i="10" s="1"/>
  <c r="J1899" i="10" s="1"/>
  <c r="F1900" i="10" s="1"/>
  <c r="D3664" i="10"/>
  <c r="E3663" i="10"/>
  <c r="W27" i="9"/>
  <c r="X27" i="9" s="1"/>
  <c r="R75" i="6"/>
  <c r="T78" i="9"/>
  <c r="S75" i="6" s="1"/>
  <c r="H309" i="10"/>
  <c r="G310" i="10"/>
  <c r="G309" i="10"/>
  <c r="G313" i="10"/>
  <c r="G312" i="10"/>
  <c r="G311" i="10"/>
  <c r="D3733" i="10"/>
  <c r="E3732" i="10"/>
  <c r="I66" i="3"/>
  <c r="T66" i="3" s="1"/>
  <c r="Q66" i="6"/>
  <c r="AK66" i="6" s="1"/>
  <c r="AQ69" i="9"/>
  <c r="H1076" i="10"/>
  <c r="I1076" i="10" s="1"/>
  <c r="J1076" i="10" s="1"/>
  <c r="F1077" i="10" s="1"/>
  <c r="I69" i="3"/>
  <c r="T69" i="3" s="1"/>
  <c r="Q69" i="6"/>
  <c r="AK69" i="6" s="1"/>
  <c r="AQ72" i="9"/>
  <c r="Q68" i="6"/>
  <c r="AK68" i="6" s="1"/>
  <c r="I68" i="3"/>
  <c r="T68" i="3" s="1"/>
  <c r="AQ71" i="9"/>
  <c r="H4258" i="10"/>
  <c r="I4258" i="10" s="1"/>
  <c r="J4258" i="10" s="1"/>
  <c r="F4259" i="10" s="1"/>
  <c r="Q73" i="6"/>
  <c r="AK73" i="6" s="1"/>
  <c r="I73" i="3"/>
  <c r="T73" i="3" s="1"/>
  <c r="AQ76" i="9"/>
  <c r="I783" i="10"/>
  <c r="J783" i="10" s="1"/>
  <c r="F784" i="10" s="1"/>
  <c r="L1269" i="10"/>
  <c r="L1270" i="10" s="1"/>
  <c r="L1271" i="10" s="1"/>
  <c r="L1272" i="10" s="1"/>
  <c r="L1273" i="10" s="1"/>
  <c r="L1274" i="10" s="1"/>
  <c r="L1275" i="10" s="1"/>
  <c r="L1276" i="10" s="1"/>
  <c r="L1277" i="10" s="1"/>
  <c r="L1278" i="10" s="1"/>
  <c r="L1279" i="10" s="1"/>
  <c r="Q75" i="6"/>
  <c r="AK75" i="6" s="1"/>
  <c r="I75" i="3"/>
  <c r="T75" i="3" s="1"/>
  <c r="AQ78" i="9"/>
  <c r="J3503" i="10"/>
  <c r="F3504" i="10" s="1"/>
  <c r="H3503" i="10"/>
  <c r="I3503" i="10" s="1"/>
  <c r="J726" i="10"/>
  <c r="F727" i="10" s="1"/>
  <c r="H726" i="10"/>
  <c r="H4323" i="10" l="1"/>
  <c r="I4323" i="10" s="1"/>
  <c r="J4323" i="10" s="1"/>
  <c r="F4324" i="10" s="1"/>
  <c r="H4798" i="10"/>
  <c r="I4798" i="10" s="1"/>
  <c r="J4798" i="10"/>
  <c r="F4799" i="10" s="1"/>
  <c r="H985" i="10"/>
  <c r="I985" i="10" s="1"/>
  <c r="J985" i="10" s="1"/>
  <c r="F986" i="10" s="1"/>
  <c r="H4142" i="10"/>
  <c r="I4142" i="10" s="1"/>
  <c r="J4142" i="10" s="1"/>
  <c r="F4143" i="10" s="1"/>
  <c r="H3334" i="10"/>
  <c r="H3188" i="10"/>
  <c r="H1077" i="10"/>
  <c r="I1077" i="10" s="1"/>
  <c r="J1077" i="10" s="1"/>
  <c r="F1078" i="10" s="1"/>
  <c r="H4533" i="10"/>
  <c r="I4533" i="10" s="1"/>
  <c r="J4533" i="10" s="1"/>
  <c r="H4762" i="10"/>
  <c r="I4762" i="10" s="1"/>
  <c r="J4762" i="10" s="1"/>
  <c r="F4763" i="10" s="1"/>
  <c r="H4460" i="10"/>
  <c r="I4460" i="10" s="1"/>
  <c r="J4460" i="10" s="1"/>
  <c r="F4461" i="10" s="1"/>
  <c r="H1900" i="10"/>
  <c r="I1900" i="10" s="1"/>
  <c r="J1900" i="10" s="1"/>
  <c r="F1901" i="10" s="1"/>
  <c r="H433" i="10"/>
  <c r="G433" i="10"/>
  <c r="G434" i="10"/>
  <c r="H5514" i="10"/>
  <c r="I5514" i="10" s="1"/>
  <c r="J5514" i="10" s="1"/>
  <c r="F5515" i="10" s="1"/>
  <c r="H2592" i="10"/>
  <c r="I2592" i="10" s="1"/>
  <c r="J2592" i="10" s="1"/>
  <c r="F2593" i="10" s="1"/>
  <c r="H4993" i="10"/>
  <c r="I4993" i="10" s="1"/>
  <c r="J4993" i="10" s="1"/>
  <c r="F4994" i="10" s="1"/>
  <c r="H3828" i="10"/>
  <c r="I3828" i="10" s="1"/>
  <c r="J3828" i="10" s="1"/>
  <c r="F3829" i="10" s="1"/>
  <c r="H3466" i="10"/>
  <c r="I3466" i="10" s="1"/>
  <c r="J3466" i="10"/>
  <c r="F3467" i="10" s="1"/>
  <c r="H1735" i="10"/>
  <c r="I1735" i="10" s="1"/>
  <c r="J1735" i="10" s="1"/>
  <c r="F1736" i="10" s="1"/>
  <c r="H4620" i="10"/>
  <c r="I4620" i="10" s="1"/>
  <c r="J4620" i="10"/>
  <c r="F4621" i="10" s="1"/>
  <c r="H4022" i="10"/>
  <c r="I4022" i="10" s="1"/>
  <c r="J4022" i="10" s="1"/>
  <c r="F4023" i="10" s="1"/>
  <c r="H5240" i="10"/>
  <c r="I5240" i="10" s="1"/>
  <c r="J5240" i="10" s="1"/>
  <c r="F5241" i="10" s="1"/>
  <c r="H2416" i="10"/>
  <c r="I2416" i="10" s="1"/>
  <c r="J2416" i="10" s="1"/>
  <c r="F2417" i="10" s="1"/>
  <c r="H2846" i="10"/>
  <c r="I2846" i="10" s="1"/>
  <c r="J2846" i="10"/>
  <c r="F2847" i="10" s="1"/>
  <c r="H5126" i="10"/>
  <c r="I5126" i="10" s="1"/>
  <c r="J5126" i="10" s="1"/>
  <c r="F5127" i="10" s="1"/>
  <c r="H1784" i="10"/>
  <c r="I1784" i="10" s="1"/>
  <c r="J1784" i="10"/>
  <c r="H2309" i="10"/>
  <c r="I2309" i="10" s="1"/>
  <c r="J2309" i="10" s="1"/>
  <c r="F2310" i="10" s="1"/>
  <c r="H3612" i="10"/>
  <c r="I3612" i="10" s="1"/>
  <c r="J3612" i="10" s="1"/>
  <c r="F3613" i="10" s="1"/>
  <c r="H4259" i="10"/>
  <c r="I4259" i="10" s="1"/>
  <c r="J4259" i="10" s="1"/>
  <c r="F4260" i="10" s="1"/>
  <c r="H1818" i="10"/>
  <c r="H1415" i="10"/>
  <c r="I1415" i="10" s="1"/>
  <c r="J1415" i="10" s="1"/>
  <c r="F1416" i="10" s="1"/>
  <c r="H3870" i="10"/>
  <c r="I3870" i="10" s="1"/>
  <c r="J3870" i="10" s="1"/>
  <c r="F3871" i="10" s="1"/>
  <c r="H944" i="10"/>
  <c r="I944" i="10" s="1"/>
  <c r="J944" i="10" s="1"/>
  <c r="F945" i="10" s="1"/>
  <c r="H1946" i="10"/>
  <c r="I1946" i="10" s="1"/>
  <c r="J1946" i="10"/>
  <c r="F1947" i="10" s="1"/>
  <c r="H2166" i="10"/>
  <c r="I2166" i="10" s="1"/>
  <c r="J2166" i="10" s="1"/>
  <c r="F2167" i="10" s="1"/>
  <c r="H5321" i="10"/>
  <c r="I5321" i="10" s="1"/>
  <c r="J5321" i="10" s="1"/>
  <c r="F5322" i="10" s="1"/>
  <c r="H2074" i="10"/>
  <c r="H2965" i="10"/>
  <c r="I2965" i="10" s="1"/>
  <c r="J2965" i="10"/>
  <c r="F2966" i="10" s="1"/>
  <c r="H2678" i="10"/>
  <c r="I2678" i="10" s="1"/>
  <c r="J2678" i="10"/>
  <c r="F2679" i="10" s="1"/>
  <c r="H1326" i="10"/>
  <c r="I1326" i="10" s="1"/>
  <c r="J1326" i="10" s="1"/>
  <c r="F1327" i="10" s="1"/>
  <c r="H2637" i="10"/>
  <c r="I2637" i="10" s="1"/>
  <c r="J2637" i="10" s="1"/>
  <c r="F2638" i="10" s="1"/>
  <c r="H2554" i="10"/>
  <c r="I2554" i="10" s="1"/>
  <c r="J2554" i="10" s="1"/>
  <c r="H3504" i="10"/>
  <c r="I3504" i="10" s="1"/>
  <c r="J3504" i="10" s="1"/>
  <c r="F3505" i="10" s="1"/>
  <c r="H2767" i="10"/>
  <c r="I2767" i="10" s="1"/>
  <c r="J2767" i="10" s="1"/>
  <c r="F2768" i="10" s="1"/>
  <c r="G393" i="10"/>
  <c r="G392" i="10"/>
  <c r="H392" i="10"/>
  <c r="D3879" i="10"/>
  <c r="E3878" i="10"/>
  <c r="H2228" i="10"/>
  <c r="I2228" i="10" s="1"/>
  <c r="J2228" i="10" s="1"/>
  <c r="F2229" i="10" s="1"/>
  <c r="H3012" i="10"/>
  <c r="I3012" i="10" s="1"/>
  <c r="J3012" i="10"/>
  <c r="F3013" i="10" s="1"/>
  <c r="H5153" i="10"/>
  <c r="I5153" i="10" s="1"/>
  <c r="J5153" i="10"/>
  <c r="F5154" i="10" s="1"/>
  <c r="I1818" i="10"/>
  <c r="J1818" i="10" s="1"/>
  <c r="F1819" i="10" s="1"/>
  <c r="L1817" i="10"/>
  <c r="L1818" i="10" s="1"/>
  <c r="L2073" i="10"/>
  <c r="L2074" i="10" s="1"/>
  <c r="L2075" i="10" s="1"/>
  <c r="L2076" i="10" s="1"/>
  <c r="L2077" i="10" s="1"/>
  <c r="L2078" i="10" s="1"/>
  <c r="L2079" i="10" s="1"/>
  <c r="L2080" i="10" s="1"/>
  <c r="L2081" i="10" s="1"/>
  <c r="H3656" i="10"/>
  <c r="I3656" i="10" s="1"/>
  <c r="J3656" i="10"/>
  <c r="F3657" i="10" s="1"/>
  <c r="J2726" i="10"/>
  <c r="F2727" i="10" s="1"/>
  <c r="H2726" i="10"/>
  <c r="I2726" i="10" s="1"/>
  <c r="H4387" i="10"/>
  <c r="I4387" i="10" s="1"/>
  <c r="J4387" i="10" s="1"/>
  <c r="F4388" i="10" s="1"/>
  <c r="H1991" i="10"/>
  <c r="I1991" i="10" s="1"/>
  <c r="J1991" i="10" s="1"/>
  <c r="F1992" i="10" s="1"/>
  <c r="H3571" i="10"/>
  <c r="I3571" i="10" s="1"/>
  <c r="J3571" i="10" s="1"/>
  <c r="F3572" i="10" s="1"/>
  <c r="H1269" i="10"/>
  <c r="I1269" i="10" s="1"/>
  <c r="J1269" i="10" s="1"/>
  <c r="F1270" i="10" s="1"/>
  <c r="H4866" i="10"/>
  <c r="I4866" i="10" s="1"/>
  <c r="J4866" i="10" s="1"/>
  <c r="F4867" i="10" s="1"/>
  <c r="H4923" i="10"/>
  <c r="I4923" i="10" s="1"/>
  <c r="J4923" i="10" s="1"/>
  <c r="F4924" i="10" s="1"/>
  <c r="H1470" i="10"/>
  <c r="I1470" i="10" s="1"/>
  <c r="J1470" i="10" s="1"/>
  <c r="F1471" i="10" s="1"/>
  <c r="I309" i="10"/>
  <c r="J309" i="10" s="1"/>
  <c r="F310" i="10" s="1"/>
  <c r="I2345" i="10"/>
  <c r="J2345" i="10" s="1"/>
  <c r="F2346" i="10" s="1"/>
  <c r="L2345" i="10"/>
  <c r="L2346" i="10" s="1"/>
  <c r="H3104" i="10"/>
  <c r="D3665" i="10"/>
  <c r="E3664" i="10"/>
  <c r="H3787" i="10"/>
  <c r="I3787" i="10" s="1"/>
  <c r="J3787" i="10" s="1"/>
  <c r="F3788" i="10" s="1"/>
  <c r="H3977" i="10"/>
  <c r="I3977" i="10" s="1"/>
  <c r="J3977" i="10"/>
  <c r="F3978" i="10" s="1"/>
  <c r="J4195" i="10"/>
  <c r="F4196" i="10" s="1"/>
  <c r="X69" i="9"/>
  <c r="Y69" i="9" s="1"/>
  <c r="T66" i="6"/>
  <c r="I2074" i="10"/>
  <c r="J2074" i="10" s="1"/>
  <c r="F2075" i="10" s="1"/>
  <c r="Q67" i="6"/>
  <c r="AK67" i="6" s="1"/>
  <c r="I67" i="3"/>
  <c r="T67" i="3" s="1"/>
  <c r="AQ70" i="9"/>
  <c r="H1699" i="10"/>
  <c r="I1699" i="10" s="1"/>
  <c r="J1699" i="10" s="1"/>
  <c r="H3399" i="10"/>
  <c r="H5086" i="10"/>
  <c r="I5086" i="10" s="1"/>
  <c r="J5086" i="10" s="1"/>
  <c r="F5087" i="10" s="1"/>
  <c r="H235" i="10"/>
  <c r="I235" i="10" s="1"/>
  <c r="J235" i="10" s="1"/>
  <c r="F236" i="10" s="1"/>
  <c r="H5032" i="10"/>
  <c r="I5032" i="10" s="1"/>
  <c r="J5032" i="10" s="1"/>
  <c r="F5033" i="10" s="1"/>
  <c r="J2267" i="10"/>
  <c r="F2268" i="10" s="1"/>
  <c r="R66" i="9"/>
  <c r="O63" i="6"/>
  <c r="J528" i="10"/>
  <c r="F529" i="10" s="1"/>
  <c r="H528" i="10"/>
  <c r="I528" i="10" s="1"/>
  <c r="H1193" i="10"/>
  <c r="I646" i="10"/>
  <c r="J646" i="10" s="1"/>
  <c r="F647" i="10" s="1"/>
  <c r="Y79" i="9"/>
  <c r="T76" i="6"/>
  <c r="H5446" i="10"/>
  <c r="I5446" i="10" s="1"/>
  <c r="J5446" i="10" s="1"/>
  <c r="F5447" i="10" s="1"/>
  <c r="P74" i="9"/>
  <c r="I3718" i="10"/>
  <c r="G4583" i="10"/>
  <c r="G4579" i="10"/>
  <c r="G4575" i="10"/>
  <c r="G4571" i="10"/>
  <c r="G4584" i="10"/>
  <c r="G4580" i="10"/>
  <c r="G4576" i="10"/>
  <c r="G4572" i="10"/>
  <c r="H4569" i="10"/>
  <c r="G4585" i="10"/>
  <c r="G4581" i="10"/>
  <c r="G4577" i="10"/>
  <c r="G4573" i="10"/>
  <c r="G4569" i="10"/>
  <c r="I4569" i="10" s="1"/>
  <c r="J4569" i="10" s="1"/>
  <c r="F4570" i="10" s="1"/>
  <c r="G4578" i="10"/>
  <c r="G4586" i="10"/>
  <c r="G4574" i="10"/>
  <c r="G4582" i="10"/>
  <c r="G4570" i="10"/>
  <c r="H2124" i="10"/>
  <c r="I2124" i="10" s="1"/>
  <c r="J2124" i="10" s="1"/>
  <c r="F2125" i="10" s="1"/>
  <c r="X72" i="9"/>
  <c r="T69" i="6"/>
  <c r="H5588" i="10"/>
  <c r="I5588" i="10" s="1"/>
  <c r="J5588" i="10" s="1"/>
  <c r="H5378" i="10"/>
  <c r="I5378" i="10" s="1"/>
  <c r="J5378" i="10" s="1"/>
  <c r="F5379" i="10" s="1"/>
  <c r="G786" i="10"/>
  <c r="G784" i="10"/>
  <c r="G788" i="10"/>
  <c r="H784" i="10"/>
  <c r="G785" i="10"/>
  <c r="G787" i="10"/>
  <c r="S66" i="9"/>
  <c r="J3294" i="10"/>
  <c r="F3295" i="10" s="1"/>
  <c r="G580" i="10"/>
  <c r="G582" i="10"/>
  <c r="G579" i="10"/>
  <c r="G583" i="10"/>
  <c r="H579" i="10"/>
  <c r="G581" i="10"/>
  <c r="H3937" i="10"/>
  <c r="I3937" i="10" s="1"/>
  <c r="J3937" i="10"/>
  <c r="F3938" i="10" s="1"/>
  <c r="H4691" i="10"/>
  <c r="I4691" i="10" s="1"/>
  <c r="J4691" i="10" s="1"/>
  <c r="F4692" i="10" s="1"/>
  <c r="H3144" i="10"/>
  <c r="I3144" i="10" s="1"/>
  <c r="J3144" i="10" s="1"/>
  <c r="F3145" i="10" s="1"/>
  <c r="W43" i="9"/>
  <c r="H2467" i="10"/>
  <c r="I2467" i="10" s="1"/>
  <c r="J2467" i="10" s="1"/>
  <c r="F2468" i="10" s="1"/>
  <c r="U78" i="9"/>
  <c r="I32" i="10"/>
  <c r="J32" i="10" s="1"/>
  <c r="F33" i="10" s="1"/>
  <c r="L32" i="10"/>
  <c r="J2507" i="10"/>
  <c r="F2508" i="10" s="1"/>
  <c r="H4088" i="10"/>
  <c r="I4088" i="10" s="1"/>
  <c r="J4088" i="10" s="1"/>
  <c r="F4089" i="10" s="1"/>
  <c r="H1034" i="10"/>
  <c r="I1034" i="10" s="1"/>
  <c r="J1034" i="10" s="1"/>
  <c r="F1035" i="10" s="1"/>
  <c r="L69" i="10"/>
  <c r="D3734" i="10"/>
  <c r="E3733" i="10"/>
  <c r="J727" i="10"/>
  <c r="F728" i="10" s="1"/>
  <c r="H727" i="10"/>
  <c r="I2888" i="10"/>
  <c r="J2888" i="10" s="1"/>
  <c r="F2889" i="10" s="1"/>
  <c r="L2888" i="10"/>
  <c r="L2889" i="10" s="1"/>
  <c r="L2890" i="10" s="1"/>
  <c r="G69" i="10"/>
  <c r="I69" i="10" s="1"/>
  <c r="J69" i="10" s="1"/>
  <c r="F70" i="10" s="1"/>
  <c r="H69" i="10"/>
  <c r="G1820" i="10" l="1"/>
  <c r="G1819" i="10"/>
  <c r="H1819" i="10"/>
  <c r="H1078" i="10"/>
  <c r="H4089" i="10"/>
  <c r="I4089" i="10" s="1"/>
  <c r="J4089" i="10" s="1"/>
  <c r="F4090" i="10" s="1"/>
  <c r="H4692" i="10"/>
  <c r="I4692" i="10" s="1"/>
  <c r="J4692" i="10" s="1"/>
  <c r="F4693" i="10" s="1"/>
  <c r="H4388" i="10"/>
  <c r="I4388" i="10" s="1"/>
  <c r="J4388" i="10" s="1"/>
  <c r="F4389" i="10" s="1"/>
  <c r="H945" i="10"/>
  <c r="H3145" i="10"/>
  <c r="H3871" i="10"/>
  <c r="I3871" i="10" s="1"/>
  <c r="J3871" i="10" s="1"/>
  <c r="F3872" i="10" s="1"/>
  <c r="H5127" i="10"/>
  <c r="I5127" i="10" s="1"/>
  <c r="J5127" i="10"/>
  <c r="F5128" i="10" s="1"/>
  <c r="H1736" i="10"/>
  <c r="I1736" i="10" s="1"/>
  <c r="J1736" i="10" s="1"/>
  <c r="F1737" i="10" s="1"/>
  <c r="H1992" i="10"/>
  <c r="I1992" i="10" s="1"/>
  <c r="J1992" i="10" s="1"/>
  <c r="F1993" i="10" s="1"/>
  <c r="H1471" i="10"/>
  <c r="I1471" i="10" s="1"/>
  <c r="J1471" i="10" s="1"/>
  <c r="F1472" i="10" s="1"/>
  <c r="H2768" i="10"/>
  <c r="G2768" i="10"/>
  <c r="J1416" i="10"/>
  <c r="F1417" i="10" s="1"/>
  <c r="H1416" i="10"/>
  <c r="I1416" i="10" s="1"/>
  <c r="J4143" i="10"/>
  <c r="F4144" i="10" s="1"/>
  <c r="H4143" i="10"/>
  <c r="I4143" i="10" s="1"/>
  <c r="H3788" i="10"/>
  <c r="I3788" i="10" s="1"/>
  <c r="J3788" i="10"/>
  <c r="F3789" i="10" s="1"/>
  <c r="H4924" i="10"/>
  <c r="I4924" i="10" s="1"/>
  <c r="J4924" i="10" s="1"/>
  <c r="F4925" i="10" s="1"/>
  <c r="H3505" i="10"/>
  <c r="I3505" i="10" s="1"/>
  <c r="J3505" i="10" s="1"/>
  <c r="F3506" i="10" s="1"/>
  <c r="H1901" i="10"/>
  <c r="I1901" i="10" s="1"/>
  <c r="J1901" i="10" s="1"/>
  <c r="F1902" i="10" s="1"/>
  <c r="H986" i="10"/>
  <c r="I986" i="10" s="1"/>
  <c r="J986" i="10"/>
  <c r="F987" i="10" s="1"/>
  <c r="G70" i="10"/>
  <c r="H70" i="10"/>
  <c r="H5515" i="10"/>
  <c r="I5515" i="10" s="1"/>
  <c r="J5515" i="10"/>
  <c r="F5516" i="10" s="1"/>
  <c r="H4867" i="10"/>
  <c r="I4867" i="10" s="1"/>
  <c r="J4867" i="10" s="1"/>
  <c r="F4868" i="10" s="1"/>
  <c r="H2229" i="10"/>
  <c r="I2229" i="10" s="1"/>
  <c r="J2229" i="10" s="1"/>
  <c r="F2230" i="10" s="1"/>
  <c r="H5322" i="10"/>
  <c r="I5322" i="10" s="1"/>
  <c r="J5322" i="10" s="1"/>
  <c r="F5323" i="10" s="1"/>
  <c r="H4260" i="10"/>
  <c r="I4260" i="10" s="1"/>
  <c r="J4260" i="10" s="1"/>
  <c r="F4261" i="10" s="1"/>
  <c r="H2417" i="10"/>
  <c r="I2417" i="10" s="1"/>
  <c r="J2417" i="10" s="1"/>
  <c r="F2418" i="10" s="1"/>
  <c r="H3829" i="10"/>
  <c r="I3829" i="10" s="1"/>
  <c r="J3829" i="10" s="1"/>
  <c r="F3830" i="10" s="1"/>
  <c r="H4461" i="10"/>
  <c r="I4461" i="10" s="1"/>
  <c r="J4461" i="10" s="1"/>
  <c r="F4462" i="10" s="1"/>
  <c r="H1035" i="10"/>
  <c r="I1035" i="10" s="1"/>
  <c r="J1035" i="10" s="1"/>
  <c r="F1036" i="10" s="1"/>
  <c r="H4570" i="10"/>
  <c r="H2468" i="10"/>
  <c r="I2468" i="10" s="1"/>
  <c r="J2468" i="10"/>
  <c r="F2469" i="10" s="1"/>
  <c r="H2125" i="10"/>
  <c r="I2125" i="10" s="1"/>
  <c r="J2125" i="10" s="1"/>
  <c r="F2126" i="10" s="1"/>
  <c r="H5033" i="10"/>
  <c r="I5033" i="10" s="1"/>
  <c r="J5033" i="10" s="1"/>
  <c r="F5034" i="10" s="1"/>
  <c r="H2075" i="10"/>
  <c r="I2075" i="10" s="1"/>
  <c r="J2075" i="10" s="1"/>
  <c r="F2076" i="10" s="1"/>
  <c r="H1270" i="10"/>
  <c r="I1270" i="10" s="1"/>
  <c r="J1270" i="10" s="1"/>
  <c r="F1271" i="10" s="1"/>
  <c r="H2638" i="10"/>
  <c r="I2638" i="10" s="1"/>
  <c r="J2638" i="10" s="1"/>
  <c r="F2639" i="10" s="1"/>
  <c r="H2167" i="10"/>
  <c r="I2167" i="10" s="1"/>
  <c r="J2167" i="10" s="1"/>
  <c r="F2168" i="10" s="1"/>
  <c r="H3613" i="10"/>
  <c r="I3613" i="10" s="1"/>
  <c r="J3613" i="10" s="1"/>
  <c r="F3614" i="10" s="1"/>
  <c r="H5241" i="10"/>
  <c r="I5241" i="10" s="1"/>
  <c r="J5241" i="10" s="1"/>
  <c r="F5242" i="10" s="1"/>
  <c r="H4994" i="10"/>
  <c r="I4994" i="10" s="1"/>
  <c r="J4994" i="10"/>
  <c r="F4995" i="10" s="1"/>
  <c r="H4763" i="10"/>
  <c r="I4763" i="10" s="1"/>
  <c r="J4763" i="10"/>
  <c r="F4764" i="10" s="1"/>
  <c r="H5087" i="10"/>
  <c r="I5087" i="10" s="1"/>
  <c r="J5087" i="10" s="1"/>
  <c r="F5088" i="10" s="1"/>
  <c r="H5379" i="10"/>
  <c r="I5379" i="10" s="1"/>
  <c r="J5379" i="10"/>
  <c r="F5380" i="10" s="1"/>
  <c r="H5447" i="10"/>
  <c r="I5447" i="10" s="1"/>
  <c r="J5447" i="10"/>
  <c r="F5448" i="10" s="1"/>
  <c r="H236" i="10"/>
  <c r="I236" i="10" s="1"/>
  <c r="J236" i="10" s="1"/>
  <c r="F237" i="10" s="1"/>
  <c r="H3572" i="10"/>
  <c r="I3572" i="10" s="1"/>
  <c r="J3572" i="10"/>
  <c r="F3573" i="10" s="1"/>
  <c r="H1327" i="10"/>
  <c r="I1327" i="10" s="1"/>
  <c r="J1327" i="10" s="1"/>
  <c r="F1328" i="10" s="1"/>
  <c r="H2310" i="10"/>
  <c r="I2310" i="10" s="1"/>
  <c r="J2310" i="10" s="1"/>
  <c r="F2311" i="10" s="1"/>
  <c r="H4023" i="10"/>
  <c r="I4023" i="10" s="1"/>
  <c r="J4023" i="10" s="1"/>
  <c r="F4024" i="10" s="1"/>
  <c r="H2593" i="10"/>
  <c r="I2593" i="10" s="1"/>
  <c r="J2593" i="10" s="1"/>
  <c r="F2594" i="10" s="1"/>
  <c r="H4324" i="10"/>
  <c r="I4324" i="10" s="1"/>
  <c r="J4324" i="10"/>
  <c r="F4325" i="10" s="1"/>
  <c r="H33" i="10"/>
  <c r="G33" i="10"/>
  <c r="R63" i="6"/>
  <c r="T66" i="9"/>
  <c r="S63" i="6" s="1"/>
  <c r="I1193" i="10"/>
  <c r="J1193" i="10" s="1"/>
  <c r="F1194" i="10" s="1"/>
  <c r="D3666" i="10"/>
  <c r="E3665" i="10"/>
  <c r="J3295" i="10"/>
  <c r="F3296" i="10" s="1"/>
  <c r="H3295" i="10"/>
  <c r="I3295" i="10" s="1"/>
  <c r="J2847" i="10"/>
  <c r="F2848" i="10" s="1"/>
  <c r="H2847" i="10"/>
  <c r="I2847" i="10" s="1"/>
  <c r="H4196" i="10"/>
  <c r="P62" i="9"/>
  <c r="I3104" i="10"/>
  <c r="H2727" i="10"/>
  <c r="I2727" i="10" s="1"/>
  <c r="J2727" i="10" s="1"/>
  <c r="H2679" i="10"/>
  <c r="I2679" i="10" s="1"/>
  <c r="J2679" i="10"/>
  <c r="F2680" i="10" s="1"/>
  <c r="I784" i="10"/>
  <c r="J784" i="10" s="1"/>
  <c r="F785" i="10" s="1"/>
  <c r="T75" i="6"/>
  <c r="X78" i="9"/>
  <c r="I579" i="10"/>
  <c r="L579" i="10"/>
  <c r="L580" i="10" s="1"/>
  <c r="L581" i="10" s="1"/>
  <c r="L582" i="10" s="1"/>
  <c r="L583" i="10" s="1"/>
  <c r="I4570" i="10"/>
  <c r="J4570" i="10" s="1"/>
  <c r="F4571" i="10" s="1"/>
  <c r="E3879" i="10"/>
  <c r="D3880" i="10"/>
  <c r="H647" i="10"/>
  <c r="G647" i="10"/>
  <c r="G649" i="10"/>
  <c r="G648" i="10"/>
  <c r="G650" i="10"/>
  <c r="H529" i="10"/>
  <c r="I529" i="10" s="1"/>
  <c r="J529" i="10" s="1"/>
  <c r="F530" i="10" s="1"/>
  <c r="H3978" i="10"/>
  <c r="I3978" i="10" s="1"/>
  <c r="J3978" i="10"/>
  <c r="F3979" i="10" s="1"/>
  <c r="H3657" i="10"/>
  <c r="I3657" i="10" s="1"/>
  <c r="J3657" i="10" s="1"/>
  <c r="F3658" i="10" s="1"/>
  <c r="J5154" i="10"/>
  <c r="F5155" i="10" s="1"/>
  <c r="H5154" i="10"/>
  <c r="I5154" i="10" s="1"/>
  <c r="J2966" i="10"/>
  <c r="F2967" i="10" s="1"/>
  <c r="H2966" i="10"/>
  <c r="I2966" i="10" s="1"/>
  <c r="H1947" i="10"/>
  <c r="I1947" i="10" s="1"/>
  <c r="J1947" i="10" s="1"/>
  <c r="F1948" i="10" s="1"/>
  <c r="J3467" i="10"/>
  <c r="F3468" i="10" s="1"/>
  <c r="H3467" i="10"/>
  <c r="I3467" i="10" s="1"/>
  <c r="P64" i="9"/>
  <c r="I3188" i="10"/>
  <c r="J3188" i="10" s="1"/>
  <c r="F3189" i="10" s="1"/>
  <c r="J4799" i="10"/>
  <c r="F4800" i="10" s="1"/>
  <c r="H4799" i="10"/>
  <c r="I4799" i="10" s="1"/>
  <c r="G728" i="10"/>
  <c r="H728" i="10"/>
  <c r="J2346" i="10"/>
  <c r="F2347" i="10" s="1"/>
  <c r="H2346" i="10"/>
  <c r="I2346" i="10" s="1"/>
  <c r="L392" i="10"/>
  <c r="L393" i="10" s="1"/>
  <c r="I392" i="10"/>
  <c r="J392" i="10" s="1"/>
  <c r="F393" i="10" s="1"/>
  <c r="O71" i="6"/>
  <c r="R74" i="9"/>
  <c r="L1819" i="10"/>
  <c r="L1820" i="10" s="1"/>
  <c r="H2889" i="10"/>
  <c r="I2889" i="10" s="1"/>
  <c r="J2889" i="10" s="1"/>
  <c r="F2890" i="10" s="1"/>
  <c r="AQ66" i="9"/>
  <c r="I63" i="3"/>
  <c r="T63" i="3" s="1"/>
  <c r="Q63" i="6"/>
  <c r="AK63" i="6" s="1"/>
  <c r="H3013" i="10"/>
  <c r="P67" i="9"/>
  <c r="I3334" i="10"/>
  <c r="J3334" i="10" s="1"/>
  <c r="F3335" i="10" s="1"/>
  <c r="H4621" i="10"/>
  <c r="I4621" i="10" s="1"/>
  <c r="J4621" i="10" s="1"/>
  <c r="F4622" i="10" s="1"/>
  <c r="H3938" i="10"/>
  <c r="I3938" i="10" s="1"/>
  <c r="J3938" i="10"/>
  <c r="F3939" i="10" s="1"/>
  <c r="D3735" i="10"/>
  <c r="E3734" i="10"/>
  <c r="H2508" i="10"/>
  <c r="I2508" i="10" s="1"/>
  <c r="J2508" i="10"/>
  <c r="F2509" i="10" s="1"/>
  <c r="S74" i="9"/>
  <c r="J3718" i="10"/>
  <c r="F3719" i="10" s="1"/>
  <c r="J2268" i="10"/>
  <c r="F2269" i="10" s="1"/>
  <c r="H2268" i="10"/>
  <c r="I2268" i="10" s="1"/>
  <c r="P68" i="9"/>
  <c r="I3399" i="10"/>
  <c r="H310" i="10"/>
  <c r="I310" i="10" s="1"/>
  <c r="J310" i="10" s="1"/>
  <c r="F311" i="10" s="1"/>
  <c r="I433" i="10"/>
  <c r="J433" i="10" s="1"/>
  <c r="F434" i="10" s="1"/>
  <c r="L433" i="10"/>
  <c r="L434" i="10" s="1"/>
  <c r="H3658" i="10" l="1"/>
  <c r="I3658" i="10" s="1"/>
  <c r="J3658" i="10"/>
  <c r="F3659" i="10" s="1"/>
  <c r="H1271" i="10"/>
  <c r="I1271" i="10" s="1"/>
  <c r="J1271" i="10" s="1"/>
  <c r="F1272" i="10" s="1"/>
  <c r="H4462" i="10"/>
  <c r="I4462" i="10" s="1"/>
  <c r="J4462" i="10" s="1"/>
  <c r="F4463" i="10" s="1"/>
  <c r="G1483" i="10"/>
  <c r="G1479" i="10"/>
  <c r="H1472" i="10"/>
  <c r="G1472" i="10"/>
  <c r="G1484" i="10"/>
  <c r="G1480" i="10"/>
  <c r="G1473" i="10"/>
  <c r="G1474" i="10"/>
  <c r="G1481" i="10"/>
  <c r="G1475" i="10"/>
  <c r="G1482" i="10"/>
  <c r="G1478" i="10"/>
  <c r="G1477" i="10"/>
  <c r="G1476" i="10"/>
  <c r="J4389" i="10"/>
  <c r="F4390" i="10" s="1"/>
  <c r="H4389" i="10"/>
  <c r="I4389" i="10" s="1"/>
  <c r="J2076" i="10"/>
  <c r="F2077" i="10" s="1"/>
  <c r="H2076" i="10"/>
  <c r="I2076" i="10" s="1"/>
  <c r="H1993" i="10"/>
  <c r="H4693" i="10"/>
  <c r="I4693" i="10" s="1"/>
  <c r="J4693" i="10" s="1"/>
  <c r="F4694" i="10" s="1"/>
  <c r="H2639" i="10"/>
  <c r="J2418" i="10"/>
  <c r="F2419" i="10" s="1"/>
  <c r="H2418" i="10"/>
  <c r="I2418" i="10" s="1"/>
  <c r="H1737" i="10"/>
  <c r="I1737" i="10" s="1"/>
  <c r="J1737" i="10" s="1"/>
  <c r="F1738" i="10" s="1"/>
  <c r="J4090" i="10"/>
  <c r="F4091" i="10" s="1"/>
  <c r="H4090" i="10"/>
  <c r="I4090" i="10" s="1"/>
  <c r="H5088" i="10"/>
  <c r="I5088" i="10" s="1"/>
  <c r="J5088" i="10" s="1"/>
  <c r="F5089" i="10" s="1"/>
  <c r="J3830" i="10"/>
  <c r="F3831" i="10" s="1"/>
  <c r="H3830" i="10"/>
  <c r="I3830" i="10" s="1"/>
  <c r="H4571" i="10"/>
  <c r="I4571" i="10" s="1"/>
  <c r="J4571" i="10" s="1"/>
  <c r="F4572" i="10" s="1"/>
  <c r="J4261" i="10"/>
  <c r="F4262" i="10" s="1"/>
  <c r="H4261" i="10"/>
  <c r="I4261" i="10" s="1"/>
  <c r="H4925" i="10"/>
  <c r="I4925" i="10" s="1"/>
  <c r="J4925" i="10" s="1"/>
  <c r="F4926" i="10" s="1"/>
  <c r="J2890" i="10"/>
  <c r="F2891" i="10" s="1"/>
  <c r="H2890" i="10"/>
  <c r="I2890" i="10" s="1"/>
  <c r="H4622" i="10"/>
  <c r="I4622" i="10" s="1"/>
  <c r="J4622" i="10" s="1"/>
  <c r="F4623" i="10" s="1"/>
  <c r="J2594" i="10"/>
  <c r="F2595" i="10" s="1"/>
  <c r="H2594" i="10"/>
  <c r="I2594" i="10" s="1"/>
  <c r="J5242" i="10"/>
  <c r="F5243" i="10" s="1"/>
  <c r="H5242" i="10"/>
  <c r="I5242" i="10" s="1"/>
  <c r="H5323" i="10"/>
  <c r="I5323" i="10" s="1"/>
  <c r="J5323" i="10" s="1"/>
  <c r="F5324" i="10" s="1"/>
  <c r="H1328" i="10"/>
  <c r="I1328" i="10" s="1"/>
  <c r="J1328" i="10" s="1"/>
  <c r="F1329" i="10" s="1"/>
  <c r="J5034" i="10"/>
  <c r="F5035" i="10" s="1"/>
  <c r="H5034" i="10"/>
  <c r="I5034" i="10" s="1"/>
  <c r="G537" i="10"/>
  <c r="G530" i="10"/>
  <c r="I530" i="10" s="1"/>
  <c r="J530" i="10" s="1"/>
  <c r="F531" i="10" s="1"/>
  <c r="G547" i="10"/>
  <c r="G533" i="10"/>
  <c r="G543" i="10"/>
  <c r="G539" i="10"/>
  <c r="G548" i="10"/>
  <c r="G546" i="10"/>
  <c r="G535" i="10"/>
  <c r="G544" i="10"/>
  <c r="G531" i="10"/>
  <c r="G540" i="10"/>
  <c r="G549" i="10"/>
  <c r="G538" i="10"/>
  <c r="G536" i="10"/>
  <c r="G545" i="10"/>
  <c r="G534" i="10"/>
  <c r="G542" i="10"/>
  <c r="G532" i="10"/>
  <c r="G541" i="10"/>
  <c r="H530" i="10"/>
  <c r="H4024" i="10"/>
  <c r="I4024" i="10" s="1"/>
  <c r="J4024" i="10" s="1"/>
  <c r="F4025" i="10" s="1"/>
  <c r="H3614" i="10"/>
  <c r="I3614" i="10" s="1"/>
  <c r="J3614" i="10" s="1"/>
  <c r="F3615" i="10" s="1"/>
  <c r="J2230" i="10"/>
  <c r="F2231" i="10" s="1"/>
  <c r="H2230" i="10"/>
  <c r="I2230" i="10" s="1"/>
  <c r="H1902" i="10"/>
  <c r="J3872" i="10"/>
  <c r="F3873" i="10" s="1"/>
  <c r="H3872" i="10"/>
  <c r="I3872" i="10" s="1"/>
  <c r="J311" i="10"/>
  <c r="F312" i="10" s="1"/>
  <c r="H311" i="10"/>
  <c r="I311" i="10" s="1"/>
  <c r="J1036" i="10"/>
  <c r="F1037" i="10" s="1"/>
  <c r="H1036" i="10"/>
  <c r="I1036" i="10" s="1"/>
  <c r="G238" i="10"/>
  <c r="G239" i="10"/>
  <c r="H206" i="10"/>
  <c r="H212" i="10" s="1"/>
  <c r="H237" i="10"/>
  <c r="G237" i="10"/>
  <c r="H1948" i="10"/>
  <c r="H2126" i="10"/>
  <c r="H2311" i="10"/>
  <c r="I2311" i="10" s="1"/>
  <c r="J2311" i="10" s="1"/>
  <c r="F2312" i="10" s="1"/>
  <c r="J2168" i="10"/>
  <c r="F2169" i="10" s="1"/>
  <c r="H2168" i="10"/>
  <c r="I2168" i="10" s="1"/>
  <c r="H4868" i="10"/>
  <c r="I4868" i="10" s="1"/>
  <c r="J4868" i="10" s="1"/>
  <c r="F4869" i="10" s="1"/>
  <c r="H3506" i="10"/>
  <c r="I3506" i="10" s="1"/>
  <c r="J3506" i="10" s="1"/>
  <c r="F3507" i="10" s="1"/>
  <c r="H2680" i="10"/>
  <c r="I2680" i="10" s="1"/>
  <c r="J2680" i="10" s="1"/>
  <c r="F2681" i="10" s="1"/>
  <c r="H5516" i="10"/>
  <c r="I5516" i="10" s="1"/>
  <c r="J5516" i="10"/>
  <c r="F5517" i="10" s="1"/>
  <c r="H4144" i="10"/>
  <c r="I4144" i="10" s="1"/>
  <c r="J4144" i="10" s="1"/>
  <c r="F4145" i="10" s="1"/>
  <c r="P63" i="9"/>
  <c r="I3145" i="10"/>
  <c r="J3719" i="10"/>
  <c r="F3720" i="10" s="1"/>
  <c r="H3719" i="10"/>
  <c r="I3719" i="10" s="1"/>
  <c r="E3735" i="10"/>
  <c r="D3736" i="10"/>
  <c r="I71" i="3"/>
  <c r="T71" i="3" s="1"/>
  <c r="Q71" i="6"/>
  <c r="AK71" i="6" s="1"/>
  <c r="AQ74" i="9"/>
  <c r="H3189" i="10"/>
  <c r="I3189" i="10" s="1"/>
  <c r="J3189" i="10" s="1"/>
  <c r="F3190" i="10" s="1"/>
  <c r="J579" i="10"/>
  <c r="F580" i="10" s="1"/>
  <c r="H4800" i="10"/>
  <c r="I4800" i="10" s="1"/>
  <c r="J4800" i="10"/>
  <c r="F4801" i="10" s="1"/>
  <c r="R64" i="9"/>
  <c r="O61" i="6"/>
  <c r="H5155" i="10"/>
  <c r="I5155" i="10" s="1"/>
  <c r="J5155" i="10" s="1"/>
  <c r="F5156" i="10" s="1"/>
  <c r="H2848" i="10"/>
  <c r="I2848" i="10" s="1"/>
  <c r="J2848" i="10" s="1"/>
  <c r="F2849" i="10" s="1"/>
  <c r="H5448" i="10"/>
  <c r="I5448" i="10" s="1"/>
  <c r="J5448" i="10" s="1"/>
  <c r="F5449" i="10" s="1"/>
  <c r="H4995" i="10"/>
  <c r="I4995" i="10" s="1"/>
  <c r="J4995" i="10" s="1"/>
  <c r="F4996" i="10" s="1"/>
  <c r="H1417" i="10"/>
  <c r="I1417" i="10" s="1"/>
  <c r="J1417" i="10" s="1"/>
  <c r="F1418" i="10" s="1"/>
  <c r="I945" i="10"/>
  <c r="J945" i="10" s="1"/>
  <c r="T20" i="9"/>
  <c r="P20" i="9"/>
  <c r="I1078" i="10"/>
  <c r="J1078" i="10" s="1"/>
  <c r="P17" i="9"/>
  <c r="O14" i="6" s="1"/>
  <c r="J2967" i="10"/>
  <c r="F2968" i="10" s="1"/>
  <c r="H2967" i="10"/>
  <c r="I2967" i="10" s="1"/>
  <c r="J393" i="10"/>
  <c r="F394" i="10" s="1"/>
  <c r="H393" i="10"/>
  <c r="I393" i="10" s="1"/>
  <c r="D3881" i="10"/>
  <c r="E3880" i="10"/>
  <c r="I70" i="10"/>
  <c r="J70" i="10" s="1"/>
  <c r="F71" i="10" s="1"/>
  <c r="I2768" i="10"/>
  <c r="J2768" i="10" s="1"/>
  <c r="F2769" i="10" s="1"/>
  <c r="J1194" i="10"/>
  <c r="F1195" i="10" s="1"/>
  <c r="H1194" i="10"/>
  <c r="I1194" i="10" s="1"/>
  <c r="R71" i="6"/>
  <c r="T74" i="9"/>
  <c r="S71" i="6" s="1"/>
  <c r="H3468" i="10"/>
  <c r="I3468" i="10" s="1"/>
  <c r="J3468" i="10" s="1"/>
  <c r="F3469" i="10" s="1"/>
  <c r="S62" i="9"/>
  <c r="J3104" i="10"/>
  <c r="F3105" i="10" s="1"/>
  <c r="H3296" i="10"/>
  <c r="I3296" i="10" s="1"/>
  <c r="J3296" i="10" s="1"/>
  <c r="F3297" i="10" s="1"/>
  <c r="H4325" i="10"/>
  <c r="I4325" i="10" s="1"/>
  <c r="J4325" i="10"/>
  <c r="F4326" i="10" s="1"/>
  <c r="H5380" i="10"/>
  <c r="I5380" i="10" s="1"/>
  <c r="J5380" i="10" s="1"/>
  <c r="F5381" i="10" s="1"/>
  <c r="H2469" i="10"/>
  <c r="I2469" i="10" s="1"/>
  <c r="J2469" i="10"/>
  <c r="F2470" i="10" s="1"/>
  <c r="H5128" i="10"/>
  <c r="I5128" i="10" s="1"/>
  <c r="J5128" i="10" s="1"/>
  <c r="F5129" i="10" s="1"/>
  <c r="J3335" i="10"/>
  <c r="F3336" i="10" s="1"/>
  <c r="H3335" i="10"/>
  <c r="I3335" i="10" s="1"/>
  <c r="H3939" i="10"/>
  <c r="I3939" i="10" s="1"/>
  <c r="J3939" i="10"/>
  <c r="F3940" i="10" s="1"/>
  <c r="S68" i="9"/>
  <c r="J3399" i="10"/>
  <c r="F3400" i="10" s="1"/>
  <c r="O59" i="6"/>
  <c r="R62" i="9"/>
  <c r="U66" i="9"/>
  <c r="H987" i="10"/>
  <c r="I987" i="10" s="1"/>
  <c r="J987" i="10" s="1"/>
  <c r="F988" i="10" s="1"/>
  <c r="H3789" i="10"/>
  <c r="I3789" i="10" s="1"/>
  <c r="J3789" i="10" s="1"/>
  <c r="F3790" i="10" s="1"/>
  <c r="I1819" i="10"/>
  <c r="J1819" i="10" s="1"/>
  <c r="F1820" i="10" s="1"/>
  <c r="P61" i="9"/>
  <c r="I3013" i="10"/>
  <c r="H434" i="10"/>
  <c r="I434" i="10" s="1"/>
  <c r="J434" i="10" s="1"/>
  <c r="F435" i="10" s="1"/>
  <c r="I728" i="10"/>
  <c r="J728" i="10" s="1"/>
  <c r="F729" i="10" s="1"/>
  <c r="L728" i="10"/>
  <c r="O65" i="6"/>
  <c r="R68" i="9"/>
  <c r="H3979" i="10"/>
  <c r="I3979" i="10" s="1"/>
  <c r="J3979" i="10" s="1"/>
  <c r="F3980" i="10" s="1"/>
  <c r="H785" i="10"/>
  <c r="I785" i="10" s="1"/>
  <c r="J785" i="10" s="1"/>
  <c r="F786" i="10" s="1"/>
  <c r="P83" i="9"/>
  <c r="I4196" i="10"/>
  <c r="T83" i="9"/>
  <c r="S80" i="6" s="1"/>
  <c r="E3666" i="10"/>
  <c r="D3667" i="10"/>
  <c r="H3573" i="10"/>
  <c r="I3573" i="10" s="1"/>
  <c r="J3573" i="10" s="1"/>
  <c r="F3574" i="10" s="1"/>
  <c r="H2269" i="10"/>
  <c r="I2269" i="10" s="1"/>
  <c r="J2269" i="10"/>
  <c r="F2270" i="10" s="1"/>
  <c r="H4764" i="10"/>
  <c r="I4764" i="10" s="1"/>
  <c r="J4764" i="10" s="1"/>
  <c r="F4765" i="10" s="1"/>
  <c r="O64" i="6"/>
  <c r="R67" i="9"/>
  <c r="H2509" i="10"/>
  <c r="I2509" i="10" s="1"/>
  <c r="J2509" i="10"/>
  <c r="F2510" i="10" s="1"/>
  <c r="G2347" i="10"/>
  <c r="G2348" i="10"/>
  <c r="G2349" i="10"/>
  <c r="H2347" i="10"/>
  <c r="I647" i="10"/>
  <c r="J647" i="10" s="1"/>
  <c r="F648" i="10" s="1"/>
  <c r="L70" i="10"/>
  <c r="M32" i="10"/>
  <c r="I33" i="10"/>
  <c r="J33" i="10" s="1"/>
  <c r="F34" i="10" s="1"/>
  <c r="H2312" i="10" l="1"/>
  <c r="I2312" i="10" s="1"/>
  <c r="J2312" i="10" s="1"/>
  <c r="F2313" i="10" s="1"/>
  <c r="H4694" i="10"/>
  <c r="I4694" i="10" s="1"/>
  <c r="J4694" i="10" s="1"/>
  <c r="F4695" i="10" s="1"/>
  <c r="H5129" i="10"/>
  <c r="I5129" i="10" s="1"/>
  <c r="J5129" i="10" s="1"/>
  <c r="H3615" i="10"/>
  <c r="I3615" i="10" s="1"/>
  <c r="J3615" i="10" s="1"/>
  <c r="F3616" i="10" s="1"/>
  <c r="H5089" i="10"/>
  <c r="I5089" i="10" s="1"/>
  <c r="J5089" i="10" s="1"/>
  <c r="H4145" i="10"/>
  <c r="I4145" i="10" s="1"/>
  <c r="J4145" i="10" s="1"/>
  <c r="F4146" i="10" s="1"/>
  <c r="H4025" i="10"/>
  <c r="I4025" i="10" s="1"/>
  <c r="J4025" i="10" s="1"/>
  <c r="F4026" i="10" s="1"/>
  <c r="H1329" i="10"/>
  <c r="I1329" i="10" s="1"/>
  <c r="J1329" i="10" s="1"/>
  <c r="F1330" i="10" s="1"/>
  <c r="G435" i="10"/>
  <c r="H435" i="10"/>
  <c r="H4765" i="10"/>
  <c r="I4765" i="10" s="1"/>
  <c r="J4765" i="10" s="1"/>
  <c r="H2681" i="10"/>
  <c r="J5324" i="10"/>
  <c r="F5325" i="10" s="1"/>
  <c r="H5324" i="10"/>
  <c r="I5324" i="10" s="1"/>
  <c r="H4926" i="10"/>
  <c r="I4926" i="10" s="1"/>
  <c r="J4926" i="10" s="1"/>
  <c r="F4927" i="10" s="1"/>
  <c r="H786" i="10"/>
  <c r="I786" i="10" s="1"/>
  <c r="J786" i="10" s="1"/>
  <c r="F787" i="10" s="1"/>
  <c r="J1738" i="10"/>
  <c r="F1739" i="10" s="1"/>
  <c r="H1738" i="10"/>
  <c r="I1738" i="10" s="1"/>
  <c r="H4463" i="10"/>
  <c r="I4463" i="10" s="1"/>
  <c r="J4463" i="10" s="1"/>
  <c r="F4464" i="10" s="1"/>
  <c r="H5156" i="10"/>
  <c r="I5156" i="10" s="1"/>
  <c r="J5156" i="10" s="1"/>
  <c r="F5157" i="10" s="1"/>
  <c r="H5381" i="10"/>
  <c r="I5381" i="10" s="1"/>
  <c r="J5381" i="10" s="1"/>
  <c r="F5382" i="10" s="1"/>
  <c r="H3980" i="10"/>
  <c r="I3980" i="10" s="1"/>
  <c r="J3980" i="10"/>
  <c r="F3981" i="10" s="1"/>
  <c r="H4996" i="10"/>
  <c r="I4996" i="10" s="1"/>
  <c r="J4996" i="10" s="1"/>
  <c r="F4997" i="10" s="1"/>
  <c r="H4869" i="10"/>
  <c r="I4869" i="10" s="1"/>
  <c r="J4869" i="10" s="1"/>
  <c r="F4870" i="10" s="1"/>
  <c r="H1272" i="10"/>
  <c r="I1272" i="10" s="1"/>
  <c r="J1272" i="10" s="1"/>
  <c r="F1273" i="10" s="1"/>
  <c r="H4623" i="10"/>
  <c r="I4623" i="10" s="1"/>
  <c r="J4623" i="10" s="1"/>
  <c r="F4624" i="10" s="1"/>
  <c r="H1418" i="10"/>
  <c r="I1418" i="10" s="1"/>
  <c r="J1418" i="10"/>
  <c r="F1419" i="10" s="1"/>
  <c r="H3790" i="10"/>
  <c r="I3790" i="10" s="1"/>
  <c r="J3790" i="10" s="1"/>
  <c r="F3791" i="10" s="1"/>
  <c r="H5449" i="10"/>
  <c r="I5449" i="10" s="1"/>
  <c r="J5449" i="10" s="1"/>
  <c r="F5450" i="10" s="1"/>
  <c r="H3190" i="10"/>
  <c r="I3190" i="10" s="1"/>
  <c r="J3190" i="10"/>
  <c r="F3191" i="10" s="1"/>
  <c r="H531" i="10"/>
  <c r="H4572" i="10"/>
  <c r="I4572" i="10" s="1"/>
  <c r="J4572" i="10"/>
  <c r="F4573" i="10" s="1"/>
  <c r="H3469" i="10"/>
  <c r="I3469" i="10" s="1"/>
  <c r="J3469" i="10" s="1"/>
  <c r="F3470" i="10" s="1"/>
  <c r="H3507" i="10"/>
  <c r="I3507" i="10" s="1"/>
  <c r="J3507" i="10" s="1"/>
  <c r="F3508" i="10" s="1"/>
  <c r="H3574" i="10"/>
  <c r="I3574" i="10" s="1"/>
  <c r="J3574" i="10" s="1"/>
  <c r="F3575" i="10" s="1"/>
  <c r="H988" i="10"/>
  <c r="I988" i="10" s="1"/>
  <c r="J988" i="10" s="1"/>
  <c r="F989" i="10" s="1"/>
  <c r="H3297" i="10"/>
  <c r="I3297" i="10" s="1"/>
  <c r="J3297" i="10" s="1"/>
  <c r="F3298" i="10" s="1"/>
  <c r="H2849" i="10"/>
  <c r="I2849" i="10" s="1"/>
  <c r="J2849" i="10" s="1"/>
  <c r="F2850" i="10" s="1"/>
  <c r="H580" i="10"/>
  <c r="I580" i="10" s="1"/>
  <c r="J580" i="10" s="1"/>
  <c r="F581" i="10" s="1"/>
  <c r="H2077" i="10"/>
  <c r="I2077" i="10" s="1"/>
  <c r="J2077" i="10" s="1"/>
  <c r="F2078" i="10" s="1"/>
  <c r="Q65" i="6"/>
  <c r="AK65" i="6" s="1"/>
  <c r="I65" i="3"/>
  <c r="T65" i="3" s="1"/>
  <c r="AQ68" i="9"/>
  <c r="H1820" i="10"/>
  <c r="I1820" i="10" s="1"/>
  <c r="J1820" i="10" s="1"/>
  <c r="F1821" i="10" s="1"/>
  <c r="L237" i="10"/>
  <c r="I237" i="10"/>
  <c r="J237" i="10" s="1"/>
  <c r="F238" i="10" s="1"/>
  <c r="H3336" i="10"/>
  <c r="I3336" i="10" s="1"/>
  <c r="J3336" i="10" s="1"/>
  <c r="F3337" i="10" s="1"/>
  <c r="H2419" i="10"/>
  <c r="I2419" i="10" s="1"/>
  <c r="J2419" i="10" s="1"/>
  <c r="F2420" i="10" s="1"/>
  <c r="H2270" i="10"/>
  <c r="I2270" i="10" s="1"/>
  <c r="J2270" i="10"/>
  <c r="F2271" i="10" s="1"/>
  <c r="H3400" i="10"/>
  <c r="I3400" i="10" s="1"/>
  <c r="J3400" i="10" s="1"/>
  <c r="F3401" i="10" s="1"/>
  <c r="U74" i="9"/>
  <c r="H394" i="10"/>
  <c r="P10" i="9" s="1"/>
  <c r="G394" i="10"/>
  <c r="H3720" i="10"/>
  <c r="I3720" i="10" s="1"/>
  <c r="J3720" i="10" s="1"/>
  <c r="F3721" i="10" s="1"/>
  <c r="H2169" i="10"/>
  <c r="I2169" i="10" s="1"/>
  <c r="J2169" i="10" s="1"/>
  <c r="F2170" i="10" s="1"/>
  <c r="H312" i="10"/>
  <c r="I312" i="10" s="1"/>
  <c r="J312" i="10"/>
  <c r="F313" i="10" s="1"/>
  <c r="H5243" i="10"/>
  <c r="I5243" i="10" s="1"/>
  <c r="J5243" i="10" s="1"/>
  <c r="F5244" i="10" s="1"/>
  <c r="P54" i="9"/>
  <c r="I2639" i="10"/>
  <c r="H4390" i="10"/>
  <c r="I4390" i="10" s="1"/>
  <c r="J4390" i="10"/>
  <c r="F4391" i="10" s="1"/>
  <c r="L1474" i="10"/>
  <c r="L1475" i="10" s="1"/>
  <c r="L1476" i="10" s="1"/>
  <c r="L1477" i="10" s="1"/>
  <c r="U20" i="9"/>
  <c r="S17" i="6"/>
  <c r="H2891" i="10"/>
  <c r="G2891" i="10"/>
  <c r="O80" i="6"/>
  <c r="R83" i="9"/>
  <c r="R65" i="6"/>
  <c r="T68" i="9"/>
  <c r="S65" i="6" s="1"/>
  <c r="L1473" i="10"/>
  <c r="O58" i="6"/>
  <c r="R61" i="9"/>
  <c r="D3882" i="10"/>
  <c r="E3881" i="10"/>
  <c r="H2470" i="10"/>
  <c r="I2470" i="10" s="1"/>
  <c r="J2470" i="10" s="1"/>
  <c r="F2471" i="10" s="1"/>
  <c r="H3105" i="10"/>
  <c r="I3105" i="10" s="1"/>
  <c r="J3105" i="10" s="1"/>
  <c r="F3106" i="10" s="1"/>
  <c r="J1195" i="10"/>
  <c r="F1196" i="10" s="1"/>
  <c r="H1195" i="10"/>
  <c r="I1195" i="10" s="1"/>
  <c r="J2968" i="10"/>
  <c r="F2969" i="10" s="1"/>
  <c r="H2968" i="10"/>
  <c r="I2968" i="10" s="1"/>
  <c r="S63" i="9"/>
  <c r="J3145" i="10"/>
  <c r="F3146" i="10" s="1"/>
  <c r="H3873" i="10"/>
  <c r="I3873" i="10" s="1"/>
  <c r="J3873" i="10" s="1"/>
  <c r="F3874" i="10" s="1"/>
  <c r="H5035" i="10"/>
  <c r="I5035" i="10" s="1"/>
  <c r="J5035" i="10" s="1"/>
  <c r="F5036" i="10" s="1"/>
  <c r="H2595" i="10"/>
  <c r="I2595" i="10" s="1"/>
  <c r="J2595" i="10" s="1"/>
  <c r="F2596" i="10" s="1"/>
  <c r="H4262" i="10"/>
  <c r="I4262" i="10" s="1"/>
  <c r="J4262" i="10" s="1"/>
  <c r="F4263" i="10" s="1"/>
  <c r="H4091" i="10"/>
  <c r="I4091" i="10" s="1"/>
  <c r="J4091" i="10" s="1"/>
  <c r="F4092" i="10" s="1"/>
  <c r="S83" i="9"/>
  <c r="J4196" i="10"/>
  <c r="F4197" i="10" s="1"/>
  <c r="H648" i="10"/>
  <c r="I648" i="10" s="1"/>
  <c r="J648" i="10" s="1"/>
  <c r="F649" i="10" s="1"/>
  <c r="H3940" i="10"/>
  <c r="I3940" i="10" s="1"/>
  <c r="J3940" i="10"/>
  <c r="F3941" i="10" s="1"/>
  <c r="R59" i="6"/>
  <c r="T62" i="9"/>
  <c r="S59" i="6" s="1"/>
  <c r="H2769" i="10"/>
  <c r="G2769" i="10"/>
  <c r="I2769" i="10" s="1"/>
  <c r="J2769" i="10" s="1"/>
  <c r="F2770" i="10" s="1"/>
  <c r="I61" i="3"/>
  <c r="T61" i="3" s="1"/>
  <c r="Q61" i="6"/>
  <c r="AK61" i="6" s="1"/>
  <c r="AQ64" i="9"/>
  <c r="O60" i="6"/>
  <c r="R63" i="9"/>
  <c r="I2126" i="10"/>
  <c r="J2126" i="10" s="1"/>
  <c r="P44" i="9"/>
  <c r="O41" i="6" s="1"/>
  <c r="L239" i="10"/>
  <c r="P39" i="9"/>
  <c r="I1902" i="10"/>
  <c r="J1902" i="10" s="1"/>
  <c r="P41" i="9"/>
  <c r="O38" i="6" s="1"/>
  <c r="I1993" i="10"/>
  <c r="J1993" i="10" s="1"/>
  <c r="H2231" i="10"/>
  <c r="I2231" i="10" s="1"/>
  <c r="J2231" i="10"/>
  <c r="F2232" i="10" s="1"/>
  <c r="H3831" i="10"/>
  <c r="I3831" i="10" s="1"/>
  <c r="J3831" i="10" s="1"/>
  <c r="F3832" i="10" s="1"/>
  <c r="I2347" i="10"/>
  <c r="J2347" i="10" s="1"/>
  <c r="F2348" i="10" s="1"/>
  <c r="L2347" i="10"/>
  <c r="L2348" i="10" s="1"/>
  <c r="L2349" i="10" s="1"/>
  <c r="H2510" i="10"/>
  <c r="I2510" i="10" s="1"/>
  <c r="J2510" i="10" s="1"/>
  <c r="F2511" i="10" s="1"/>
  <c r="T63" i="6"/>
  <c r="W66" i="9"/>
  <c r="X66" i="9" s="1"/>
  <c r="Y66" i="9" s="1"/>
  <c r="H71" i="10"/>
  <c r="G71" i="10"/>
  <c r="L71" i="10" s="1"/>
  <c r="L72" i="10" s="1"/>
  <c r="G72" i="10"/>
  <c r="H4801" i="10"/>
  <c r="I4801" i="10" s="1"/>
  <c r="J4801" i="10" s="1"/>
  <c r="F4802" i="10" s="1"/>
  <c r="L238" i="10"/>
  <c r="I1472" i="10"/>
  <c r="J1472" i="10" s="1"/>
  <c r="F1473" i="10" s="1"/>
  <c r="L1472" i="10"/>
  <c r="H3659" i="10"/>
  <c r="I3659" i="10" s="1"/>
  <c r="J3659" i="10"/>
  <c r="F3660" i="10" s="1"/>
  <c r="H4326" i="10"/>
  <c r="I4326" i="10" s="1"/>
  <c r="J4326" i="10" s="1"/>
  <c r="F4327" i="10" s="1"/>
  <c r="H5517" i="10"/>
  <c r="I5517" i="10" s="1"/>
  <c r="J5517" i="10" s="1"/>
  <c r="F5518" i="10" s="1"/>
  <c r="H1037" i="10"/>
  <c r="I1037" i="10" s="1"/>
  <c r="J1037" i="10" s="1"/>
  <c r="F1038" i="10" s="1"/>
  <c r="H34" i="10"/>
  <c r="I34" i="10" s="1"/>
  <c r="J34" i="10" s="1"/>
  <c r="F35" i="10" s="1"/>
  <c r="H729" i="10"/>
  <c r="G729" i="10"/>
  <c r="Q64" i="6"/>
  <c r="AK64" i="6" s="1"/>
  <c r="I64" i="3"/>
  <c r="T64" i="3" s="1"/>
  <c r="AQ67" i="9"/>
  <c r="D3668" i="10"/>
  <c r="E3667" i="10"/>
  <c r="S61" i="9"/>
  <c r="J3013" i="10"/>
  <c r="F3014" i="10" s="1"/>
  <c r="Q59" i="6"/>
  <c r="AK59" i="6" s="1"/>
  <c r="I59" i="3"/>
  <c r="T59" i="3" s="1"/>
  <c r="AQ62" i="9"/>
  <c r="O17" i="6"/>
  <c r="R20" i="9"/>
  <c r="D3737" i="10"/>
  <c r="E3736" i="10"/>
  <c r="P40" i="9"/>
  <c r="O37" i="6" s="1"/>
  <c r="I1948" i="10"/>
  <c r="J1948" i="10" s="1"/>
  <c r="F1949" i="10" s="1"/>
  <c r="I531" i="10"/>
  <c r="J531" i="10" s="1"/>
  <c r="F532" i="10" s="1"/>
  <c r="G1821" i="10" l="1"/>
  <c r="G1822" i="10"/>
  <c r="G1823" i="10"/>
  <c r="H1821" i="10"/>
  <c r="J1038" i="10"/>
  <c r="F1039" i="10" s="1"/>
  <c r="H1038" i="10"/>
  <c r="I1038" i="10" s="1"/>
  <c r="J2770" i="10"/>
  <c r="F2771" i="10" s="1"/>
  <c r="H2770" i="10"/>
  <c r="G2770" i="10"/>
  <c r="I2770" i="10" s="1"/>
  <c r="G2795" i="10"/>
  <c r="G2785" i="10"/>
  <c r="G2780" i="10"/>
  <c r="G2798" i="10"/>
  <c r="G2791" i="10"/>
  <c r="G2781" i="10"/>
  <c r="G2776" i="10"/>
  <c r="G2794" i="10"/>
  <c r="G2787" i="10"/>
  <c r="G2777" i="10"/>
  <c r="G2772" i="10"/>
  <c r="G2790" i="10"/>
  <c r="G2783" i="10"/>
  <c r="G2773" i="10"/>
  <c r="G2786" i="10"/>
  <c r="G2779" i="10"/>
  <c r="G2796" i="10"/>
  <c r="G2789" i="10"/>
  <c r="G2782" i="10"/>
  <c r="G2775" i="10"/>
  <c r="G2797" i="10"/>
  <c r="G2792" i="10"/>
  <c r="G2778" i="10"/>
  <c r="G2771" i="10"/>
  <c r="G2793" i="10"/>
  <c r="G2788" i="10"/>
  <c r="G2774" i="10"/>
  <c r="G2784" i="10"/>
  <c r="H5244" i="10"/>
  <c r="I5244" i="10" s="1"/>
  <c r="J5244" i="10" s="1"/>
  <c r="F5245" i="10" s="1"/>
  <c r="H3401" i="10"/>
  <c r="I3401" i="10" s="1"/>
  <c r="J3401" i="10" s="1"/>
  <c r="F3402" i="10" s="1"/>
  <c r="H3575" i="10"/>
  <c r="I3575" i="10" s="1"/>
  <c r="J3575" i="10" s="1"/>
  <c r="H5450" i="10"/>
  <c r="I5450" i="10" s="1"/>
  <c r="J5450" i="10" s="1"/>
  <c r="F5451" i="10" s="1"/>
  <c r="H4927" i="10"/>
  <c r="I4927" i="10" s="1"/>
  <c r="J4927" i="10" s="1"/>
  <c r="F4928" i="10" s="1"/>
  <c r="H4026" i="10"/>
  <c r="I4026" i="10" s="1"/>
  <c r="J4026" i="10" s="1"/>
  <c r="F4027" i="10" s="1"/>
  <c r="H3791" i="10"/>
  <c r="I3791" i="10" s="1"/>
  <c r="J3791" i="10"/>
  <c r="F3792" i="10" s="1"/>
  <c r="H4146" i="10"/>
  <c r="I4146" i="10" s="1"/>
  <c r="J4146" i="10" s="1"/>
  <c r="F4147" i="10" s="1"/>
  <c r="H787" i="10"/>
  <c r="I787" i="10" s="1"/>
  <c r="J787" i="10" s="1"/>
  <c r="F788" i="10" s="1"/>
  <c r="H5518" i="10"/>
  <c r="I5518" i="10" s="1"/>
  <c r="J5518" i="10" s="1"/>
  <c r="F5519" i="10" s="1"/>
  <c r="H4327" i="10"/>
  <c r="I4327" i="10" s="1"/>
  <c r="J4327" i="10" s="1"/>
  <c r="F4328" i="10" s="1"/>
  <c r="H4263" i="10"/>
  <c r="I4263" i="10" s="1"/>
  <c r="J4263" i="10" s="1"/>
  <c r="F4264" i="10" s="1"/>
  <c r="H3470" i="10"/>
  <c r="I3470" i="10" s="1"/>
  <c r="J3470" i="10"/>
  <c r="H5382" i="10"/>
  <c r="I5382" i="10" s="1"/>
  <c r="J5382" i="10"/>
  <c r="F5383" i="10" s="1"/>
  <c r="H2420" i="10"/>
  <c r="I2420" i="10" s="1"/>
  <c r="J2420" i="10" s="1"/>
  <c r="F2421" i="10" s="1"/>
  <c r="H2078" i="10"/>
  <c r="I2078" i="10" s="1"/>
  <c r="J2078" i="10"/>
  <c r="F2079" i="10" s="1"/>
  <c r="H5157" i="10"/>
  <c r="I5157" i="10" s="1"/>
  <c r="J5157" i="10"/>
  <c r="F5158" i="10" s="1"/>
  <c r="H3616" i="10"/>
  <c r="I3616" i="10" s="1"/>
  <c r="J3616" i="10" s="1"/>
  <c r="F3617" i="10" s="1"/>
  <c r="H989" i="10"/>
  <c r="I989" i="10" s="1"/>
  <c r="J989" i="10" s="1"/>
  <c r="F990" i="10" s="1"/>
  <c r="H4802" i="10"/>
  <c r="I4802" i="10" s="1"/>
  <c r="J4802" i="10"/>
  <c r="F4803" i="10" s="1"/>
  <c r="J2170" i="10"/>
  <c r="F2171" i="10" s="1"/>
  <c r="H2170" i="10"/>
  <c r="I2170" i="10" s="1"/>
  <c r="J3721" i="10"/>
  <c r="F3722" i="10" s="1"/>
  <c r="H3721" i="10"/>
  <c r="I3721" i="10" s="1"/>
  <c r="H3337" i="10"/>
  <c r="I3337" i="10" s="1"/>
  <c r="J3337" i="10" s="1"/>
  <c r="F3338" i="10" s="1"/>
  <c r="J581" i="10"/>
  <c r="F582" i="10" s="1"/>
  <c r="H581" i="10"/>
  <c r="I581" i="10" s="1"/>
  <c r="H4624" i="10"/>
  <c r="I4624" i="10" s="1"/>
  <c r="J4624" i="10" s="1"/>
  <c r="F4625" i="10" s="1"/>
  <c r="J4464" i="10"/>
  <c r="F4465" i="10" s="1"/>
  <c r="H4464" i="10"/>
  <c r="I4464" i="10" s="1"/>
  <c r="H4997" i="10"/>
  <c r="I4997" i="10" s="1"/>
  <c r="J4997" i="10" s="1"/>
  <c r="J3832" i="10"/>
  <c r="F3833" i="10" s="1"/>
  <c r="H3832" i="10"/>
  <c r="I3832" i="10" s="1"/>
  <c r="J3508" i="10"/>
  <c r="F3509" i="10" s="1"/>
  <c r="H3508" i="10"/>
  <c r="I3508" i="10" s="1"/>
  <c r="H3106" i="10"/>
  <c r="I3106" i="10" s="1"/>
  <c r="J3106" i="10" s="1"/>
  <c r="F3107" i="10" s="1"/>
  <c r="H3874" i="10"/>
  <c r="I3874" i="10" s="1"/>
  <c r="J3874" i="10" s="1"/>
  <c r="F3875" i="10" s="1"/>
  <c r="J2471" i="10"/>
  <c r="F2472" i="10" s="1"/>
  <c r="H2471" i="10"/>
  <c r="I2471" i="10" s="1"/>
  <c r="H2850" i="10"/>
  <c r="I2850" i="10" s="1"/>
  <c r="J2850" i="10" s="1"/>
  <c r="F2851" i="10" s="1"/>
  <c r="J1273" i="10"/>
  <c r="F1274" i="10" s="1"/>
  <c r="H1273" i="10"/>
  <c r="I1273" i="10" s="1"/>
  <c r="H4695" i="10"/>
  <c r="I4695" i="10" s="1"/>
  <c r="J4695" i="10" s="1"/>
  <c r="F4696" i="10" s="1"/>
  <c r="J35" i="10"/>
  <c r="F36" i="10" s="1"/>
  <c r="H35" i="10"/>
  <c r="I35" i="10" s="1"/>
  <c r="J1330" i="10"/>
  <c r="F1331" i="10" s="1"/>
  <c r="H1330" i="10"/>
  <c r="I1330" i="10" s="1"/>
  <c r="J4092" i="10"/>
  <c r="F4093" i="10" s="1"/>
  <c r="H4092" i="10"/>
  <c r="I4092" i="10" s="1"/>
  <c r="H2596" i="10"/>
  <c r="J532" i="10"/>
  <c r="F533" i="10" s="1"/>
  <c r="H532" i="10"/>
  <c r="I532" i="10" s="1"/>
  <c r="J5036" i="10"/>
  <c r="F5037" i="10" s="1"/>
  <c r="H5036" i="10"/>
  <c r="I5036" i="10" s="1"/>
  <c r="J2511" i="10"/>
  <c r="F2512" i="10" s="1"/>
  <c r="H2511" i="10"/>
  <c r="I2511" i="10" s="1"/>
  <c r="H649" i="10"/>
  <c r="I649" i="10" s="1"/>
  <c r="J649" i="10" s="1"/>
  <c r="F650" i="10" s="1"/>
  <c r="H3298" i="10"/>
  <c r="I3298" i="10" s="1"/>
  <c r="J3298" i="10" s="1"/>
  <c r="F3299" i="10" s="1"/>
  <c r="J4870" i="10"/>
  <c r="F4871" i="10" s="1"/>
  <c r="H4870" i="10"/>
  <c r="I4870" i="10" s="1"/>
  <c r="H2313" i="10"/>
  <c r="H2232" i="10"/>
  <c r="R60" i="6"/>
  <c r="T63" i="9"/>
  <c r="S60" i="6" s="1"/>
  <c r="H3191" i="10"/>
  <c r="I3191" i="10" s="1"/>
  <c r="J3191" i="10" s="1"/>
  <c r="F3192" i="10" s="1"/>
  <c r="H1473" i="10"/>
  <c r="I1473" i="10" s="1"/>
  <c r="J1473" i="10"/>
  <c r="F1474" i="10" s="1"/>
  <c r="Z20" i="9"/>
  <c r="T17" i="6"/>
  <c r="P55" i="9"/>
  <c r="I2681" i="10"/>
  <c r="J2681" i="10" s="1"/>
  <c r="F2682" i="10" s="1"/>
  <c r="H2271" i="10"/>
  <c r="I2271" i="10" s="1"/>
  <c r="J2271" i="10"/>
  <c r="F2272" i="10" s="1"/>
  <c r="H2969" i="10"/>
  <c r="I2969" i="10" s="1"/>
  <c r="J2969" i="10"/>
  <c r="F2970" i="10" s="1"/>
  <c r="L394" i="10"/>
  <c r="I394" i="10"/>
  <c r="J394" i="10" s="1"/>
  <c r="H1739" i="10"/>
  <c r="I1739" i="10" s="1"/>
  <c r="J1739" i="10" s="1"/>
  <c r="F1740" i="10" s="1"/>
  <c r="O36" i="6"/>
  <c r="R39" i="9"/>
  <c r="H3981" i="10"/>
  <c r="I3981" i="10" s="1"/>
  <c r="J3981" i="10"/>
  <c r="F3982" i="10" s="1"/>
  <c r="H1949" i="10"/>
  <c r="I1949" i="10" s="1"/>
  <c r="J1949" i="10" s="1"/>
  <c r="F1950" i="10" s="1"/>
  <c r="I729" i="10"/>
  <c r="J729" i="10" s="1"/>
  <c r="F730" i="10" s="1"/>
  <c r="I71" i="10"/>
  <c r="J71" i="10" s="1"/>
  <c r="F72" i="10" s="1"/>
  <c r="D3883" i="10"/>
  <c r="E3882" i="10"/>
  <c r="O7" i="6"/>
  <c r="R10" i="9"/>
  <c r="H3941" i="10"/>
  <c r="I3941" i="10" s="1"/>
  <c r="J3941" i="10"/>
  <c r="F3942" i="10" s="1"/>
  <c r="Q80" i="6"/>
  <c r="AK80" i="6" s="1"/>
  <c r="I80" i="3"/>
  <c r="T80" i="3" s="1"/>
  <c r="AQ83" i="9"/>
  <c r="H4197" i="10"/>
  <c r="I4197" i="10" s="1"/>
  <c r="J4197" i="10" s="1"/>
  <c r="F4198" i="10" s="1"/>
  <c r="J1196" i="10"/>
  <c r="F1197" i="10" s="1"/>
  <c r="H1196" i="10"/>
  <c r="I1196" i="10" s="1"/>
  <c r="AQ61" i="9"/>
  <c r="I58" i="3"/>
  <c r="T58" i="3" s="1"/>
  <c r="Q58" i="6"/>
  <c r="AK58" i="6" s="1"/>
  <c r="I2891" i="10"/>
  <c r="J2891" i="10" s="1"/>
  <c r="F2892" i="10" s="1"/>
  <c r="L2891" i="10"/>
  <c r="H4391" i="10"/>
  <c r="I4391" i="10" s="1"/>
  <c r="J4391" i="10"/>
  <c r="F4392" i="10" s="1"/>
  <c r="H313" i="10"/>
  <c r="I313" i="10" s="1"/>
  <c r="J313" i="10" s="1"/>
  <c r="F314" i="10" s="1"/>
  <c r="H238" i="10"/>
  <c r="I238" i="10" s="1"/>
  <c r="J238" i="10" s="1"/>
  <c r="F239" i="10" s="1"/>
  <c r="H4573" i="10"/>
  <c r="I4573" i="10" s="1"/>
  <c r="J4573" i="10" s="1"/>
  <c r="F4574" i="10" s="1"/>
  <c r="H3014" i="10"/>
  <c r="I3014" i="10" s="1"/>
  <c r="J3014" i="10"/>
  <c r="F3015" i="10" s="1"/>
  <c r="U83" i="9"/>
  <c r="R80" i="6"/>
  <c r="T71" i="6"/>
  <c r="Y74" i="9"/>
  <c r="H5325" i="10"/>
  <c r="I5325" i="10" s="1"/>
  <c r="J5325" i="10" s="1"/>
  <c r="F5326" i="10" s="1"/>
  <c r="H2348" i="10"/>
  <c r="I2348" i="10" s="1"/>
  <c r="J2348" i="10" s="1"/>
  <c r="F2349" i="10" s="1"/>
  <c r="U68" i="9"/>
  <c r="S54" i="9"/>
  <c r="J2639" i="10"/>
  <c r="F2640" i="10" s="1"/>
  <c r="J1419" i="10"/>
  <c r="F1420" i="10" s="1"/>
  <c r="H1419" i="10"/>
  <c r="I1419" i="10" s="1"/>
  <c r="I435" i="10"/>
  <c r="J435" i="10" s="1"/>
  <c r="F436" i="10" s="1"/>
  <c r="L435" i="10"/>
  <c r="R58" i="6"/>
  <c r="T61" i="9"/>
  <c r="S58" i="6" s="1"/>
  <c r="Q60" i="6"/>
  <c r="AK60" i="6" s="1"/>
  <c r="I60" i="3"/>
  <c r="T60" i="3" s="1"/>
  <c r="AQ63" i="9"/>
  <c r="D3738" i="10"/>
  <c r="E3737" i="10"/>
  <c r="H3660" i="10"/>
  <c r="I3660" i="10" s="1"/>
  <c r="J3660" i="10" s="1"/>
  <c r="F3661" i="10" s="1"/>
  <c r="Q17" i="6"/>
  <c r="AK17" i="6" s="1"/>
  <c r="I17" i="3"/>
  <c r="T17" i="3" s="1"/>
  <c r="AQ20" i="9"/>
  <c r="D3669" i="10"/>
  <c r="E3668" i="10"/>
  <c r="U62" i="9"/>
  <c r="J3146" i="10"/>
  <c r="F3147" i="10" s="1"/>
  <c r="H3146" i="10"/>
  <c r="I3146" i="10" s="1"/>
  <c r="L729" i="10"/>
  <c r="O51" i="6"/>
  <c r="R54" i="9"/>
  <c r="H5519" i="10" l="1"/>
  <c r="I5519" i="10" s="1"/>
  <c r="J5519" i="10" s="1"/>
  <c r="F5520" i="10" s="1"/>
  <c r="H3107" i="10"/>
  <c r="I3107" i="10" s="1"/>
  <c r="J3107" i="10"/>
  <c r="F3108" i="10" s="1"/>
  <c r="H4625" i="10"/>
  <c r="I4625" i="10" s="1"/>
  <c r="J4625" i="10" s="1"/>
  <c r="F4626" i="10" s="1"/>
  <c r="J2421" i="10"/>
  <c r="F2422" i="10" s="1"/>
  <c r="H2421" i="10"/>
  <c r="I2421" i="10" s="1"/>
  <c r="H788" i="10"/>
  <c r="I788" i="10" s="1"/>
  <c r="J788" i="10" s="1"/>
  <c r="F789" i="10" s="1"/>
  <c r="H3402" i="10"/>
  <c r="I3402" i="10" s="1"/>
  <c r="J3402" i="10" s="1"/>
  <c r="F3403" i="10" s="1"/>
  <c r="H5245" i="10"/>
  <c r="I5245" i="10" s="1"/>
  <c r="J5245" i="10" s="1"/>
  <c r="F5246" i="10" s="1"/>
  <c r="J4696" i="10"/>
  <c r="F4697" i="10" s="1"/>
  <c r="H4696" i="10"/>
  <c r="I4696" i="10" s="1"/>
  <c r="H5326" i="10"/>
  <c r="I5326" i="10" s="1"/>
  <c r="J5326" i="10" s="1"/>
  <c r="F5327" i="10" s="1"/>
  <c r="H3299" i="10"/>
  <c r="I3299" i="10" s="1"/>
  <c r="J3299" i="10" s="1"/>
  <c r="H990" i="10"/>
  <c r="I990" i="10" s="1"/>
  <c r="J990" i="10"/>
  <c r="F991" i="10" s="1"/>
  <c r="J3192" i="10"/>
  <c r="F3193" i="10" s="1"/>
  <c r="H3192" i="10"/>
  <c r="I3192" i="10" s="1"/>
  <c r="H3617" i="10"/>
  <c r="I3617" i="10" s="1"/>
  <c r="J3617" i="10" s="1"/>
  <c r="H4574" i="10"/>
  <c r="I4574" i="10" s="1"/>
  <c r="J4574" i="10" s="1"/>
  <c r="F4575" i="10" s="1"/>
  <c r="H239" i="10"/>
  <c r="H314" i="10"/>
  <c r="G314" i="10"/>
  <c r="G315" i="10"/>
  <c r="H2851" i="10"/>
  <c r="I2851" i="10" s="1"/>
  <c r="J2851" i="10" s="1"/>
  <c r="F2852" i="10" s="1"/>
  <c r="H4027" i="10"/>
  <c r="I4027" i="10" s="1"/>
  <c r="J4027" i="10" s="1"/>
  <c r="F4028" i="10" s="1"/>
  <c r="J3875" i="10"/>
  <c r="F3876" i="10" s="1"/>
  <c r="H3875" i="10"/>
  <c r="I3875" i="10" s="1"/>
  <c r="H1950" i="10"/>
  <c r="I1950" i="10" s="1"/>
  <c r="J1950" i="10" s="1"/>
  <c r="H4147" i="10"/>
  <c r="I4147" i="10" s="1"/>
  <c r="J4147" i="10" s="1"/>
  <c r="F4148" i="10" s="1"/>
  <c r="H3338" i="10"/>
  <c r="I3338" i="10" s="1"/>
  <c r="J3338" i="10" s="1"/>
  <c r="F3339" i="10" s="1"/>
  <c r="J4198" i="10"/>
  <c r="F4199" i="10" s="1"/>
  <c r="H4198" i="10"/>
  <c r="I4198" i="10" s="1"/>
  <c r="H4264" i="10"/>
  <c r="I4264" i="10" s="1"/>
  <c r="J4264" i="10" s="1"/>
  <c r="F4265" i="10" s="1"/>
  <c r="H4928" i="10"/>
  <c r="I4928" i="10" s="1"/>
  <c r="J4928" i="10" s="1"/>
  <c r="F4929" i="10" s="1"/>
  <c r="H2349" i="10"/>
  <c r="I2349" i="10" s="1"/>
  <c r="J2349" i="10" s="1"/>
  <c r="F2350" i="10" s="1"/>
  <c r="J3661" i="10"/>
  <c r="F3662" i="10" s="1"/>
  <c r="H3661" i="10"/>
  <c r="I3661" i="10" s="1"/>
  <c r="H650" i="10"/>
  <c r="I650" i="10" s="1"/>
  <c r="J650" i="10" s="1"/>
  <c r="F651" i="10" s="1"/>
  <c r="H1740" i="10"/>
  <c r="I1740" i="10" s="1"/>
  <c r="J1740" i="10" s="1"/>
  <c r="F1741" i="10" s="1"/>
  <c r="H4328" i="10"/>
  <c r="I4328" i="10" s="1"/>
  <c r="J4328" i="10"/>
  <c r="F4329" i="10" s="1"/>
  <c r="H5451" i="10"/>
  <c r="I5451" i="10" s="1"/>
  <c r="J5451" i="10" s="1"/>
  <c r="F5452" i="10" s="1"/>
  <c r="H2171" i="10"/>
  <c r="I2171" i="10" s="1"/>
  <c r="J2171" i="10" s="1"/>
  <c r="F2172" i="10" s="1"/>
  <c r="W68" i="9"/>
  <c r="X68" i="9" s="1"/>
  <c r="T65" i="6"/>
  <c r="T80" i="6"/>
  <c r="Y83" i="9"/>
  <c r="H730" i="10"/>
  <c r="G730" i="10"/>
  <c r="O52" i="6"/>
  <c r="R55" i="9"/>
  <c r="H5037" i="10"/>
  <c r="I5037" i="10" s="1"/>
  <c r="J5037" i="10" s="1"/>
  <c r="F5038" i="10" s="1"/>
  <c r="H5158" i="10"/>
  <c r="I5158" i="10" s="1"/>
  <c r="J5158" i="10" s="1"/>
  <c r="F5159" i="10" s="1"/>
  <c r="H3015" i="10"/>
  <c r="I3015" i="10" s="1"/>
  <c r="J3015" i="10" s="1"/>
  <c r="F3016" i="10" s="1"/>
  <c r="J4392" i="10"/>
  <c r="F4393" i="10" s="1"/>
  <c r="H4392" i="10"/>
  <c r="I4392" i="10" s="1"/>
  <c r="J1197" i="10"/>
  <c r="F1198" i="10" s="1"/>
  <c r="H1197" i="10"/>
  <c r="I1197" i="10" s="1"/>
  <c r="H3942" i="10"/>
  <c r="I3942" i="10" s="1"/>
  <c r="J3942" i="10" s="1"/>
  <c r="U63" i="9"/>
  <c r="J533" i="10"/>
  <c r="F534" i="10" s="1"/>
  <c r="H533" i="10"/>
  <c r="I533" i="10" s="1"/>
  <c r="J36" i="10"/>
  <c r="H36" i="10"/>
  <c r="I36" i="10" s="1"/>
  <c r="H2472" i="10"/>
  <c r="H3833" i="10"/>
  <c r="I3833" i="10" s="1"/>
  <c r="J3833" i="10" s="1"/>
  <c r="F3834" i="10" s="1"/>
  <c r="J582" i="10"/>
  <c r="F583" i="10" s="1"/>
  <c r="H582" i="10"/>
  <c r="I582" i="10" s="1"/>
  <c r="J4803" i="10"/>
  <c r="F4804" i="10" s="1"/>
  <c r="H4803" i="10"/>
  <c r="I4803" i="10" s="1"/>
  <c r="H2079" i="10"/>
  <c r="I2079" i="10" s="1"/>
  <c r="H1039" i="10"/>
  <c r="H4871" i="10"/>
  <c r="I4871" i="10" s="1"/>
  <c r="J4871" i="10" s="1"/>
  <c r="F4872" i="10" s="1"/>
  <c r="X62" i="9"/>
  <c r="T59" i="6"/>
  <c r="U54" i="9"/>
  <c r="R51" i="6"/>
  <c r="T54" i="9"/>
  <c r="S51" i="6" s="1"/>
  <c r="H3509" i="10"/>
  <c r="I3509" i="10" s="1"/>
  <c r="J3509" i="10" s="1"/>
  <c r="F3510" i="10" s="1"/>
  <c r="U61" i="9"/>
  <c r="D3739" i="10"/>
  <c r="E3738" i="10"/>
  <c r="L2892" i="10"/>
  <c r="AQ10" i="9"/>
  <c r="I7" i="3"/>
  <c r="T7" i="3" s="1"/>
  <c r="Q7" i="6"/>
  <c r="AK7" i="6" s="1"/>
  <c r="H3982" i="10"/>
  <c r="I3982" i="10" s="1"/>
  <c r="J3982" i="10"/>
  <c r="F3983" i="10" s="1"/>
  <c r="H2970" i="10"/>
  <c r="I2970" i="10" s="1"/>
  <c r="J2970" i="10" s="1"/>
  <c r="F2971" i="10" s="1"/>
  <c r="J1474" i="10"/>
  <c r="F1475" i="10" s="1"/>
  <c r="H1474" i="10"/>
  <c r="I1474" i="10" s="1"/>
  <c r="I2232" i="10"/>
  <c r="J2232" i="10" s="1"/>
  <c r="P38" i="9"/>
  <c r="O35" i="6" s="1"/>
  <c r="P53" i="9"/>
  <c r="O50" i="6" s="1"/>
  <c r="I2596" i="10"/>
  <c r="J2596" i="10" s="1"/>
  <c r="H3792" i="10"/>
  <c r="I3792" i="10" s="1"/>
  <c r="J3792" i="10" s="1"/>
  <c r="F3793" i="10" s="1"/>
  <c r="H72" i="10"/>
  <c r="I72" i="10" s="1"/>
  <c r="J72" i="10" s="1"/>
  <c r="F73" i="10" s="1"/>
  <c r="G437" i="10"/>
  <c r="G438" i="10"/>
  <c r="G436" i="10"/>
  <c r="G439" i="10"/>
  <c r="G440" i="10"/>
  <c r="H436" i="10"/>
  <c r="D3670" i="10"/>
  <c r="E3669" i="10"/>
  <c r="J2892" i="10"/>
  <c r="F2893" i="10" s="1"/>
  <c r="H2892" i="10"/>
  <c r="G2892" i="10"/>
  <c r="I2892" i="10" s="1"/>
  <c r="P47" i="9"/>
  <c r="I2313" i="10"/>
  <c r="J2313" i="10" s="1"/>
  <c r="L730" i="10"/>
  <c r="H2771" i="10"/>
  <c r="Q51" i="6"/>
  <c r="AK51" i="6" s="1"/>
  <c r="I51" i="3"/>
  <c r="T51" i="3" s="1"/>
  <c r="AQ54" i="9"/>
  <c r="J1420" i="10"/>
  <c r="F1421" i="10" s="1"/>
  <c r="H1420" i="10"/>
  <c r="I1420" i="10" s="1"/>
  <c r="I36" i="3"/>
  <c r="T36" i="3" s="1"/>
  <c r="Q36" i="6"/>
  <c r="AK36" i="6" s="1"/>
  <c r="AQ39" i="9"/>
  <c r="H2272" i="10"/>
  <c r="H2512" i="10"/>
  <c r="I2512" i="10" s="1"/>
  <c r="J2512" i="10" s="1"/>
  <c r="F2513" i="10" s="1"/>
  <c r="H4093" i="10"/>
  <c r="I4093" i="10" s="1"/>
  <c r="J4093" i="10" s="1"/>
  <c r="F4094" i="10" s="1"/>
  <c r="H1274" i="10"/>
  <c r="I1274" i="10" s="1"/>
  <c r="J1274" i="10"/>
  <c r="F1275" i="10" s="1"/>
  <c r="H4465" i="10"/>
  <c r="I4465" i="10" s="1"/>
  <c r="J4465" i="10"/>
  <c r="F4466" i="10" s="1"/>
  <c r="H3722" i="10"/>
  <c r="I3722" i="10" s="1"/>
  <c r="J3722" i="10" s="1"/>
  <c r="F3723" i="10" s="1"/>
  <c r="H5383" i="10"/>
  <c r="I5383" i="10" s="1"/>
  <c r="J5383" i="10" s="1"/>
  <c r="F5384" i="10" s="1"/>
  <c r="I2771" i="10"/>
  <c r="J2771" i="10" s="1"/>
  <c r="F2772" i="10" s="1"/>
  <c r="I1821" i="10"/>
  <c r="J1821" i="10" s="1"/>
  <c r="F1822" i="10" s="1"/>
  <c r="L1821" i="10"/>
  <c r="L1822" i="10" s="1"/>
  <c r="L1823" i="10" s="1"/>
  <c r="J2682" i="10"/>
  <c r="H2682" i="10"/>
  <c r="I2682" i="10" s="1"/>
  <c r="H1331" i="10"/>
  <c r="I1331" i="10" s="1"/>
  <c r="J1331" i="10" s="1"/>
  <c r="F1332" i="10" s="1"/>
  <c r="H3147" i="10"/>
  <c r="I3147" i="10" s="1"/>
  <c r="J3147" i="10" s="1"/>
  <c r="F3148" i="10" s="1"/>
  <c r="H2640" i="10"/>
  <c r="I2640" i="10" s="1"/>
  <c r="J2640" i="10" s="1"/>
  <c r="D3884" i="10"/>
  <c r="E3883" i="10"/>
  <c r="H3148" i="10" l="1"/>
  <c r="I3148" i="10" s="1"/>
  <c r="J3148" i="10" s="1"/>
  <c r="F3149" i="10" s="1"/>
  <c r="H3723" i="10"/>
  <c r="I3723" i="10" s="1"/>
  <c r="J3723" i="10" s="1"/>
  <c r="F3724" i="10" s="1"/>
  <c r="H3793" i="10"/>
  <c r="I3793" i="10" s="1"/>
  <c r="J3793" i="10" s="1"/>
  <c r="J2852" i="10"/>
  <c r="F2853" i="10" s="1"/>
  <c r="H2852" i="10"/>
  <c r="I2852" i="10" s="1"/>
  <c r="H3403" i="10"/>
  <c r="I3403" i="10" s="1"/>
  <c r="J3403" i="10"/>
  <c r="F3404" i="10" s="1"/>
  <c r="H1332" i="10"/>
  <c r="I1332" i="10" s="1"/>
  <c r="J1332" i="10" s="1"/>
  <c r="F1333" i="10" s="1"/>
  <c r="H789" i="10"/>
  <c r="G789" i="10"/>
  <c r="I789" i="10" s="1"/>
  <c r="J789" i="10" s="1"/>
  <c r="F790" i="10" s="1"/>
  <c r="G790" i="10"/>
  <c r="G664" i="10"/>
  <c r="G661" i="10"/>
  <c r="G654" i="10"/>
  <c r="G657" i="10"/>
  <c r="G652" i="10"/>
  <c r="G663" i="10"/>
  <c r="G651" i="10"/>
  <c r="G653" i="10"/>
  <c r="G662" i="10"/>
  <c r="G659" i="10"/>
  <c r="G660" i="10"/>
  <c r="G658" i="10"/>
  <c r="G655" i="10"/>
  <c r="G656" i="10"/>
  <c r="H651" i="10"/>
  <c r="H3339" i="10"/>
  <c r="I3339" i="10" s="1"/>
  <c r="J3339" i="10" s="1"/>
  <c r="F3340" i="10" s="1"/>
  <c r="H4148" i="10"/>
  <c r="I4148" i="10" s="1"/>
  <c r="J4148" i="10"/>
  <c r="F4149" i="10" s="1"/>
  <c r="H3510" i="10"/>
  <c r="I3510" i="10" s="1"/>
  <c r="J3510" i="10" s="1"/>
  <c r="F3511" i="10" s="1"/>
  <c r="H5327" i="10"/>
  <c r="I5327" i="10" s="1"/>
  <c r="J5327" i="10" s="1"/>
  <c r="F5328" i="10" s="1"/>
  <c r="H4626" i="10"/>
  <c r="I4626" i="10" s="1"/>
  <c r="J4626" i="10" s="1"/>
  <c r="F4627" i="10" s="1"/>
  <c r="H5038" i="10"/>
  <c r="I5038" i="10" s="1"/>
  <c r="J5038" i="10" s="1"/>
  <c r="F5039" i="10" s="1"/>
  <c r="H4094" i="10"/>
  <c r="I4094" i="10" s="1"/>
  <c r="J4094" i="10" s="1"/>
  <c r="F4095" i="10" s="1"/>
  <c r="J2172" i="10"/>
  <c r="F2173" i="10" s="1"/>
  <c r="H2172" i="10"/>
  <c r="I2172" i="10" s="1"/>
  <c r="H2350" i="10"/>
  <c r="G2350" i="10"/>
  <c r="H4575" i="10"/>
  <c r="I4575" i="10" s="1"/>
  <c r="J4575" i="10" s="1"/>
  <c r="F4576" i="10" s="1"/>
  <c r="J5159" i="10"/>
  <c r="F5160" i="10" s="1"/>
  <c r="H5159" i="10"/>
  <c r="I5159" i="10" s="1"/>
  <c r="H2772" i="10"/>
  <c r="I2772" i="10" s="1"/>
  <c r="J2772" i="10" s="1"/>
  <c r="F2773" i="10" s="1"/>
  <c r="H2513" i="10"/>
  <c r="H3834" i="10"/>
  <c r="I3834" i="10" s="1"/>
  <c r="J3834" i="10"/>
  <c r="J5452" i="10"/>
  <c r="F5453" i="10" s="1"/>
  <c r="H5452" i="10"/>
  <c r="I5452" i="10" s="1"/>
  <c r="H4929" i="10"/>
  <c r="I4929" i="10" s="1"/>
  <c r="J4929" i="10"/>
  <c r="F4930" i="10" s="1"/>
  <c r="H1741" i="10"/>
  <c r="I1741" i="10" s="1"/>
  <c r="J1741" i="10" s="1"/>
  <c r="F1742" i="10" s="1"/>
  <c r="H3016" i="10"/>
  <c r="I3016" i="10" s="1"/>
  <c r="J3016" i="10" s="1"/>
  <c r="F3017" i="10" s="1"/>
  <c r="J5384" i="10"/>
  <c r="F5385" i="10" s="1"/>
  <c r="H5384" i="10"/>
  <c r="I5384" i="10" s="1"/>
  <c r="H73" i="10"/>
  <c r="G74" i="10"/>
  <c r="G73" i="10"/>
  <c r="H2971" i="10"/>
  <c r="I2971" i="10" s="1"/>
  <c r="J2971" i="10" s="1"/>
  <c r="F2972" i="10" s="1"/>
  <c r="H4872" i="10"/>
  <c r="I4872" i="10" s="1"/>
  <c r="J4872" i="10" s="1"/>
  <c r="F4873" i="10" s="1"/>
  <c r="H4265" i="10"/>
  <c r="I4265" i="10" s="1"/>
  <c r="J4265" i="10"/>
  <c r="F4266" i="10" s="1"/>
  <c r="H4028" i="10"/>
  <c r="I4028" i="10" s="1"/>
  <c r="J4028" i="10"/>
  <c r="F4029" i="10" s="1"/>
  <c r="H5246" i="10"/>
  <c r="I5246" i="10" s="1"/>
  <c r="J5246" i="10" s="1"/>
  <c r="F5247" i="10" s="1"/>
  <c r="J5520" i="10"/>
  <c r="F5521" i="10" s="1"/>
  <c r="H5520" i="10"/>
  <c r="I5520" i="10" s="1"/>
  <c r="G2904" i="10"/>
  <c r="G2905" i="10"/>
  <c r="G2898" i="10"/>
  <c r="G2900" i="10"/>
  <c r="G2901" i="10"/>
  <c r="G2923" i="10"/>
  <c r="G2893" i="10"/>
  <c r="G2894" i="10"/>
  <c r="G2897" i="10"/>
  <c r="G2922" i="10"/>
  <c r="G2919" i="10"/>
  <c r="G2895" i="10"/>
  <c r="G2896" i="10"/>
  <c r="G2918" i="10"/>
  <c r="G2915" i="10"/>
  <c r="G2920" i="10"/>
  <c r="G2921" i="10"/>
  <c r="G2914" i="10"/>
  <c r="G2911" i="10"/>
  <c r="G2916" i="10"/>
  <c r="G2917" i="10"/>
  <c r="G2910" i="10"/>
  <c r="G2907" i="10"/>
  <c r="H2893" i="10"/>
  <c r="G2912" i="10"/>
  <c r="G2913" i="10"/>
  <c r="G2906" i="10"/>
  <c r="G2903" i="10"/>
  <c r="G2908" i="10"/>
  <c r="G2909" i="10"/>
  <c r="G2902" i="10"/>
  <c r="G2899" i="10"/>
  <c r="H1475" i="10"/>
  <c r="I1475" i="10" s="1"/>
  <c r="J1475" i="10" s="1"/>
  <c r="F1476" i="10" s="1"/>
  <c r="H583" i="10"/>
  <c r="I583" i="10" s="1"/>
  <c r="J583" i="10" s="1"/>
  <c r="F584" i="10" s="1"/>
  <c r="J4393" i="10"/>
  <c r="F4394" i="10" s="1"/>
  <c r="H4393" i="10"/>
  <c r="I4393" i="10" s="1"/>
  <c r="Z54" i="9"/>
  <c r="T51" i="6"/>
  <c r="H534" i="10"/>
  <c r="I534" i="10" s="1"/>
  <c r="J534" i="10" s="1"/>
  <c r="F535" i="10" s="1"/>
  <c r="J3662" i="10"/>
  <c r="F3663" i="10" s="1"/>
  <c r="H3662" i="10"/>
  <c r="I3662" i="10" s="1"/>
  <c r="H4199" i="10"/>
  <c r="I4199" i="10" s="1"/>
  <c r="J4199" i="10" s="1"/>
  <c r="F4200" i="10" s="1"/>
  <c r="H3876" i="10"/>
  <c r="I3876" i="10" s="1"/>
  <c r="J3876" i="10" s="1"/>
  <c r="F3877" i="10" s="1"/>
  <c r="H3193" i="10"/>
  <c r="I3193" i="10" s="1"/>
  <c r="J3193" i="10" s="1"/>
  <c r="F3194" i="10" s="1"/>
  <c r="H4697" i="10"/>
  <c r="I4697" i="10" s="1"/>
  <c r="J4697" i="10" s="1"/>
  <c r="F4698" i="10" s="1"/>
  <c r="J2422" i="10"/>
  <c r="F2423" i="10" s="1"/>
  <c r="H2422" i="10"/>
  <c r="I2422" i="10" s="1"/>
  <c r="H1421" i="10"/>
  <c r="I1421" i="10" s="1"/>
  <c r="J1421" i="10" s="1"/>
  <c r="F1422" i="10" s="1"/>
  <c r="H1822" i="10"/>
  <c r="I1822" i="10" s="1"/>
  <c r="J1822" i="10" s="1"/>
  <c r="F1823" i="10" s="1"/>
  <c r="D3671" i="10"/>
  <c r="E3670" i="10"/>
  <c r="Z63" i="9"/>
  <c r="T60" i="6"/>
  <c r="H4329" i="10"/>
  <c r="I4329" i="10" s="1"/>
  <c r="J4329" i="10"/>
  <c r="F4330" i="10" s="1"/>
  <c r="H991" i="10"/>
  <c r="I991" i="10" s="1"/>
  <c r="J991" i="10" s="1"/>
  <c r="F992" i="10" s="1"/>
  <c r="I2272" i="10"/>
  <c r="P46" i="9"/>
  <c r="H3983" i="10"/>
  <c r="I3983" i="10" s="1"/>
  <c r="J3983" i="10" s="1"/>
  <c r="F3984" i="10" s="1"/>
  <c r="D3740" i="10"/>
  <c r="E3739" i="10"/>
  <c r="P50" i="9"/>
  <c r="I2472" i="10"/>
  <c r="I52" i="3"/>
  <c r="T52" i="3" s="1"/>
  <c r="Q52" i="6"/>
  <c r="AK52" i="6" s="1"/>
  <c r="AQ55" i="9"/>
  <c r="P7" i="9"/>
  <c r="O4" i="6" s="1"/>
  <c r="I239" i="10"/>
  <c r="J239" i="10" s="1"/>
  <c r="H1275" i="10"/>
  <c r="I1275" i="10" s="1"/>
  <c r="J1275" i="10"/>
  <c r="F1276" i="10" s="1"/>
  <c r="W61" i="9"/>
  <c r="T58" i="6"/>
  <c r="J2079" i="10"/>
  <c r="F2080" i="10" s="1"/>
  <c r="H3108" i="10"/>
  <c r="I3108" i="10" s="1"/>
  <c r="J3108" i="10" s="1"/>
  <c r="O44" i="6"/>
  <c r="R47" i="9"/>
  <c r="P22" i="9"/>
  <c r="I1039" i="10"/>
  <c r="J1039" i="10" s="1"/>
  <c r="I730" i="10"/>
  <c r="J730" i="10" s="1"/>
  <c r="F731" i="10" s="1"/>
  <c r="D3885" i="10"/>
  <c r="E3884" i="10"/>
  <c r="H4466" i="10"/>
  <c r="I4466" i="10" s="1"/>
  <c r="J4466" i="10" s="1"/>
  <c r="F4467" i="10" s="1"/>
  <c r="H4804" i="10"/>
  <c r="I4804" i="10" s="1"/>
  <c r="J4804" i="10"/>
  <c r="F4805" i="10" s="1"/>
  <c r="H1198" i="10"/>
  <c r="I1198" i="10" s="1"/>
  <c r="J1198" i="10"/>
  <c r="F1199" i="10" s="1"/>
  <c r="I436" i="10"/>
  <c r="J436" i="10" s="1"/>
  <c r="F437" i="10" s="1"/>
  <c r="L436" i="10"/>
  <c r="L437" i="10" s="1"/>
  <c r="L438" i="10" s="1"/>
  <c r="L439" i="10" s="1"/>
  <c r="L440" i="10" s="1"/>
  <c r="K36" i="10"/>
  <c r="I314" i="10"/>
  <c r="J314" i="10" s="1"/>
  <c r="F315" i="10" s="1"/>
  <c r="H535" i="10" l="1"/>
  <c r="I535" i="10" s="1"/>
  <c r="J535" i="10" s="1"/>
  <c r="F536" i="10" s="1"/>
  <c r="H4627" i="10"/>
  <c r="I4627" i="10" s="1"/>
  <c r="J4627" i="10" s="1"/>
  <c r="F4628" i="10" s="1"/>
  <c r="H1333" i="10"/>
  <c r="I1333" i="10" s="1"/>
  <c r="J1333" i="10" s="1"/>
  <c r="F1334" i="10" s="1"/>
  <c r="J5328" i="10"/>
  <c r="F5329" i="10" s="1"/>
  <c r="H5328" i="10"/>
  <c r="I5328" i="10" s="1"/>
  <c r="H4698" i="10"/>
  <c r="I4698" i="10" s="1"/>
  <c r="J4698" i="10" s="1"/>
  <c r="F4699" i="10" s="1"/>
  <c r="H3511" i="10"/>
  <c r="I3511" i="10" s="1"/>
  <c r="J3511" i="10" s="1"/>
  <c r="F3512" i="10" s="1"/>
  <c r="H5247" i="10"/>
  <c r="I5247" i="10" s="1"/>
  <c r="J5247" i="10" s="1"/>
  <c r="F5248" i="10" s="1"/>
  <c r="H3194" i="10"/>
  <c r="I3194" i="10" s="1"/>
  <c r="J3194" i="10" s="1"/>
  <c r="F3195" i="10" s="1"/>
  <c r="H4576" i="10"/>
  <c r="I4576" i="10" s="1"/>
  <c r="J4576" i="10"/>
  <c r="F4577" i="10" s="1"/>
  <c r="H3984" i="10"/>
  <c r="I3984" i="10" s="1"/>
  <c r="J3984" i="10" s="1"/>
  <c r="J3877" i="10"/>
  <c r="F3878" i="10" s="1"/>
  <c r="H3877" i="10"/>
  <c r="I3877" i="10" s="1"/>
  <c r="J4200" i="10"/>
  <c r="F4201" i="10" s="1"/>
  <c r="H4200" i="10"/>
  <c r="I4200" i="10" s="1"/>
  <c r="H584" i="10"/>
  <c r="G584" i="10"/>
  <c r="G585" i="10"/>
  <c r="J3017" i="10"/>
  <c r="F3018" i="10" s="1"/>
  <c r="H3017" i="10"/>
  <c r="I3017" i="10" s="1"/>
  <c r="J3340" i="10"/>
  <c r="F3341" i="10" s="1"/>
  <c r="H3340" i="10"/>
  <c r="I3340" i="10" s="1"/>
  <c r="H4467" i="10"/>
  <c r="I4467" i="10" s="1"/>
  <c r="J4467" i="10"/>
  <c r="F4468" i="10" s="1"/>
  <c r="H1823" i="10"/>
  <c r="I1823" i="10" s="1"/>
  <c r="J1823" i="10" s="1"/>
  <c r="F1824" i="10" s="1"/>
  <c r="H1476" i="10"/>
  <c r="J4873" i="10"/>
  <c r="F4874" i="10" s="1"/>
  <c r="H4873" i="10"/>
  <c r="I4873" i="10" s="1"/>
  <c r="H1742" i="10"/>
  <c r="I1742" i="10" s="1"/>
  <c r="J1742" i="10"/>
  <c r="F1743" i="10" s="1"/>
  <c r="H2773" i="10"/>
  <c r="J4095" i="10"/>
  <c r="F4096" i="10" s="1"/>
  <c r="H4095" i="10"/>
  <c r="I4095" i="10" s="1"/>
  <c r="H790" i="10"/>
  <c r="H3724" i="10"/>
  <c r="I3724" i="10" s="1"/>
  <c r="J3724" i="10" s="1"/>
  <c r="F3725" i="10" s="1"/>
  <c r="H992" i="10"/>
  <c r="I992" i="10" s="1"/>
  <c r="J992" i="10" s="1"/>
  <c r="F993" i="10" s="1"/>
  <c r="H1422" i="10"/>
  <c r="I1422" i="10" s="1"/>
  <c r="J1422" i="10" s="1"/>
  <c r="F1423" i="10" s="1"/>
  <c r="J2972" i="10"/>
  <c r="F2973" i="10" s="1"/>
  <c r="H2972" i="10"/>
  <c r="I2972" i="10" s="1"/>
  <c r="H5039" i="10"/>
  <c r="I5039" i="10" s="1"/>
  <c r="J5039" i="10"/>
  <c r="F5040" i="10" s="1"/>
  <c r="H3149" i="10"/>
  <c r="I3149" i="10" s="1"/>
  <c r="J3149" i="10" s="1"/>
  <c r="O19" i="6"/>
  <c r="R22" i="9"/>
  <c r="J2423" i="10"/>
  <c r="F2424" i="10" s="1"/>
  <c r="H2423" i="10"/>
  <c r="I2423" i="10" s="1"/>
  <c r="I2893" i="10"/>
  <c r="J2893" i="10" s="1"/>
  <c r="F2894" i="10" s="1"/>
  <c r="X59" i="9"/>
  <c r="I651" i="10"/>
  <c r="J651" i="10" s="1"/>
  <c r="F652" i="10" s="1"/>
  <c r="L651" i="10"/>
  <c r="I790" i="10"/>
  <c r="J790" i="10" s="1"/>
  <c r="F791" i="10" s="1"/>
  <c r="O43" i="6"/>
  <c r="R46" i="9"/>
  <c r="H4394" i="10"/>
  <c r="I4394" i="10" s="1"/>
  <c r="J4394" i="10"/>
  <c r="F4395" i="10" s="1"/>
  <c r="J5521" i="10"/>
  <c r="F5522" i="10" s="1"/>
  <c r="H5521" i="10"/>
  <c r="I5521" i="10" s="1"/>
  <c r="H5385" i="10"/>
  <c r="I5385" i="10" s="1"/>
  <c r="J5385" i="10"/>
  <c r="F5386" i="10" s="1"/>
  <c r="J5453" i="10"/>
  <c r="F5454" i="10" s="1"/>
  <c r="H5453" i="10"/>
  <c r="I5453" i="10" s="1"/>
  <c r="J5160" i="10"/>
  <c r="F5161" i="10" s="1"/>
  <c r="H5160" i="10"/>
  <c r="I5160" i="10" s="1"/>
  <c r="J2173" i="10"/>
  <c r="F2174" i="10" s="1"/>
  <c r="H2173" i="10"/>
  <c r="I2173" i="10" s="1"/>
  <c r="J2853" i="10"/>
  <c r="F2854" i="10" s="1"/>
  <c r="H2853" i="10"/>
  <c r="I2853" i="10" s="1"/>
  <c r="J4805" i="10"/>
  <c r="F4806" i="10" s="1"/>
  <c r="H4805" i="10"/>
  <c r="I4805" i="10" s="1"/>
  <c r="J3663" i="10"/>
  <c r="F3664" i="10" s="1"/>
  <c r="H3663" i="10"/>
  <c r="I3663" i="10" s="1"/>
  <c r="W59" i="9"/>
  <c r="L663" i="10"/>
  <c r="L667" i="10" s="1"/>
  <c r="I44" i="3"/>
  <c r="T44" i="3" s="1"/>
  <c r="Q44" i="6"/>
  <c r="AK44" i="6" s="1"/>
  <c r="AQ47" i="9"/>
  <c r="J1276" i="10"/>
  <c r="F1277" i="10" s="1"/>
  <c r="H1276" i="10"/>
  <c r="I1276" i="10" s="1"/>
  <c r="R50" i="9"/>
  <c r="O47" i="6"/>
  <c r="J4029" i="10"/>
  <c r="F4030" i="10" s="1"/>
  <c r="H4029" i="10"/>
  <c r="I4029" i="10" s="1"/>
  <c r="I73" i="10"/>
  <c r="J73" i="10" s="1"/>
  <c r="F74" i="10" s="1"/>
  <c r="L73" i="10"/>
  <c r="L74" i="10" s="1"/>
  <c r="P51" i="9"/>
  <c r="I2513" i="10"/>
  <c r="H4149" i="10"/>
  <c r="I4149" i="10" s="1"/>
  <c r="J4149" i="10" s="1"/>
  <c r="F4150" i="10" s="1"/>
  <c r="J437" i="10"/>
  <c r="F438" i="10" s="1"/>
  <c r="H437" i="10"/>
  <c r="I437" i="10" s="1"/>
  <c r="D3886" i="10"/>
  <c r="E3885" i="10"/>
  <c r="H4330" i="10"/>
  <c r="I4330" i="10" s="1"/>
  <c r="J4330" i="10" s="1"/>
  <c r="F4331" i="10" s="1"/>
  <c r="I2350" i="10"/>
  <c r="J2350" i="10" s="1"/>
  <c r="F2351" i="10" s="1"/>
  <c r="L2350" i="10"/>
  <c r="S46" i="9"/>
  <c r="J2272" i="10"/>
  <c r="H1199" i="10"/>
  <c r="G731" i="10"/>
  <c r="H731" i="10"/>
  <c r="E3740" i="10"/>
  <c r="D3741" i="10"/>
  <c r="H4266" i="10"/>
  <c r="I4266" i="10" s="1"/>
  <c r="J4266" i="10" s="1"/>
  <c r="F4267" i="10" s="1"/>
  <c r="H4930" i="10"/>
  <c r="I4930" i="10" s="1"/>
  <c r="J4930" i="10" s="1"/>
  <c r="F4931" i="10" s="1"/>
  <c r="J3404" i="10"/>
  <c r="F3405" i="10" s="1"/>
  <c r="H3404" i="10"/>
  <c r="I3404" i="10" s="1"/>
  <c r="D3672" i="10"/>
  <c r="E3671" i="10"/>
  <c r="S50" i="9"/>
  <c r="J2472" i="10"/>
  <c r="J315" i="10"/>
  <c r="F316" i="10" s="1"/>
  <c r="H315" i="10"/>
  <c r="I315" i="10" s="1"/>
  <c r="H2080" i="10"/>
  <c r="I2080" i="10" s="1"/>
  <c r="L2893" i="10"/>
  <c r="L2894" i="10" s="1"/>
  <c r="L2895" i="10" s="1"/>
  <c r="L2896" i="10" s="1"/>
  <c r="H3512" i="10" l="1"/>
  <c r="I3512" i="10" s="1"/>
  <c r="J3512" i="10" s="1"/>
  <c r="F3513" i="10" s="1"/>
  <c r="H4267" i="10"/>
  <c r="I4267" i="10" s="1"/>
  <c r="J4267" i="10" s="1"/>
  <c r="F4268" i="10" s="1"/>
  <c r="H4931" i="10"/>
  <c r="I4931" i="10" s="1"/>
  <c r="J4931" i="10" s="1"/>
  <c r="F4932" i="10" s="1"/>
  <c r="H4150" i="10"/>
  <c r="I4150" i="10" s="1"/>
  <c r="J4150" i="10" s="1"/>
  <c r="F4151" i="10" s="1"/>
  <c r="H4699" i="10"/>
  <c r="I4699" i="10" s="1"/>
  <c r="J4699" i="10" s="1"/>
  <c r="F4700" i="10" s="1"/>
  <c r="H791" i="10"/>
  <c r="G791" i="10"/>
  <c r="J1334" i="10"/>
  <c r="F1335" i="10" s="1"/>
  <c r="H1334" i="10"/>
  <c r="I1334" i="10" s="1"/>
  <c r="J5248" i="10"/>
  <c r="F5249" i="10" s="1"/>
  <c r="H5248" i="10"/>
  <c r="I5248" i="10" s="1"/>
  <c r="H1423" i="10"/>
  <c r="I1423" i="10" s="1"/>
  <c r="J1423" i="10" s="1"/>
  <c r="F1424" i="10" s="1"/>
  <c r="H993" i="10"/>
  <c r="I993" i="10" s="1"/>
  <c r="J993" i="10" s="1"/>
  <c r="F994" i="10" s="1"/>
  <c r="J3725" i="10"/>
  <c r="F3726" i="10" s="1"/>
  <c r="H3725" i="10"/>
  <c r="I3725" i="10" s="1"/>
  <c r="H1824" i="10"/>
  <c r="G1824" i="10"/>
  <c r="H4628" i="10"/>
  <c r="I4628" i="10" s="1"/>
  <c r="J4628" i="10"/>
  <c r="F4629" i="10" s="1"/>
  <c r="H4331" i="10"/>
  <c r="I4331" i="10" s="1"/>
  <c r="J4331" i="10" s="1"/>
  <c r="F4332" i="10" s="1"/>
  <c r="H3195" i="10"/>
  <c r="I3195" i="10" s="1"/>
  <c r="J3195" i="10" s="1"/>
  <c r="F3196" i="10" s="1"/>
  <c r="H536" i="10"/>
  <c r="I536" i="10" s="1"/>
  <c r="J536" i="10" s="1"/>
  <c r="F537" i="10" s="1"/>
  <c r="H316" i="10"/>
  <c r="G316" i="10"/>
  <c r="I1199" i="10"/>
  <c r="J1199" i="10" s="1"/>
  <c r="P25" i="9"/>
  <c r="H4806" i="10"/>
  <c r="I4806" i="10" s="1"/>
  <c r="J4806" i="10"/>
  <c r="F4807" i="10" s="1"/>
  <c r="H5161" i="10"/>
  <c r="I5161" i="10" s="1"/>
  <c r="J5161" i="10"/>
  <c r="F5162" i="10" s="1"/>
  <c r="H1277" i="10"/>
  <c r="I1277" i="10" s="1"/>
  <c r="J1277" i="10" s="1"/>
  <c r="F1278" i="10" s="1"/>
  <c r="H438" i="10"/>
  <c r="I438" i="10" s="1"/>
  <c r="J438" i="10" s="1"/>
  <c r="F439" i="10" s="1"/>
  <c r="H74" i="10"/>
  <c r="I74" i="10" s="1"/>
  <c r="J74" i="10" s="1"/>
  <c r="F75" i="10" s="1"/>
  <c r="Q47" i="6"/>
  <c r="AK47" i="6" s="1"/>
  <c r="I47" i="3"/>
  <c r="T47" i="3" s="1"/>
  <c r="AQ50" i="9"/>
  <c r="J2424" i="10"/>
  <c r="F2425" i="10" s="1"/>
  <c r="H2424" i="10"/>
  <c r="I2424" i="10" s="1"/>
  <c r="H2973" i="10"/>
  <c r="I2973" i="10" s="1"/>
  <c r="J2973" i="10" s="1"/>
  <c r="F2974" i="10" s="1"/>
  <c r="H4874" i="10"/>
  <c r="I4874" i="10" s="1"/>
  <c r="J4874" i="10" s="1"/>
  <c r="F4875" i="10" s="1"/>
  <c r="J3341" i="10"/>
  <c r="F3342" i="10" s="1"/>
  <c r="H3341" i="10"/>
  <c r="I3341" i="10" s="1"/>
  <c r="J4201" i="10"/>
  <c r="F4202" i="10" s="1"/>
  <c r="H4201" i="10"/>
  <c r="I4201" i="10" s="1"/>
  <c r="J5329" i="10"/>
  <c r="F5330" i="10" s="1"/>
  <c r="H5329" i="10"/>
  <c r="I5329" i="10" s="1"/>
  <c r="D3742" i="10"/>
  <c r="E3741" i="10"/>
  <c r="U46" i="9"/>
  <c r="R43" i="6"/>
  <c r="T46" i="9"/>
  <c r="S43" i="6" s="1"/>
  <c r="H2854" i="10"/>
  <c r="I2854" i="10" s="1"/>
  <c r="J2854" i="10" s="1"/>
  <c r="F2855" i="10" s="1"/>
  <c r="H5454" i="10"/>
  <c r="I5454" i="10" s="1"/>
  <c r="J5454" i="10"/>
  <c r="F5455" i="10" s="1"/>
  <c r="J652" i="10"/>
  <c r="F653" i="10" s="1"/>
  <c r="H652" i="10"/>
  <c r="I652" i="10" s="1"/>
  <c r="Q19" i="6"/>
  <c r="AK19" i="6" s="1"/>
  <c r="I19" i="3"/>
  <c r="T19" i="3" s="1"/>
  <c r="AQ22" i="9"/>
  <c r="P29" i="9"/>
  <c r="I1476" i="10"/>
  <c r="J1476" i="10" s="1"/>
  <c r="F1477" i="10" s="1"/>
  <c r="H3878" i="10"/>
  <c r="I3878" i="10" s="1"/>
  <c r="J3878" i="10" s="1"/>
  <c r="F3879" i="10" s="1"/>
  <c r="J2894" i="10"/>
  <c r="F2895" i="10" s="1"/>
  <c r="H2894" i="10"/>
  <c r="I2894" i="10" s="1"/>
  <c r="P57" i="9"/>
  <c r="I2773" i="10"/>
  <c r="J2773" i="10" s="1"/>
  <c r="F2774" i="10" s="1"/>
  <c r="H4096" i="10"/>
  <c r="I4096" i="10" s="1"/>
  <c r="J4096" i="10" s="1"/>
  <c r="F4097" i="10" s="1"/>
  <c r="I731" i="10"/>
  <c r="J731" i="10" s="1"/>
  <c r="F732" i="10" s="1"/>
  <c r="L731" i="10"/>
  <c r="I43" i="3"/>
  <c r="T43" i="3" s="1"/>
  <c r="Q43" i="6"/>
  <c r="AK43" i="6" s="1"/>
  <c r="AQ46" i="9"/>
  <c r="I584" i="10"/>
  <c r="J584" i="10" s="1"/>
  <c r="F585" i="10" s="1"/>
  <c r="L584" i="10"/>
  <c r="L585" i="10" s="1"/>
  <c r="R47" i="6"/>
  <c r="T50" i="9"/>
  <c r="S47" i="6" s="1"/>
  <c r="H5386" i="10"/>
  <c r="I5386" i="10" s="1"/>
  <c r="J5386" i="10" s="1"/>
  <c r="F5387" i="10" s="1"/>
  <c r="D3673" i="10"/>
  <c r="E3672" i="10"/>
  <c r="J2080" i="10"/>
  <c r="F2081" i="10" s="1"/>
  <c r="H2351" i="10"/>
  <c r="G2351" i="10"/>
  <c r="I2351" i="10" s="1"/>
  <c r="J2351" i="10" s="1"/>
  <c r="F2352" i="10" s="1"/>
  <c r="S51" i="9"/>
  <c r="J2513" i="10"/>
  <c r="H3664" i="10"/>
  <c r="I3664" i="10" s="1"/>
  <c r="J3664" i="10" s="1"/>
  <c r="F3665" i="10" s="1"/>
  <c r="H2174" i="10"/>
  <c r="I2174" i="10" s="1"/>
  <c r="J2174" i="10" s="1"/>
  <c r="F2175" i="10" s="1"/>
  <c r="H5522" i="10"/>
  <c r="I5522" i="10" s="1"/>
  <c r="J5522" i="10"/>
  <c r="F5523" i="10" s="1"/>
  <c r="H5040" i="10"/>
  <c r="I5040" i="10" s="1"/>
  <c r="J5040" i="10" s="1"/>
  <c r="F5041" i="10" s="1"/>
  <c r="H1743" i="10"/>
  <c r="H4468" i="10"/>
  <c r="I4468" i="10" s="1"/>
  <c r="J4468" i="10" s="1"/>
  <c r="F4469" i="10" s="1"/>
  <c r="H4577" i="10"/>
  <c r="I4577" i="10" s="1"/>
  <c r="J4577" i="10" s="1"/>
  <c r="F4578" i="10" s="1"/>
  <c r="H4030" i="10"/>
  <c r="I4030" i="10" s="1"/>
  <c r="J4030" i="10" s="1"/>
  <c r="F4031" i="10" s="1"/>
  <c r="H4395" i="10"/>
  <c r="I4395" i="10" s="1"/>
  <c r="J4395" i="10"/>
  <c r="F4396" i="10" s="1"/>
  <c r="H3018" i="10"/>
  <c r="I3018" i="10" s="1"/>
  <c r="J3018" i="10"/>
  <c r="F3019" i="10" s="1"/>
  <c r="H3405" i="10"/>
  <c r="I3405" i="10" s="1"/>
  <c r="J3405" i="10" s="1"/>
  <c r="F3406" i="10" s="1"/>
  <c r="D3887" i="10"/>
  <c r="E3886" i="10"/>
  <c r="O48" i="6"/>
  <c r="R51" i="9"/>
  <c r="H4875" i="10" l="1"/>
  <c r="I4875" i="10" s="1"/>
  <c r="J4875" i="10" s="1"/>
  <c r="F4876" i="10" s="1"/>
  <c r="H439" i="10"/>
  <c r="I439" i="10" s="1"/>
  <c r="J439" i="10" s="1"/>
  <c r="F440" i="10" s="1"/>
  <c r="H3879" i="10"/>
  <c r="I3879" i="10" s="1"/>
  <c r="J3879" i="10" s="1"/>
  <c r="F3880" i="10" s="1"/>
  <c r="J4700" i="10"/>
  <c r="F4701" i="10" s="1"/>
  <c r="H4700" i="10"/>
  <c r="I4700" i="10" s="1"/>
  <c r="H537" i="10"/>
  <c r="I537" i="10" s="1"/>
  <c r="J537" i="10" s="1"/>
  <c r="F538" i="10" s="1"/>
  <c r="H4332" i="10"/>
  <c r="I4332" i="10" s="1"/>
  <c r="J4332" i="10"/>
  <c r="F4333" i="10" s="1"/>
  <c r="H4151" i="10"/>
  <c r="I4151" i="10" s="1"/>
  <c r="J4151" i="10" s="1"/>
  <c r="F4152" i="10" s="1"/>
  <c r="J2974" i="10"/>
  <c r="F2975" i="10" s="1"/>
  <c r="H2974" i="10"/>
  <c r="I2974" i="10" s="1"/>
  <c r="H5387" i="10"/>
  <c r="I5387" i="10" s="1"/>
  <c r="J5387" i="10"/>
  <c r="F5388" i="10" s="1"/>
  <c r="H994" i="10"/>
  <c r="I994" i="10" s="1"/>
  <c r="J994" i="10"/>
  <c r="F995" i="10" s="1"/>
  <c r="H4097" i="10"/>
  <c r="I4097" i="10" s="1"/>
  <c r="J4097" i="10" s="1"/>
  <c r="F4098" i="10" s="1"/>
  <c r="H4932" i="10"/>
  <c r="I4932" i="10" s="1"/>
  <c r="J4932" i="10" s="1"/>
  <c r="F4933" i="10" s="1"/>
  <c r="H2175" i="10"/>
  <c r="I2175" i="10" s="1"/>
  <c r="J2175" i="10" s="1"/>
  <c r="F2176" i="10" s="1"/>
  <c r="H3665" i="10"/>
  <c r="I3665" i="10" s="1"/>
  <c r="J3665" i="10" s="1"/>
  <c r="F3666" i="10" s="1"/>
  <c r="H4578" i="10"/>
  <c r="I4578" i="10" s="1"/>
  <c r="J4578" i="10" s="1"/>
  <c r="F4579" i="10" s="1"/>
  <c r="J1424" i="10"/>
  <c r="F1425" i="10" s="1"/>
  <c r="H1424" i="10"/>
  <c r="I1424" i="10" s="1"/>
  <c r="H3406" i="10"/>
  <c r="I3406" i="10" s="1"/>
  <c r="J3406" i="10" s="1"/>
  <c r="F3407" i="10" s="1"/>
  <c r="G2376" i="10"/>
  <c r="G2361" i="10"/>
  <c r="G2370" i="10"/>
  <c r="G2367" i="10"/>
  <c r="G2353" i="10"/>
  <c r="G2372" i="10"/>
  <c r="G2357" i="10"/>
  <c r="G2366" i="10"/>
  <c r="G2363" i="10"/>
  <c r="G2374" i="10"/>
  <c r="G2368" i="10"/>
  <c r="G2362" i="10"/>
  <c r="G2359" i="10"/>
  <c r="G2364" i="10"/>
  <c r="G2358" i="10"/>
  <c r="G2352" i="10"/>
  <c r="G2365" i="10"/>
  <c r="G2360" i="10"/>
  <c r="G2377" i="10"/>
  <c r="G2354" i="10"/>
  <c r="G2355" i="10"/>
  <c r="G2371" i="10"/>
  <c r="G2356" i="10"/>
  <c r="G2373" i="10"/>
  <c r="H2352" i="10"/>
  <c r="G2369" i="10"/>
  <c r="G2375" i="10"/>
  <c r="H4268" i="10"/>
  <c r="I4268" i="10" s="1"/>
  <c r="J4268" i="10" s="1"/>
  <c r="F4269" i="10" s="1"/>
  <c r="H1278" i="10"/>
  <c r="I1278" i="10" s="1"/>
  <c r="J1278" i="10" s="1"/>
  <c r="F1279" i="10" s="1"/>
  <c r="H4031" i="10"/>
  <c r="I4031" i="10" s="1"/>
  <c r="J4031" i="10" s="1"/>
  <c r="F4032" i="10" s="1"/>
  <c r="H3196" i="10"/>
  <c r="I3196" i="10" s="1"/>
  <c r="J3196" i="10" s="1"/>
  <c r="F3197" i="10" s="1"/>
  <c r="J2855" i="10"/>
  <c r="F2856" i="10" s="1"/>
  <c r="H2855" i="10"/>
  <c r="I2855" i="10" s="1"/>
  <c r="H4469" i="10"/>
  <c r="I4469" i="10" s="1"/>
  <c r="J4469" i="10"/>
  <c r="F4470" i="10" s="1"/>
  <c r="H5041" i="10"/>
  <c r="I5041" i="10" s="1"/>
  <c r="J5041" i="10" s="1"/>
  <c r="F5042" i="10" s="1"/>
  <c r="G77" i="10"/>
  <c r="H75" i="10"/>
  <c r="G75" i="10"/>
  <c r="G76" i="10"/>
  <c r="H3513" i="10"/>
  <c r="I3513" i="10" s="1"/>
  <c r="J3513" i="10" s="1"/>
  <c r="F3514" i="10" s="1"/>
  <c r="H5330" i="10"/>
  <c r="I5330" i="10" s="1"/>
  <c r="J5330" i="10"/>
  <c r="F5331" i="10" s="1"/>
  <c r="J5249" i="10"/>
  <c r="F5250" i="10" s="1"/>
  <c r="H5249" i="10"/>
  <c r="I5249" i="10" s="1"/>
  <c r="O22" i="6"/>
  <c r="R25" i="9"/>
  <c r="O54" i="6"/>
  <c r="R57" i="9"/>
  <c r="H732" i="10"/>
  <c r="G732" i="10"/>
  <c r="G733" i="10"/>
  <c r="J2895" i="10"/>
  <c r="F2896" i="10" s="1"/>
  <c r="H2895" i="10"/>
  <c r="I2895" i="10" s="1"/>
  <c r="H4202" i="10"/>
  <c r="I4202" i="10" s="1"/>
  <c r="J4202" i="10" s="1"/>
  <c r="F4203" i="10" s="1"/>
  <c r="J2425" i="10"/>
  <c r="F2426" i="10" s="1"/>
  <c r="H2425" i="10"/>
  <c r="I2425" i="10" s="1"/>
  <c r="J3726" i="10"/>
  <c r="F3727" i="10" s="1"/>
  <c r="H3726" i="10"/>
  <c r="I3726" i="10" s="1"/>
  <c r="J1335" i="10"/>
  <c r="F1336" i="10" s="1"/>
  <c r="H1335" i="10"/>
  <c r="I1335" i="10" s="1"/>
  <c r="H3019" i="10"/>
  <c r="I3019" i="10" s="1"/>
  <c r="J3019" i="10" s="1"/>
  <c r="F3020" i="10" s="1"/>
  <c r="H2081" i="10"/>
  <c r="I316" i="10"/>
  <c r="I791" i="10"/>
  <c r="J791" i="10" s="1"/>
  <c r="F792" i="10" s="1"/>
  <c r="L791" i="10"/>
  <c r="L797" i="10" s="1"/>
  <c r="L2351" i="10"/>
  <c r="L2352" i="10" s="1"/>
  <c r="L2353" i="10" s="1"/>
  <c r="L2354" i="10" s="1"/>
  <c r="L2355" i="10" s="1"/>
  <c r="U50" i="9"/>
  <c r="J585" i="10"/>
  <c r="F586" i="10" s="1"/>
  <c r="H585" i="10"/>
  <c r="I585" i="10" s="1"/>
  <c r="Z46" i="9"/>
  <c r="T43" i="6"/>
  <c r="J3342" i="10"/>
  <c r="F3343" i="10" s="1"/>
  <c r="H3342" i="10"/>
  <c r="I3342" i="10" s="1"/>
  <c r="H5162" i="10"/>
  <c r="I5162" i="10" s="1"/>
  <c r="J5162" i="10" s="1"/>
  <c r="F5163" i="10" s="1"/>
  <c r="J4629" i="10"/>
  <c r="F4630" i="10" s="1"/>
  <c r="H4629" i="10"/>
  <c r="I4629" i="10" s="1"/>
  <c r="H5523" i="10"/>
  <c r="I5523" i="10" s="1"/>
  <c r="J5523" i="10" s="1"/>
  <c r="F5524" i="10" s="1"/>
  <c r="Q48" i="6"/>
  <c r="AK48" i="6" s="1"/>
  <c r="I48" i="3"/>
  <c r="T48" i="3" s="1"/>
  <c r="AQ51" i="9"/>
  <c r="P35" i="9"/>
  <c r="O32" i="6" s="1"/>
  <c r="I1743" i="10"/>
  <c r="J1743" i="10" s="1"/>
  <c r="D3674" i="10"/>
  <c r="E3673" i="10"/>
  <c r="H5455" i="10"/>
  <c r="I5455" i="10" s="1"/>
  <c r="J5455" i="10" s="1"/>
  <c r="F5456" i="10" s="1"/>
  <c r="H4396" i="10"/>
  <c r="I4396" i="10" s="1"/>
  <c r="J4396" i="10" s="1"/>
  <c r="F4397" i="10" s="1"/>
  <c r="D3888" i="10"/>
  <c r="E3887" i="10"/>
  <c r="H1477" i="10"/>
  <c r="I1477" i="10" s="1"/>
  <c r="J1477" i="10" s="1"/>
  <c r="F1478" i="10" s="1"/>
  <c r="D3743" i="10"/>
  <c r="E3742" i="10"/>
  <c r="H4807" i="10"/>
  <c r="I4807" i="10" s="1"/>
  <c r="J4807" i="10" s="1"/>
  <c r="F4808" i="10" s="1"/>
  <c r="I1824" i="10"/>
  <c r="J1824" i="10" s="1"/>
  <c r="F1825" i="10" s="1"/>
  <c r="L1824" i="10"/>
  <c r="J653" i="10"/>
  <c r="F654" i="10" s="1"/>
  <c r="H653" i="10"/>
  <c r="I653" i="10" s="1"/>
  <c r="R48" i="6"/>
  <c r="T51" i="9"/>
  <c r="S48" i="6" s="1"/>
  <c r="H2774" i="10"/>
  <c r="I2774" i="10" s="1"/>
  <c r="J2774" i="10" s="1"/>
  <c r="F2775" i="10" s="1"/>
  <c r="O26" i="6"/>
  <c r="R29" i="9"/>
  <c r="H3407" i="10" l="1"/>
  <c r="I3407" i="10" s="1"/>
  <c r="J3407" i="10"/>
  <c r="F3408" i="10" s="1"/>
  <c r="H538" i="10"/>
  <c r="I538" i="10" s="1"/>
  <c r="J538" i="10" s="1"/>
  <c r="F539" i="10" s="1"/>
  <c r="H4032" i="10"/>
  <c r="I4032" i="10" s="1"/>
  <c r="J4032" i="10"/>
  <c r="F4033" i="10" s="1"/>
  <c r="H3197" i="10"/>
  <c r="I3197" i="10" s="1"/>
  <c r="J3197" i="10" s="1"/>
  <c r="F3198" i="10" s="1"/>
  <c r="H4579" i="10"/>
  <c r="I4579" i="10" s="1"/>
  <c r="J4579" i="10" s="1"/>
  <c r="F4580" i="10" s="1"/>
  <c r="H4397" i="10"/>
  <c r="I4397" i="10" s="1"/>
  <c r="J4397" i="10" s="1"/>
  <c r="F4398" i="10" s="1"/>
  <c r="H5456" i="10"/>
  <c r="I5456" i="10" s="1"/>
  <c r="J5456" i="10" s="1"/>
  <c r="F5457" i="10" s="1"/>
  <c r="H4808" i="10"/>
  <c r="I4808" i="10" s="1"/>
  <c r="J4808" i="10"/>
  <c r="F4809" i="10" s="1"/>
  <c r="H5042" i="10"/>
  <c r="I5042" i="10" s="1"/>
  <c r="J5042" i="10" s="1"/>
  <c r="F5043" i="10" s="1"/>
  <c r="H3666" i="10"/>
  <c r="I3666" i="10" s="1"/>
  <c r="J3666" i="10" s="1"/>
  <c r="F3667" i="10" s="1"/>
  <c r="H3880" i="10"/>
  <c r="I3880" i="10" s="1"/>
  <c r="J3880" i="10"/>
  <c r="F3881" i="10" s="1"/>
  <c r="H3514" i="10"/>
  <c r="I3514" i="10" s="1"/>
  <c r="J3514" i="10" s="1"/>
  <c r="F3515" i="10" s="1"/>
  <c r="H5524" i="10"/>
  <c r="I5524" i="10" s="1"/>
  <c r="J5524" i="10"/>
  <c r="F5525" i="10" s="1"/>
  <c r="H1279" i="10"/>
  <c r="H4269" i="10"/>
  <c r="I4269" i="10" s="1"/>
  <c r="J4269" i="10" s="1"/>
  <c r="F4270" i="10" s="1"/>
  <c r="H5163" i="10"/>
  <c r="I5163" i="10" s="1"/>
  <c r="J5163" i="10" s="1"/>
  <c r="F5164" i="10" s="1"/>
  <c r="H2176" i="10"/>
  <c r="I2176" i="10" s="1"/>
  <c r="J2176" i="10" s="1"/>
  <c r="F2177" i="10" s="1"/>
  <c r="H440" i="10"/>
  <c r="I440" i="10" s="1"/>
  <c r="J440" i="10" s="1"/>
  <c r="F441" i="10" s="1"/>
  <c r="H4098" i="10"/>
  <c r="I4098" i="10" s="1"/>
  <c r="J4098" i="10" s="1"/>
  <c r="F4099" i="10" s="1"/>
  <c r="H4203" i="10"/>
  <c r="I4203" i="10" s="1"/>
  <c r="J4203" i="10"/>
  <c r="F4204" i="10" s="1"/>
  <c r="H3020" i="10"/>
  <c r="I3020" i="10" s="1"/>
  <c r="J3020" i="10" s="1"/>
  <c r="F3021" i="10" s="1"/>
  <c r="H2775" i="10"/>
  <c r="I2775" i="10" s="1"/>
  <c r="J2775" i="10" s="1"/>
  <c r="F2776" i="10" s="1"/>
  <c r="H1478" i="10"/>
  <c r="I1478" i="10" s="1"/>
  <c r="J1478" i="10" s="1"/>
  <c r="F1479" i="10" s="1"/>
  <c r="H4933" i="10"/>
  <c r="I4933" i="10" s="1"/>
  <c r="J4933" i="10" s="1"/>
  <c r="F4934" i="10" s="1"/>
  <c r="H4152" i="10"/>
  <c r="I4152" i="10" s="1"/>
  <c r="J4152" i="10"/>
  <c r="F4153" i="10" s="1"/>
  <c r="H4876" i="10"/>
  <c r="I4876" i="10" s="1"/>
  <c r="J4876" i="10"/>
  <c r="F4877" i="10" s="1"/>
  <c r="J316" i="10"/>
  <c r="F317" i="10" s="1"/>
  <c r="H3727" i="10"/>
  <c r="I3727" i="10" s="1"/>
  <c r="J3727" i="10" s="1"/>
  <c r="F3728" i="10" s="1"/>
  <c r="I732" i="10"/>
  <c r="L732" i="10"/>
  <c r="L733" i="10" s="1"/>
  <c r="I75" i="10"/>
  <c r="L75" i="10"/>
  <c r="L76" i="10" s="1"/>
  <c r="L77" i="10" s="1"/>
  <c r="D3675" i="10"/>
  <c r="E3674" i="10"/>
  <c r="P43" i="9"/>
  <c r="I2081" i="10"/>
  <c r="H2856" i="10"/>
  <c r="I2856" i="10" s="1"/>
  <c r="J2856" i="10" s="1"/>
  <c r="H1425" i="10"/>
  <c r="H2975" i="10"/>
  <c r="I2975" i="10" s="1"/>
  <c r="J2975" i="10" s="1"/>
  <c r="F2976" i="10" s="1"/>
  <c r="H4701" i="10"/>
  <c r="I4701" i="10" s="1"/>
  <c r="J4701" i="10"/>
  <c r="F4702" i="10" s="1"/>
  <c r="J4630" i="10"/>
  <c r="F4631" i="10" s="1"/>
  <c r="H4630" i="10"/>
  <c r="I4630" i="10" s="1"/>
  <c r="H586" i="10"/>
  <c r="G586" i="10"/>
  <c r="H2426" i="10"/>
  <c r="I2426" i="10" s="1"/>
  <c r="J2426" i="10" s="1"/>
  <c r="F2427" i="10" s="1"/>
  <c r="H5250" i="10"/>
  <c r="I5250" i="10" s="1"/>
  <c r="J5250" i="10" s="1"/>
  <c r="F5251" i="10" s="1"/>
  <c r="Z50" i="9"/>
  <c r="T47" i="6"/>
  <c r="Q26" i="6"/>
  <c r="AK26" i="6" s="1"/>
  <c r="AQ29" i="9"/>
  <c r="I26" i="3"/>
  <c r="T26" i="3" s="1"/>
  <c r="J995" i="10"/>
  <c r="F996" i="10" s="1"/>
  <c r="H995" i="10"/>
  <c r="I995" i="10" s="1"/>
  <c r="H4333" i="10"/>
  <c r="I4333" i="10" s="1"/>
  <c r="J4333" i="10"/>
  <c r="F4334" i="10" s="1"/>
  <c r="Q54" i="6"/>
  <c r="AK54" i="6" s="1"/>
  <c r="AQ57" i="9"/>
  <c r="I54" i="3"/>
  <c r="T54" i="3" s="1"/>
  <c r="Q22" i="6"/>
  <c r="AK22" i="6" s="1"/>
  <c r="I22" i="3"/>
  <c r="T22" i="3" s="1"/>
  <c r="AQ25" i="9"/>
  <c r="I2352" i="10"/>
  <c r="J2352" i="10" s="1"/>
  <c r="F2353" i="10" s="1"/>
  <c r="H654" i="10"/>
  <c r="I654" i="10" s="1"/>
  <c r="J654" i="10" s="1"/>
  <c r="F655" i="10" s="1"/>
  <c r="H5331" i="10"/>
  <c r="I5331" i="10" s="1"/>
  <c r="J5331" i="10"/>
  <c r="F5332" i="10" s="1"/>
  <c r="U51" i="9"/>
  <c r="H3343" i="10"/>
  <c r="I3343" i="10" s="1"/>
  <c r="J3343" i="10" s="1"/>
  <c r="F3344" i="10" s="1"/>
  <c r="H792" i="10"/>
  <c r="G792" i="10"/>
  <c r="H1336" i="10"/>
  <c r="I1336" i="10" s="1"/>
  <c r="J1336" i="10" s="1"/>
  <c r="F1337" i="10" s="1"/>
  <c r="H2896" i="10"/>
  <c r="H4470" i="10"/>
  <c r="I4470" i="10" s="1"/>
  <c r="J4470" i="10" s="1"/>
  <c r="F4471" i="10" s="1"/>
  <c r="J5388" i="10"/>
  <c r="F5389" i="10" s="1"/>
  <c r="H5388" i="10"/>
  <c r="I5388" i="10" s="1"/>
  <c r="G1825" i="10"/>
  <c r="L1825" i="10" s="1"/>
  <c r="H1825" i="10"/>
  <c r="D3889" i="10"/>
  <c r="E3888" i="10"/>
  <c r="D3744" i="10"/>
  <c r="E3743" i="10"/>
  <c r="H5251" i="10" l="1"/>
  <c r="I5251" i="10" s="1"/>
  <c r="J5251" i="10" s="1"/>
  <c r="F5252" i="10" s="1"/>
  <c r="G442" i="10"/>
  <c r="G441" i="10"/>
  <c r="H441" i="10"/>
  <c r="H4580" i="10"/>
  <c r="I4580" i="10" s="1"/>
  <c r="J4580" i="10" s="1"/>
  <c r="F4581" i="10" s="1"/>
  <c r="H4934" i="10"/>
  <c r="I4934" i="10" s="1"/>
  <c r="J4934" i="10"/>
  <c r="F4935" i="10" s="1"/>
  <c r="H4099" i="10"/>
  <c r="I4099" i="10" s="1"/>
  <c r="J4099" i="10" s="1"/>
  <c r="F4100" i="10" s="1"/>
  <c r="H3667" i="10"/>
  <c r="I3667" i="10" s="1"/>
  <c r="J3667" i="10" s="1"/>
  <c r="F3668" i="10" s="1"/>
  <c r="H4398" i="10"/>
  <c r="I4398" i="10" s="1"/>
  <c r="J4398" i="10" s="1"/>
  <c r="H2427" i="10"/>
  <c r="I2427" i="10" s="1"/>
  <c r="J2427" i="10" s="1"/>
  <c r="F2428" i="10" s="1"/>
  <c r="H5043" i="10"/>
  <c r="I5043" i="10" s="1"/>
  <c r="J5043" i="10"/>
  <c r="F5044" i="10" s="1"/>
  <c r="H655" i="10"/>
  <c r="I655" i="10" s="1"/>
  <c r="J655" i="10" s="1"/>
  <c r="F656" i="10" s="1"/>
  <c r="J1337" i="10"/>
  <c r="F1338" i="10" s="1"/>
  <c r="H1337" i="10"/>
  <c r="I1337" i="10" s="1"/>
  <c r="H3198" i="10"/>
  <c r="I3198" i="10" s="1"/>
  <c r="J3198" i="10"/>
  <c r="F3199" i="10" s="1"/>
  <c r="H3728" i="10"/>
  <c r="I3728" i="10" s="1"/>
  <c r="J3728" i="10"/>
  <c r="F3729" i="10" s="1"/>
  <c r="H3021" i="10"/>
  <c r="I3021" i="10" s="1"/>
  <c r="J3021" i="10" s="1"/>
  <c r="F3022" i="10" s="1"/>
  <c r="J539" i="10"/>
  <c r="F540" i="10" s="1"/>
  <c r="H539" i="10"/>
  <c r="I539" i="10" s="1"/>
  <c r="H2976" i="10"/>
  <c r="I2976" i="10" s="1"/>
  <c r="J2976" i="10" s="1"/>
  <c r="F2977" i="10" s="1"/>
  <c r="H1479" i="10"/>
  <c r="I1479" i="10" s="1"/>
  <c r="J1479" i="10" s="1"/>
  <c r="F1480" i="10" s="1"/>
  <c r="H4270" i="10"/>
  <c r="I4270" i="10" s="1"/>
  <c r="J4270" i="10" s="1"/>
  <c r="F4271" i="10" s="1"/>
  <c r="J3515" i="10"/>
  <c r="F3516" i="10" s="1"/>
  <c r="H3515" i="10"/>
  <c r="I3515" i="10" s="1"/>
  <c r="H2177" i="10"/>
  <c r="I2177" i="10" s="1"/>
  <c r="J2177" i="10" s="1"/>
  <c r="F2178" i="10" s="1"/>
  <c r="H5164" i="10"/>
  <c r="I5164" i="10" s="1"/>
  <c r="J5164" i="10"/>
  <c r="F5165" i="10" s="1"/>
  <c r="H3344" i="10"/>
  <c r="I3344" i="10" s="1"/>
  <c r="J3344" i="10" s="1"/>
  <c r="F3345" i="10" s="1"/>
  <c r="J2776" i="10"/>
  <c r="F2777" i="10" s="1"/>
  <c r="H2776" i="10"/>
  <c r="I2776" i="10" s="1"/>
  <c r="H4471" i="10"/>
  <c r="I4471" i="10" s="1"/>
  <c r="J4471" i="10"/>
  <c r="F4472" i="10" s="1"/>
  <c r="H5457" i="10"/>
  <c r="I5457" i="10" s="1"/>
  <c r="J5457" i="10" s="1"/>
  <c r="F5458" i="10" s="1"/>
  <c r="H4631" i="10"/>
  <c r="I4631" i="10" s="1"/>
  <c r="J4631" i="10" s="1"/>
  <c r="F4632" i="10" s="1"/>
  <c r="J4809" i="10"/>
  <c r="F4810" i="10" s="1"/>
  <c r="H4809" i="10"/>
  <c r="I4809" i="10" s="1"/>
  <c r="D3890" i="10"/>
  <c r="E3889" i="10"/>
  <c r="H4702" i="10"/>
  <c r="I4702" i="10" s="1"/>
  <c r="J4702" i="10" s="1"/>
  <c r="F4703" i="10" s="1"/>
  <c r="H317" i="10"/>
  <c r="G317" i="10"/>
  <c r="H3881" i="10"/>
  <c r="I3881" i="10" s="1"/>
  <c r="J3881" i="10" s="1"/>
  <c r="F3882" i="10" s="1"/>
  <c r="H4033" i="10"/>
  <c r="I4033" i="10" s="1"/>
  <c r="J4033" i="10" s="1"/>
  <c r="F4034" i="10" s="1"/>
  <c r="I792" i="10"/>
  <c r="J792" i="10" s="1"/>
  <c r="F793" i="10" s="1"/>
  <c r="D3676" i="10"/>
  <c r="E3675" i="10"/>
  <c r="H2353" i="10"/>
  <c r="I2353" i="10" s="1"/>
  <c r="J2353" i="10" s="1"/>
  <c r="F2354" i="10" s="1"/>
  <c r="H4334" i="10"/>
  <c r="I4334" i="10" s="1"/>
  <c r="J4334" i="10" s="1"/>
  <c r="F4335" i="10" s="1"/>
  <c r="J4204" i="10"/>
  <c r="F4205" i="10" s="1"/>
  <c r="H4204" i="10"/>
  <c r="I4204" i="10" s="1"/>
  <c r="I1825" i="10"/>
  <c r="P59" i="9"/>
  <c r="I2896" i="10"/>
  <c r="I586" i="10"/>
  <c r="J586" i="10" s="1"/>
  <c r="F587" i="10" s="1"/>
  <c r="L586" i="10"/>
  <c r="J4877" i="10"/>
  <c r="F4878" i="10" s="1"/>
  <c r="H4877" i="10"/>
  <c r="I4877" i="10" s="1"/>
  <c r="P27" i="9"/>
  <c r="I1279" i="10"/>
  <c r="T48" i="6"/>
  <c r="Z51" i="9"/>
  <c r="S43" i="9"/>
  <c r="J2081" i="10"/>
  <c r="F2082" i="10" s="1"/>
  <c r="J75" i="10"/>
  <c r="F76" i="10" s="1"/>
  <c r="J996" i="10"/>
  <c r="F997" i="10" s="1"/>
  <c r="H996" i="10"/>
  <c r="I996" i="10" s="1"/>
  <c r="I1425" i="10"/>
  <c r="J1425" i="10" s="1"/>
  <c r="F1426" i="10" s="1"/>
  <c r="P28" i="9"/>
  <c r="O40" i="6"/>
  <c r="R43" i="9"/>
  <c r="H4153" i="10"/>
  <c r="I4153" i="10" s="1"/>
  <c r="J4153" i="10" s="1"/>
  <c r="F4154" i="10" s="1"/>
  <c r="J5525" i="10"/>
  <c r="F5526" i="10" s="1"/>
  <c r="H5525" i="10"/>
  <c r="I5525" i="10" s="1"/>
  <c r="H3408" i="10"/>
  <c r="I3408" i="10" s="1"/>
  <c r="J3408" i="10" s="1"/>
  <c r="F3409" i="10" s="1"/>
  <c r="H5389" i="10"/>
  <c r="I5389" i="10" s="1"/>
  <c r="J5389" i="10" s="1"/>
  <c r="F5390" i="10" s="1"/>
  <c r="H5332" i="10"/>
  <c r="I5332" i="10" s="1"/>
  <c r="J5332" i="10" s="1"/>
  <c r="F5333" i="10" s="1"/>
  <c r="D3745" i="10"/>
  <c r="E3744" i="10"/>
  <c r="J732" i="10"/>
  <c r="F733" i="10" s="1"/>
  <c r="H4100" i="10" l="1"/>
  <c r="I4100" i="10" s="1"/>
  <c r="J4100" i="10" s="1"/>
  <c r="F4101" i="10" s="1"/>
  <c r="H3345" i="10"/>
  <c r="I3345" i="10" s="1"/>
  <c r="J3345" i="10" s="1"/>
  <c r="F3346" i="10" s="1"/>
  <c r="H4581" i="10"/>
  <c r="I4581" i="10" s="1"/>
  <c r="J4581" i="10" s="1"/>
  <c r="F4582" i="10" s="1"/>
  <c r="J4034" i="10"/>
  <c r="F4035" i="10" s="1"/>
  <c r="H4034" i="10"/>
  <c r="I4034" i="10" s="1"/>
  <c r="H4632" i="10"/>
  <c r="I4632" i="10" s="1"/>
  <c r="J4632" i="10"/>
  <c r="F4633" i="10" s="1"/>
  <c r="H5458" i="10"/>
  <c r="I5458" i="10" s="1"/>
  <c r="J5458" i="10" s="1"/>
  <c r="F5459" i="10" s="1"/>
  <c r="H4335" i="10"/>
  <c r="I4335" i="10" s="1"/>
  <c r="J4335" i="10" s="1"/>
  <c r="F4336" i="10" s="1"/>
  <c r="J5390" i="10"/>
  <c r="F5391" i="10" s="1"/>
  <c r="H5390" i="10"/>
  <c r="I5390" i="10" s="1"/>
  <c r="H3882" i="10"/>
  <c r="I3882" i="10" s="1"/>
  <c r="J3882" i="10" s="1"/>
  <c r="F3883" i="10" s="1"/>
  <c r="H3022" i="10"/>
  <c r="I3022" i="10" s="1"/>
  <c r="J3022" i="10"/>
  <c r="F3023" i="10" s="1"/>
  <c r="H2428" i="10"/>
  <c r="I2428" i="10" s="1"/>
  <c r="J2428" i="10" s="1"/>
  <c r="F2429" i="10" s="1"/>
  <c r="H2977" i="10"/>
  <c r="I2977" i="10" s="1"/>
  <c r="J2977" i="10" s="1"/>
  <c r="H656" i="10"/>
  <c r="I656" i="10" s="1"/>
  <c r="J656" i="10" s="1"/>
  <c r="F657" i="10" s="1"/>
  <c r="H4154" i="10"/>
  <c r="I4154" i="10" s="1"/>
  <c r="J4154" i="10" s="1"/>
  <c r="F4155" i="10" s="1"/>
  <c r="H4703" i="10"/>
  <c r="I4703" i="10" s="1"/>
  <c r="J4703" i="10" s="1"/>
  <c r="F4704" i="10" s="1"/>
  <c r="H4271" i="10"/>
  <c r="I4271" i="10" s="1"/>
  <c r="J4271" i="10" s="1"/>
  <c r="F4272" i="10" s="1"/>
  <c r="H5333" i="10"/>
  <c r="I5333" i="10" s="1"/>
  <c r="J5333" i="10" s="1"/>
  <c r="F5334" i="10" s="1"/>
  <c r="H3409" i="10"/>
  <c r="I3409" i="10" s="1"/>
  <c r="J3409" i="10" s="1"/>
  <c r="F3410" i="10" s="1"/>
  <c r="H2178" i="10"/>
  <c r="I2178" i="10" s="1"/>
  <c r="J2178" i="10" s="1"/>
  <c r="F2179" i="10" s="1"/>
  <c r="J2354" i="10"/>
  <c r="F2355" i="10" s="1"/>
  <c r="H2354" i="10"/>
  <c r="I2354" i="10" s="1"/>
  <c r="H1480" i="10"/>
  <c r="I1480" i="10" s="1"/>
  <c r="J1480" i="10"/>
  <c r="F1481" i="10" s="1"/>
  <c r="H3668" i="10"/>
  <c r="I3668" i="10" s="1"/>
  <c r="J3668" i="10"/>
  <c r="F3669" i="10" s="1"/>
  <c r="H5252" i="10"/>
  <c r="I5252" i="10" s="1"/>
  <c r="J5252" i="10" s="1"/>
  <c r="F5253" i="10" s="1"/>
  <c r="D3746" i="10"/>
  <c r="E3745" i="10"/>
  <c r="H5526" i="10"/>
  <c r="I5526" i="10" s="1"/>
  <c r="J5526" i="10" s="1"/>
  <c r="F5527" i="10" s="1"/>
  <c r="S27" i="9"/>
  <c r="J1279" i="10"/>
  <c r="F1280" i="10" s="1"/>
  <c r="O56" i="6"/>
  <c r="R59" i="9"/>
  <c r="I317" i="10"/>
  <c r="L317" i="10"/>
  <c r="L328" i="10" s="1"/>
  <c r="H4810" i="10"/>
  <c r="I4810" i="10" s="1"/>
  <c r="J4810" i="10"/>
  <c r="F4811" i="10" s="1"/>
  <c r="H2777" i="10"/>
  <c r="I2777" i="10" s="1"/>
  <c r="J2777" i="10" s="1"/>
  <c r="F2778" i="10" s="1"/>
  <c r="J3516" i="10"/>
  <c r="F3517" i="10" s="1"/>
  <c r="H3516" i="10"/>
  <c r="I3516" i="10" s="1"/>
  <c r="J540" i="10"/>
  <c r="F541" i="10" s="1"/>
  <c r="H540" i="10"/>
  <c r="I540" i="10" s="1"/>
  <c r="D3677" i="10"/>
  <c r="E3676" i="10"/>
  <c r="H1338" i="10"/>
  <c r="I1338" i="10" s="1"/>
  <c r="J1338" i="10" s="1"/>
  <c r="F1339" i="10" s="1"/>
  <c r="J76" i="10"/>
  <c r="F77" i="10" s="1"/>
  <c r="H76" i="10"/>
  <c r="I76" i="10" s="1"/>
  <c r="J1825" i="10"/>
  <c r="F1826" i="10" s="1"/>
  <c r="H793" i="10"/>
  <c r="G793" i="10"/>
  <c r="H5165" i="10"/>
  <c r="I5165" i="10" s="1"/>
  <c r="J5165" i="10" s="1"/>
  <c r="F5166" i="10" s="1"/>
  <c r="H3729" i="10"/>
  <c r="I3729" i="10" s="1"/>
  <c r="J3729" i="10" s="1"/>
  <c r="F3730" i="10" s="1"/>
  <c r="I441" i="10"/>
  <c r="J441" i="10" s="1"/>
  <c r="F442" i="10" s="1"/>
  <c r="L441" i="10"/>
  <c r="L442" i="10" s="1"/>
  <c r="H2082" i="10"/>
  <c r="I2082" i="10" s="1"/>
  <c r="J2082" i="10" s="1"/>
  <c r="F2083" i="10" s="1"/>
  <c r="H5044" i="10"/>
  <c r="I5044" i="10" s="1"/>
  <c r="J5044" i="10" s="1"/>
  <c r="F5045" i="10" s="1"/>
  <c r="O24" i="6"/>
  <c r="R27" i="9"/>
  <c r="H733" i="10"/>
  <c r="I733" i="10" s="1"/>
  <c r="R40" i="6"/>
  <c r="T43" i="9"/>
  <c r="S40" i="6" s="1"/>
  <c r="L587" i="10"/>
  <c r="J4472" i="10"/>
  <c r="F4473" i="10" s="1"/>
  <c r="H4472" i="10"/>
  <c r="I4472" i="10" s="1"/>
  <c r="H997" i="10"/>
  <c r="I997" i="10" s="1"/>
  <c r="J997" i="10" s="1"/>
  <c r="F998" i="10" s="1"/>
  <c r="H4878" i="10"/>
  <c r="I4878" i="10" s="1"/>
  <c r="J4878" i="10" s="1"/>
  <c r="F4879" i="10" s="1"/>
  <c r="Q40" i="6"/>
  <c r="AK40" i="6" s="1"/>
  <c r="I40" i="3"/>
  <c r="T40" i="3" s="1"/>
  <c r="AQ43" i="9"/>
  <c r="O25" i="6"/>
  <c r="R28" i="9"/>
  <c r="H587" i="10"/>
  <c r="G587" i="10"/>
  <c r="I587" i="10" s="1"/>
  <c r="J587" i="10" s="1"/>
  <c r="F588" i="10" s="1"/>
  <c r="D3891" i="10"/>
  <c r="E3890" i="10"/>
  <c r="J3199" i="10"/>
  <c r="F3200" i="10" s="1"/>
  <c r="H3199" i="10"/>
  <c r="I3199" i="10" s="1"/>
  <c r="H4935" i="10"/>
  <c r="I4935" i="10" s="1"/>
  <c r="J4935" i="10" s="1"/>
  <c r="F4936" i="10" s="1"/>
  <c r="H4205" i="10"/>
  <c r="I4205" i="10" s="1"/>
  <c r="J4205" i="10" s="1"/>
  <c r="F4206" i="10" s="1"/>
  <c r="H1426" i="10"/>
  <c r="I1426" i="10" s="1"/>
  <c r="J1426" i="10"/>
  <c r="F1427" i="10" s="1"/>
  <c r="S59" i="9"/>
  <c r="J2896" i="10"/>
  <c r="F2897" i="10" s="1"/>
  <c r="H5459" i="10" l="1"/>
  <c r="I5459" i="10" s="1"/>
  <c r="J5459" i="10" s="1"/>
  <c r="F5460" i="10" s="1"/>
  <c r="H5166" i="10"/>
  <c r="I5166" i="10" s="1"/>
  <c r="J5166" i="10" s="1"/>
  <c r="F5167" i="10" s="1"/>
  <c r="H3410" i="10"/>
  <c r="I3410" i="10" s="1"/>
  <c r="J3410" i="10" s="1"/>
  <c r="F3411" i="10" s="1"/>
  <c r="J2179" i="10"/>
  <c r="F2180" i="10" s="1"/>
  <c r="H2179" i="10"/>
  <c r="I2179" i="10" s="1"/>
  <c r="H5334" i="10"/>
  <c r="I5334" i="10" s="1"/>
  <c r="J5334" i="10" s="1"/>
  <c r="F5335" i="10" s="1"/>
  <c r="H4879" i="10"/>
  <c r="I4879" i="10" s="1"/>
  <c r="J4879" i="10" s="1"/>
  <c r="F4880" i="10" s="1"/>
  <c r="H5045" i="10"/>
  <c r="I5045" i="10" s="1"/>
  <c r="J5045" i="10" s="1"/>
  <c r="F5046" i="10" s="1"/>
  <c r="J4272" i="10"/>
  <c r="F4273" i="10" s="1"/>
  <c r="H4272" i="10"/>
  <c r="I4272" i="10" s="1"/>
  <c r="H3883" i="10"/>
  <c r="I3883" i="10" s="1"/>
  <c r="J3883" i="10" s="1"/>
  <c r="F3884" i="10" s="1"/>
  <c r="H5253" i="10"/>
  <c r="I5253" i="10" s="1"/>
  <c r="J5253" i="10" s="1"/>
  <c r="F5254" i="10" s="1"/>
  <c r="H4206" i="10"/>
  <c r="I4206" i="10" s="1"/>
  <c r="J4206" i="10" s="1"/>
  <c r="F4207" i="10" s="1"/>
  <c r="H2083" i="10"/>
  <c r="I2083" i="10" s="1"/>
  <c r="J2083" i="10" s="1"/>
  <c r="F2084" i="10" s="1"/>
  <c r="H4704" i="10"/>
  <c r="I4704" i="10" s="1"/>
  <c r="J4704" i="10" s="1"/>
  <c r="F4705" i="10" s="1"/>
  <c r="H4582" i="10"/>
  <c r="I4582" i="10" s="1"/>
  <c r="J4582" i="10" s="1"/>
  <c r="F4583" i="10" s="1"/>
  <c r="H3730" i="10"/>
  <c r="I3730" i="10" s="1"/>
  <c r="J3730" i="10" s="1"/>
  <c r="F3731" i="10" s="1"/>
  <c r="H998" i="10"/>
  <c r="I998" i="10" s="1"/>
  <c r="J998" i="10" s="1"/>
  <c r="H4936" i="10"/>
  <c r="I4936" i="10" s="1"/>
  <c r="J4936" i="10"/>
  <c r="F4937" i="10" s="1"/>
  <c r="H2778" i="10"/>
  <c r="I2778" i="10" s="1"/>
  <c r="J2778" i="10" s="1"/>
  <c r="F2779" i="10" s="1"/>
  <c r="H4155" i="10"/>
  <c r="I4155" i="10" s="1"/>
  <c r="J4155" i="10" s="1"/>
  <c r="F4156" i="10" s="1"/>
  <c r="J3346" i="10"/>
  <c r="F3347" i="10" s="1"/>
  <c r="H3346" i="10"/>
  <c r="I3346" i="10" s="1"/>
  <c r="H2429" i="10"/>
  <c r="I2429" i="10" s="1"/>
  <c r="J2429" i="10" s="1"/>
  <c r="F2430" i="10" s="1"/>
  <c r="G588" i="10"/>
  <c r="I588" i="10" s="1"/>
  <c r="J588" i="10" s="1"/>
  <c r="F589" i="10" s="1"/>
  <c r="H588" i="10"/>
  <c r="H1339" i="10"/>
  <c r="I1339" i="10" s="1"/>
  <c r="J1339" i="10" s="1"/>
  <c r="F1340" i="10" s="1"/>
  <c r="J5527" i="10"/>
  <c r="F5528" i="10" s="1"/>
  <c r="H5527" i="10"/>
  <c r="I5527" i="10" s="1"/>
  <c r="J657" i="10"/>
  <c r="F658" i="10" s="1"/>
  <c r="H657" i="10"/>
  <c r="I657" i="10" s="1"/>
  <c r="J4336" i="10"/>
  <c r="F4337" i="10" s="1"/>
  <c r="H4336" i="10"/>
  <c r="I4336" i="10" s="1"/>
  <c r="H4101" i="10"/>
  <c r="I4101" i="10" s="1"/>
  <c r="J4101" i="10" s="1"/>
  <c r="F4102" i="10" s="1"/>
  <c r="H4473" i="10"/>
  <c r="I4473" i="10" s="1"/>
  <c r="J4473" i="10" s="1"/>
  <c r="F4474" i="10" s="1"/>
  <c r="J541" i="10"/>
  <c r="F542" i="10" s="1"/>
  <c r="H541" i="10"/>
  <c r="I541" i="10" s="1"/>
  <c r="J317" i="10"/>
  <c r="F318" i="10" s="1"/>
  <c r="D3747" i="10"/>
  <c r="E3746" i="10"/>
  <c r="H2355" i="10"/>
  <c r="H5391" i="10"/>
  <c r="I5391" i="10" s="1"/>
  <c r="J5391" i="10" s="1"/>
  <c r="F5392" i="10" s="1"/>
  <c r="H4035" i="10"/>
  <c r="I4035" i="10" s="1"/>
  <c r="J4035" i="10" s="1"/>
  <c r="F4036" i="10" s="1"/>
  <c r="H3517" i="10"/>
  <c r="I3517" i="10" s="1"/>
  <c r="J3517" i="10" s="1"/>
  <c r="F3518" i="10" s="1"/>
  <c r="Q56" i="6"/>
  <c r="AK56" i="6" s="1"/>
  <c r="I56" i="3"/>
  <c r="T56" i="3" s="1"/>
  <c r="AQ59" i="9"/>
  <c r="R56" i="6"/>
  <c r="T59" i="9"/>
  <c r="S56" i="6" s="1"/>
  <c r="L588" i="10"/>
  <c r="J3200" i="10"/>
  <c r="F3201" i="10" s="1"/>
  <c r="H3200" i="10"/>
  <c r="I3200" i="10" s="1"/>
  <c r="D3892" i="10"/>
  <c r="E3891" i="10"/>
  <c r="U43" i="9"/>
  <c r="I793" i="10"/>
  <c r="J793" i="10" s="1"/>
  <c r="F794" i="10" s="1"/>
  <c r="J1280" i="10"/>
  <c r="F1281" i="10" s="1"/>
  <c r="H1280" i="10"/>
  <c r="I1280" i="10" s="1"/>
  <c r="H3669" i="10"/>
  <c r="I3669" i="10" s="1"/>
  <c r="J3669" i="10" s="1"/>
  <c r="F3670" i="10" s="1"/>
  <c r="H3023" i="10"/>
  <c r="I3023" i="10" s="1"/>
  <c r="J3023" i="10" s="1"/>
  <c r="F3024" i="10" s="1"/>
  <c r="J4811" i="10"/>
  <c r="F4812" i="10" s="1"/>
  <c r="H4811" i="10"/>
  <c r="I4811" i="10" s="1"/>
  <c r="U27" i="9"/>
  <c r="R24" i="6"/>
  <c r="T27" i="9"/>
  <c r="S24" i="6" s="1"/>
  <c r="H1427" i="10"/>
  <c r="I1427" i="10" s="1"/>
  <c r="J1427" i="10" s="1"/>
  <c r="F1428" i="10" s="1"/>
  <c r="H77" i="10"/>
  <c r="I77" i="10" s="1"/>
  <c r="Q25" i="6"/>
  <c r="AK25" i="6" s="1"/>
  <c r="I25" i="3"/>
  <c r="T25" i="3" s="1"/>
  <c r="AQ28" i="9"/>
  <c r="J733" i="10"/>
  <c r="F734" i="10" s="1"/>
  <c r="D3678" i="10"/>
  <c r="E3677" i="10"/>
  <c r="H1481" i="10"/>
  <c r="I1481" i="10" s="1"/>
  <c r="J1481" i="10" s="1"/>
  <c r="F1482" i="10" s="1"/>
  <c r="J4633" i="10"/>
  <c r="F4634" i="10" s="1"/>
  <c r="H4633" i="10"/>
  <c r="I4633" i="10" s="1"/>
  <c r="J2897" i="10"/>
  <c r="F2898" i="10" s="1"/>
  <c r="H2897" i="10"/>
  <c r="I2897" i="10" s="1"/>
  <c r="Q24" i="6"/>
  <c r="AK24" i="6" s="1"/>
  <c r="I24" i="3"/>
  <c r="T24" i="3" s="1"/>
  <c r="AQ27" i="9"/>
  <c r="H442" i="10"/>
  <c r="I442" i="10" s="1"/>
  <c r="J442" i="10" s="1"/>
  <c r="F443" i="10" s="1"/>
  <c r="G1838" i="10"/>
  <c r="G1839" i="10"/>
  <c r="G1853" i="10"/>
  <c r="G1860" i="10"/>
  <c r="G1828" i="10"/>
  <c r="G1856" i="10"/>
  <c r="G1858" i="10"/>
  <c r="G1859" i="10"/>
  <c r="G1841" i="10"/>
  <c r="G1834" i="10"/>
  <c r="G1835" i="10"/>
  <c r="G1849" i="10"/>
  <c r="G1829" i="10"/>
  <c r="G1830" i="10"/>
  <c r="G1831" i="10"/>
  <c r="G1845" i="10"/>
  <c r="G1852" i="10"/>
  <c r="H1826" i="10"/>
  <c r="G1843" i="10"/>
  <c r="G1848" i="10"/>
  <c r="G1826" i="10"/>
  <c r="G1854" i="10"/>
  <c r="G1855" i="10"/>
  <c r="G1837" i="10"/>
  <c r="G1844" i="10"/>
  <c r="G1833" i="10"/>
  <c r="G1842" i="10"/>
  <c r="G1832" i="10"/>
  <c r="G1850" i="10"/>
  <c r="G1851" i="10"/>
  <c r="G1827" i="10"/>
  <c r="G1840" i="10"/>
  <c r="G1846" i="10"/>
  <c r="G1847" i="10"/>
  <c r="G1861" i="10"/>
  <c r="G1836" i="10"/>
  <c r="G1857" i="10"/>
  <c r="H4705" i="10" l="1"/>
  <c r="I4705" i="10" s="1"/>
  <c r="J4705" i="10" s="1"/>
  <c r="F4706" i="10" s="1"/>
  <c r="H4880" i="10"/>
  <c r="I4880" i="10" s="1"/>
  <c r="J4880" i="10"/>
  <c r="F4881" i="10" s="1"/>
  <c r="H5335" i="10"/>
  <c r="I5335" i="10" s="1"/>
  <c r="J5335" i="10"/>
  <c r="F5336" i="10" s="1"/>
  <c r="H4156" i="10"/>
  <c r="I4156" i="10" s="1"/>
  <c r="J4156" i="10"/>
  <c r="F4157" i="10" s="1"/>
  <c r="H4207" i="10"/>
  <c r="I4207" i="10" s="1"/>
  <c r="J4207" i="10" s="1"/>
  <c r="F4208" i="10" s="1"/>
  <c r="H4583" i="10"/>
  <c r="I4583" i="10" s="1"/>
  <c r="J4583" i="10" s="1"/>
  <c r="F4584" i="10" s="1"/>
  <c r="J3670" i="10"/>
  <c r="F3671" i="10" s="1"/>
  <c r="H3670" i="10"/>
  <c r="I3670" i="10" s="1"/>
  <c r="H4036" i="10"/>
  <c r="I4036" i="10" s="1"/>
  <c r="J4036" i="10" s="1"/>
  <c r="F4037" i="10" s="1"/>
  <c r="H4474" i="10"/>
  <c r="I4474" i="10" s="1"/>
  <c r="J4474" i="10" s="1"/>
  <c r="F4475" i="10" s="1"/>
  <c r="H1340" i="10"/>
  <c r="I1340" i="10" s="1"/>
  <c r="J1340" i="10" s="1"/>
  <c r="F1341" i="10" s="1"/>
  <c r="J5254" i="10"/>
  <c r="F5255" i="10" s="1"/>
  <c r="H5254" i="10"/>
  <c r="I5254" i="10" s="1"/>
  <c r="H2084" i="10"/>
  <c r="I2084" i="10" s="1"/>
  <c r="J2084" i="10" s="1"/>
  <c r="F2085" i="10" s="1"/>
  <c r="H1482" i="10"/>
  <c r="I1482" i="10" s="1"/>
  <c r="J1482" i="10" s="1"/>
  <c r="F1483" i="10" s="1"/>
  <c r="H4102" i="10"/>
  <c r="I4102" i="10" s="1"/>
  <c r="J4102" i="10"/>
  <c r="F4103" i="10" s="1"/>
  <c r="J3884" i="10"/>
  <c r="F3885" i="10" s="1"/>
  <c r="H3884" i="10"/>
  <c r="I3884" i="10" s="1"/>
  <c r="H3411" i="10"/>
  <c r="I3411" i="10" s="1"/>
  <c r="J3411" i="10" s="1"/>
  <c r="F3412" i="10" s="1"/>
  <c r="H5046" i="10"/>
  <c r="I5046" i="10" s="1"/>
  <c r="J5046" i="10" s="1"/>
  <c r="F5047" i="10" s="1"/>
  <c r="H3024" i="10"/>
  <c r="I3024" i="10" s="1"/>
  <c r="J3024" i="10" s="1"/>
  <c r="F3025" i="10" s="1"/>
  <c r="J2779" i="10"/>
  <c r="F2780" i="10" s="1"/>
  <c r="H2779" i="10"/>
  <c r="I2779" i="10" s="1"/>
  <c r="J5392" i="10"/>
  <c r="F5393" i="10" s="1"/>
  <c r="H5392" i="10"/>
  <c r="I5392" i="10" s="1"/>
  <c r="G589" i="10"/>
  <c r="G590" i="10"/>
  <c r="H589" i="10"/>
  <c r="H5167" i="10"/>
  <c r="I5167" i="10" s="1"/>
  <c r="J5167" i="10" s="1"/>
  <c r="F5168" i="10" s="1"/>
  <c r="J3518" i="10"/>
  <c r="F3519" i="10" s="1"/>
  <c r="H3518" i="10"/>
  <c r="I3518" i="10" s="1"/>
  <c r="H443" i="10"/>
  <c r="G443" i="10"/>
  <c r="H1428" i="10"/>
  <c r="I1428" i="10" s="1"/>
  <c r="J1428" i="10" s="1"/>
  <c r="F1429" i="10" s="1"/>
  <c r="H2430" i="10"/>
  <c r="I2430" i="10" s="1"/>
  <c r="J2430" i="10" s="1"/>
  <c r="F2431" i="10" s="1"/>
  <c r="J3731" i="10"/>
  <c r="F3732" i="10" s="1"/>
  <c r="H3731" i="10"/>
  <c r="I3731" i="10" s="1"/>
  <c r="H5460" i="10"/>
  <c r="I5460" i="10" s="1"/>
  <c r="J5460" i="10" s="1"/>
  <c r="F5461" i="10" s="1"/>
  <c r="Y27" i="9"/>
  <c r="T24" i="6"/>
  <c r="H3201" i="10"/>
  <c r="I3201" i="10" s="1"/>
  <c r="J3201" i="10" s="1"/>
  <c r="F3202" i="10" s="1"/>
  <c r="H5528" i="10"/>
  <c r="I5528" i="10" s="1"/>
  <c r="J5528" i="10" s="1"/>
  <c r="F5529" i="10" s="1"/>
  <c r="H1281" i="10"/>
  <c r="I1281" i="10" s="1"/>
  <c r="J1281" i="10"/>
  <c r="F1282" i="10" s="1"/>
  <c r="L589" i="10"/>
  <c r="L590" i="10" s="1"/>
  <c r="D3748" i="10"/>
  <c r="E3747" i="10"/>
  <c r="H3347" i="10"/>
  <c r="I3347" i="10" s="1"/>
  <c r="J3347" i="10" s="1"/>
  <c r="F3348" i="10" s="1"/>
  <c r="H4273" i="10"/>
  <c r="I4273" i="10" s="1"/>
  <c r="J4273" i="10" s="1"/>
  <c r="F4274" i="10" s="1"/>
  <c r="H2180" i="10"/>
  <c r="I2180" i="10" s="1"/>
  <c r="J2180" i="10" s="1"/>
  <c r="F2181" i="10" s="1"/>
  <c r="H4812" i="10"/>
  <c r="I4812" i="10" s="1"/>
  <c r="J4812" i="10" s="1"/>
  <c r="F4813" i="10" s="1"/>
  <c r="H318" i="10"/>
  <c r="G318" i="10"/>
  <c r="H4634" i="10"/>
  <c r="I4634" i="10" s="1"/>
  <c r="J4634" i="10" s="1"/>
  <c r="F4635" i="10" s="1"/>
  <c r="J77" i="10"/>
  <c r="F78" i="10" s="1"/>
  <c r="G795" i="10"/>
  <c r="H794" i="10"/>
  <c r="G794" i="10"/>
  <c r="W37" i="9"/>
  <c r="D3679" i="10"/>
  <c r="E3678" i="10"/>
  <c r="X43" i="9"/>
  <c r="T40" i="6"/>
  <c r="U59" i="9"/>
  <c r="H4337" i="10"/>
  <c r="I4337" i="10" s="1"/>
  <c r="J4337" i="10"/>
  <c r="F4338" i="10" s="1"/>
  <c r="H2898" i="10"/>
  <c r="I2898" i="10" s="1"/>
  <c r="J2898" i="10" s="1"/>
  <c r="F2899" i="10" s="1"/>
  <c r="H734" i="10"/>
  <c r="G735" i="10"/>
  <c r="G734" i="10"/>
  <c r="D3893" i="10"/>
  <c r="E3892" i="10"/>
  <c r="P48" i="9"/>
  <c r="I2355" i="10"/>
  <c r="J2355" i="10" s="1"/>
  <c r="F2356" i="10" s="1"/>
  <c r="H542" i="10"/>
  <c r="I542" i="10" s="1"/>
  <c r="J542" i="10" s="1"/>
  <c r="F543" i="10" s="1"/>
  <c r="H658" i="10"/>
  <c r="I658" i="10" s="1"/>
  <c r="J658" i="10" s="1"/>
  <c r="F659" i="10" s="1"/>
  <c r="H4937" i="10"/>
  <c r="I4937" i="10" s="1"/>
  <c r="J4937" i="10" s="1"/>
  <c r="F4938" i="10" s="1"/>
  <c r="I1826" i="10"/>
  <c r="L1826" i="10"/>
  <c r="L1827" i="10" s="1"/>
  <c r="L1828" i="10" s="1"/>
  <c r="L1829" i="10" s="1"/>
  <c r="H5047" i="10" l="1"/>
  <c r="I5047" i="10" s="1"/>
  <c r="J5047" i="10"/>
  <c r="F5048" i="10" s="1"/>
  <c r="H2431" i="10"/>
  <c r="I2431" i="10" s="1"/>
  <c r="J2431" i="10" s="1"/>
  <c r="H3412" i="10"/>
  <c r="I3412" i="10" s="1"/>
  <c r="J3412" i="10" s="1"/>
  <c r="F3413" i="10" s="1"/>
  <c r="H5529" i="10"/>
  <c r="I5529" i="10" s="1"/>
  <c r="J5529" i="10"/>
  <c r="F5530" i="10" s="1"/>
  <c r="H659" i="10"/>
  <c r="I659" i="10" s="1"/>
  <c r="J659" i="10" s="1"/>
  <c r="F660" i="10" s="1"/>
  <c r="H4813" i="10"/>
  <c r="I4813" i="10" s="1"/>
  <c r="J4813" i="10" s="1"/>
  <c r="F4814" i="10" s="1"/>
  <c r="H3202" i="10"/>
  <c r="I3202" i="10" s="1"/>
  <c r="J3202" i="10"/>
  <c r="F3203" i="10" s="1"/>
  <c r="H4208" i="10"/>
  <c r="I4208" i="10" s="1"/>
  <c r="J4208" i="10" s="1"/>
  <c r="F4209" i="10" s="1"/>
  <c r="H2181" i="10"/>
  <c r="I2181" i="10" s="1"/>
  <c r="J2181" i="10" s="1"/>
  <c r="F2182" i="10" s="1"/>
  <c r="H4274" i="10"/>
  <c r="I4274" i="10" s="1"/>
  <c r="J4274" i="10"/>
  <c r="F4275" i="10" s="1"/>
  <c r="H3348" i="10"/>
  <c r="I3348" i="10" s="1"/>
  <c r="J3348" i="10" s="1"/>
  <c r="F3349" i="10" s="1"/>
  <c r="H4037" i="10"/>
  <c r="I4037" i="10" s="1"/>
  <c r="J4037" i="10" s="1"/>
  <c r="F4038" i="10" s="1"/>
  <c r="H543" i="10"/>
  <c r="I543" i="10" s="1"/>
  <c r="J543" i="10" s="1"/>
  <c r="F544" i="10" s="1"/>
  <c r="H1429" i="10"/>
  <c r="I1429" i="10" s="1"/>
  <c r="J1429" i="10" s="1"/>
  <c r="F1430" i="10" s="1"/>
  <c r="H4475" i="10"/>
  <c r="I4475" i="10" s="1"/>
  <c r="J4475" i="10"/>
  <c r="F4476" i="10" s="1"/>
  <c r="H4635" i="10"/>
  <c r="I4635" i="10" s="1"/>
  <c r="J4635" i="10" s="1"/>
  <c r="F4636" i="10" s="1"/>
  <c r="H5461" i="10"/>
  <c r="I5461" i="10" s="1"/>
  <c r="J5461" i="10"/>
  <c r="F5462" i="10" s="1"/>
  <c r="H1483" i="10"/>
  <c r="I1483" i="10" s="1"/>
  <c r="J1483" i="10"/>
  <c r="F1484" i="10" s="1"/>
  <c r="H2899" i="10"/>
  <c r="I2899" i="10" s="1"/>
  <c r="J2899" i="10" s="1"/>
  <c r="F2900" i="10" s="1"/>
  <c r="H1341" i="10"/>
  <c r="I1341" i="10" s="1"/>
  <c r="J1341" i="10" s="1"/>
  <c r="F1342" i="10" s="1"/>
  <c r="H4938" i="10"/>
  <c r="I4938" i="10" s="1"/>
  <c r="J4938" i="10" s="1"/>
  <c r="F4939" i="10" s="1"/>
  <c r="H5168" i="10"/>
  <c r="I5168" i="10" s="1"/>
  <c r="J5168" i="10" s="1"/>
  <c r="F5169" i="10" s="1"/>
  <c r="H3025" i="10"/>
  <c r="I3025" i="10" s="1"/>
  <c r="J3025" i="10"/>
  <c r="F3026" i="10" s="1"/>
  <c r="H2085" i="10"/>
  <c r="I2085" i="10" s="1"/>
  <c r="J2085" i="10" s="1"/>
  <c r="H4584" i="10"/>
  <c r="I4584" i="10" s="1"/>
  <c r="J4584" i="10"/>
  <c r="F4585" i="10" s="1"/>
  <c r="H4706" i="10"/>
  <c r="I4706" i="10" s="1"/>
  <c r="J4706" i="10" s="1"/>
  <c r="F4707" i="10" s="1"/>
  <c r="H5393" i="10"/>
  <c r="I5393" i="10" s="1"/>
  <c r="J5393" i="10"/>
  <c r="F5394" i="10" s="1"/>
  <c r="H4157" i="10"/>
  <c r="I4157" i="10" s="1"/>
  <c r="J4157" i="10" s="1"/>
  <c r="F4158" i="10" s="1"/>
  <c r="D3749" i="10"/>
  <c r="E3748" i="10"/>
  <c r="H2780" i="10"/>
  <c r="I2780" i="10" s="1"/>
  <c r="J2780" i="10" s="1"/>
  <c r="F2781" i="10" s="1"/>
  <c r="H3885" i="10"/>
  <c r="I3885" i="10" s="1"/>
  <c r="J3885" i="10" s="1"/>
  <c r="F3886" i="10" s="1"/>
  <c r="H5255" i="10"/>
  <c r="I5255" i="10" s="1"/>
  <c r="J5255" i="10" s="1"/>
  <c r="F5256" i="10" s="1"/>
  <c r="H3671" i="10"/>
  <c r="I3671" i="10" s="1"/>
  <c r="J3671" i="10" s="1"/>
  <c r="F3672" i="10" s="1"/>
  <c r="H5336" i="10"/>
  <c r="I5336" i="10" s="1"/>
  <c r="J5336" i="10" s="1"/>
  <c r="F5337" i="10" s="1"/>
  <c r="H1282" i="10"/>
  <c r="I1282" i="10" s="1"/>
  <c r="J1282" i="10" s="1"/>
  <c r="F1283" i="10" s="1"/>
  <c r="H4103" i="10"/>
  <c r="I4103" i="10" s="1"/>
  <c r="J4103" i="10" s="1"/>
  <c r="H2356" i="10"/>
  <c r="I2356" i="10" s="1"/>
  <c r="J2356" i="10" s="1"/>
  <c r="F2357" i="10" s="1"/>
  <c r="I443" i="10"/>
  <c r="J443" i="10" s="1"/>
  <c r="F444" i="10" s="1"/>
  <c r="L443" i="10"/>
  <c r="J4881" i="10"/>
  <c r="F4882" i="10" s="1"/>
  <c r="H4881" i="10"/>
  <c r="I4881" i="10" s="1"/>
  <c r="J3519" i="10"/>
  <c r="F3520" i="10" s="1"/>
  <c r="H3519" i="10"/>
  <c r="I3519" i="10" s="1"/>
  <c r="O45" i="6"/>
  <c r="R48" i="9"/>
  <c r="J4338" i="10"/>
  <c r="F4339" i="10" s="1"/>
  <c r="H4338" i="10"/>
  <c r="I4338" i="10" s="1"/>
  <c r="I589" i="10"/>
  <c r="J589" i="10" s="1"/>
  <c r="F590" i="10" s="1"/>
  <c r="I794" i="10"/>
  <c r="J794" i="10" s="1"/>
  <c r="F795" i="10" s="1"/>
  <c r="I318" i="10"/>
  <c r="H78" i="10"/>
  <c r="G78" i="10"/>
  <c r="I734" i="10"/>
  <c r="L734" i="10"/>
  <c r="L735" i="10" s="1"/>
  <c r="J1826" i="10"/>
  <c r="F1827" i="10" s="1"/>
  <c r="D3680" i="10"/>
  <c r="E3679" i="10"/>
  <c r="D3894" i="10"/>
  <c r="E3893" i="10"/>
  <c r="T56" i="6"/>
  <c r="Y59" i="9"/>
  <c r="Z59" i="9" s="1"/>
  <c r="H3732" i="10"/>
  <c r="I3732" i="10" s="1"/>
  <c r="J3732" i="10" s="1"/>
  <c r="F3733" i="10" s="1"/>
  <c r="H660" i="10" l="1"/>
  <c r="I660" i="10" s="1"/>
  <c r="J660" i="10" s="1"/>
  <c r="F661" i="10" s="1"/>
  <c r="H4814" i="10"/>
  <c r="I4814" i="10" s="1"/>
  <c r="J4814" i="10"/>
  <c r="F4815" i="10" s="1"/>
  <c r="H1283" i="10"/>
  <c r="I1283" i="10" s="1"/>
  <c r="J1283" i="10" s="1"/>
  <c r="F1284" i="10" s="1"/>
  <c r="H2182" i="10"/>
  <c r="I2182" i="10" s="1"/>
  <c r="J2182" i="10" s="1"/>
  <c r="F2183" i="10" s="1"/>
  <c r="H2357" i="10"/>
  <c r="I2357" i="10" s="1"/>
  <c r="J2357" i="10" s="1"/>
  <c r="F2358" i="10" s="1"/>
  <c r="H3349" i="10"/>
  <c r="I3349" i="10" s="1"/>
  <c r="J3349" i="10" s="1"/>
  <c r="F3350" i="10" s="1"/>
  <c r="H5337" i="10"/>
  <c r="I5337" i="10" s="1"/>
  <c r="J5337" i="10" s="1"/>
  <c r="F5338" i="10" s="1"/>
  <c r="H4707" i="10"/>
  <c r="I4707" i="10" s="1"/>
  <c r="J4707" i="10" s="1"/>
  <c r="F4708" i="10" s="1"/>
  <c r="H4209" i="10"/>
  <c r="I4209" i="10" s="1"/>
  <c r="J4209" i="10" s="1"/>
  <c r="F4210" i="10" s="1"/>
  <c r="H4038" i="10"/>
  <c r="I4038" i="10" s="1"/>
  <c r="J4038" i="10" s="1"/>
  <c r="F4039" i="10" s="1"/>
  <c r="H4158" i="10"/>
  <c r="I4158" i="10" s="1"/>
  <c r="J4158" i="10" s="1"/>
  <c r="F4159" i="10" s="1"/>
  <c r="H5169" i="10"/>
  <c r="I5169" i="10" s="1"/>
  <c r="J5169" i="10" s="1"/>
  <c r="F5170" i="10" s="1"/>
  <c r="H4939" i="10"/>
  <c r="I4939" i="10" s="1"/>
  <c r="J4939" i="10" s="1"/>
  <c r="F4940" i="10" s="1"/>
  <c r="H5256" i="10"/>
  <c r="I5256" i="10" s="1"/>
  <c r="J5256" i="10" s="1"/>
  <c r="F5257" i="10" s="1"/>
  <c r="H3886" i="10"/>
  <c r="I3886" i="10" s="1"/>
  <c r="J3886" i="10" s="1"/>
  <c r="F3887" i="10" s="1"/>
  <c r="H2900" i="10"/>
  <c r="I2900" i="10" s="1"/>
  <c r="J2900" i="10" s="1"/>
  <c r="F2901" i="10" s="1"/>
  <c r="H1430" i="10"/>
  <c r="I1430" i="10" s="1"/>
  <c r="J1430" i="10"/>
  <c r="F1431" i="10" s="1"/>
  <c r="H4636" i="10"/>
  <c r="I4636" i="10" s="1"/>
  <c r="J4636" i="10"/>
  <c r="F4637" i="10" s="1"/>
  <c r="H3672" i="10"/>
  <c r="I3672" i="10" s="1"/>
  <c r="J3672" i="10" s="1"/>
  <c r="F3673" i="10" s="1"/>
  <c r="H3413" i="10"/>
  <c r="I3413" i="10" s="1"/>
  <c r="J3413" i="10" s="1"/>
  <c r="F3414" i="10" s="1"/>
  <c r="H1342" i="10"/>
  <c r="I1342" i="10" s="1"/>
  <c r="J1342" i="10" s="1"/>
  <c r="F1343" i="10" s="1"/>
  <c r="H3733" i="10"/>
  <c r="I3733" i="10" s="1"/>
  <c r="J3733" i="10" s="1"/>
  <c r="F3734" i="10" s="1"/>
  <c r="H2781" i="10"/>
  <c r="I2781" i="10" s="1"/>
  <c r="J2781" i="10" s="1"/>
  <c r="F2782" i="10" s="1"/>
  <c r="H544" i="10"/>
  <c r="I544" i="10" s="1"/>
  <c r="J544" i="10" s="1"/>
  <c r="F545" i="10" s="1"/>
  <c r="J4476" i="10"/>
  <c r="F4477" i="10" s="1"/>
  <c r="H4476" i="10"/>
  <c r="I4476" i="10" s="1"/>
  <c r="H3203" i="10"/>
  <c r="I3203" i="10" s="1"/>
  <c r="J3203" i="10" s="1"/>
  <c r="F3204" i="10" s="1"/>
  <c r="H444" i="10"/>
  <c r="G444" i="10"/>
  <c r="I444" i="10" s="1"/>
  <c r="J444" i="10" s="1"/>
  <c r="F445" i="10" s="1"/>
  <c r="I78" i="10"/>
  <c r="J78" i="10" s="1"/>
  <c r="F79" i="10" s="1"/>
  <c r="L78" i="10"/>
  <c r="E3680" i="10"/>
  <c r="D3681" i="10"/>
  <c r="H5394" i="10"/>
  <c r="I5394" i="10" s="1"/>
  <c r="J5394" i="10"/>
  <c r="F5395" i="10" s="1"/>
  <c r="H1484" i="10"/>
  <c r="I1484" i="10" s="1"/>
  <c r="J1484" i="10"/>
  <c r="H4275" i="10"/>
  <c r="I4275" i="10" s="1"/>
  <c r="J4275" i="10" s="1"/>
  <c r="F4276" i="10" s="1"/>
  <c r="H5530" i="10"/>
  <c r="I5530" i="10" s="1"/>
  <c r="J5530" i="10" s="1"/>
  <c r="F5531" i="10" s="1"/>
  <c r="H4339" i="10"/>
  <c r="I4339" i="10" s="1"/>
  <c r="J4339" i="10" s="1"/>
  <c r="F4340" i="10" s="1"/>
  <c r="J318" i="10"/>
  <c r="F319" i="10" s="1"/>
  <c r="H590" i="10"/>
  <c r="I590" i="10" s="1"/>
  <c r="J590" i="10" s="1"/>
  <c r="F591" i="10" s="1"/>
  <c r="H3026" i="10"/>
  <c r="I3026" i="10" s="1"/>
  <c r="J3026" i="10"/>
  <c r="F3027" i="10" s="1"/>
  <c r="Q45" i="6"/>
  <c r="AK45" i="6" s="1"/>
  <c r="I45" i="3"/>
  <c r="T45" i="3" s="1"/>
  <c r="AQ48" i="9"/>
  <c r="E3749" i="10"/>
  <c r="D3750" i="10"/>
  <c r="J4585" i="10"/>
  <c r="F4586" i="10" s="1"/>
  <c r="H4585" i="10"/>
  <c r="I4585" i="10" s="1"/>
  <c r="H5462" i="10"/>
  <c r="I5462" i="10" s="1"/>
  <c r="J5462" i="10"/>
  <c r="F5463" i="10" s="1"/>
  <c r="H5048" i="10"/>
  <c r="I5048" i="10" s="1"/>
  <c r="J5048" i="10" s="1"/>
  <c r="F5049" i="10" s="1"/>
  <c r="J4882" i="10"/>
  <c r="F4883" i="10" s="1"/>
  <c r="H4882" i="10"/>
  <c r="I4882" i="10" s="1"/>
  <c r="J1827" i="10"/>
  <c r="F1828" i="10" s="1"/>
  <c r="H1827" i="10"/>
  <c r="I1827" i="10" s="1"/>
  <c r="H3520" i="10"/>
  <c r="I3520" i="10" s="1"/>
  <c r="J3520" i="10" s="1"/>
  <c r="F3521" i="10" s="1"/>
  <c r="D3895" i="10"/>
  <c r="E3894" i="10"/>
  <c r="J734" i="10"/>
  <c r="F735" i="10" s="1"/>
  <c r="H795" i="10"/>
  <c r="I795" i="10" s="1"/>
  <c r="J795" i="10" s="1"/>
  <c r="F796" i="10" s="1"/>
  <c r="H3414" i="10" l="1"/>
  <c r="I3414" i="10" s="1"/>
  <c r="J3414" i="10" s="1"/>
  <c r="F3415" i="10" s="1"/>
  <c r="H5257" i="10"/>
  <c r="I5257" i="10" s="1"/>
  <c r="J5257" i="10" s="1"/>
  <c r="F5258" i="10" s="1"/>
  <c r="H3350" i="10"/>
  <c r="I3350" i="10" s="1"/>
  <c r="J3350" i="10" s="1"/>
  <c r="F3351" i="10" s="1"/>
  <c r="H3887" i="10"/>
  <c r="I3887" i="10" s="1"/>
  <c r="J3887" i="10" s="1"/>
  <c r="F3888" i="10" s="1"/>
  <c r="H2183" i="10"/>
  <c r="I2183" i="10" s="1"/>
  <c r="J2183" i="10" s="1"/>
  <c r="F2184" i="10" s="1"/>
  <c r="H3673" i="10"/>
  <c r="I3673" i="10" s="1"/>
  <c r="J3673" i="10" s="1"/>
  <c r="F3674" i="10" s="1"/>
  <c r="H4159" i="10"/>
  <c r="I4159" i="10" s="1"/>
  <c r="J4159" i="10" s="1"/>
  <c r="F4160" i="10" s="1"/>
  <c r="H1284" i="10"/>
  <c r="I1284" i="10" s="1"/>
  <c r="J1284" i="10" s="1"/>
  <c r="H1343" i="10"/>
  <c r="I1343" i="10" s="1"/>
  <c r="J1343" i="10" s="1"/>
  <c r="F1344" i="10" s="1"/>
  <c r="H4940" i="10"/>
  <c r="I4940" i="10" s="1"/>
  <c r="J4940" i="10"/>
  <c r="F4941" i="10" s="1"/>
  <c r="G592" i="10"/>
  <c r="H591" i="10"/>
  <c r="G591" i="10"/>
  <c r="H4340" i="10"/>
  <c r="I4340" i="10" s="1"/>
  <c r="J4340" i="10" s="1"/>
  <c r="F4341" i="10" s="1"/>
  <c r="H545" i="10"/>
  <c r="I545" i="10" s="1"/>
  <c r="J545" i="10" s="1"/>
  <c r="F546" i="10" s="1"/>
  <c r="H4039" i="10"/>
  <c r="I4039" i="10" s="1"/>
  <c r="J4039" i="10" s="1"/>
  <c r="F4040" i="10" s="1"/>
  <c r="H5338" i="10"/>
  <c r="I5338" i="10" s="1"/>
  <c r="J5338" i="10"/>
  <c r="F5339" i="10" s="1"/>
  <c r="H3521" i="10"/>
  <c r="I3521" i="10" s="1"/>
  <c r="J3521" i="10"/>
  <c r="F3522" i="10" s="1"/>
  <c r="H2358" i="10"/>
  <c r="I2358" i="10" s="1"/>
  <c r="J2358" i="10" s="1"/>
  <c r="F2359" i="10" s="1"/>
  <c r="H796" i="10"/>
  <c r="G797" i="10"/>
  <c r="G796" i="10"/>
  <c r="H5531" i="10"/>
  <c r="I5531" i="10" s="1"/>
  <c r="J5531" i="10"/>
  <c r="F5532" i="10" s="1"/>
  <c r="H2782" i="10"/>
  <c r="I2782" i="10" s="1"/>
  <c r="J2782" i="10" s="1"/>
  <c r="F2783" i="10" s="1"/>
  <c r="H4210" i="10"/>
  <c r="I4210" i="10" s="1"/>
  <c r="J4210" i="10" s="1"/>
  <c r="F4211" i="10" s="1"/>
  <c r="G445" i="10"/>
  <c r="I445" i="10" s="1"/>
  <c r="J445" i="10" s="1"/>
  <c r="F446" i="10" s="1"/>
  <c r="H445" i="10"/>
  <c r="J3204" i="10"/>
  <c r="F3205" i="10" s="1"/>
  <c r="H3204" i="10"/>
  <c r="I3204" i="10" s="1"/>
  <c r="H5170" i="10"/>
  <c r="I5170" i="10" s="1"/>
  <c r="J5170" i="10" s="1"/>
  <c r="F5171" i="10" s="1"/>
  <c r="J5049" i="10"/>
  <c r="H5049" i="10"/>
  <c r="I5049" i="10" s="1"/>
  <c r="J4276" i="10"/>
  <c r="F4277" i="10" s="1"/>
  <c r="H4276" i="10"/>
  <c r="I4276" i="10" s="1"/>
  <c r="J3734" i="10"/>
  <c r="F3735" i="10" s="1"/>
  <c r="H3734" i="10"/>
  <c r="I3734" i="10" s="1"/>
  <c r="J2901" i="10"/>
  <c r="F2902" i="10" s="1"/>
  <c r="H2901" i="10"/>
  <c r="I2901" i="10" s="1"/>
  <c r="J4708" i="10"/>
  <c r="F4709" i="10" s="1"/>
  <c r="H4708" i="10"/>
  <c r="I4708" i="10" s="1"/>
  <c r="J661" i="10"/>
  <c r="F662" i="10" s="1"/>
  <c r="H661" i="10"/>
  <c r="I661" i="10" s="1"/>
  <c r="D3896" i="10"/>
  <c r="E3895" i="10"/>
  <c r="J4883" i="10"/>
  <c r="F4884" i="10" s="1"/>
  <c r="H4883" i="10"/>
  <c r="I4883" i="10" s="1"/>
  <c r="H5395" i="10"/>
  <c r="I5395" i="10" s="1"/>
  <c r="J5395" i="10" s="1"/>
  <c r="F5396" i="10" s="1"/>
  <c r="H5463" i="10"/>
  <c r="I5463" i="10" s="1"/>
  <c r="J5463" i="10" s="1"/>
  <c r="F5464" i="10" s="1"/>
  <c r="J3027" i="10"/>
  <c r="F3028" i="10" s="1"/>
  <c r="H3027" i="10"/>
  <c r="I3027" i="10" s="1"/>
  <c r="D3682" i="10"/>
  <c r="E3681" i="10"/>
  <c r="J4637" i="10"/>
  <c r="F4638" i="10" s="1"/>
  <c r="H4637" i="10"/>
  <c r="I4637" i="10" s="1"/>
  <c r="J4815" i="10"/>
  <c r="F4816" i="10" s="1"/>
  <c r="H4815" i="10"/>
  <c r="I4815" i="10" s="1"/>
  <c r="H319" i="10"/>
  <c r="G320" i="10"/>
  <c r="G319" i="10"/>
  <c r="H1828" i="10"/>
  <c r="I1828" i="10" s="1"/>
  <c r="H4477" i="10"/>
  <c r="I4477" i="10" s="1"/>
  <c r="J4477" i="10" s="1"/>
  <c r="F4478" i="10" s="1"/>
  <c r="H1431" i="10"/>
  <c r="I1431" i="10" s="1"/>
  <c r="J1431" i="10" s="1"/>
  <c r="J735" i="10"/>
  <c r="F736" i="10" s="1"/>
  <c r="H735" i="10"/>
  <c r="I735" i="10" s="1"/>
  <c r="J4586" i="10"/>
  <c r="H4586" i="10"/>
  <c r="I4586" i="10" s="1"/>
  <c r="D3751" i="10"/>
  <c r="E3750" i="10"/>
  <c r="G79" i="10"/>
  <c r="H79" i="10"/>
  <c r="L444" i="10"/>
  <c r="H546" i="10" l="1"/>
  <c r="I546" i="10" s="1"/>
  <c r="J546" i="10" s="1"/>
  <c r="F547" i="10" s="1"/>
  <c r="H4341" i="10"/>
  <c r="I4341" i="10" s="1"/>
  <c r="J4341" i="10"/>
  <c r="F4342" i="10" s="1"/>
  <c r="H4160" i="10"/>
  <c r="I4160" i="10" s="1"/>
  <c r="J4160" i="10"/>
  <c r="F4161" i="10" s="1"/>
  <c r="H4211" i="10"/>
  <c r="I4211" i="10" s="1"/>
  <c r="J4211" i="10" s="1"/>
  <c r="F4212" i="10" s="1"/>
  <c r="H3888" i="10"/>
  <c r="I3888" i="10" s="1"/>
  <c r="J3888" i="10"/>
  <c r="F3889" i="10" s="1"/>
  <c r="H2359" i="10"/>
  <c r="I2359" i="10" s="1"/>
  <c r="J2359" i="10" s="1"/>
  <c r="F2360" i="10" s="1"/>
  <c r="H5464" i="10"/>
  <c r="I5464" i="10" s="1"/>
  <c r="J5464" i="10" s="1"/>
  <c r="F5465" i="10" s="1"/>
  <c r="J5396" i="10"/>
  <c r="F5397" i="10" s="1"/>
  <c r="H5396" i="10"/>
  <c r="I5396" i="10" s="1"/>
  <c r="H3351" i="10"/>
  <c r="I3351" i="10" s="1"/>
  <c r="J3351" i="10" s="1"/>
  <c r="F3352" i="10" s="1"/>
  <c r="H3674" i="10"/>
  <c r="I3674" i="10" s="1"/>
  <c r="J3674" i="10" s="1"/>
  <c r="F3675" i="10" s="1"/>
  <c r="H2783" i="10"/>
  <c r="I2783" i="10" s="1"/>
  <c r="J2783" i="10" s="1"/>
  <c r="F2784" i="10" s="1"/>
  <c r="J5171" i="10"/>
  <c r="F5172" i="10" s="1"/>
  <c r="H5171" i="10"/>
  <c r="I5171" i="10" s="1"/>
  <c r="H5258" i="10"/>
  <c r="I5258" i="10" s="1"/>
  <c r="J5258" i="10" s="1"/>
  <c r="F5259" i="10" s="1"/>
  <c r="J446" i="10"/>
  <c r="F447" i="10" s="1"/>
  <c r="H446" i="10"/>
  <c r="H2184" i="10"/>
  <c r="I2184" i="10" s="1"/>
  <c r="J2184" i="10" s="1"/>
  <c r="F2185" i="10" s="1"/>
  <c r="J4478" i="10"/>
  <c r="F4479" i="10" s="1"/>
  <c r="H4478" i="10"/>
  <c r="I4478" i="10" s="1"/>
  <c r="H4040" i="10"/>
  <c r="I4040" i="10" s="1"/>
  <c r="J4040" i="10"/>
  <c r="F4041" i="10" s="1"/>
  <c r="H1344" i="10"/>
  <c r="I1344" i="10" s="1"/>
  <c r="J1344" i="10" s="1"/>
  <c r="F1345" i="10" s="1"/>
  <c r="H3415" i="10"/>
  <c r="I3415" i="10" s="1"/>
  <c r="J3415" i="10"/>
  <c r="F3416" i="10" s="1"/>
  <c r="I796" i="10"/>
  <c r="J796" i="10" s="1"/>
  <c r="F797" i="10" s="1"/>
  <c r="J1828" i="10"/>
  <c r="F1829" i="10" s="1"/>
  <c r="H662" i="10"/>
  <c r="I662" i="10" s="1"/>
  <c r="J662" i="10" s="1"/>
  <c r="F663" i="10" s="1"/>
  <c r="H4709" i="10"/>
  <c r="I4709" i="10" s="1"/>
  <c r="J4709" i="10" s="1"/>
  <c r="F4710" i="10" s="1"/>
  <c r="I319" i="10"/>
  <c r="J319" i="10" s="1"/>
  <c r="F320" i="10" s="1"/>
  <c r="I591" i="10"/>
  <c r="J591" i="10" s="1"/>
  <c r="F592" i="10" s="1"/>
  <c r="L591" i="10"/>
  <c r="L592" i="10" s="1"/>
  <c r="G736" i="10"/>
  <c r="G738" i="10"/>
  <c r="G737" i="10"/>
  <c r="H736" i="10"/>
  <c r="H4884" i="10"/>
  <c r="I4884" i="10" s="1"/>
  <c r="J4884" i="10" s="1"/>
  <c r="F4885" i="10" s="1"/>
  <c r="H4941" i="10"/>
  <c r="I4941" i="10" s="1"/>
  <c r="J4941" i="10" s="1"/>
  <c r="F4942" i="10" s="1"/>
  <c r="H2902" i="10"/>
  <c r="I2902" i="10" s="1"/>
  <c r="J2902" i="10" s="1"/>
  <c r="F2903" i="10" s="1"/>
  <c r="H4816" i="10"/>
  <c r="I4816" i="10" s="1"/>
  <c r="J4816" i="10" s="1"/>
  <c r="F4817" i="10" s="1"/>
  <c r="H5339" i="10"/>
  <c r="I5339" i="10" s="1"/>
  <c r="J5339" i="10"/>
  <c r="F5340" i="10" s="1"/>
  <c r="L445" i="10"/>
  <c r="L446" i="10" s="1"/>
  <c r="L447" i="10" s="1"/>
  <c r="L448" i="10" s="1"/>
  <c r="L449" i="10" s="1"/>
  <c r="L450" i="10" s="1"/>
  <c r="J4638" i="10"/>
  <c r="F4639" i="10" s="1"/>
  <c r="H4638" i="10"/>
  <c r="I4638" i="10" s="1"/>
  <c r="I79" i="10"/>
  <c r="J79" i="10" s="1"/>
  <c r="F80" i="10" s="1"/>
  <c r="H3028" i="10"/>
  <c r="I3028" i="10" s="1"/>
  <c r="J3028" i="10" s="1"/>
  <c r="F3029" i="10" s="1"/>
  <c r="D3897" i="10"/>
  <c r="E3896" i="10"/>
  <c r="H3735" i="10"/>
  <c r="I3735" i="10" s="1"/>
  <c r="J3735" i="10" s="1"/>
  <c r="F3736" i="10" s="1"/>
  <c r="H3205" i="10"/>
  <c r="I3205" i="10" s="1"/>
  <c r="J3205" i="10" s="1"/>
  <c r="F3206" i="10" s="1"/>
  <c r="H5532" i="10"/>
  <c r="I5532" i="10" s="1"/>
  <c r="J5532" i="10"/>
  <c r="F5533" i="10" s="1"/>
  <c r="H3522" i="10"/>
  <c r="I3522" i="10" s="1"/>
  <c r="J3522" i="10" s="1"/>
  <c r="F3523" i="10" s="1"/>
  <c r="H4277" i="10"/>
  <c r="I4277" i="10" s="1"/>
  <c r="J4277" i="10"/>
  <c r="F4278" i="10" s="1"/>
  <c r="D3683" i="10"/>
  <c r="E3682" i="10"/>
  <c r="E3751" i="10"/>
  <c r="E3754" i="10" s="1"/>
  <c r="H74" i="9"/>
  <c r="G71" i="6" s="1"/>
  <c r="L79" i="10"/>
  <c r="H4885" i="10" l="1"/>
  <c r="I4885" i="10" s="1"/>
  <c r="J4885" i="10" s="1"/>
  <c r="F4886" i="10" s="1"/>
  <c r="H2784" i="10"/>
  <c r="I2784" i="10" s="1"/>
  <c r="J2784" i="10" s="1"/>
  <c r="F2785" i="10" s="1"/>
  <c r="H3675" i="10"/>
  <c r="I3675" i="10" s="1"/>
  <c r="J3675" i="10"/>
  <c r="F3676" i="10" s="1"/>
  <c r="H3352" i="10"/>
  <c r="I3352" i="10" s="1"/>
  <c r="J3352" i="10" s="1"/>
  <c r="F3353" i="10" s="1"/>
  <c r="H4817" i="10"/>
  <c r="I4817" i="10" s="1"/>
  <c r="J4817" i="10"/>
  <c r="F4818" i="10" s="1"/>
  <c r="H4710" i="10"/>
  <c r="I4710" i="10" s="1"/>
  <c r="J4710" i="10" s="1"/>
  <c r="F4711" i="10" s="1"/>
  <c r="H3206" i="10"/>
  <c r="I3206" i="10" s="1"/>
  <c r="J3206" i="10"/>
  <c r="F3207" i="10" s="1"/>
  <c r="H3736" i="10"/>
  <c r="I3736" i="10" s="1"/>
  <c r="J3736" i="10"/>
  <c r="F3737" i="10" s="1"/>
  <c r="H3029" i="10"/>
  <c r="I3029" i="10" s="1"/>
  <c r="J3029" i="10"/>
  <c r="F3030" i="10" s="1"/>
  <c r="H1345" i="10"/>
  <c r="I1345" i="10" s="1"/>
  <c r="J1345" i="10" s="1"/>
  <c r="F1346" i="10" s="1"/>
  <c r="H5259" i="10"/>
  <c r="I5259" i="10" s="1"/>
  <c r="J5259" i="10" s="1"/>
  <c r="F5260" i="10" s="1"/>
  <c r="H5465" i="10"/>
  <c r="I5465" i="10" s="1"/>
  <c r="J5465" i="10" s="1"/>
  <c r="F5466" i="10" s="1"/>
  <c r="H663" i="10"/>
  <c r="I663" i="10" s="1"/>
  <c r="J663" i="10" s="1"/>
  <c r="F664" i="10" s="1"/>
  <c r="H4212" i="10"/>
  <c r="I4212" i="10" s="1"/>
  <c r="J4212" i="10" s="1"/>
  <c r="F4213" i="10" s="1"/>
  <c r="H2185" i="10"/>
  <c r="I2185" i="10" s="1"/>
  <c r="J2185" i="10" s="1"/>
  <c r="F2186" i="10" s="1"/>
  <c r="H2903" i="10"/>
  <c r="I2903" i="10" s="1"/>
  <c r="J2903" i="10" s="1"/>
  <c r="F2904" i="10" s="1"/>
  <c r="H3523" i="10"/>
  <c r="I3523" i="10" s="1"/>
  <c r="J3523" i="10" s="1"/>
  <c r="F3524" i="10" s="1"/>
  <c r="H4942" i="10"/>
  <c r="I4942" i="10" s="1"/>
  <c r="J4942" i="10" s="1"/>
  <c r="F4943" i="10" s="1"/>
  <c r="H2360" i="10"/>
  <c r="I2360" i="10" s="1"/>
  <c r="J2360" i="10" s="1"/>
  <c r="F2361" i="10" s="1"/>
  <c r="H547" i="10"/>
  <c r="I547" i="10" s="1"/>
  <c r="J547" i="10" s="1"/>
  <c r="F548" i="10" s="1"/>
  <c r="H4278" i="10"/>
  <c r="I4278" i="10" s="1"/>
  <c r="J4278" i="10" s="1"/>
  <c r="F4279" i="10" s="1"/>
  <c r="H797" i="10"/>
  <c r="I797" i="10" s="1"/>
  <c r="J797" i="10" s="1"/>
  <c r="F798" i="10" s="1"/>
  <c r="H5340" i="10"/>
  <c r="I5340" i="10" s="1"/>
  <c r="J5340" i="10" s="1"/>
  <c r="F5341" i="10" s="1"/>
  <c r="H4161" i="10"/>
  <c r="I4161" i="10" s="1"/>
  <c r="J4161" i="10" s="1"/>
  <c r="F4162" i="10" s="1"/>
  <c r="D3898" i="10"/>
  <c r="E3897" i="10"/>
  <c r="H4479" i="10"/>
  <c r="I4479" i="10" s="1"/>
  <c r="J4479" i="10" s="1"/>
  <c r="F4480" i="10" s="1"/>
  <c r="J447" i="10"/>
  <c r="F448" i="10" s="1"/>
  <c r="H447" i="10"/>
  <c r="H4342" i="10"/>
  <c r="I4342" i="10" s="1"/>
  <c r="J4342" i="10" s="1"/>
  <c r="F4343" i="10" s="1"/>
  <c r="H4639" i="10"/>
  <c r="I4639" i="10" s="1"/>
  <c r="J4639" i="10" s="1"/>
  <c r="F4640" i="10" s="1"/>
  <c r="H1829" i="10"/>
  <c r="H4041" i="10"/>
  <c r="I4041" i="10" s="1"/>
  <c r="J4041" i="10" s="1"/>
  <c r="F4042" i="10" s="1"/>
  <c r="H3889" i="10"/>
  <c r="I3889" i="10" s="1"/>
  <c r="J3889" i="10"/>
  <c r="F3890" i="10" s="1"/>
  <c r="H5397" i="10"/>
  <c r="I5397" i="10" s="1"/>
  <c r="J5397" i="10" s="1"/>
  <c r="F5398" i="10" s="1"/>
  <c r="H3416" i="10"/>
  <c r="I3416" i="10" s="1"/>
  <c r="J3416" i="10" s="1"/>
  <c r="F3417" i="10" s="1"/>
  <c r="H592" i="10"/>
  <c r="I592" i="10" s="1"/>
  <c r="J592" i="10" s="1"/>
  <c r="F593" i="10" s="1"/>
  <c r="H5533" i="10"/>
  <c r="I5533" i="10" s="1"/>
  <c r="J5533" i="10" s="1"/>
  <c r="F5534" i="10" s="1"/>
  <c r="I736" i="10"/>
  <c r="J736" i="10" s="1"/>
  <c r="F737" i="10" s="1"/>
  <c r="L736" i="10"/>
  <c r="L737" i="10" s="1"/>
  <c r="L738" i="10" s="1"/>
  <c r="J5172" i="10"/>
  <c r="F5173" i="10" s="1"/>
  <c r="H5172" i="10"/>
  <c r="I5172" i="10" s="1"/>
  <c r="G174" i="10"/>
  <c r="G142" i="10"/>
  <c r="G110" i="10"/>
  <c r="G187" i="10"/>
  <c r="G155" i="10"/>
  <c r="G123" i="10"/>
  <c r="G91" i="10"/>
  <c r="G176" i="10"/>
  <c r="G144" i="10"/>
  <c r="G112" i="10"/>
  <c r="G83" i="10"/>
  <c r="G105" i="10"/>
  <c r="G177" i="10"/>
  <c r="G89" i="10"/>
  <c r="G121" i="10"/>
  <c r="G170" i="10"/>
  <c r="G138" i="10"/>
  <c r="G106" i="10"/>
  <c r="G183" i="10"/>
  <c r="G151" i="10"/>
  <c r="G119" i="10"/>
  <c r="G87" i="10"/>
  <c r="G172" i="10"/>
  <c r="G140" i="10"/>
  <c r="G108" i="10"/>
  <c r="G109" i="10"/>
  <c r="G193" i="10"/>
  <c r="G189" i="10"/>
  <c r="G181" i="10"/>
  <c r="G185" i="10"/>
  <c r="G149" i="10"/>
  <c r="G146" i="10"/>
  <c r="G191" i="10"/>
  <c r="G93" i="10"/>
  <c r="G166" i="10"/>
  <c r="G134" i="10"/>
  <c r="G102" i="10"/>
  <c r="G179" i="10"/>
  <c r="G147" i="10"/>
  <c r="G115" i="10"/>
  <c r="G82" i="10"/>
  <c r="G168" i="10"/>
  <c r="G136" i="10"/>
  <c r="G104" i="10"/>
  <c r="G145" i="10"/>
  <c r="G194" i="10"/>
  <c r="G162" i="10"/>
  <c r="G130" i="10"/>
  <c r="G98" i="10"/>
  <c r="G175" i="10"/>
  <c r="G143" i="10"/>
  <c r="G111" i="10"/>
  <c r="G81" i="10"/>
  <c r="G196" i="10"/>
  <c r="G164" i="10"/>
  <c r="G132" i="10"/>
  <c r="G100" i="10"/>
  <c r="G165" i="10"/>
  <c r="G161" i="10"/>
  <c r="G157" i="10"/>
  <c r="H80" i="10"/>
  <c r="G95" i="10"/>
  <c r="G84" i="10"/>
  <c r="G101" i="10"/>
  <c r="G190" i="10"/>
  <c r="G158" i="10"/>
  <c r="G126" i="10"/>
  <c r="G94" i="10"/>
  <c r="G171" i="10"/>
  <c r="G139" i="10"/>
  <c r="G107" i="10"/>
  <c r="G192" i="10"/>
  <c r="G160" i="10"/>
  <c r="G128" i="10"/>
  <c r="G96" i="10"/>
  <c r="G169" i="10"/>
  <c r="G113" i="10"/>
  <c r="G180" i="10"/>
  <c r="G186" i="10"/>
  <c r="G154" i="10"/>
  <c r="G122" i="10"/>
  <c r="G90" i="10"/>
  <c r="G80" i="10"/>
  <c r="L80" i="10" s="1"/>
  <c r="L81" i="10" s="1"/>
  <c r="L82" i="10" s="1"/>
  <c r="L83" i="10" s="1"/>
  <c r="G167" i="10"/>
  <c r="G135" i="10"/>
  <c r="G103" i="10"/>
  <c r="G188" i="10"/>
  <c r="G156" i="10"/>
  <c r="G124" i="10"/>
  <c r="G92" i="10"/>
  <c r="G173" i="10"/>
  <c r="G133" i="10"/>
  <c r="G129" i="10"/>
  <c r="G125" i="10"/>
  <c r="G117" i="10"/>
  <c r="G159" i="10"/>
  <c r="G116" i="10"/>
  <c r="G97" i="10"/>
  <c r="G85" i="10"/>
  <c r="G182" i="10"/>
  <c r="G150" i="10"/>
  <c r="G118" i="10"/>
  <c r="G86" i="10"/>
  <c r="G195" i="10"/>
  <c r="G163" i="10"/>
  <c r="G131" i="10"/>
  <c r="G99" i="10"/>
  <c r="G184" i="10"/>
  <c r="G152" i="10"/>
  <c r="G120" i="10"/>
  <c r="G88" i="10"/>
  <c r="G137" i="10"/>
  <c r="G153" i="10"/>
  <c r="G178" i="10"/>
  <c r="G114" i="10"/>
  <c r="G127" i="10"/>
  <c r="G148" i="10"/>
  <c r="G141" i="10"/>
  <c r="H320" i="10"/>
  <c r="I320" i="10" s="1"/>
  <c r="J320" i="10" s="1"/>
  <c r="F321" i="10" s="1"/>
  <c r="D3684" i="10"/>
  <c r="E3683" i="10"/>
  <c r="H321" i="10" l="1"/>
  <c r="G321" i="10"/>
  <c r="G322" i="10"/>
  <c r="H4943" i="10"/>
  <c r="I4943" i="10" s="1"/>
  <c r="J4943" i="10" s="1"/>
  <c r="F4944" i="10" s="1"/>
  <c r="H1346" i="10"/>
  <c r="I1346" i="10" s="1"/>
  <c r="J1346" i="10" s="1"/>
  <c r="F1347" i="10" s="1"/>
  <c r="H3524" i="10"/>
  <c r="I3524" i="10" s="1"/>
  <c r="J3524" i="10" s="1"/>
  <c r="F3525" i="10" s="1"/>
  <c r="H2904" i="10"/>
  <c r="I2904" i="10" s="1"/>
  <c r="J2904" i="10" s="1"/>
  <c r="F2905" i="10" s="1"/>
  <c r="H3353" i="10"/>
  <c r="I3353" i="10" s="1"/>
  <c r="J3353" i="10" s="1"/>
  <c r="F3354" i="10" s="1"/>
  <c r="H5260" i="10"/>
  <c r="I5260" i="10" s="1"/>
  <c r="J5260" i="10" s="1"/>
  <c r="F5261" i="10" s="1"/>
  <c r="H4042" i="10"/>
  <c r="I4042" i="10" s="1"/>
  <c r="J4042" i="10" s="1"/>
  <c r="F4043" i="10" s="1"/>
  <c r="H5534" i="10"/>
  <c r="I5534" i="10" s="1"/>
  <c r="J5534" i="10" s="1"/>
  <c r="F5535" i="10" s="1"/>
  <c r="H4640" i="10"/>
  <c r="I4640" i="10" s="1"/>
  <c r="J4640" i="10" s="1"/>
  <c r="F4641" i="10" s="1"/>
  <c r="H5341" i="10"/>
  <c r="I5341" i="10" s="1"/>
  <c r="J5341" i="10" s="1"/>
  <c r="F5342" i="10" s="1"/>
  <c r="H2186" i="10"/>
  <c r="I2186" i="10" s="1"/>
  <c r="J2186" i="10" s="1"/>
  <c r="F2187" i="10" s="1"/>
  <c r="H4480" i="10"/>
  <c r="I4480" i="10" s="1"/>
  <c r="J4480" i="10" s="1"/>
  <c r="F4481" i="10" s="1"/>
  <c r="G594" i="10"/>
  <c r="G595" i="10"/>
  <c r="H593" i="10"/>
  <c r="G593" i="10"/>
  <c r="H4343" i="10"/>
  <c r="I4343" i="10" s="1"/>
  <c r="J4343" i="10" s="1"/>
  <c r="F4344" i="10" s="1"/>
  <c r="G800" i="10"/>
  <c r="H798" i="10"/>
  <c r="G798" i="10"/>
  <c r="G799" i="10"/>
  <c r="H4213" i="10"/>
  <c r="I4213" i="10" s="1"/>
  <c r="J4213" i="10" s="1"/>
  <c r="F4214" i="10" s="1"/>
  <c r="H4711" i="10"/>
  <c r="I4711" i="10" s="1"/>
  <c r="J4711" i="10" s="1"/>
  <c r="F4712" i="10" s="1"/>
  <c r="J3417" i="10"/>
  <c r="F3418" i="10" s="1"/>
  <c r="H3417" i="10"/>
  <c r="I3417" i="10" s="1"/>
  <c r="J4279" i="10"/>
  <c r="F4280" i="10" s="1"/>
  <c r="H4279" i="10"/>
  <c r="I4279" i="10" s="1"/>
  <c r="H664" i="10"/>
  <c r="I664" i="10" s="1"/>
  <c r="J664" i="10" s="1"/>
  <c r="F665" i="10" s="1"/>
  <c r="H2785" i="10"/>
  <c r="I2785" i="10" s="1"/>
  <c r="J2785" i="10" s="1"/>
  <c r="F2786" i="10" s="1"/>
  <c r="J2361" i="10"/>
  <c r="F2362" i="10" s="1"/>
  <c r="H2361" i="10"/>
  <c r="I2361" i="10" s="1"/>
  <c r="J4162" i="10"/>
  <c r="F4163" i="10" s="1"/>
  <c r="H4162" i="10"/>
  <c r="I4162" i="10" s="1"/>
  <c r="H5398" i="10"/>
  <c r="I5398" i="10" s="1"/>
  <c r="J5398" i="10" s="1"/>
  <c r="F5399" i="10" s="1"/>
  <c r="H548" i="10"/>
  <c r="I548" i="10" s="1"/>
  <c r="J548" i="10" s="1"/>
  <c r="F549" i="10" s="1"/>
  <c r="J5466" i="10"/>
  <c r="F5467" i="10" s="1"/>
  <c r="H5466" i="10"/>
  <c r="I5466" i="10" s="1"/>
  <c r="J4886" i="10"/>
  <c r="F4887" i="10" s="1"/>
  <c r="H4886" i="10"/>
  <c r="I4886" i="10" s="1"/>
  <c r="J448" i="10"/>
  <c r="F449" i="10" s="1"/>
  <c r="H448" i="10"/>
  <c r="J5173" i="10"/>
  <c r="F5174" i="10" s="1"/>
  <c r="H5173" i="10"/>
  <c r="I5173" i="10" s="1"/>
  <c r="P37" i="9"/>
  <c r="I1829" i="10"/>
  <c r="H3207" i="10"/>
  <c r="I3207" i="10" s="1"/>
  <c r="J3207" i="10" s="1"/>
  <c r="F3208" i="10" s="1"/>
  <c r="H3676" i="10"/>
  <c r="I3676" i="10" s="1"/>
  <c r="J3676" i="10" s="1"/>
  <c r="F3677" i="10" s="1"/>
  <c r="W6" i="9"/>
  <c r="H737" i="10"/>
  <c r="I737" i="10" s="1"/>
  <c r="J737" i="10" s="1"/>
  <c r="F738" i="10" s="1"/>
  <c r="H3737" i="10"/>
  <c r="I3737" i="10" s="1"/>
  <c r="J3737" i="10"/>
  <c r="F3738" i="10" s="1"/>
  <c r="H3890" i="10"/>
  <c r="I3890" i="10" s="1"/>
  <c r="J3890" i="10"/>
  <c r="F3891" i="10" s="1"/>
  <c r="D3899" i="10"/>
  <c r="E3898" i="10"/>
  <c r="H3030" i="10"/>
  <c r="I3030" i="10" s="1"/>
  <c r="J3030" i="10"/>
  <c r="F3031" i="10" s="1"/>
  <c r="H4818" i="10"/>
  <c r="I4818" i="10" s="1"/>
  <c r="J4818" i="10" s="1"/>
  <c r="F4819" i="10" s="1"/>
  <c r="X6" i="9"/>
  <c r="I80" i="10"/>
  <c r="J80" i="10" s="1"/>
  <c r="F81" i="10" s="1"/>
  <c r="D3685" i="10"/>
  <c r="E3684" i="10"/>
  <c r="H2786" i="10" l="1"/>
  <c r="I2786" i="10" s="1"/>
  <c r="J2786" i="10" s="1"/>
  <c r="F2787" i="10" s="1"/>
  <c r="H3354" i="10"/>
  <c r="I3354" i="10" s="1"/>
  <c r="J3354" i="10" s="1"/>
  <c r="F3355" i="10" s="1"/>
  <c r="H665" i="10"/>
  <c r="G665" i="10"/>
  <c r="H4481" i="10"/>
  <c r="I4481" i="10" s="1"/>
  <c r="J4481" i="10" s="1"/>
  <c r="F4482" i="10" s="1"/>
  <c r="H2905" i="10"/>
  <c r="I2905" i="10" s="1"/>
  <c r="J2905" i="10" s="1"/>
  <c r="F2906" i="10" s="1"/>
  <c r="H549" i="10"/>
  <c r="I549" i="10" s="1"/>
  <c r="J549" i="10" s="1"/>
  <c r="H2187" i="10"/>
  <c r="I2187" i="10" s="1"/>
  <c r="J2187" i="10" s="1"/>
  <c r="F2188" i="10" s="1"/>
  <c r="H3525" i="10"/>
  <c r="I3525" i="10" s="1"/>
  <c r="J3525" i="10" s="1"/>
  <c r="F3526" i="10" s="1"/>
  <c r="H4819" i="10"/>
  <c r="I4819" i="10" s="1"/>
  <c r="J4819" i="10" s="1"/>
  <c r="F4820" i="10" s="1"/>
  <c r="H5399" i="10"/>
  <c r="I5399" i="10" s="1"/>
  <c r="J5399" i="10" s="1"/>
  <c r="F5400" i="10" s="1"/>
  <c r="H5342" i="10"/>
  <c r="I5342" i="10" s="1"/>
  <c r="J5342" i="10" s="1"/>
  <c r="F5343" i="10" s="1"/>
  <c r="J1347" i="10"/>
  <c r="F1348" i="10" s="1"/>
  <c r="H1347" i="10"/>
  <c r="I1347" i="10" s="1"/>
  <c r="H738" i="10"/>
  <c r="I738" i="10" s="1"/>
  <c r="J738" i="10" s="1"/>
  <c r="F739" i="10" s="1"/>
  <c r="H4344" i="10"/>
  <c r="I4344" i="10" s="1"/>
  <c r="J4344" i="10" s="1"/>
  <c r="F4345" i="10" s="1"/>
  <c r="H4641" i="10"/>
  <c r="I4641" i="10" s="1"/>
  <c r="J4641" i="10" s="1"/>
  <c r="F4642" i="10" s="1"/>
  <c r="J4944" i="10"/>
  <c r="F4945" i="10" s="1"/>
  <c r="H4944" i="10"/>
  <c r="I4944" i="10" s="1"/>
  <c r="H5535" i="10"/>
  <c r="I5535" i="10" s="1"/>
  <c r="J5535" i="10" s="1"/>
  <c r="F5536" i="10" s="1"/>
  <c r="H3677" i="10"/>
  <c r="I3677" i="10" s="1"/>
  <c r="J3677" i="10" s="1"/>
  <c r="F3678" i="10" s="1"/>
  <c r="H4712" i="10"/>
  <c r="I4712" i="10" s="1"/>
  <c r="J4712" i="10" s="1"/>
  <c r="F4713" i="10" s="1"/>
  <c r="J4043" i="10"/>
  <c r="F4044" i="10" s="1"/>
  <c r="H4043" i="10"/>
  <c r="I4043" i="10" s="1"/>
  <c r="H3208" i="10"/>
  <c r="I3208" i="10" s="1"/>
  <c r="J3208" i="10" s="1"/>
  <c r="F3209" i="10" s="1"/>
  <c r="H4214" i="10"/>
  <c r="I4214" i="10" s="1"/>
  <c r="J4214" i="10" s="1"/>
  <c r="F4215" i="10" s="1"/>
  <c r="H5261" i="10"/>
  <c r="I5261" i="10" s="1"/>
  <c r="J5261" i="10" s="1"/>
  <c r="F5262" i="10" s="1"/>
  <c r="D3900" i="10"/>
  <c r="E3899" i="10"/>
  <c r="J3891" i="10"/>
  <c r="F3892" i="10" s="1"/>
  <c r="H3891" i="10"/>
  <c r="I3891" i="10" s="1"/>
  <c r="H3738" i="10"/>
  <c r="I3738" i="10" s="1"/>
  <c r="J3738" i="10" s="1"/>
  <c r="F3739" i="10" s="1"/>
  <c r="H5467" i="10"/>
  <c r="I5467" i="10" s="1"/>
  <c r="J5467" i="10"/>
  <c r="F5468" i="10" s="1"/>
  <c r="H2362" i="10"/>
  <c r="I2362" i="10" s="1"/>
  <c r="J2362" i="10" s="1"/>
  <c r="F2363" i="10" s="1"/>
  <c r="H3418" i="10"/>
  <c r="I3418" i="10" s="1"/>
  <c r="J3418" i="10" s="1"/>
  <c r="F3419" i="10" s="1"/>
  <c r="H5174" i="10"/>
  <c r="I5174" i="10" s="1"/>
  <c r="J5174" i="10" s="1"/>
  <c r="F5175" i="10" s="1"/>
  <c r="H4280" i="10"/>
  <c r="I4280" i="10" s="1"/>
  <c r="J4280" i="10"/>
  <c r="F4281" i="10" s="1"/>
  <c r="S37" i="9"/>
  <c r="J1829" i="10"/>
  <c r="F1830" i="10" s="1"/>
  <c r="J449" i="10"/>
  <c r="F450" i="10" s="1"/>
  <c r="H449" i="10"/>
  <c r="I321" i="10"/>
  <c r="J321" i="10" s="1"/>
  <c r="F322" i="10" s="1"/>
  <c r="I798" i="10"/>
  <c r="J798" i="10" s="1"/>
  <c r="F799" i="10" s="1"/>
  <c r="E3685" i="10"/>
  <c r="E3687" i="10" s="1"/>
  <c r="H73" i="9"/>
  <c r="G70" i="6" s="1"/>
  <c r="H3031" i="10"/>
  <c r="I3031" i="10" s="1"/>
  <c r="J3031" i="10" s="1"/>
  <c r="F3032" i="10" s="1"/>
  <c r="O34" i="6"/>
  <c r="R37" i="9"/>
  <c r="I593" i="10"/>
  <c r="J593" i="10" s="1"/>
  <c r="F594" i="10" s="1"/>
  <c r="L593" i="10"/>
  <c r="L594" i="10" s="1"/>
  <c r="L595" i="10" s="1"/>
  <c r="H4887" i="10"/>
  <c r="I4887" i="10" s="1"/>
  <c r="J4887" i="10" s="1"/>
  <c r="F4888" i="10" s="1"/>
  <c r="H4163" i="10"/>
  <c r="I4163" i="10" s="1"/>
  <c r="J4163" i="10" s="1"/>
  <c r="F4164" i="10" s="1"/>
  <c r="H81" i="10"/>
  <c r="I81" i="10" s="1"/>
  <c r="J81" i="10" s="1"/>
  <c r="F82" i="10" s="1"/>
  <c r="H2188" i="10" l="1"/>
  <c r="I2188" i="10" s="1"/>
  <c r="J2188" i="10" s="1"/>
  <c r="F2189" i="10" s="1"/>
  <c r="H3032" i="10"/>
  <c r="I3032" i="10" s="1"/>
  <c r="J3032" i="10" s="1"/>
  <c r="F3033" i="10" s="1"/>
  <c r="H3678" i="10"/>
  <c r="I3678" i="10" s="1"/>
  <c r="J3678" i="10" s="1"/>
  <c r="F3679" i="10" s="1"/>
  <c r="H739" i="10"/>
  <c r="G739" i="10"/>
  <c r="H2906" i="10"/>
  <c r="I2906" i="10" s="1"/>
  <c r="J2906" i="10" s="1"/>
  <c r="F2907" i="10" s="1"/>
  <c r="H5343" i="10"/>
  <c r="I5343" i="10" s="1"/>
  <c r="J5343" i="10"/>
  <c r="H4345" i="10"/>
  <c r="I4345" i="10" s="1"/>
  <c r="J4345" i="10" s="1"/>
  <c r="H4164" i="10"/>
  <c r="I4164" i="10" s="1"/>
  <c r="J4164" i="10" s="1"/>
  <c r="F4165" i="10" s="1"/>
  <c r="H4482" i="10"/>
  <c r="I4482" i="10" s="1"/>
  <c r="J4482" i="10" s="1"/>
  <c r="F4483" i="10" s="1"/>
  <c r="H2363" i="10"/>
  <c r="I2363" i="10" s="1"/>
  <c r="J2363" i="10" s="1"/>
  <c r="F2364" i="10" s="1"/>
  <c r="H5262" i="10"/>
  <c r="I5262" i="10" s="1"/>
  <c r="J5262" i="10" s="1"/>
  <c r="F5263" i="10" s="1"/>
  <c r="J5400" i="10"/>
  <c r="F5401" i="10" s="1"/>
  <c r="H5400" i="10"/>
  <c r="I5400" i="10" s="1"/>
  <c r="H3739" i="10"/>
  <c r="I3739" i="10" s="1"/>
  <c r="J3739" i="10" s="1"/>
  <c r="F3740" i="10" s="1"/>
  <c r="H4713" i="10"/>
  <c r="I4713" i="10" s="1"/>
  <c r="J4713" i="10"/>
  <c r="F4714" i="10" s="1"/>
  <c r="H5175" i="10"/>
  <c r="I5175" i="10" s="1"/>
  <c r="J5175" i="10" s="1"/>
  <c r="F5176" i="10" s="1"/>
  <c r="J5536" i="10"/>
  <c r="F5537" i="10" s="1"/>
  <c r="H5536" i="10"/>
  <c r="I5536" i="10" s="1"/>
  <c r="H4215" i="10"/>
  <c r="I4215" i="10" s="1"/>
  <c r="J4215" i="10"/>
  <c r="F4216" i="10" s="1"/>
  <c r="H4820" i="10"/>
  <c r="I4820" i="10" s="1"/>
  <c r="J4820" i="10" s="1"/>
  <c r="F4821" i="10" s="1"/>
  <c r="H3355" i="10"/>
  <c r="I3355" i="10" s="1"/>
  <c r="J3355" i="10" s="1"/>
  <c r="F3356" i="10" s="1"/>
  <c r="J82" i="10"/>
  <c r="F83" i="10" s="1"/>
  <c r="H82" i="10"/>
  <c r="I82" i="10" s="1"/>
  <c r="H4888" i="10"/>
  <c r="I4888" i="10" s="1"/>
  <c r="J4888" i="10"/>
  <c r="F4889" i="10" s="1"/>
  <c r="H3419" i="10"/>
  <c r="I3419" i="10" s="1"/>
  <c r="J3419" i="10"/>
  <c r="F3420" i="10" s="1"/>
  <c r="H3209" i="10"/>
  <c r="I3209" i="10" s="1"/>
  <c r="J3209" i="10" s="1"/>
  <c r="F3210" i="10" s="1"/>
  <c r="H4642" i="10"/>
  <c r="I4642" i="10" s="1"/>
  <c r="J4642" i="10" s="1"/>
  <c r="F4643" i="10" s="1"/>
  <c r="H3526" i="10"/>
  <c r="I3526" i="10" s="1"/>
  <c r="J3526" i="10" s="1"/>
  <c r="F3527" i="10" s="1"/>
  <c r="H2787" i="10"/>
  <c r="I2787" i="10" s="1"/>
  <c r="J2787" i="10" s="1"/>
  <c r="F2788" i="10" s="1"/>
  <c r="H1830" i="10"/>
  <c r="I1830" i="10" s="1"/>
  <c r="J1830" i="10" s="1"/>
  <c r="F1831" i="10" s="1"/>
  <c r="E3900" i="10"/>
  <c r="E3903" i="10" s="1"/>
  <c r="H76" i="9"/>
  <c r="G73" i="6" s="1"/>
  <c r="H4044" i="10"/>
  <c r="I4044" i="10" s="1"/>
  <c r="J4044" i="10"/>
  <c r="F4045" i="10" s="1"/>
  <c r="H4945" i="10"/>
  <c r="I4945" i="10" s="1"/>
  <c r="J4945" i="10" s="1"/>
  <c r="F4946" i="10" s="1"/>
  <c r="H1348" i="10"/>
  <c r="I1348" i="10" s="1"/>
  <c r="J1348" i="10" s="1"/>
  <c r="F1349" i="10" s="1"/>
  <c r="I665" i="10"/>
  <c r="J665" i="10" s="1"/>
  <c r="F666" i="10" s="1"/>
  <c r="H3892" i="10"/>
  <c r="I3892" i="10" s="1"/>
  <c r="J3892" i="10" s="1"/>
  <c r="F3893" i="10" s="1"/>
  <c r="Q34" i="6"/>
  <c r="AK34" i="6" s="1"/>
  <c r="AQ37" i="9"/>
  <c r="I34" i="3"/>
  <c r="T34" i="3" s="1"/>
  <c r="H4281" i="10"/>
  <c r="I4281" i="10" s="1"/>
  <c r="J4281" i="10" s="1"/>
  <c r="F4282" i="10" s="1"/>
  <c r="J322" i="10"/>
  <c r="F323" i="10" s="1"/>
  <c r="H322" i="10"/>
  <c r="I322" i="10" s="1"/>
  <c r="H799" i="10"/>
  <c r="I799" i="10" s="1"/>
  <c r="J799" i="10" s="1"/>
  <c r="F800" i="10" s="1"/>
  <c r="H5468" i="10"/>
  <c r="I5468" i="10" s="1"/>
  <c r="J5468" i="10" s="1"/>
  <c r="F5469" i="10" s="1"/>
  <c r="U37" i="9"/>
  <c r="R34" i="6"/>
  <c r="T37" i="9"/>
  <c r="S34" i="6" s="1"/>
  <c r="H594" i="10"/>
  <c r="I594" i="10" s="1"/>
  <c r="J594" i="10" s="1"/>
  <c r="F595" i="10" s="1"/>
  <c r="J450" i="10"/>
  <c r="F451" i="10" s="1"/>
  <c r="H450" i="10"/>
  <c r="H4282" i="10" l="1"/>
  <c r="I4282" i="10" s="1"/>
  <c r="J4282" i="10" s="1"/>
  <c r="F4283" i="10" s="1"/>
  <c r="H5263" i="10"/>
  <c r="I5263" i="10" s="1"/>
  <c r="J5263" i="10" s="1"/>
  <c r="F5264" i="10" s="1"/>
  <c r="H3740" i="10"/>
  <c r="I3740" i="10" s="1"/>
  <c r="J3740" i="10" s="1"/>
  <c r="F3741" i="10" s="1"/>
  <c r="H2364" i="10"/>
  <c r="I2364" i="10" s="1"/>
  <c r="J2364" i="10" s="1"/>
  <c r="F2365" i="10" s="1"/>
  <c r="H4821" i="10"/>
  <c r="I4821" i="10" s="1"/>
  <c r="J4821" i="10"/>
  <c r="F4822" i="10" s="1"/>
  <c r="H3893" i="10"/>
  <c r="I3893" i="10" s="1"/>
  <c r="J3893" i="10" s="1"/>
  <c r="F3894" i="10" s="1"/>
  <c r="H2788" i="10"/>
  <c r="I2788" i="10" s="1"/>
  <c r="J2788" i="10" s="1"/>
  <c r="F2789" i="10" s="1"/>
  <c r="H5176" i="10"/>
  <c r="I5176" i="10" s="1"/>
  <c r="J5176" i="10" s="1"/>
  <c r="F5177" i="10" s="1"/>
  <c r="H4483" i="10"/>
  <c r="I4483" i="10" s="1"/>
  <c r="J4483" i="10"/>
  <c r="F4484" i="10" s="1"/>
  <c r="H3679" i="10"/>
  <c r="I3679" i="10" s="1"/>
  <c r="J3679" i="10" s="1"/>
  <c r="F3680" i="10" s="1"/>
  <c r="H595" i="10"/>
  <c r="I595" i="10" s="1"/>
  <c r="J595" i="10" s="1"/>
  <c r="F596" i="10" s="1"/>
  <c r="H2907" i="10"/>
  <c r="I2907" i="10" s="1"/>
  <c r="J2907" i="10" s="1"/>
  <c r="F2908" i="10" s="1"/>
  <c r="H1831" i="10"/>
  <c r="I1831" i="10" s="1"/>
  <c r="J1831" i="10" s="1"/>
  <c r="F1832" i="10" s="1"/>
  <c r="H1349" i="10"/>
  <c r="I1349" i="10" s="1"/>
  <c r="J1349" i="10" s="1"/>
  <c r="F1350" i="10" s="1"/>
  <c r="H3527" i="10"/>
  <c r="I3527" i="10" s="1"/>
  <c r="J3527" i="10" s="1"/>
  <c r="F3528" i="10" s="1"/>
  <c r="H4165" i="10"/>
  <c r="I4165" i="10" s="1"/>
  <c r="J4165" i="10" s="1"/>
  <c r="F4166" i="10" s="1"/>
  <c r="H3033" i="10"/>
  <c r="I3033" i="10" s="1"/>
  <c r="J3033" i="10" s="1"/>
  <c r="F3034" i="10" s="1"/>
  <c r="H3210" i="10"/>
  <c r="I3210" i="10" s="1"/>
  <c r="J3210" i="10"/>
  <c r="F3211" i="10" s="1"/>
  <c r="H5469" i="10"/>
  <c r="I5469" i="10" s="1"/>
  <c r="J5469" i="10" s="1"/>
  <c r="F5470" i="10" s="1"/>
  <c r="H800" i="10"/>
  <c r="I800" i="10" s="1"/>
  <c r="J800" i="10" s="1"/>
  <c r="F801" i="10" s="1"/>
  <c r="H4946" i="10"/>
  <c r="I4946" i="10" s="1"/>
  <c r="J4946" i="10"/>
  <c r="F4947" i="10" s="1"/>
  <c r="H4643" i="10"/>
  <c r="I4643" i="10" s="1"/>
  <c r="J4643" i="10"/>
  <c r="F4644" i="10" s="1"/>
  <c r="H3356" i="10"/>
  <c r="I3356" i="10" s="1"/>
  <c r="J3356" i="10" s="1"/>
  <c r="F3357" i="10" s="1"/>
  <c r="H2189" i="10"/>
  <c r="I2189" i="10" s="1"/>
  <c r="J2189" i="10" s="1"/>
  <c r="F2190" i="10" s="1"/>
  <c r="H83" i="10"/>
  <c r="H5537" i="10"/>
  <c r="I5537" i="10" s="1"/>
  <c r="J5537" i="10" s="1"/>
  <c r="F5538" i="10" s="1"/>
  <c r="H5401" i="10"/>
  <c r="I5401" i="10" s="1"/>
  <c r="J5401" i="10" s="1"/>
  <c r="F5402" i="10" s="1"/>
  <c r="G674" i="10"/>
  <c r="G682" i="10"/>
  <c r="G684" i="10"/>
  <c r="G666" i="10"/>
  <c r="G680" i="10"/>
  <c r="G672" i="10"/>
  <c r="G670" i="10"/>
  <c r="G676" i="10"/>
  <c r="G668" i="10"/>
  <c r="G685" i="10"/>
  <c r="G673" i="10"/>
  <c r="H666" i="10"/>
  <c r="G671" i="10"/>
  <c r="G687" i="10"/>
  <c r="G681" i="10"/>
  <c r="G669" i="10"/>
  <c r="G683" i="10"/>
  <c r="G675" i="10"/>
  <c r="G667" i="10"/>
  <c r="G677" i="10"/>
  <c r="G678" i="10"/>
  <c r="G686" i="10"/>
  <c r="G679" i="10"/>
  <c r="G452" i="10"/>
  <c r="G451" i="10"/>
  <c r="H451" i="10"/>
  <c r="H3420" i="10"/>
  <c r="I3420" i="10" s="1"/>
  <c r="J3420" i="10" s="1"/>
  <c r="F3421" i="10" s="1"/>
  <c r="H4714" i="10"/>
  <c r="I4714" i="10" s="1"/>
  <c r="J4714" i="10" s="1"/>
  <c r="F4715" i="10" s="1"/>
  <c r="T34" i="6"/>
  <c r="X37" i="9"/>
  <c r="H4045" i="10"/>
  <c r="I4045" i="10" s="1"/>
  <c r="J4045" i="10" s="1"/>
  <c r="F4046" i="10" s="1"/>
  <c r="H4889" i="10"/>
  <c r="I4889" i="10" s="1"/>
  <c r="J4889" i="10" s="1"/>
  <c r="F4890" i="10" s="1"/>
  <c r="H4216" i="10"/>
  <c r="I4216" i="10" s="1"/>
  <c r="J4216" i="10" s="1"/>
  <c r="F4217" i="10" s="1"/>
  <c r="H323" i="10"/>
  <c r="G324" i="10"/>
  <c r="G325" i="10"/>
  <c r="G323" i="10"/>
  <c r="I739" i="10"/>
  <c r="J739" i="10" s="1"/>
  <c r="F740" i="10" s="1"/>
  <c r="L739" i="10"/>
  <c r="H4046" i="10" l="1"/>
  <c r="I4046" i="10" s="1"/>
  <c r="J4046" i="10" s="1"/>
  <c r="F4047" i="10" s="1"/>
  <c r="H596" i="10"/>
  <c r="G596" i="10"/>
  <c r="H5402" i="10"/>
  <c r="I5402" i="10" s="1"/>
  <c r="J5402" i="10" s="1"/>
  <c r="F5403" i="10" s="1"/>
  <c r="J801" i="10"/>
  <c r="F802" i="10" s="1"/>
  <c r="H801" i="10"/>
  <c r="G801" i="10"/>
  <c r="I801" i="10" s="1"/>
  <c r="H3680" i="10"/>
  <c r="I3680" i="10" s="1"/>
  <c r="J3680" i="10" s="1"/>
  <c r="F3681" i="10" s="1"/>
  <c r="H2365" i="10"/>
  <c r="I2365" i="10" s="1"/>
  <c r="J2365" i="10" s="1"/>
  <c r="F2366" i="10" s="1"/>
  <c r="H1350" i="10"/>
  <c r="I1350" i="10" s="1"/>
  <c r="J1350" i="10" s="1"/>
  <c r="F1351" i="10" s="1"/>
  <c r="H3894" i="10"/>
  <c r="I3894" i="10" s="1"/>
  <c r="J3894" i="10" s="1"/>
  <c r="F3895" i="10" s="1"/>
  <c r="H3741" i="10"/>
  <c r="I3741" i="10" s="1"/>
  <c r="J3741" i="10" s="1"/>
  <c r="F3742" i="10" s="1"/>
  <c r="H4890" i="10"/>
  <c r="I4890" i="10" s="1"/>
  <c r="J4890" i="10" s="1"/>
  <c r="F4891" i="10" s="1"/>
  <c r="H5538" i="10"/>
  <c r="I5538" i="10" s="1"/>
  <c r="J5538" i="10" s="1"/>
  <c r="F5539" i="10" s="1"/>
  <c r="H5470" i="10"/>
  <c r="I5470" i="10" s="1"/>
  <c r="J5470" i="10"/>
  <c r="F5471" i="10" s="1"/>
  <c r="H2908" i="10"/>
  <c r="I2908" i="10" s="1"/>
  <c r="J2908" i="10" s="1"/>
  <c r="F2909" i="10" s="1"/>
  <c r="H3357" i="10"/>
  <c r="I3357" i="10" s="1"/>
  <c r="J3357" i="10" s="1"/>
  <c r="F3358" i="10" s="1"/>
  <c r="H3034" i="10"/>
  <c r="I3034" i="10" s="1"/>
  <c r="J3034" i="10"/>
  <c r="F3035" i="10" s="1"/>
  <c r="H4166" i="10"/>
  <c r="I4166" i="10" s="1"/>
  <c r="J4166" i="10" s="1"/>
  <c r="F4167" i="10" s="1"/>
  <c r="H5264" i="10"/>
  <c r="I5264" i="10" s="1"/>
  <c r="J5264" i="10" s="1"/>
  <c r="F5265" i="10" s="1"/>
  <c r="H2789" i="10"/>
  <c r="I2789" i="10" s="1"/>
  <c r="J2789" i="10" s="1"/>
  <c r="F2790" i="10" s="1"/>
  <c r="H1832" i="10"/>
  <c r="I1832" i="10" s="1"/>
  <c r="J1832" i="10" s="1"/>
  <c r="F1833" i="10" s="1"/>
  <c r="H2190" i="10"/>
  <c r="I2190" i="10" s="1"/>
  <c r="J2190" i="10" s="1"/>
  <c r="F2191" i="10" s="1"/>
  <c r="H4715" i="10"/>
  <c r="I4715" i="10" s="1"/>
  <c r="J4715" i="10" s="1"/>
  <c r="F4716" i="10" s="1"/>
  <c r="H3421" i="10"/>
  <c r="I3421" i="10" s="1"/>
  <c r="J3421" i="10" s="1"/>
  <c r="F3422" i="10" s="1"/>
  <c r="H4217" i="10"/>
  <c r="I4217" i="10" s="1"/>
  <c r="J4217" i="10" s="1"/>
  <c r="F4218" i="10" s="1"/>
  <c r="H3528" i="10"/>
  <c r="I3528" i="10" s="1"/>
  <c r="J3528" i="10" s="1"/>
  <c r="F3529" i="10" s="1"/>
  <c r="H5177" i="10"/>
  <c r="I5177" i="10" s="1"/>
  <c r="J5177" i="10" s="1"/>
  <c r="F5178" i="10" s="1"/>
  <c r="H4283" i="10"/>
  <c r="I4283" i="10" s="1"/>
  <c r="J4283" i="10" s="1"/>
  <c r="H740" i="10"/>
  <c r="G740" i="10"/>
  <c r="L740" i="10" s="1"/>
  <c r="J4644" i="10"/>
  <c r="F4645" i="10" s="1"/>
  <c r="H4644" i="10"/>
  <c r="I4644" i="10" s="1"/>
  <c r="J3211" i="10"/>
  <c r="F3212" i="10" s="1"/>
  <c r="H3211" i="10"/>
  <c r="I3211" i="10" s="1"/>
  <c r="I323" i="10"/>
  <c r="J323" i="10" s="1"/>
  <c r="F324" i="10" s="1"/>
  <c r="I666" i="10"/>
  <c r="J666" i="10" s="1"/>
  <c r="F667" i="10" s="1"/>
  <c r="L675" i="10"/>
  <c r="P6" i="9"/>
  <c r="I83" i="10"/>
  <c r="H4947" i="10"/>
  <c r="I4947" i="10" s="1"/>
  <c r="J4947" i="10" s="1"/>
  <c r="F4948" i="10" s="1"/>
  <c r="J4484" i="10"/>
  <c r="F4485" i="10" s="1"/>
  <c r="H4484" i="10"/>
  <c r="I4484" i="10" s="1"/>
  <c r="H4822" i="10"/>
  <c r="I4822" i="10" s="1"/>
  <c r="J4822" i="10"/>
  <c r="F4823" i="10" s="1"/>
  <c r="I451" i="10"/>
  <c r="J451" i="10" s="1"/>
  <c r="F452" i="10" s="1"/>
  <c r="L451" i="10"/>
  <c r="L452" i="10" s="1"/>
  <c r="H2790" i="10" l="1"/>
  <c r="I2790" i="10" s="1"/>
  <c r="J2790" i="10" s="1"/>
  <c r="F2791" i="10" s="1"/>
  <c r="H3681" i="10"/>
  <c r="I3681" i="10" s="1"/>
  <c r="J3681" i="10" s="1"/>
  <c r="F3682" i="10" s="1"/>
  <c r="H5265" i="10"/>
  <c r="I5265" i="10" s="1"/>
  <c r="J5265" i="10" s="1"/>
  <c r="F5266" i="10" s="1"/>
  <c r="H5178" i="10"/>
  <c r="I5178" i="10" s="1"/>
  <c r="J5178" i="10" s="1"/>
  <c r="F5179" i="10" s="1"/>
  <c r="H4167" i="10"/>
  <c r="I4167" i="10" s="1"/>
  <c r="J4167" i="10" s="1"/>
  <c r="F4168" i="10" s="1"/>
  <c r="H4218" i="10"/>
  <c r="I4218" i="10" s="1"/>
  <c r="J4218" i="10" s="1"/>
  <c r="F4219" i="10" s="1"/>
  <c r="H4948" i="10"/>
  <c r="I4948" i="10" s="1"/>
  <c r="J4948" i="10" s="1"/>
  <c r="F4949" i="10" s="1"/>
  <c r="H3422" i="10"/>
  <c r="I3422" i="10" s="1"/>
  <c r="J3422" i="10" s="1"/>
  <c r="F3423" i="10" s="1"/>
  <c r="H3895" i="10"/>
  <c r="I3895" i="10" s="1"/>
  <c r="J3895" i="10" s="1"/>
  <c r="F3896" i="10" s="1"/>
  <c r="H1833" i="10"/>
  <c r="I1833" i="10" s="1"/>
  <c r="J1833" i="10" s="1"/>
  <c r="F1834" i="10" s="1"/>
  <c r="H5539" i="10"/>
  <c r="I5539" i="10" s="1"/>
  <c r="J5539" i="10"/>
  <c r="F5540" i="10" s="1"/>
  <c r="H3529" i="10"/>
  <c r="I3529" i="10" s="1"/>
  <c r="J3529" i="10"/>
  <c r="F3530" i="10" s="1"/>
  <c r="H3742" i="10"/>
  <c r="I3742" i="10" s="1"/>
  <c r="J3742" i="10"/>
  <c r="F3743" i="10" s="1"/>
  <c r="H4716" i="10"/>
  <c r="I4716" i="10" s="1"/>
  <c r="J4716" i="10"/>
  <c r="F4717" i="10" s="1"/>
  <c r="H3358" i="10"/>
  <c r="I3358" i="10" s="1"/>
  <c r="J3358" i="10" s="1"/>
  <c r="F3359" i="10" s="1"/>
  <c r="H1351" i="10"/>
  <c r="I1351" i="10" s="1"/>
  <c r="J1351" i="10" s="1"/>
  <c r="F1352" i="10" s="1"/>
  <c r="H4891" i="10"/>
  <c r="I4891" i="10" s="1"/>
  <c r="J4891" i="10" s="1"/>
  <c r="F4892" i="10" s="1"/>
  <c r="H5403" i="10"/>
  <c r="I5403" i="10" s="1"/>
  <c r="J5403" i="10"/>
  <c r="F5404" i="10" s="1"/>
  <c r="H2191" i="10"/>
  <c r="I2191" i="10" s="1"/>
  <c r="J2191" i="10" s="1"/>
  <c r="F2192" i="10" s="1"/>
  <c r="J2909" i="10"/>
  <c r="F2910" i="10" s="1"/>
  <c r="H2909" i="10"/>
  <c r="I2909" i="10" s="1"/>
  <c r="H2366" i="10"/>
  <c r="I2366" i="10" s="1"/>
  <c r="J2366" i="10" s="1"/>
  <c r="F2367" i="10" s="1"/>
  <c r="H4047" i="10"/>
  <c r="I4047" i="10" s="1"/>
  <c r="J4047" i="10" s="1"/>
  <c r="F4048" i="10" s="1"/>
  <c r="H667" i="10"/>
  <c r="I667" i="10" s="1"/>
  <c r="J667" i="10" s="1"/>
  <c r="F668" i="10" s="1"/>
  <c r="J802" i="10"/>
  <c r="F803" i="10" s="1"/>
  <c r="H802" i="10"/>
  <c r="G802" i="10"/>
  <c r="I802" i="10" s="1"/>
  <c r="S6" i="9"/>
  <c r="J83" i="10"/>
  <c r="F84" i="10" s="1"/>
  <c r="H4645" i="10"/>
  <c r="I4645" i="10" s="1"/>
  <c r="J4645" i="10" s="1"/>
  <c r="F4646" i="10" s="1"/>
  <c r="H3035" i="10"/>
  <c r="I3035" i="10" s="1"/>
  <c r="J3035" i="10" s="1"/>
  <c r="F3036" i="10" s="1"/>
  <c r="I596" i="10"/>
  <c r="J596" i="10" s="1"/>
  <c r="F597" i="10" s="1"/>
  <c r="Y13" i="9"/>
  <c r="L596" i="10"/>
  <c r="H452" i="10"/>
  <c r="I452" i="10" s="1"/>
  <c r="J452" i="10" s="1"/>
  <c r="F453" i="10" s="1"/>
  <c r="H324" i="10"/>
  <c r="I324" i="10" s="1"/>
  <c r="J324" i="10" s="1"/>
  <c r="F325" i="10" s="1"/>
  <c r="J4823" i="10"/>
  <c r="F4824" i="10" s="1"/>
  <c r="H4823" i="10"/>
  <c r="I4823" i="10" s="1"/>
  <c r="H5471" i="10"/>
  <c r="I5471" i="10" s="1"/>
  <c r="J5471" i="10"/>
  <c r="F5472" i="10" s="1"/>
  <c r="R6" i="9"/>
  <c r="O3" i="6"/>
  <c r="I740" i="10"/>
  <c r="J740" i="10" s="1"/>
  <c r="F741" i="10" s="1"/>
  <c r="Y16" i="9"/>
  <c r="H4485" i="10"/>
  <c r="I4485" i="10" s="1"/>
  <c r="J4485" i="10"/>
  <c r="F4486" i="10" s="1"/>
  <c r="H3212" i="10"/>
  <c r="I3212" i="10" s="1"/>
  <c r="J3212" i="10" s="1"/>
  <c r="F3213" i="10" s="1"/>
  <c r="G453" i="10" l="1"/>
  <c r="H453" i="10"/>
  <c r="H4168" i="10"/>
  <c r="I4168" i="10" s="1"/>
  <c r="J4168" i="10" s="1"/>
  <c r="J4949" i="10"/>
  <c r="F4950" i="10" s="1"/>
  <c r="H4949" i="10"/>
  <c r="I4949" i="10" s="1"/>
  <c r="J1352" i="10"/>
  <c r="F1353" i="10" s="1"/>
  <c r="H1352" i="10"/>
  <c r="I1352" i="10" s="1"/>
  <c r="H2192" i="10"/>
  <c r="I2192" i="10" s="1"/>
  <c r="J2192" i="10" s="1"/>
  <c r="H4219" i="10"/>
  <c r="I4219" i="10" s="1"/>
  <c r="J4219" i="10"/>
  <c r="F4220" i="10" s="1"/>
  <c r="J5266" i="10"/>
  <c r="F5267" i="10" s="1"/>
  <c r="H5266" i="10"/>
  <c r="I5266" i="10" s="1"/>
  <c r="H3423" i="10"/>
  <c r="I3423" i="10" s="1"/>
  <c r="J3423" i="10" s="1"/>
  <c r="F3424" i="10" s="1"/>
  <c r="H4892" i="10"/>
  <c r="I4892" i="10" s="1"/>
  <c r="J4892" i="10" s="1"/>
  <c r="H3036" i="10"/>
  <c r="I3036" i="10" s="1"/>
  <c r="J3036" i="10" s="1"/>
  <c r="F3037" i="10" s="1"/>
  <c r="J5179" i="10"/>
  <c r="F5180" i="10" s="1"/>
  <c r="H5179" i="10"/>
  <c r="I5179" i="10" s="1"/>
  <c r="J2367" i="10"/>
  <c r="F2368" i="10" s="1"/>
  <c r="H2367" i="10"/>
  <c r="I2367" i="10" s="1"/>
  <c r="H1834" i="10"/>
  <c r="I1834" i="10" s="1"/>
  <c r="J1834" i="10" s="1"/>
  <c r="F1835" i="10" s="1"/>
  <c r="H3682" i="10"/>
  <c r="I3682" i="10" s="1"/>
  <c r="J3682" i="10" s="1"/>
  <c r="F3683" i="10" s="1"/>
  <c r="J668" i="10"/>
  <c r="F669" i="10" s="1"/>
  <c r="H668" i="10"/>
  <c r="I668" i="10" s="1"/>
  <c r="J3213" i="10"/>
  <c r="F3214" i="10" s="1"/>
  <c r="H3213" i="10"/>
  <c r="I3213" i="10" s="1"/>
  <c r="H4048" i="10"/>
  <c r="I4048" i="10" s="1"/>
  <c r="J4048" i="10"/>
  <c r="F4049" i="10" s="1"/>
  <c r="H4646" i="10"/>
  <c r="I4646" i="10" s="1"/>
  <c r="J4646" i="10" s="1"/>
  <c r="F4647" i="10" s="1"/>
  <c r="J3359" i="10"/>
  <c r="F3360" i="10" s="1"/>
  <c r="H3359" i="10"/>
  <c r="I3359" i="10" s="1"/>
  <c r="J325" i="10"/>
  <c r="F326" i="10" s="1"/>
  <c r="H325" i="10"/>
  <c r="I325" i="10" s="1"/>
  <c r="H3896" i="10"/>
  <c r="I3896" i="10" s="1"/>
  <c r="J3896" i="10"/>
  <c r="F3897" i="10" s="1"/>
  <c r="H2791" i="10"/>
  <c r="I2791" i="10" s="1"/>
  <c r="J2791" i="10" s="1"/>
  <c r="F2792" i="10" s="1"/>
  <c r="H5540" i="10"/>
  <c r="I5540" i="10" s="1"/>
  <c r="J5540" i="10" s="1"/>
  <c r="F5541" i="10" s="1"/>
  <c r="G809" i="10"/>
  <c r="G818" i="10"/>
  <c r="G812" i="10"/>
  <c r="G803" i="10"/>
  <c r="G805" i="10"/>
  <c r="G814" i="10"/>
  <c r="G823" i="10"/>
  <c r="G813" i="10"/>
  <c r="G810" i="10"/>
  <c r="G819" i="10"/>
  <c r="G808" i="10"/>
  <c r="G806" i="10"/>
  <c r="G815" i="10"/>
  <c r="G804" i="10"/>
  <c r="G811" i="10"/>
  <c r="H803" i="10"/>
  <c r="G821" i="10"/>
  <c r="G807" i="10"/>
  <c r="G820" i="10"/>
  <c r="G817" i="10"/>
  <c r="G816" i="10"/>
  <c r="G822" i="10"/>
  <c r="G749" i="10"/>
  <c r="G743" i="10"/>
  <c r="G748" i="10"/>
  <c r="G742" i="10"/>
  <c r="G745" i="10"/>
  <c r="G741" i="10"/>
  <c r="G751" i="10"/>
  <c r="G750" i="10"/>
  <c r="G746" i="10"/>
  <c r="G744" i="10"/>
  <c r="H741" i="10"/>
  <c r="G747" i="10"/>
  <c r="H84" i="10"/>
  <c r="I84" i="10" s="1"/>
  <c r="J84" i="10" s="1"/>
  <c r="F85" i="10" s="1"/>
  <c r="H5404" i="10"/>
  <c r="I5404" i="10" s="1"/>
  <c r="J5404" i="10" s="1"/>
  <c r="F5405" i="10" s="1"/>
  <c r="J4717" i="10"/>
  <c r="F4718" i="10" s="1"/>
  <c r="H4717" i="10"/>
  <c r="I4717" i="10" s="1"/>
  <c r="H2910" i="10"/>
  <c r="I2910" i="10" s="1"/>
  <c r="J2910" i="10" s="1"/>
  <c r="F2911" i="10" s="1"/>
  <c r="R3" i="6"/>
  <c r="T6" i="9"/>
  <c r="U6" i="9" s="1"/>
  <c r="H4824" i="10"/>
  <c r="I4824" i="10" s="1"/>
  <c r="J4824" i="10" s="1"/>
  <c r="F4825" i="10" s="1"/>
  <c r="H3530" i="10"/>
  <c r="I3530" i="10" s="1"/>
  <c r="J3530" i="10" s="1"/>
  <c r="F3531" i="10" s="1"/>
  <c r="H3743" i="10"/>
  <c r="I3743" i="10" s="1"/>
  <c r="J3743" i="10"/>
  <c r="F3744" i="10" s="1"/>
  <c r="Q3" i="6"/>
  <c r="AK3" i="6" s="1"/>
  <c r="I3" i="3"/>
  <c r="T3" i="3" s="1"/>
  <c r="AQ6" i="9"/>
  <c r="H5472" i="10"/>
  <c r="I5472" i="10" s="1"/>
  <c r="J5472" i="10" s="1"/>
  <c r="H4486" i="10"/>
  <c r="I4486" i="10" s="1"/>
  <c r="J4486" i="10" s="1"/>
  <c r="F4487" i="10" s="1"/>
  <c r="G597" i="10"/>
  <c r="H597" i="10"/>
  <c r="H5405" i="10" l="1"/>
  <c r="I5405" i="10" s="1"/>
  <c r="J5405" i="10" s="1"/>
  <c r="H3531" i="10"/>
  <c r="I3531" i="10" s="1"/>
  <c r="J3531" i="10" s="1"/>
  <c r="F3532" i="10" s="1"/>
  <c r="H4487" i="10"/>
  <c r="I4487" i="10" s="1"/>
  <c r="J4487" i="10"/>
  <c r="F4488" i="10" s="1"/>
  <c r="H5541" i="10"/>
  <c r="I5541" i="10" s="1"/>
  <c r="J5541" i="10" s="1"/>
  <c r="F5542" i="10" s="1"/>
  <c r="H85" i="10"/>
  <c r="I85" i="10" s="1"/>
  <c r="J85" i="10" s="1"/>
  <c r="F86" i="10" s="1"/>
  <c r="Y6" i="9"/>
  <c r="Y109" i="9" s="1"/>
  <c r="T3" i="6"/>
  <c r="J1835" i="10"/>
  <c r="F1836" i="10" s="1"/>
  <c r="H1835" i="10"/>
  <c r="I1835" i="10" s="1"/>
  <c r="J3037" i="10"/>
  <c r="F3038" i="10" s="1"/>
  <c r="H3037" i="10"/>
  <c r="I3037" i="10" s="1"/>
  <c r="H3424" i="10"/>
  <c r="I3424" i="10" s="1"/>
  <c r="J3424" i="10" s="1"/>
  <c r="F3425" i="10" s="1"/>
  <c r="J4647" i="10"/>
  <c r="F4648" i="10" s="1"/>
  <c r="H4647" i="10"/>
  <c r="I4647" i="10" s="1"/>
  <c r="J2911" i="10"/>
  <c r="F2912" i="10" s="1"/>
  <c r="H2911" i="10"/>
  <c r="I2911" i="10" s="1"/>
  <c r="J4825" i="10"/>
  <c r="F4826" i="10" s="1"/>
  <c r="H4825" i="10"/>
  <c r="I4825" i="10" s="1"/>
  <c r="H3683" i="10"/>
  <c r="I3683" i="10" s="1"/>
  <c r="J3683" i="10"/>
  <c r="F3684" i="10" s="1"/>
  <c r="J2792" i="10"/>
  <c r="F2793" i="10" s="1"/>
  <c r="H2792" i="10"/>
  <c r="I2792" i="10" s="1"/>
  <c r="H326" i="10"/>
  <c r="G326" i="10"/>
  <c r="I326" i="10" s="1"/>
  <c r="J326" i="10" s="1"/>
  <c r="F327" i="10" s="1"/>
  <c r="H3360" i="10"/>
  <c r="I3360" i="10" s="1"/>
  <c r="J3360" i="10" s="1"/>
  <c r="F3361" i="10" s="1"/>
  <c r="H669" i="10"/>
  <c r="H5180" i="10"/>
  <c r="I5180" i="10" s="1"/>
  <c r="J5180" i="10" s="1"/>
  <c r="F5181" i="10" s="1"/>
  <c r="H5267" i="10"/>
  <c r="I5267" i="10" s="1"/>
  <c r="J5267" i="10" s="1"/>
  <c r="F5268" i="10" s="1"/>
  <c r="H4950" i="10"/>
  <c r="I4950" i="10" s="1"/>
  <c r="J4950" i="10" s="1"/>
  <c r="F4951" i="10" s="1"/>
  <c r="I597" i="10"/>
  <c r="J597" i="10" s="1"/>
  <c r="F598" i="10" s="1"/>
  <c r="J4220" i="10"/>
  <c r="H4220" i="10"/>
  <c r="I4220" i="10" s="1"/>
  <c r="H2368" i="10"/>
  <c r="I2368" i="10" s="1"/>
  <c r="J2368" i="10" s="1"/>
  <c r="F2369" i="10" s="1"/>
  <c r="H3744" i="10"/>
  <c r="I3744" i="10" s="1"/>
  <c r="J3744" i="10"/>
  <c r="F3745" i="10" s="1"/>
  <c r="L597" i="10"/>
  <c r="I803" i="10"/>
  <c r="J803" i="10" s="1"/>
  <c r="F804" i="10" s="1"/>
  <c r="L803" i="10"/>
  <c r="L804" i="10" s="1"/>
  <c r="H4718" i="10"/>
  <c r="I4718" i="10" s="1"/>
  <c r="J4718" i="10" s="1"/>
  <c r="F4719" i="10" s="1"/>
  <c r="H1353" i="10"/>
  <c r="I1353" i="10" s="1"/>
  <c r="J1353" i="10" s="1"/>
  <c r="F1354" i="10" s="1"/>
  <c r="H3897" i="10"/>
  <c r="I3897" i="10" s="1"/>
  <c r="J3897" i="10"/>
  <c r="F3898" i="10" s="1"/>
  <c r="H4049" i="10"/>
  <c r="I4049" i="10" s="1"/>
  <c r="J4049" i="10" s="1"/>
  <c r="F4050" i="10" s="1"/>
  <c r="H3214" i="10"/>
  <c r="I3214" i="10" s="1"/>
  <c r="J3214" i="10"/>
  <c r="F3215" i="10" s="1"/>
  <c r="I453" i="10"/>
  <c r="J453" i="10" s="1"/>
  <c r="F454" i="10" s="1"/>
  <c r="L453" i="10"/>
  <c r="S3" i="6"/>
  <c r="I741" i="10"/>
  <c r="J741" i="10" s="1"/>
  <c r="F742" i="10" s="1"/>
  <c r="X16" i="9"/>
  <c r="L741" i="10"/>
  <c r="L742" i="10" s="1"/>
  <c r="L743" i="10" s="1"/>
  <c r="L744" i="10" s="1"/>
  <c r="W16" i="9"/>
  <c r="H86" i="10" l="1"/>
  <c r="I86" i="10" s="1"/>
  <c r="J86" i="10" s="1"/>
  <c r="F87" i="10" s="1"/>
  <c r="H5181" i="10"/>
  <c r="I5181" i="10" s="1"/>
  <c r="J5181" i="10" s="1"/>
  <c r="F5182" i="10" s="1"/>
  <c r="H4951" i="10"/>
  <c r="I4951" i="10" s="1"/>
  <c r="J4951" i="10" s="1"/>
  <c r="F4952" i="10" s="1"/>
  <c r="H4050" i="10"/>
  <c r="I4050" i="10" s="1"/>
  <c r="J4050" i="10" s="1"/>
  <c r="H4719" i="10"/>
  <c r="I4719" i="10" s="1"/>
  <c r="J4719" i="10" s="1"/>
  <c r="F4720" i="10" s="1"/>
  <c r="H3425" i="10"/>
  <c r="I3425" i="10" s="1"/>
  <c r="J3425" i="10" s="1"/>
  <c r="F3426" i="10" s="1"/>
  <c r="H3361" i="10"/>
  <c r="I3361" i="10" s="1"/>
  <c r="J3361" i="10" s="1"/>
  <c r="F3362" i="10" s="1"/>
  <c r="H3532" i="10"/>
  <c r="I3532" i="10" s="1"/>
  <c r="J3532" i="10"/>
  <c r="F3533" i="10" s="1"/>
  <c r="H5268" i="10"/>
  <c r="I5268" i="10" s="1"/>
  <c r="J5268" i="10" s="1"/>
  <c r="F5269" i="10" s="1"/>
  <c r="H5542" i="10"/>
  <c r="I5542" i="10" s="1"/>
  <c r="J5542" i="10" s="1"/>
  <c r="F5543" i="10" s="1"/>
  <c r="H2369" i="10"/>
  <c r="I2369" i="10" s="1"/>
  <c r="J2369" i="10" s="1"/>
  <c r="F2370" i="10" s="1"/>
  <c r="H1354" i="10"/>
  <c r="I1354" i="10" s="1"/>
  <c r="J1354" i="10" s="1"/>
  <c r="F1355" i="10" s="1"/>
  <c r="H327" i="10"/>
  <c r="G327" i="10"/>
  <c r="I327" i="10" s="1"/>
  <c r="J327" i="10" s="1"/>
  <c r="F328" i="10" s="1"/>
  <c r="H3038" i="10"/>
  <c r="I3038" i="10" s="1"/>
  <c r="J3038" i="10" s="1"/>
  <c r="F3039" i="10" s="1"/>
  <c r="H2912" i="10"/>
  <c r="I2912" i="10" s="1"/>
  <c r="J2912" i="10" s="1"/>
  <c r="F2913" i="10" s="1"/>
  <c r="H1836" i="10"/>
  <c r="I1836" i="10" s="1"/>
  <c r="J1836" i="10" s="1"/>
  <c r="F1837" i="10" s="1"/>
  <c r="H4488" i="10"/>
  <c r="I4488" i="10" s="1"/>
  <c r="J4488" i="10"/>
  <c r="F4489" i="10" s="1"/>
  <c r="H4826" i="10"/>
  <c r="I4826" i="10" s="1"/>
  <c r="J4826" i="10" s="1"/>
  <c r="F4827" i="10" s="1"/>
  <c r="H742" i="10"/>
  <c r="I742" i="10" s="1"/>
  <c r="J742" i="10" s="1"/>
  <c r="F743" i="10" s="1"/>
  <c r="H3898" i="10"/>
  <c r="I3898" i="10" s="1"/>
  <c r="J3898" i="10"/>
  <c r="F3899" i="10" s="1"/>
  <c r="H3745" i="10"/>
  <c r="I3745" i="10" s="1"/>
  <c r="J3745" i="10" s="1"/>
  <c r="F3746" i="10" s="1"/>
  <c r="H4648" i="10"/>
  <c r="I4648" i="10" s="1"/>
  <c r="J4648" i="10" s="1"/>
  <c r="F4649" i="10" s="1"/>
  <c r="J3215" i="10"/>
  <c r="F3216" i="10" s="1"/>
  <c r="H3215" i="10"/>
  <c r="I3215" i="10" s="1"/>
  <c r="H3684" i="10"/>
  <c r="I3684" i="10" s="1"/>
  <c r="J3684" i="10"/>
  <c r="F3685" i="10" s="1"/>
  <c r="L454" i="10"/>
  <c r="P14" i="9"/>
  <c r="I669" i="10"/>
  <c r="J669" i="10" s="1"/>
  <c r="F670" i="10" s="1"/>
  <c r="J2793" i="10"/>
  <c r="F2794" i="10" s="1"/>
  <c r="H2793" i="10"/>
  <c r="I2793" i="10" s="1"/>
  <c r="G454" i="10"/>
  <c r="H454" i="10"/>
  <c r="H804" i="10"/>
  <c r="I804" i="10" s="1"/>
  <c r="J804" i="10" s="1"/>
  <c r="F805" i="10" s="1"/>
  <c r="G598" i="10"/>
  <c r="G600" i="10"/>
  <c r="G611" i="10"/>
  <c r="G602" i="10"/>
  <c r="G607" i="10"/>
  <c r="H598" i="10"/>
  <c r="G599" i="10"/>
  <c r="G601" i="10"/>
  <c r="G608" i="10"/>
  <c r="G609" i="10"/>
  <c r="G610" i="10"/>
  <c r="G603" i="10"/>
  <c r="G604" i="10"/>
  <c r="G605" i="10"/>
  <c r="G606" i="10"/>
  <c r="H3362" i="10" l="1"/>
  <c r="I3362" i="10" s="1"/>
  <c r="J3362" i="10" s="1"/>
  <c r="F3363" i="10" s="1"/>
  <c r="H328" i="10"/>
  <c r="G340" i="10"/>
  <c r="G329" i="10"/>
  <c r="G347" i="10"/>
  <c r="G332" i="10"/>
  <c r="G349" i="10"/>
  <c r="G339" i="10"/>
  <c r="G330" i="10"/>
  <c r="G351" i="10"/>
  <c r="G341" i="10"/>
  <c r="G345" i="10"/>
  <c r="G348" i="10"/>
  <c r="G343" i="10"/>
  <c r="G333" i="10"/>
  <c r="G350" i="10"/>
  <c r="G335" i="10"/>
  <c r="G352" i="10"/>
  <c r="G331" i="10"/>
  <c r="G334" i="10"/>
  <c r="G328" i="10"/>
  <c r="G344" i="10"/>
  <c r="G337" i="10"/>
  <c r="G346" i="10"/>
  <c r="G336" i="10"/>
  <c r="G342" i="10"/>
  <c r="G338" i="10"/>
  <c r="J3039" i="10"/>
  <c r="F3040" i="10" s="1"/>
  <c r="H3039" i="10"/>
  <c r="I3039" i="10" s="1"/>
  <c r="J3426" i="10"/>
  <c r="F3427" i="10" s="1"/>
  <c r="H3426" i="10"/>
  <c r="I3426" i="10" s="1"/>
  <c r="H4720" i="10"/>
  <c r="I4720" i="10" s="1"/>
  <c r="J4720" i="10"/>
  <c r="F4721" i="10" s="1"/>
  <c r="H4952" i="10"/>
  <c r="I4952" i="10" s="1"/>
  <c r="J4952" i="10" s="1"/>
  <c r="F4953" i="10" s="1"/>
  <c r="J805" i="10"/>
  <c r="F806" i="10" s="1"/>
  <c r="H805" i="10"/>
  <c r="I805" i="10" s="1"/>
  <c r="J1355" i="10"/>
  <c r="F1356" i="10" s="1"/>
  <c r="H1355" i="10"/>
  <c r="I1355" i="10" s="1"/>
  <c r="H1837" i="10"/>
  <c r="I1837" i="10" s="1"/>
  <c r="J1837" i="10" s="1"/>
  <c r="F1838" i="10" s="1"/>
  <c r="H5269" i="10"/>
  <c r="I5269" i="10" s="1"/>
  <c r="J5269" i="10" s="1"/>
  <c r="F5270" i="10" s="1"/>
  <c r="J5182" i="10"/>
  <c r="F5183" i="10" s="1"/>
  <c r="H5182" i="10"/>
  <c r="I5182" i="10" s="1"/>
  <c r="J743" i="10"/>
  <c r="F744" i="10" s="1"/>
  <c r="H743" i="10"/>
  <c r="I743" i="10" s="1"/>
  <c r="H4827" i="10"/>
  <c r="I4827" i="10" s="1"/>
  <c r="J4827" i="10" s="1"/>
  <c r="H2370" i="10"/>
  <c r="I2370" i="10" s="1"/>
  <c r="J2370" i="10" s="1"/>
  <c r="F2371" i="10" s="1"/>
  <c r="J5543" i="10"/>
  <c r="F5544" i="10" s="1"/>
  <c r="H5543" i="10"/>
  <c r="I5543" i="10" s="1"/>
  <c r="J4649" i="10"/>
  <c r="F4650" i="10" s="1"/>
  <c r="H4649" i="10"/>
  <c r="I4649" i="10" s="1"/>
  <c r="H3746" i="10"/>
  <c r="I3746" i="10" s="1"/>
  <c r="J3746" i="10" s="1"/>
  <c r="F3747" i="10" s="1"/>
  <c r="H2913" i="10"/>
  <c r="I2913" i="10" s="1"/>
  <c r="J2913" i="10" s="1"/>
  <c r="F2914" i="10" s="1"/>
  <c r="H87" i="10"/>
  <c r="I87" i="10" s="1"/>
  <c r="J87" i="10" s="1"/>
  <c r="F88" i="10" s="1"/>
  <c r="I598" i="10"/>
  <c r="J598" i="10" s="1"/>
  <c r="F599" i="10" s="1"/>
  <c r="X13" i="9"/>
  <c r="H3216" i="10"/>
  <c r="I3216" i="10" s="1"/>
  <c r="J3216" i="10" s="1"/>
  <c r="F3217" i="10" s="1"/>
  <c r="H3533" i="10"/>
  <c r="I3533" i="10" s="1"/>
  <c r="J3533" i="10" s="1"/>
  <c r="W13" i="9"/>
  <c r="O11" i="6"/>
  <c r="R14" i="9"/>
  <c r="J3685" i="10"/>
  <c r="H3685" i="10"/>
  <c r="I3685" i="10" s="1"/>
  <c r="H3899" i="10"/>
  <c r="I3899" i="10" s="1"/>
  <c r="J3899" i="10" s="1"/>
  <c r="F3900" i="10" s="1"/>
  <c r="H2794" i="10"/>
  <c r="I2794" i="10" s="1"/>
  <c r="J2794" i="10" s="1"/>
  <c r="F2795" i="10" s="1"/>
  <c r="H670" i="10"/>
  <c r="I670" i="10" s="1"/>
  <c r="J670" i="10" s="1"/>
  <c r="F671" i="10" s="1"/>
  <c r="H4489" i="10"/>
  <c r="I4489" i="10" s="1"/>
  <c r="J4489" i="10"/>
  <c r="F4490" i="10" s="1"/>
  <c r="I454" i="10"/>
  <c r="J454" i="10" s="1"/>
  <c r="F455" i="10" s="1"/>
  <c r="L598" i="10"/>
  <c r="L599" i="10" s="1"/>
  <c r="L600" i="10" s="1"/>
  <c r="L601" i="10" s="1"/>
  <c r="H2795" i="10" l="1"/>
  <c r="I2795" i="10" s="1"/>
  <c r="J2795" i="10" s="1"/>
  <c r="F2796" i="10" s="1"/>
  <c r="H2371" i="10"/>
  <c r="I2371" i="10" s="1"/>
  <c r="J2371" i="10" s="1"/>
  <c r="F2372" i="10" s="1"/>
  <c r="H5270" i="10"/>
  <c r="I5270" i="10" s="1"/>
  <c r="J5270" i="10" s="1"/>
  <c r="F5271" i="10" s="1"/>
  <c r="J1838" i="10"/>
  <c r="F1839" i="10" s="1"/>
  <c r="H1838" i="10"/>
  <c r="I1838" i="10" s="1"/>
  <c r="H2914" i="10"/>
  <c r="I2914" i="10" s="1"/>
  <c r="J2914" i="10" s="1"/>
  <c r="F2915" i="10" s="1"/>
  <c r="H4953" i="10"/>
  <c r="I4953" i="10" s="1"/>
  <c r="J4953" i="10" s="1"/>
  <c r="F4954" i="10" s="1"/>
  <c r="H3217" i="10"/>
  <c r="I3217" i="10" s="1"/>
  <c r="J3217" i="10" s="1"/>
  <c r="F3218" i="10" s="1"/>
  <c r="J3900" i="10"/>
  <c r="H3900" i="10"/>
  <c r="I3900" i="10" s="1"/>
  <c r="H88" i="10"/>
  <c r="I88" i="10" s="1"/>
  <c r="J88" i="10" s="1"/>
  <c r="F89" i="10" s="1"/>
  <c r="H3747" i="10"/>
  <c r="I3747" i="10" s="1"/>
  <c r="J3747" i="10" s="1"/>
  <c r="F3748" i="10" s="1"/>
  <c r="H671" i="10"/>
  <c r="I671" i="10" s="1"/>
  <c r="J671" i="10" s="1"/>
  <c r="F672" i="10" s="1"/>
  <c r="J3363" i="10"/>
  <c r="H3363" i="10"/>
  <c r="I3363" i="10" s="1"/>
  <c r="H599" i="10"/>
  <c r="I599" i="10" s="1"/>
  <c r="J599" i="10" s="1"/>
  <c r="F600" i="10" s="1"/>
  <c r="H4650" i="10"/>
  <c r="I4650" i="10" s="1"/>
  <c r="J4650" i="10"/>
  <c r="F4651" i="10" s="1"/>
  <c r="H744" i="10"/>
  <c r="J1356" i="10"/>
  <c r="F1357" i="10" s="1"/>
  <c r="H1356" i="10"/>
  <c r="I1356" i="10" s="1"/>
  <c r="H3427" i="10"/>
  <c r="I3427" i="10" s="1"/>
  <c r="J3427" i="10"/>
  <c r="F3428" i="10" s="1"/>
  <c r="I328" i="10"/>
  <c r="J328" i="10" s="1"/>
  <c r="F329" i="10" s="1"/>
  <c r="X9" i="9"/>
  <c r="H5544" i="10"/>
  <c r="I5544" i="10" s="1"/>
  <c r="J5544" i="10" s="1"/>
  <c r="F5545" i="10" s="1"/>
  <c r="H5183" i="10"/>
  <c r="I5183" i="10" s="1"/>
  <c r="J5183" i="10" s="1"/>
  <c r="F5184" i="10" s="1"/>
  <c r="H806" i="10"/>
  <c r="J3040" i="10"/>
  <c r="F3041" i="10" s="1"/>
  <c r="H3040" i="10"/>
  <c r="I3040" i="10" s="1"/>
  <c r="L329" i="10"/>
  <c r="L330" i="10" s="1"/>
  <c r="L331" i="10" s="1"/>
  <c r="Q11" i="6"/>
  <c r="AK11" i="6" s="1"/>
  <c r="I11" i="3"/>
  <c r="T11" i="3" s="1"/>
  <c r="AQ14" i="9"/>
  <c r="G470" i="10"/>
  <c r="G471" i="10"/>
  <c r="G481" i="10"/>
  <c r="G474" i="10"/>
  <c r="G466" i="10"/>
  <c r="G467" i="10"/>
  <c r="G480" i="10"/>
  <c r="H455" i="10"/>
  <c r="G462" i="10"/>
  <c r="G463" i="10"/>
  <c r="G465" i="10"/>
  <c r="G473" i="10"/>
  <c r="G476" i="10"/>
  <c r="G469" i="10"/>
  <c r="G472" i="10"/>
  <c r="G461" i="10"/>
  <c r="G455" i="10"/>
  <c r="G458" i="10"/>
  <c r="G468" i="10"/>
  <c r="G477" i="10"/>
  <c r="G482" i="10"/>
  <c r="G456" i="10"/>
  <c r="G457" i="10"/>
  <c r="G464" i="10"/>
  <c r="G478" i="10"/>
  <c r="G479" i="10"/>
  <c r="G460" i="10"/>
  <c r="G459" i="10"/>
  <c r="G475" i="10"/>
  <c r="H4490" i="10"/>
  <c r="I4490" i="10" s="1"/>
  <c r="J4490" i="10"/>
  <c r="F4491" i="10" s="1"/>
  <c r="H4721" i="10"/>
  <c r="I4721" i="10" s="1"/>
  <c r="J4721" i="10" s="1"/>
  <c r="F4722" i="10" s="1"/>
  <c r="H2915" i="10" l="1"/>
  <c r="I2915" i="10" s="1"/>
  <c r="J2915" i="10" s="1"/>
  <c r="F2916" i="10" s="1"/>
  <c r="H3218" i="10"/>
  <c r="I3218" i="10" s="1"/>
  <c r="J3218" i="10"/>
  <c r="F3219" i="10" s="1"/>
  <c r="H5184" i="10"/>
  <c r="I5184" i="10" s="1"/>
  <c r="J5184" i="10" s="1"/>
  <c r="F5185" i="10" s="1"/>
  <c r="J89" i="10"/>
  <c r="F90" i="10" s="1"/>
  <c r="H89" i="10"/>
  <c r="I89" i="10" s="1"/>
  <c r="H5271" i="10"/>
  <c r="I5271" i="10" s="1"/>
  <c r="J5271" i="10" s="1"/>
  <c r="F5272" i="10" s="1"/>
  <c r="H4954" i="10"/>
  <c r="I4954" i="10" s="1"/>
  <c r="J4954" i="10"/>
  <c r="F4955" i="10" s="1"/>
  <c r="H672" i="10"/>
  <c r="I672" i="10" s="1"/>
  <c r="J672" i="10" s="1"/>
  <c r="F673" i="10" s="1"/>
  <c r="J5545" i="10"/>
  <c r="F5546" i="10" s="1"/>
  <c r="H5545" i="10"/>
  <c r="I5545" i="10" s="1"/>
  <c r="H2372" i="10"/>
  <c r="I2372" i="10" s="1"/>
  <c r="J2372" i="10" s="1"/>
  <c r="F2373" i="10" s="1"/>
  <c r="H600" i="10"/>
  <c r="I600" i="10" s="1"/>
  <c r="J600" i="10" s="1"/>
  <c r="F601" i="10" s="1"/>
  <c r="H3748" i="10"/>
  <c r="I3748" i="10" s="1"/>
  <c r="J3748" i="10" s="1"/>
  <c r="F3749" i="10" s="1"/>
  <c r="J4722" i="10"/>
  <c r="F4723" i="10" s="1"/>
  <c r="H4722" i="10"/>
  <c r="I4722" i="10" s="1"/>
  <c r="H2796" i="10"/>
  <c r="I2796" i="10" s="1"/>
  <c r="J2796" i="10" s="1"/>
  <c r="F2797" i="10" s="1"/>
  <c r="H3041" i="10"/>
  <c r="I3041" i="10" s="1"/>
  <c r="J3041" i="10"/>
  <c r="F3042" i="10" s="1"/>
  <c r="J1357" i="10"/>
  <c r="F1358" i="10" s="1"/>
  <c r="H1357" i="10"/>
  <c r="I1357" i="10" s="1"/>
  <c r="H1839" i="10"/>
  <c r="I1839" i="10" s="1"/>
  <c r="J1839" i="10" s="1"/>
  <c r="F1840" i="10" s="1"/>
  <c r="W11" i="9"/>
  <c r="W109" i="9" s="1"/>
  <c r="H329" i="10"/>
  <c r="I329" i="10" s="1"/>
  <c r="J329" i="10"/>
  <c r="F330" i="10" s="1"/>
  <c r="P16" i="9"/>
  <c r="I744" i="10"/>
  <c r="H4651" i="10"/>
  <c r="I4651" i="10" s="1"/>
  <c r="J4651" i="10"/>
  <c r="F4652" i="10" s="1"/>
  <c r="P15" i="9"/>
  <c r="I806" i="10"/>
  <c r="J806" i="10" s="1"/>
  <c r="F807" i="10" s="1"/>
  <c r="H3428" i="10"/>
  <c r="I3428" i="10" s="1"/>
  <c r="J3428" i="10" s="1"/>
  <c r="F3429" i="10" s="1"/>
  <c r="I455" i="10"/>
  <c r="J455" i="10" s="1"/>
  <c r="F456" i="10" s="1"/>
  <c r="L455" i="10"/>
  <c r="L456" i="10" s="1"/>
  <c r="L457" i="10" s="1"/>
  <c r="L458" i="10" s="1"/>
  <c r="H4491" i="10"/>
  <c r="I4491" i="10" s="1"/>
  <c r="J4491" i="10"/>
  <c r="H5272" i="10" l="1"/>
  <c r="I5272" i="10" s="1"/>
  <c r="J5272" i="10" s="1"/>
  <c r="F5273" i="10" s="1"/>
  <c r="H5185" i="10"/>
  <c r="I5185" i="10" s="1"/>
  <c r="J5185" i="10" s="1"/>
  <c r="F5186" i="10" s="1"/>
  <c r="H1840" i="10"/>
  <c r="I1840" i="10" s="1"/>
  <c r="J1840" i="10" s="1"/>
  <c r="F1841" i="10" s="1"/>
  <c r="H601" i="10"/>
  <c r="H2797" i="10"/>
  <c r="I2797" i="10" s="1"/>
  <c r="J2797" i="10" s="1"/>
  <c r="F2798" i="10" s="1"/>
  <c r="H673" i="10"/>
  <c r="I673" i="10" s="1"/>
  <c r="J673" i="10" s="1"/>
  <c r="F674" i="10" s="1"/>
  <c r="H3749" i="10"/>
  <c r="I3749" i="10" s="1"/>
  <c r="J3749" i="10" s="1"/>
  <c r="F3750" i="10" s="1"/>
  <c r="H2373" i="10"/>
  <c r="I2373" i="10" s="1"/>
  <c r="J2373" i="10" s="1"/>
  <c r="F2374" i="10" s="1"/>
  <c r="H3429" i="10"/>
  <c r="I3429" i="10" s="1"/>
  <c r="J3429" i="10" s="1"/>
  <c r="H2916" i="10"/>
  <c r="I2916" i="10" s="1"/>
  <c r="J2916" i="10" s="1"/>
  <c r="F2917" i="10" s="1"/>
  <c r="O13" i="6"/>
  <c r="R16" i="9"/>
  <c r="H1358" i="10"/>
  <c r="I1358" i="10" s="1"/>
  <c r="J1358" i="10" s="1"/>
  <c r="F1359" i="10" s="1"/>
  <c r="H5546" i="10"/>
  <c r="I5546" i="10" s="1"/>
  <c r="J5546" i="10" s="1"/>
  <c r="F5547" i="10" s="1"/>
  <c r="H90" i="10"/>
  <c r="I90" i="10" s="1"/>
  <c r="J90" i="10" s="1"/>
  <c r="F91" i="10" s="1"/>
  <c r="H3042" i="10"/>
  <c r="I3042" i="10" s="1"/>
  <c r="J3042" i="10"/>
  <c r="F3043" i="10" s="1"/>
  <c r="H4723" i="10"/>
  <c r="I4723" i="10" s="1"/>
  <c r="J4723" i="10" s="1"/>
  <c r="F4724" i="10" s="1"/>
  <c r="H4955" i="10"/>
  <c r="I4955" i="10" s="1"/>
  <c r="J4955" i="10" s="1"/>
  <c r="H3219" i="10"/>
  <c r="I3219" i="10" s="1"/>
  <c r="J3219" i="10" s="1"/>
  <c r="F3220" i="10" s="1"/>
  <c r="H330" i="10"/>
  <c r="I330" i="10" s="1"/>
  <c r="J330" i="10" s="1"/>
  <c r="F331" i="10" s="1"/>
  <c r="J807" i="10"/>
  <c r="F808" i="10" s="1"/>
  <c r="H807" i="10"/>
  <c r="I807" i="10" s="1"/>
  <c r="H456" i="10"/>
  <c r="I456" i="10" s="1"/>
  <c r="J456" i="10" s="1"/>
  <c r="F457" i="10" s="1"/>
  <c r="O12" i="6"/>
  <c r="R15" i="9"/>
  <c r="H4652" i="10"/>
  <c r="I4652" i="10" s="1"/>
  <c r="J4652" i="10" s="1"/>
  <c r="F4653" i="10" s="1"/>
  <c r="S16" i="9"/>
  <c r="J744" i="10"/>
  <c r="F745" i="10" s="1"/>
  <c r="H2374" i="10" l="1"/>
  <c r="I2374" i="10" s="1"/>
  <c r="J2374" i="10" s="1"/>
  <c r="F2375" i="10" s="1"/>
  <c r="H3750" i="10"/>
  <c r="I3750" i="10" s="1"/>
  <c r="J3750" i="10" s="1"/>
  <c r="F3751" i="10" s="1"/>
  <c r="H331" i="10"/>
  <c r="H4653" i="10"/>
  <c r="I4653" i="10" s="1"/>
  <c r="J4653" i="10" s="1"/>
  <c r="F4654" i="10" s="1"/>
  <c r="H1841" i="10"/>
  <c r="I1841" i="10" s="1"/>
  <c r="J1841" i="10" s="1"/>
  <c r="F1842" i="10" s="1"/>
  <c r="H91" i="10"/>
  <c r="I91" i="10" s="1"/>
  <c r="J91" i="10" s="1"/>
  <c r="F92" i="10" s="1"/>
  <c r="H674" i="10"/>
  <c r="I674" i="10" s="1"/>
  <c r="J674" i="10" s="1"/>
  <c r="F675" i="10" s="1"/>
  <c r="H2798" i="10"/>
  <c r="I2798" i="10" s="1"/>
  <c r="J2798" i="10" s="1"/>
  <c r="H4724" i="10"/>
  <c r="I4724" i="10" s="1"/>
  <c r="J4724" i="10"/>
  <c r="F4725" i="10" s="1"/>
  <c r="H5186" i="10"/>
  <c r="I5186" i="10" s="1"/>
  <c r="J5186" i="10" s="1"/>
  <c r="F5187" i="10" s="1"/>
  <c r="H457" i="10"/>
  <c r="I457" i="10" s="1"/>
  <c r="J457" i="10" s="1"/>
  <c r="F458" i="10" s="1"/>
  <c r="H5547" i="10"/>
  <c r="I5547" i="10" s="1"/>
  <c r="J5547" i="10"/>
  <c r="H1359" i="10"/>
  <c r="I1359" i="10" s="1"/>
  <c r="J1359" i="10" s="1"/>
  <c r="F1360" i="10" s="1"/>
  <c r="H3220" i="10"/>
  <c r="I3220" i="10" s="1"/>
  <c r="J3220" i="10" s="1"/>
  <c r="F3221" i="10" s="1"/>
  <c r="H2917" i="10"/>
  <c r="I2917" i="10" s="1"/>
  <c r="J2917" i="10" s="1"/>
  <c r="F2918" i="10" s="1"/>
  <c r="H5273" i="10"/>
  <c r="I5273" i="10" s="1"/>
  <c r="J5273" i="10" s="1"/>
  <c r="F5274" i="10" s="1"/>
  <c r="I13" i="3"/>
  <c r="T13" i="3" s="1"/>
  <c r="Q13" i="6"/>
  <c r="AK13" i="6" s="1"/>
  <c r="AQ16" i="9"/>
  <c r="P13" i="9"/>
  <c r="I601" i="10"/>
  <c r="J3043" i="10"/>
  <c r="F3044" i="10" s="1"/>
  <c r="H3043" i="10"/>
  <c r="I3043" i="10" s="1"/>
  <c r="Q12" i="6"/>
  <c r="AK12" i="6" s="1"/>
  <c r="I12" i="3"/>
  <c r="T12" i="3" s="1"/>
  <c r="AQ15" i="9"/>
  <c r="R13" i="6"/>
  <c r="T16" i="9"/>
  <c r="S13" i="6" s="1"/>
  <c r="H808" i="10"/>
  <c r="I808" i="10" s="1"/>
  <c r="J808" i="10" s="1"/>
  <c r="F809" i="10" s="1"/>
  <c r="H745" i="10"/>
  <c r="I745" i="10" s="1"/>
  <c r="J745" i="10" s="1"/>
  <c r="F746" i="10" s="1"/>
  <c r="H675" i="10" l="1"/>
  <c r="I675" i="10" s="1"/>
  <c r="J675" i="10" s="1"/>
  <c r="F676" i="10" s="1"/>
  <c r="H4654" i="10"/>
  <c r="I4654" i="10" s="1"/>
  <c r="J4654" i="10" s="1"/>
  <c r="F4655" i="10" s="1"/>
  <c r="H3221" i="10"/>
  <c r="I3221" i="10" s="1"/>
  <c r="J3221" i="10" s="1"/>
  <c r="F3222" i="10" s="1"/>
  <c r="H92" i="10"/>
  <c r="I92" i="10" s="1"/>
  <c r="J92" i="10" s="1"/>
  <c r="F93" i="10" s="1"/>
  <c r="H5187" i="10"/>
  <c r="I5187" i="10" s="1"/>
  <c r="J5187" i="10"/>
  <c r="F5188" i="10" s="1"/>
  <c r="H746" i="10"/>
  <c r="I746" i="10" s="1"/>
  <c r="J746" i="10" s="1"/>
  <c r="F747" i="10" s="1"/>
  <c r="H1360" i="10"/>
  <c r="I1360" i="10" s="1"/>
  <c r="J1360" i="10" s="1"/>
  <c r="F1361" i="10" s="1"/>
  <c r="H458" i="10"/>
  <c r="H5274" i="10"/>
  <c r="I5274" i="10" s="1"/>
  <c r="J5274" i="10" s="1"/>
  <c r="F5275" i="10" s="1"/>
  <c r="H3751" i="10"/>
  <c r="I3751" i="10" s="1"/>
  <c r="J3751" i="10"/>
  <c r="H809" i="10"/>
  <c r="I809" i="10" s="1"/>
  <c r="J809" i="10" s="1"/>
  <c r="F810" i="10" s="1"/>
  <c r="H1842" i="10"/>
  <c r="I1842" i="10" s="1"/>
  <c r="J1842" i="10" s="1"/>
  <c r="F1843" i="10" s="1"/>
  <c r="H2918" i="10"/>
  <c r="I2918" i="10" s="1"/>
  <c r="J2918" i="10" s="1"/>
  <c r="F2919" i="10" s="1"/>
  <c r="H2375" i="10"/>
  <c r="I2375" i="10" s="1"/>
  <c r="J2375" i="10" s="1"/>
  <c r="F2376" i="10" s="1"/>
  <c r="H3044" i="10"/>
  <c r="I3044" i="10" s="1"/>
  <c r="J3044" i="10" s="1"/>
  <c r="F3045" i="10" s="1"/>
  <c r="P9" i="9"/>
  <c r="I331" i="10"/>
  <c r="S13" i="9"/>
  <c r="J601" i="10"/>
  <c r="F602" i="10" s="1"/>
  <c r="O10" i="6"/>
  <c r="R13" i="9"/>
  <c r="U16" i="9"/>
  <c r="H4725" i="10"/>
  <c r="I4725" i="10" s="1"/>
  <c r="J4725" i="10" s="1"/>
  <c r="H2376" i="10" l="1"/>
  <c r="I2376" i="10" s="1"/>
  <c r="J2376" i="10" s="1"/>
  <c r="F2377" i="10" s="1"/>
  <c r="H1361" i="10"/>
  <c r="I1361" i="10" s="1"/>
  <c r="J1361" i="10" s="1"/>
  <c r="F1362" i="10" s="1"/>
  <c r="H3222" i="10"/>
  <c r="I3222" i="10" s="1"/>
  <c r="J3222" i="10" s="1"/>
  <c r="F3223" i="10" s="1"/>
  <c r="J747" i="10"/>
  <c r="F748" i="10" s="1"/>
  <c r="H747" i="10"/>
  <c r="I747" i="10" s="1"/>
  <c r="H810" i="10"/>
  <c r="I810" i="10" s="1"/>
  <c r="J810" i="10" s="1"/>
  <c r="F811" i="10" s="1"/>
  <c r="H5275" i="10"/>
  <c r="I5275" i="10" s="1"/>
  <c r="J5275" i="10" s="1"/>
  <c r="F5276" i="10" s="1"/>
  <c r="H4655" i="10"/>
  <c r="I4655" i="10" s="1"/>
  <c r="J4655" i="10" s="1"/>
  <c r="F4656" i="10" s="1"/>
  <c r="J2919" i="10"/>
  <c r="F2920" i="10" s="1"/>
  <c r="H2919" i="10"/>
  <c r="I2919" i="10" s="1"/>
  <c r="H1843" i="10"/>
  <c r="I1843" i="10" s="1"/>
  <c r="J1843" i="10" s="1"/>
  <c r="F1844" i="10" s="1"/>
  <c r="H93" i="10"/>
  <c r="I93" i="10" s="1"/>
  <c r="J93" i="10" s="1"/>
  <c r="F94" i="10" s="1"/>
  <c r="H3045" i="10"/>
  <c r="I3045" i="10" s="1"/>
  <c r="J3045" i="10"/>
  <c r="F3046" i="10" s="1"/>
  <c r="J676" i="10"/>
  <c r="F677" i="10" s="1"/>
  <c r="H676" i="10"/>
  <c r="I676" i="10" s="1"/>
  <c r="O6" i="6"/>
  <c r="R9" i="9"/>
  <c r="Z16" i="9"/>
  <c r="T13" i="6"/>
  <c r="T11" i="9"/>
  <c r="S8" i="6" s="1"/>
  <c r="P11" i="9"/>
  <c r="P109" i="9" s="1"/>
  <c r="P120" i="9" s="1"/>
  <c r="I458" i="10"/>
  <c r="J458" i="10" s="1"/>
  <c r="F459" i="10" s="1"/>
  <c r="S11" i="9"/>
  <c r="H602" i="10"/>
  <c r="I602" i="10" s="1"/>
  <c r="J602" i="10" s="1"/>
  <c r="F603" i="10" s="1"/>
  <c r="H5188" i="10"/>
  <c r="I5188" i="10" s="1"/>
  <c r="J5188" i="10" s="1"/>
  <c r="F5189" i="10" s="1"/>
  <c r="S9" i="9"/>
  <c r="J331" i="10"/>
  <c r="F332" i="10" s="1"/>
  <c r="I10" i="3"/>
  <c r="T10" i="3" s="1"/>
  <c r="Q10" i="6"/>
  <c r="AK10" i="6" s="1"/>
  <c r="AQ13" i="9"/>
  <c r="R122" i="9"/>
  <c r="R10" i="6"/>
  <c r="T13" i="9"/>
  <c r="S10" i="6" s="1"/>
  <c r="H811" i="10" l="1"/>
  <c r="I811" i="10" s="1"/>
  <c r="J811" i="10" s="1"/>
  <c r="F812" i="10" s="1"/>
  <c r="H3223" i="10"/>
  <c r="I3223" i="10" s="1"/>
  <c r="J3223" i="10" s="1"/>
  <c r="F3224" i="10" s="1"/>
  <c r="H5189" i="10"/>
  <c r="I5189" i="10" s="1"/>
  <c r="J5189" i="10" s="1"/>
  <c r="F5190" i="10" s="1"/>
  <c r="H1362" i="10"/>
  <c r="I1362" i="10" s="1"/>
  <c r="J1362" i="10" s="1"/>
  <c r="F1363" i="10" s="1"/>
  <c r="H4656" i="10"/>
  <c r="I4656" i="10" s="1"/>
  <c r="J4656" i="10" s="1"/>
  <c r="F4657" i="10" s="1"/>
  <c r="H5276" i="10"/>
  <c r="I5276" i="10" s="1"/>
  <c r="J5276" i="10" s="1"/>
  <c r="F5277" i="10" s="1"/>
  <c r="H94" i="10"/>
  <c r="I94" i="10" s="1"/>
  <c r="J94" i="10" s="1"/>
  <c r="F95" i="10" s="1"/>
  <c r="H1844" i="10"/>
  <c r="I1844" i="10" s="1"/>
  <c r="J1844" i="10" s="1"/>
  <c r="F1845" i="10" s="1"/>
  <c r="H603" i="10"/>
  <c r="I603" i="10" s="1"/>
  <c r="J603" i="10" s="1"/>
  <c r="F604" i="10" s="1"/>
  <c r="H2377" i="10"/>
  <c r="I2377" i="10" s="1"/>
  <c r="J2377" i="10" s="1"/>
  <c r="H459" i="10"/>
  <c r="I459" i="10" s="1"/>
  <c r="J459" i="10" s="1"/>
  <c r="F460" i="10" s="1"/>
  <c r="H332" i="10"/>
  <c r="I332" i="10" s="1"/>
  <c r="J332" i="10" s="1"/>
  <c r="F333" i="10" s="1"/>
  <c r="H2920" i="10"/>
  <c r="I2920" i="10" s="1"/>
  <c r="J2920" i="10" s="1"/>
  <c r="F2921" i="10" s="1"/>
  <c r="H748" i="10"/>
  <c r="I748" i="10" s="1"/>
  <c r="J748" i="10" s="1"/>
  <c r="F749" i="10" s="1"/>
  <c r="R6" i="6"/>
  <c r="S109" i="9"/>
  <c r="T9" i="9"/>
  <c r="U9" i="9" s="1"/>
  <c r="H677" i="10"/>
  <c r="I677" i="10" s="1"/>
  <c r="J677" i="10" s="1"/>
  <c r="F678" i="10" s="1"/>
  <c r="O8" i="6"/>
  <c r="R11" i="9"/>
  <c r="H3046" i="10"/>
  <c r="I3046" i="10" s="1"/>
  <c r="J3046" i="10"/>
  <c r="F3047" i="10" s="1"/>
  <c r="Q6" i="6"/>
  <c r="AK6" i="6" s="1"/>
  <c r="I6" i="3"/>
  <c r="T6" i="3" s="1"/>
  <c r="AQ9" i="9"/>
  <c r="U13" i="9"/>
  <c r="U11" i="9"/>
  <c r="R8" i="6"/>
  <c r="H1363" i="10" l="1"/>
  <c r="I1363" i="10" s="1"/>
  <c r="J1363" i="10" s="1"/>
  <c r="F1364" i="10" s="1"/>
  <c r="H749" i="10"/>
  <c r="I749" i="10" s="1"/>
  <c r="J749" i="10" s="1"/>
  <c r="F750" i="10" s="1"/>
  <c r="H4657" i="10"/>
  <c r="I4657" i="10" s="1"/>
  <c r="J4657" i="10" s="1"/>
  <c r="F4658" i="10" s="1"/>
  <c r="H460" i="10"/>
  <c r="I460" i="10" s="1"/>
  <c r="J460" i="10" s="1"/>
  <c r="F461" i="10" s="1"/>
  <c r="H5190" i="10"/>
  <c r="I5190" i="10" s="1"/>
  <c r="J5190" i="10"/>
  <c r="F5191" i="10" s="1"/>
  <c r="H1845" i="10"/>
  <c r="I1845" i="10" s="1"/>
  <c r="J1845" i="10" s="1"/>
  <c r="F1846" i="10" s="1"/>
  <c r="H5277" i="10"/>
  <c r="I5277" i="10" s="1"/>
  <c r="J5277" i="10" s="1"/>
  <c r="F5278" i="10" s="1"/>
  <c r="H333" i="10"/>
  <c r="I333" i="10" s="1"/>
  <c r="J333" i="10" s="1"/>
  <c r="F334" i="10" s="1"/>
  <c r="H678" i="10"/>
  <c r="I678" i="10" s="1"/>
  <c r="J678" i="10" s="1"/>
  <c r="F679" i="10" s="1"/>
  <c r="H3224" i="10"/>
  <c r="I3224" i="10" s="1"/>
  <c r="J3224" i="10" s="1"/>
  <c r="F3225" i="10" s="1"/>
  <c r="H95" i="10"/>
  <c r="I95" i="10" s="1"/>
  <c r="J95" i="10" s="1"/>
  <c r="F96" i="10" s="1"/>
  <c r="H2921" i="10"/>
  <c r="I2921" i="10" s="1"/>
  <c r="J2921" i="10" s="1"/>
  <c r="F2922" i="10" s="1"/>
  <c r="T6" i="6"/>
  <c r="U109" i="9"/>
  <c r="Y120" i="9" s="1"/>
  <c r="H604" i="10"/>
  <c r="I604" i="10" s="1"/>
  <c r="J604" i="10" s="1"/>
  <c r="F605" i="10" s="1"/>
  <c r="H812" i="10"/>
  <c r="I812" i="10" s="1"/>
  <c r="J812" i="10" s="1"/>
  <c r="F813" i="10" s="1"/>
  <c r="S6" i="6"/>
  <c r="T109" i="9"/>
  <c r="Q8" i="6"/>
  <c r="AK8" i="6" s="1"/>
  <c r="I8" i="3"/>
  <c r="T8" i="3" s="1"/>
  <c r="AQ11" i="9"/>
  <c r="R109" i="9"/>
  <c r="X11" i="9"/>
  <c r="X109" i="9" s="1"/>
  <c r="X120" i="9" s="1"/>
  <c r="T8" i="6"/>
  <c r="Z13" i="9"/>
  <c r="Z109" i="9" s="1"/>
  <c r="T10" i="6"/>
  <c r="H3047" i="10"/>
  <c r="I3047" i="10" s="1"/>
  <c r="J3047" i="10" s="1"/>
  <c r="F3048" i="10" s="1"/>
  <c r="H1846" i="10" l="1"/>
  <c r="I1846" i="10" s="1"/>
  <c r="J1846" i="10" s="1"/>
  <c r="F1847" i="10" s="1"/>
  <c r="H2922" i="10"/>
  <c r="I2922" i="10" s="1"/>
  <c r="J2922" i="10" s="1"/>
  <c r="F2923" i="10" s="1"/>
  <c r="H4658" i="10"/>
  <c r="I4658" i="10" s="1"/>
  <c r="J4658" i="10"/>
  <c r="F4659" i="10" s="1"/>
  <c r="H5278" i="10"/>
  <c r="I5278" i="10" s="1"/>
  <c r="J5278" i="10" s="1"/>
  <c r="F5279" i="10" s="1"/>
  <c r="H96" i="10"/>
  <c r="I96" i="10" s="1"/>
  <c r="J96" i="10" s="1"/>
  <c r="F97" i="10" s="1"/>
  <c r="H750" i="10"/>
  <c r="I750" i="10" s="1"/>
  <c r="J750" i="10" s="1"/>
  <c r="F751" i="10" s="1"/>
  <c r="H605" i="10"/>
  <c r="I605" i="10" s="1"/>
  <c r="J605" i="10" s="1"/>
  <c r="F606" i="10" s="1"/>
  <c r="H3048" i="10"/>
  <c r="I3048" i="10" s="1"/>
  <c r="J3048" i="10" s="1"/>
  <c r="F3049" i="10" s="1"/>
  <c r="H461" i="10"/>
  <c r="I461" i="10" s="1"/>
  <c r="J461" i="10" s="1"/>
  <c r="F462" i="10" s="1"/>
  <c r="H3225" i="10"/>
  <c r="I3225" i="10" s="1"/>
  <c r="J3225" i="10" s="1"/>
  <c r="F3226" i="10" s="1"/>
  <c r="H679" i="10"/>
  <c r="I679" i="10" s="1"/>
  <c r="J679" i="10" s="1"/>
  <c r="F680" i="10" s="1"/>
  <c r="H813" i="10"/>
  <c r="I813" i="10" s="1"/>
  <c r="J813" i="10" s="1"/>
  <c r="F814" i="10" s="1"/>
  <c r="H334" i="10"/>
  <c r="I334" i="10" s="1"/>
  <c r="J334" i="10" s="1"/>
  <c r="F335" i="10" s="1"/>
  <c r="H1364" i="10"/>
  <c r="I1364" i="10" s="1"/>
  <c r="J1364" i="10" s="1"/>
  <c r="F1365" i="10" s="1"/>
  <c r="R120" i="9"/>
  <c r="R124" i="9"/>
  <c r="H5191" i="10"/>
  <c r="I5191" i="10" s="1"/>
  <c r="J5191" i="10" s="1"/>
  <c r="F5192" i="10" s="1"/>
  <c r="H606" i="10" l="1"/>
  <c r="I606" i="10" s="1"/>
  <c r="J606" i="10" s="1"/>
  <c r="F607" i="10" s="1"/>
  <c r="H335" i="10"/>
  <c r="I335" i="10" s="1"/>
  <c r="J335" i="10" s="1"/>
  <c r="F336" i="10" s="1"/>
  <c r="H5279" i="10"/>
  <c r="I5279" i="10" s="1"/>
  <c r="J5279" i="10" s="1"/>
  <c r="H3226" i="10"/>
  <c r="I3226" i="10" s="1"/>
  <c r="J3226" i="10" s="1"/>
  <c r="F3227" i="10" s="1"/>
  <c r="H1365" i="10"/>
  <c r="I1365" i="10" s="1"/>
  <c r="J1365" i="10" s="1"/>
  <c r="F1366" i="10" s="1"/>
  <c r="H97" i="10"/>
  <c r="I97" i="10" s="1"/>
  <c r="J97" i="10" s="1"/>
  <c r="F98" i="10" s="1"/>
  <c r="H2923" i="10"/>
  <c r="I2923" i="10" s="1"/>
  <c r="J2923" i="10" s="1"/>
  <c r="H751" i="10"/>
  <c r="I751" i="10" s="1"/>
  <c r="J751" i="10" s="1"/>
  <c r="H814" i="10"/>
  <c r="I814" i="10" s="1"/>
  <c r="J814" i="10" s="1"/>
  <c r="F815" i="10" s="1"/>
  <c r="H680" i="10"/>
  <c r="I680" i="10" s="1"/>
  <c r="J680" i="10" s="1"/>
  <c r="F681" i="10" s="1"/>
  <c r="H5192" i="10"/>
  <c r="I5192" i="10" s="1"/>
  <c r="J5192" i="10"/>
  <c r="F5193" i="10" s="1"/>
  <c r="H462" i="10"/>
  <c r="I462" i="10" s="1"/>
  <c r="J462" i="10" s="1"/>
  <c r="F463" i="10" s="1"/>
  <c r="H3049" i="10"/>
  <c r="I3049" i="10" s="1"/>
  <c r="J3049" i="10" s="1"/>
  <c r="F3050" i="10" s="1"/>
  <c r="H1847" i="10"/>
  <c r="I1847" i="10" s="1"/>
  <c r="J1847" i="10" s="1"/>
  <c r="F1848" i="10" s="1"/>
  <c r="H4659" i="10"/>
  <c r="I4659" i="10" s="1"/>
  <c r="J4659" i="10"/>
  <c r="F4660" i="10" s="1"/>
  <c r="H98" i="10" l="1"/>
  <c r="I98" i="10" s="1"/>
  <c r="J98" i="10" s="1"/>
  <c r="F99" i="10" s="1"/>
  <c r="H3050" i="10"/>
  <c r="I3050" i="10" s="1"/>
  <c r="J3050" i="10" s="1"/>
  <c r="F3051" i="10" s="1"/>
  <c r="H1366" i="10"/>
  <c r="I1366" i="10" s="1"/>
  <c r="J1366" i="10" s="1"/>
  <c r="F1367" i="10" s="1"/>
  <c r="H681" i="10"/>
  <c r="I681" i="10" s="1"/>
  <c r="J681" i="10" s="1"/>
  <c r="F682" i="10" s="1"/>
  <c r="H336" i="10"/>
  <c r="I336" i="10" s="1"/>
  <c r="J336" i="10" s="1"/>
  <c r="F337" i="10" s="1"/>
  <c r="H1848" i="10"/>
  <c r="I1848" i="10" s="1"/>
  <c r="J1848" i="10" s="1"/>
  <c r="F1849" i="10" s="1"/>
  <c r="H463" i="10"/>
  <c r="I463" i="10" s="1"/>
  <c r="J463" i="10" s="1"/>
  <c r="F464" i="10" s="1"/>
  <c r="H3227" i="10"/>
  <c r="I3227" i="10" s="1"/>
  <c r="J3227" i="10" s="1"/>
  <c r="F3228" i="10" s="1"/>
  <c r="H815" i="10"/>
  <c r="I815" i="10" s="1"/>
  <c r="J815" i="10" s="1"/>
  <c r="F816" i="10" s="1"/>
  <c r="H607" i="10"/>
  <c r="I607" i="10" s="1"/>
  <c r="J607" i="10" s="1"/>
  <c r="F608" i="10" s="1"/>
  <c r="H4660" i="10"/>
  <c r="I4660" i="10" s="1"/>
  <c r="J4660" i="10" s="1"/>
  <c r="F4661" i="10" s="1"/>
  <c r="H5193" i="10"/>
  <c r="I5193" i="10" s="1"/>
  <c r="J5193" i="10" s="1"/>
  <c r="F5194" i="10" s="1"/>
  <c r="H3228" i="10" l="1"/>
  <c r="I3228" i="10" s="1"/>
  <c r="J3228" i="10" s="1"/>
  <c r="H4661" i="10"/>
  <c r="I4661" i="10" s="1"/>
  <c r="J4661" i="10" s="1"/>
  <c r="H464" i="10"/>
  <c r="I464" i="10" s="1"/>
  <c r="J464" i="10" s="1"/>
  <c r="F465" i="10" s="1"/>
  <c r="H337" i="10"/>
  <c r="I337" i="10" s="1"/>
  <c r="J337" i="10" s="1"/>
  <c r="F338" i="10" s="1"/>
  <c r="H682" i="10"/>
  <c r="I682" i="10" s="1"/>
  <c r="J682" i="10" s="1"/>
  <c r="F683" i="10" s="1"/>
  <c r="H608" i="10"/>
  <c r="I608" i="10" s="1"/>
  <c r="J608" i="10" s="1"/>
  <c r="F609" i="10" s="1"/>
  <c r="H3051" i="10"/>
  <c r="I3051" i="10" s="1"/>
  <c r="J3051" i="10" s="1"/>
  <c r="F3052" i="10" s="1"/>
  <c r="H1849" i="10"/>
  <c r="I1849" i="10" s="1"/>
  <c r="J1849" i="10" s="1"/>
  <c r="F1850" i="10" s="1"/>
  <c r="H5194" i="10"/>
  <c r="I5194" i="10" s="1"/>
  <c r="J5194" i="10" s="1"/>
  <c r="F5195" i="10" s="1"/>
  <c r="H1367" i="10"/>
  <c r="I1367" i="10" s="1"/>
  <c r="J1367" i="10" s="1"/>
  <c r="F1368" i="10" s="1"/>
  <c r="H816" i="10"/>
  <c r="I816" i="10" s="1"/>
  <c r="J816" i="10" s="1"/>
  <c r="F817" i="10" s="1"/>
  <c r="H99" i="10"/>
  <c r="I99" i="10" s="1"/>
  <c r="J99" i="10" s="1"/>
  <c r="F100" i="10" s="1"/>
  <c r="H609" i="10" l="1"/>
  <c r="I609" i="10" s="1"/>
  <c r="J609" i="10" s="1"/>
  <c r="F610" i="10" s="1"/>
  <c r="H3052" i="10"/>
  <c r="I3052" i="10" s="1"/>
  <c r="J3052" i="10" s="1"/>
  <c r="F3053" i="10" s="1"/>
  <c r="H100" i="10"/>
  <c r="I100" i="10" s="1"/>
  <c r="J100" i="10" s="1"/>
  <c r="F101" i="10" s="1"/>
  <c r="H817" i="10"/>
  <c r="I817" i="10" s="1"/>
  <c r="J817" i="10" s="1"/>
  <c r="F818" i="10" s="1"/>
  <c r="H1368" i="10"/>
  <c r="I1368" i="10" s="1"/>
  <c r="J1368" i="10" s="1"/>
  <c r="F1369" i="10" s="1"/>
  <c r="H1850" i="10"/>
  <c r="I1850" i="10" s="1"/>
  <c r="J1850" i="10" s="1"/>
  <c r="F1851" i="10" s="1"/>
  <c r="H683" i="10"/>
  <c r="I683" i="10" s="1"/>
  <c r="J683" i="10" s="1"/>
  <c r="F684" i="10" s="1"/>
  <c r="H338" i="10"/>
  <c r="I338" i="10" s="1"/>
  <c r="J338" i="10" s="1"/>
  <c r="F339" i="10" s="1"/>
  <c r="H465" i="10"/>
  <c r="I465" i="10" s="1"/>
  <c r="J465" i="10" s="1"/>
  <c r="F466" i="10" s="1"/>
  <c r="H5195" i="10"/>
  <c r="I5195" i="10" s="1"/>
  <c r="J5195" i="10"/>
  <c r="F5196" i="10" s="1"/>
  <c r="H339" i="10" l="1"/>
  <c r="I339" i="10" s="1"/>
  <c r="J339" i="10" s="1"/>
  <c r="F340" i="10" s="1"/>
  <c r="H1851" i="10"/>
  <c r="I1851" i="10" s="1"/>
  <c r="J1851" i="10" s="1"/>
  <c r="F1852" i="10" s="1"/>
  <c r="H818" i="10"/>
  <c r="I818" i="10" s="1"/>
  <c r="J818" i="10" s="1"/>
  <c r="F819" i="10" s="1"/>
  <c r="H3053" i="10"/>
  <c r="I3053" i="10" s="1"/>
  <c r="J3053" i="10" s="1"/>
  <c r="F3054" i="10" s="1"/>
  <c r="H684" i="10"/>
  <c r="I684" i="10" s="1"/>
  <c r="J684" i="10" s="1"/>
  <c r="F685" i="10" s="1"/>
  <c r="H1369" i="10"/>
  <c r="I1369" i="10" s="1"/>
  <c r="J1369" i="10" s="1"/>
  <c r="F1370" i="10" s="1"/>
  <c r="H101" i="10"/>
  <c r="I101" i="10" s="1"/>
  <c r="J101" i="10" s="1"/>
  <c r="F102" i="10" s="1"/>
  <c r="H466" i="10"/>
  <c r="I466" i="10" s="1"/>
  <c r="J466" i="10" s="1"/>
  <c r="F467" i="10" s="1"/>
  <c r="H610" i="10"/>
  <c r="I610" i="10" s="1"/>
  <c r="J610" i="10" s="1"/>
  <c r="F611" i="10" s="1"/>
  <c r="H5196" i="10"/>
  <c r="I5196" i="10" s="1"/>
  <c r="J5196" i="10"/>
  <c r="F5197" i="10" s="1"/>
  <c r="H102" i="10" l="1"/>
  <c r="I102" i="10" s="1"/>
  <c r="J102" i="10" s="1"/>
  <c r="F103" i="10" s="1"/>
  <c r="H1370" i="10"/>
  <c r="I1370" i="10" s="1"/>
  <c r="J1370" i="10" s="1"/>
  <c r="F1371" i="10" s="1"/>
  <c r="H819" i="10"/>
  <c r="I819" i="10" s="1"/>
  <c r="J819" i="10" s="1"/>
  <c r="F820" i="10" s="1"/>
  <c r="H467" i="10"/>
  <c r="I467" i="10" s="1"/>
  <c r="J467" i="10" s="1"/>
  <c r="F468" i="10" s="1"/>
  <c r="H685" i="10"/>
  <c r="I685" i="10" s="1"/>
  <c r="J685" i="10" s="1"/>
  <c r="F686" i="10" s="1"/>
  <c r="H3054" i="10"/>
  <c r="I3054" i="10" s="1"/>
  <c r="J3054" i="10"/>
  <c r="F3055" i="10" s="1"/>
  <c r="H1852" i="10"/>
  <c r="I1852" i="10" s="1"/>
  <c r="J1852" i="10" s="1"/>
  <c r="F1853" i="10" s="1"/>
  <c r="H611" i="10"/>
  <c r="I611" i="10" s="1"/>
  <c r="J611" i="10" s="1"/>
  <c r="H340" i="10"/>
  <c r="I340" i="10" s="1"/>
  <c r="J340" i="10" s="1"/>
  <c r="F341" i="10" s="1"/>
  <c r="H5197" i="10"/>
  <c r="I5197" i="10" s="1"/>
  <c r="J5197" i="10" s="1"/>
  <c r="F5198" i="10" s="1"/>
  <c r="H686" i="10" l="1"/>
  <c r="I686" i="10" s="1"/>
  <c r="J686" i="10" s="1"/>
  <c r="F687" i="10" s="1"/>
  <c r="H1853" i="10"/>
  <c r="I1853" i="10" s="1"/>
  <c r="J1853" i="10" s="1"/>
  <c r="F1854" i="10" s="1"/>
  <c r="H5198" i="10"/>
  <c r="I5198" i="10" s="1"/>
  <c r="J5198" i="10" s="1"/>
  <c r="F5199" i="10" s="1"/>
  <c r="H1371" i="10"/>
  <c r="I1371" i="10" s="1"/>
  <c r="J1371" i="10" s="1"/>
  <c r="F1372" i="10" s="1"/>
  <c r="H468" i="10"/>
  <c r="I468" i="10" s="1"/>
  <c r="J468" i="10" s="1"/>
  <c r="F469" i="10" s="1"/>
  <c r="H820" i="10"/>
  <c r="I820" i="10" s="1"/>
  <c r="J820" i="10" s="1"/>
  <c r="F821" i="10" s="1"/>
  <c r="H341" i="10"/>
  <c r="I341" i="10" s="1"/>
  <c r="J341" i="10" s="1"/>
  <c r="F342" i="10" s="1"/>
  <c r="H103" i="10"/>
  <c r="I103" i="10" s="1"/>
  <c r="J103" i="10" s="1"/>
  <c r="F104" i="10" s="1"/>
  <c r="H3055" i="10"/>
  <c r="I3055" i="10" s="1"/>
  <c r="J3055" i="10" s="1"/>
  <c r="F3056" i="10" s="1"/>
  <c r="H104" i="10" l="1"/>
  <c r="I104" i="10" s="1"/>
  <c r="J104" i="10" s="1"/>
  <c r="F105" i="10" s="1"/>
  <c r="H342" i="10"/>
  <c r="I342" i="10" s="1"/>
  <c r="J342" i="10" s="1"/>
  <c r="F343" i="10" s="1"/>
  <c r="H469" i="10"/>
  <c r="I469" i="10" s="1"/>
  <c r="J469" i="10" s="1"/>
  <c r="F470" i="10" s="1"/>
  <c r="H1372" i="10"/>
  <c r="I1372" i="10" s="1"/>
  <c r="J1372" i="10" s="1"/>
  <c r="F1373" i="10" s="1"/>
  <c r="H1854" i="10"/>
  <c r="I1854" i="10" s="1"/>
  <c r="J1854" i="10" s="1"/>
  <c r="F1855" i="10" s="1"/>
  <c r="H821" i="10"/>
  <c r="I821" i="10" s="1"/>
  <c r="J821" i="10" s="1"/>
  <c r="F822" i="10" s="1"/>
  <c r="H5199" i="10"/>
  <c r="I5199" i="10" s="1"/>
  <c r="J5199" i="10" s="1"/>
  <c r="F5200" i="10" s="1"/>
  <c r="H3056" i="10"/>
  <c r="I3056" i="10" s="1"/>
  <c r="J3056" i="10" s="1"/>
  <c r="F3057" i="10" s="1"/>
  <c r="H687" i="10"/>
  <c r="I687" i="10" s="1"/>
  <c r="J687" i="10" s="1"/>
  <c r="H822" i="10" l="1"/>
  <c r="I822" i="10" s="1"/>
  <c r="J822" i="10" s="1"/>
  <c r="F823" i="10" s="1"/>
  <c r="H5200" i="10"/>
  <c r="I5200" i="10" s="1"/>
  <c r="J5200" i="10"/>
  <c r="F5201" i="10" s="1"/>
  <c r="H1855" i="10"/>
  <c r="I1855" i="10" s="1"/>
  <c r="J1855" i="10" s="1"/>
  <c r="F1856" i="10" s="1"/>
  <c r="H470" i="10"/>
  <c r="I470" i="10" s="1"/>
  <c r="J470" i="10" s="1"/>
  <c r="F471" i="10" s="1"/>
  <c r="H343" i="10"/>
  <c r="I343" i="10" s="1"/>
  <c r="J343" i="10"/>
  <c r="F344" i="10" s="1"/>
  <c r="H3057" i="10"/>
  <c r="I3057" i="10" s="1"/>
  <c r="J3057" i="10"/>
  <c r="F3058" i="10" s="1"/>
  <c r="H1373" i="10"/>
  <c r="I1373" i="10" s="1"/>
  <c r="J1373" i="10" s="1"/>
  <c r="F1374" i="10" s="1"/>
  <c r="H105" i="10"/>
  <c r="I105" i="10" s="1"/>
  <c r="J105" i="10" s="1"/>
  <c r="F106" i="10" s="1"/>
  <c r="H106" i="10" l="1"/>
  <c r="I106" i="10" s="1"/>
  <c r="J106" i="10" s="1"/>
  <c r="F107" i="10" s="1"/>
  <c r="H471" i="10"/>
  <c r="I471" i="10" s="1"/>
  <c r="J471" i="10" s="1"/>
  <c r="F472" i="10" s="1"/>
  <c r="H1856" i="10"/>
  <c r="I1856" i="10" s="1"/>
  <c r="J1856" i="10" s="1"/>
  <c r="F1857" i="10" s="1"/>
  <c r="H1374" i="10"/>
  <c r="I1374" i="10" s="1"/>
  <c r="J1374" i="10" s="1"/>
  <c r="H823" i="10"/>
  <c r="I823" i="10" s="1"/>
  <c r="J823" i="10" s="1"/>
  <c r="H5201" i="10"/>
  <c r="I5201" i="10" s="1"/>
  <c r="J5201" i="10" s="1"/>
  <c r="F5202" i="10" s="1"/>
  <c r="H3058" i="10"/>
  <c r="I3058" i="10" s="1"/>
  <c r="J3058" i="10" s="1"/>
  <c r="F3059" i="10" s="1"/>
  <c r="H344" i="10"/>
  <c r="I344" i="10" s="1"/>
  <c r="J344" i="10" s="1"/>
  <c r="F345" i="10" s="1"/>
  <c r="H3059" i="10" l="1"/>
  <c r="I3059" i="10" s="1"/>
  <c r="J3059" i="10" s="1"/>
  <c r="F3060" i="10" s="1"/>
  <c r="H345" i="10"/>
  <c r="I345" i="10" s="1"/>
  <c r="J345" i="10" s="1"/>
  <c r="F346" i="10" s="1"/>
  <c r="H5202" i="10"/>
  <c r="I5202" i="10" s="1"/>
  <c r="J5202" i="10" s="1"/>
  <c r="F5203" i="10" s="1"/>
  <c r="H1857" i="10"/>
  <c r="I1857" i="10" s="1"/>
  <c r="J1857" i="10" s="1"/>
  <c r="F1858" i="10" s="1"/>
  <c r="H472" i="10"/>
  <c r="I472" i="10" s="1"/>
  <c r="J472" i="10" s="1"/>
  <c r="F473" i="10" s="1"/>
  <c r="H107" i="10"/>
  <c r="I107" i="10" s="1"/>
  <c r="J107" i="10" s="1"/>
  <c r="F108" i="10" s="1"/>
  <c r="J108" i="10" l="1"/>
  <c r="F109" i="10" s="1"/>
  <c r="H108" i="10"/>
  <c r="I108" i="10" s="1"/>
  <c r="H1858" i="10"/>
  <c r="I1858" i="10" s="1"/>
  <c r="J1858" i="10" s="1"/>
  <c r="F1859" i="10" s="1"/>
  <c r="H346" i="10"/>
  <c r="I346" i="10" s="1"/>
  <c r="J346" i="10" s="1"/>
  <c r="F347" i="10" s="1"/>
  <c r="H473" i="10"/>
  <c r="I473" i="10" s="1"/>
  <c r="J473" i="10" s="1"/>
  <c r="F474" i="10" s="1"/>
  <c r="J5203" i="10"/>
  <c r="H5203" i="10"/>
  <c r="I5203" i="10" s="1"/>
  <c r="H3060" i="10"/>
  <c r="I3060" i="10" s="1"/>
  <c r="J3060" i="10" s="1"/>
  <c r="F3061" i="10" s="1"/>
  <c r="H347" i="10" l="1"/>
  <c r="I347" i="10" s="1"/>
  <c r="J347" i="10" s="1"/>
  <c r="F348" i="10" s="1"/>
  <c r="H3061" i="10"/>
  <c r="I3061" i="10" s="1"/>
  <c r="J3061" i="10"/>
  <c r="F3062" i="10" s="1"/>
  <c r="H474" i="10"/>
  <c r="I474" i="10" s="1"/>
  <c r="J474" i="10" s="1"/>
  <c r="F475" i="10" s="1"/>
  <c r="H1859" i="10"/>
  <c r="I1859" i="10" s="1"/>
  <c r="J1859" i="10" s="1"/>
  <c r="F1860" i="10" s="1"/>
  <c r="H109" i="10"/>
  <c r="I109" i="10" s="1"/>
  <c r="J109" i="10" s="1"/>
  <c r="F110" i="10" s="1"/>
  <c r="H1860" i="10" l="1"/>
  <c r="I1860" i="10" s="1"/>
  <c r="J1860" i="10" s="1"/>
  <c r="F1861" i="10" s="1"/>
  <c r="H110" i="10"/>
  <c r="I110" i="10" s="1"/>
  <c r="J110" i="10" s="1"/>
  <c r="F111" i="10" s="1"/>
  <c r="H475" i="10"/>
  <c r="I475" i="10" s="1"/>
  <c r="J475" i="10" s="1"/>
  <c r="F476" i="10" s="1"/>
  <c r="H348" i="10"/>
  <c r="I348" i="10" s="1"/>
  <c r="J348" i="10" s="1"/>
  <c r="F349" i="10" s="1"/>
  <c r="H3062" i="10"/>
  <c r="I3062" i="10" s="1"/>
  <c r="J3062" i="10"/>
  <c r="F3063" i="10" s="1"/>
  <c r="H349" i="10" l="1"/>
  <c r="I349" i="10" s="1"/>
  <c r="J349" i="10" s="1"/>
  <c r="F350" i="10" s="1"/>
  <c r="H476" i="10"/>
  <c r="I476" i="10" s="1"/>
  <c r="J476" i="10" s="1"/>
  <c r="F477" i="10" s="1"/>
  <c r="H111" i="10"/>
  <c r="I111" i="10" s="1"/>
  <c r="J111" i="10" s="1"/>
  <c r="F112" i="10" s="1"/>
  <c r="H1861" i="10"/>
  <c r="I1861" i="10" s="1"/>
  <c r="J1861" i="10" s="1"/>
  <c r="H3063" i="10"/>
  <c r="I3063" i="10" s="1"/>
  <c r="J3063" i="10" s="1"/>
  <c r="F3064" i="10" s="1"/>
  <c r="H3064" i="10" l="1"/>
  <c r="I3064" i="10" s="1"/>
  <c r="J3064" i="10" s="1"/>
  <c r="F3065" i="10" s="1"/>
  <c r="H112" i="10"/>
  <c r="I112" i="10" s="1"/>
  <c r="J112" i="10" s="1"/>
  <c r="F113" i="10" s="1"/>
  <c r="H477" i="10"/>
  <c r="I477" i="10" s="1"/>
  <c r="J477" i="10" s="1"/>
  <c r="F478" i="10" s="1"/>
  <c r="H350" i="10"/>
  <c r="I350" i="10" s="1"/>
  <c r="J350" i="10" s="1"/>
  <c r="F351" i="10" s="1"/>
  <c r="H113" i="10" l="1"/>
  <c r="I113" i="10" s="1"/>
  <c r="J113" i="10" s="1"/>
  <c r="F114" i="10" s="1"/>
  <c r="H351" i="10"/>
  <c r="I351" i="10" s="1"/>
  <c r="J351" i="10"/>
  <c r="F352" i="10" s="1"/>
  <c r="H478" i="10"/>
  <c r="I478" i="10" s="1"/>
  <c r="J478" i="10" s="1"/>
  <c r="F479" i="10" s="1"/>
  <c r="H3065" i="10"/>
  <c r="I3065" i="10" s="1"/>
  <c r="J3065" i="10" s="1"/>
  <c r="H479" i="10" l="1"/>
  <c r="I479" i="10" s="1"/>
  <c r="J479" i="10" s="1"/>
  <c r="F480" i="10" s="1"/>
  <c r="H114" i="10"/>
  <c r="I114" i="10" s="1"/>
  <c r="J114" i="10" s="1"/>
  <c r="F115" i="10" s="1"/>
  <c r="H352" i="10"/>
  <c r="I352" i="10" s="1"/>
  <c r="J352" i="10" s="1"/>
  <c r="H115" i="10" l="1"/>
  <c r="I115" i="10" s="1"/>
  <c r="J115" i="10" s="1"/>
  <c r="F116" i="10" s="1"/>
  <c r="H480" i="10"/>
  <c r="I480" i="10" s="1"/>
  <c r="J480" i="10" s="1"/>
  <c r="F481" i="10" s="1"/>
  <c r="H481" i="10" l="1"/>
  <c r="I481" i="10" s="1"/>
  <c r="J481" i="10" s="1"/>
  <c r="F482" i="10" s="1"/>
  <c r="H116" i="10"/>
  <c r="I116" i="10" s="1"/>
  <c r="J116" i="10" s="1"/>
  <c r="F117" i="10" s="1"/>
  <c r="H117" i="10" l="1"/>
  <c r="I117" i="10" s="1"/>
  <c r="J117" i="10" s="1"/>
  <c r="F118" i="10" s="1"/>
  <c r="H482" i="10"/>
  <c r="I482" i="10" s="1"/>
  <c r="J482" i="10" s="1"/>
  <c r="H118" i="10" l="1"/>
  <c r="I118" i="10" s="1"/>
  <c r="J118" i="10" s="1"/>
  <c r="F119" i="10" s="1"/>
  <c r="H119" i="10" l="1"/>
  <c r="I119" i="10" s="1"/>
  <c r="J119" i="10" s="1"/>
  <c r="F120" i="10" s="1"/>
  <c r="H120" i="10" l="1"/>
  <c r="I120" i="10" s="1"/>
  <c r="J120" i="10" s="1"/>
  <c r="F121" i="10" s="1"/>
  <c r="H121" i="10" l="1"/>
  <c r="I121" i="10" s="1"/>
  <c r="J121" i="10" s="1"/>
  <c r="F122" i="10" s="1"/>
  <c r="H122" i="10" l="1"/>
  <c r="I122" i="10" s="1"/>
  <c r="J122" i="10" s="1"/>
  <c r="F123" i="10" s="1"/>
  <c r="H123" i="10" l="1"/>
  <c r="I123" i="10" s="1"/>
  <c r="J123" i="10" s="1"/>
  <c r="F124" i="10" s="1"/>
  <c r="H124" i="10" l="1"/>
  <c r="I124" i="10" s="1"/>
  <c r="J124" i="10" s="1"/>
  <c r="F125" i="10" s="1"/>
  <c r="H125" i="10" l="1"/>
  <c r="I125" i="10" s="1"/>
  <c r="J125" i="10" s="1"/>
  <c r="F126" i="10" s="1"/>
  <c r="H126" i="10" l="1"/>
  <c r="I126" i="10" s="1"/>
  <c r="J126" i="10" s="1"/>
  <c r="F127" i="10" s="1"/>
  <c r="H127" i="10" l="1"/>
  <c r="I127" i="10" s="1"/>
  <c r="J127" i="10" s="1"/>
  <c r="F128" i="10" s="1"/>
  <c r="H128" i="10" l="1"/>
  <c r="I128" i="10" s="1"/>
  <c r="J128" i="10" s="1"/>
  <c r="F129" i="10" s="1"/>
  <c r="H129" i="10" l="1"/>
  <c r="I129" i="10" s="1"/>
  <c r="J129" i="10" s="1"/>
  <c r="F130" i="10" s="1"/>
  <c r="H130" i="10" l="1"/>
  <c r="I130" i="10" s="1"/>
  <c r="J130" i="10" s="1"/>
  <c r="F131" i="10" s="1"/>
  <c r="H131" i="10" l="1"/>
  <c r="I131" i="10" s="1"/>
  <c r="J131" i="10" s="1"/>
  <c r="F132" i="10" s="1"/>
  <c r="H132" i="10" l="1"/>
  <c r="I132" i="10" s="1"/>
  <c r="J132" i="10" s="1"/>
  <c r="F133" i="10" s="1"/>
  <c r="H133" i="10" l="1"/>
  <c r="I133" i="10" s="1"/>
  <c r="J133" i="10" s="1"/>
  <c r="F134" i="10" s="1"/>
  <c r="H134" i="10" l="1"/>
  <c r="I134" i="10" s="1"/>
  <c r="J134" i="10" s="1"/>
  <c r="F135" i="10" s="1"/>
  <c r="H135" i="10" l="1"/>
  <c r="I135" i="10" s="1"/>
  <c r="J135" i="10" s="1"/>
  <c r="F136" i="10" s="1"/>
  <c r="H136" i="10" l="1"/>
  <c r="I136" i="10" s="1"/>
  <c r="J136" i="10" s="1"/>
  <c r="F137" i="10" s="1"/>
  <c r="H137" i="10" l="1"/>
  <c r="I137" i="10" s="1"/>
  <c r="J137" i="10" s="1"/>
  <c r="F138" i="10" s="1"/>
  <c r="H138" i="10" l="1"/>
  <c r="I138" i="10" s="1"/>
  <c r="J138" i="10" s="1"/>
  <c r="F139" i="10" s="1"/>
  <c r="H139" i="10" l="1"/>
  <c r="I139" i="10" s="1"/>
  <c r="J139" i="10" s="1"/>
  <c r="F140" i="10" s="1"/>
  <c r="H140" i="10" l="1"/>
  <c r="I140" i="10" s="1"/>
  <c r="J140" i="10" s="1"/>
  <c r="F141" i="10" s="1"/>
  <c r="H141" i="10" l="1"/>
  <c r="I141" i="10" s="1"/>
  <c r="J141" i="10" s="1"/>
  <c r="F142" i="10" s="1"/>
  <c r="H142" i="10" l="1"/>
  <c r="I142" i="10" s="1"/>
  <c r="J142" i="10" s="1"/>
  <c r="F143" i="10" s="1"/>
  <c r="H143" i="10" l="1"/>
  <c r="I143" i="10" s="1"/>
  <c r="J143" i="10" s="1"/>
  <c r="F144" i="10" s="1"/>
  <c r="H144" i="10" l="1"/>
  <c r="I144" i="10" s="1"/>
  <c r="J144" i="10" s="1"/>
  <c r="F145" i="10" s="1"/>
  <c r="H145" i="10" l="1"/>
  <c r="I145" i="10" s="1"/>
  <c r="J145" i="10" s="1"/>
  <c r="F146" i="10" s="1"/>
  <c r="H146" i="10" l="1"/>
  <c r="I146" i="10" s="1"/>
  <c r="J146" i="10" s="1"/>
  <c r="F147" i="10" s="1"/>
  <c r="H147" i="10" l="1"/>
  <c r="I147" i="10" s="1"/>
  <c r="J147" i="10" s="1"/>
  <c r="F148" i="10" s="1"/>
  <c r="H148" i="10" l="1"/>
  <c r="I148" i="10" s="1"/>
  <c r="J148" i="10" s="1"/>
  <c r="F149" i="10" s="1"/>
  <c r="H149" i="10" l="1"/>
  <c r="I149" i="10" s="1"/>
  <c r="J149" i="10" s="1"/>
  <c r="F150" i="10" s="1"/>
  <c r="H150" i="10" l="1"/>
  <c r="I150" i="10" s="1"/>
  <c r="J150" i="10" s="1"/>
  <c r="F151" i="10" s="1"/>
  <c r="H151" i="10" l="1"/>
  <c r="I151" i="10" s="1"/>
  <c r="J151" i="10" s="1"/>
  <c r="F152" i="10" s="1"/>
  <c r="H152" i="10" l="1"/>
  <c r="I152" i="10" s="1"/>
  <c r="J152" i="10" s="1"/>
  <c r="F153" i="10" s="1"/>
  <c r="H153" i="10" l="1"/>
  <c r="I153" i="10" s="1"/>
  <c r="J153" i="10" s="1"/>
  <c r="F154" i="10" s="1"/>
  <c r="H154" i="10" l="1"/>
  <c r="I154" i="10" s="1"/>
  <c r="J154" i="10" s="1"/>
  <c r="F155" i="10" s="1"/>
  <c r="H155" i="10" l="1"/>
  <c r="I155" i="10" s="1"/>
  <c r="J155" i="10" s="1"/>
  <c r="F156" i="10" s="1"/>
  <c r="H156" i="10" l="1"/>
  <c r="I156" i="10" s="1"/>
  <c r="J156" i="10" s="1"/>
  <c r="F157" i="10" s="1"/>
  <c r="H157" i="10" l="1"/>
  <c r="I157" i="10" s="1"/>
  <c r="J157" i="10" s="1"/>
  <c r="F158" i="10" s="1"/>
  <c r="H158" i="10" l="1"/>
  <c r="I158" i="10" s="1"/>
  <c r="J158" i="10" s="1"/>
  <c r="F159" i="10" s="1"/>
  <c r="H159" i="10" l="1"/>
  <c r="I159" i="10" s="1"/>
  <c r="J159" i="10" s="1"/>
  <c r="F160" i="10" s="1"/>
  <c r="H160" i="10" l="1"/>
  <c r="I160" i="10" s="1"/>
  <c r="J160" i="10" s="1"/>
  <c r="F161" i="10" s="1"/>
  <c r="H161" i="10" l="1"/>
  <c r="I161" i="10" s="1"/>
  <c r="J161" i="10" s="1"/>
  <c r="F162" i="10" s="1"/>
  <c r="H162" i="10" l="1"/>
  <c r="I162" i="10" s="1"/>
  <c r="J162" i="10" s="1"/>
  <c r="F163" i="10" s="1"/>
  <c r="H163" i="10" l="1"/>
  <c r="I163" i="10" s="1"/>
  <c r="J163" i="10" s="1"/>
  <c r="F164" i="10" s="1"/>
  <c r="H164" i="10" l="1"/>
  <c r="I164" i="10" s="1"/>
  <c r="J164" i="10" s="1"/>
  <c r="F165" i="10" s="1"/>
  <c r="H165" i="10" l="1"/>
  <c r="I165" i="10" s="1"/>
  <c r="J165" i="10" s="1"/>
  <c r="F166" i="10" s="1"/>
  <c r="H166" i="10" l="1"/>
  <c r="I166" i="10" s="1"/>
  <c r="J166" i="10" s="1"/>
  <c r="F167" i="10" s="1"/>
  <c r="H167" i="10" l="1"/>
  <c r="I167" i="10" s="1"/>
  <c r="J167" i="10" s="1"/>
  <c r="F168" i="10" s="1"/>
  <c r="H168" i="10" l="1"/>
  <c r="I168" i="10" s="1"/>
  <c r="J168" i="10" s="1"/>
  <c r="F169" i="10" s="1"/>
  <c r="H169" i="10" l="1"/>
  <c r="I169" i="10" s="1"/>
  <c r="J169" i="10" s="1"/>
  <c r="F170" i="10" s="1"/>
  <c r="H170" i="10" l="1"/>
  <c r="I170" i="10" s="1"/>
  <c r="J170" i="10" s="1"/>
  <c r="F171" i="10" s="1"/>
  <c r="H171" i="10" l="1"/>
  <c r="I171" i="10" s="1"/>
  <c r="J171" i="10" s="1"/>
  <c r="F172" i="10" s="1"/>
  <c r="H172" i="10" l="1"/>
  <c r="I172" i="10" s="1"/>
  <c r="J172" i="10" s="1"/>
  <c r="F173" i="10" s="1"/>
  <c r="H173" i="10" l="1"/>
  <c r="I173" i="10" s="1"/>
  <c r="J173" i="10" s="1"/>
  <c r="F174" i="10" s="1"/>
  <c r="H174" i="10" l="1"/>
  <c r="I174" i="10" s="1"/>
  <c r="J174" i="10" s="1"/>
  <c r="F175" i="10" s="1"/>
  <c r="H175" i="10" l="1"/>
  <c r="I175" i="10" s="1"/>
  <c r="J175" i="10" s="1"/>
  <c r="F176" i="10" s="1"/>
  <c r="H176" i="10" l="1"/>
  <c r="I176" i="10" s="1"/>
  <c r="J176" i="10" s="1"/>
  <c r="F177" i="10" s="1"/>
  <c r="H177" i="10" l="1"/>
  <c r="I177" i="10" s="1"/>
  <c r="J177" i="10" s="1"/>
  <c r="F178" i="10" s="1"/>
  <c r="H178" i="10" l="1"/>
  <c r="I178" i="10" s="1"/>
  <c r="J178" i="10" s="1"/>
  <c r="F179" i="10" s="1"/>
  <c r="H179" i="10" l="1"/>
  <c r="I179" i="10" s="1"/>
  <c r="J179" i="10" s="1"/>
  <c r="F180" i="10" s="1"/>
  <c r="H180" i="10" l="1"/>
  <c r="I180" i="10" s="1"/>
  <c r="J180" i="10" s="1"/>
  <c r="F181" i="10" s="1"/>
  <c r="H181" i="10" l="1"/>
  <c r="I181" i="10" s="1"/>
  <c r="J181" i="10" s="1"/>
  <c r="F182" i="10" s="1"/>
  <c r="H182" i="10" l="1"/>
  <c r="I182" i="10" s="1"/>
  <c r="J182" i="10" s="1"/>
  <c r="F183" i="10" s="1"/>
  <c r="H183" i="10" l="1"/>
  <c r="I183" i="10" s="1"/>
  <c r="J183" i="10" s="1"/>
  <c r="F184" i="10" s="1"/>
  <c r="H184" i="10" l="1"/>
  <c r="I184" i="10" s="1"/>
  <c r="J184" i="10" s="1"/>
  <c r="F185" i="10" s="1"/>
  <c r="H185" i="10" l="1"/>
  <c r="I185" i="10" s="1"/>
  <c r="J185" i="10" s="1"/>
  <c r="F186" i="10" s="1"/>
  <c r="H186" i="10" l="1"/>
  <c r="I186" i="10" s="1"/>
  <c r="J186" i="10" s="1"/>
  <c r="F187" i="10" s="1"/>
  <c r="H187" i="10" l="1"/>
  <c r="I187" i="10" s="1"/>
  <c r="J187" i="10" s="1"/>
  <c r="F188" i="10" s="1"/>
  <c r="H188" i="10" l="1"/>
  <c r="I188" i="10" s="1"/>
  <c r="J188" i="10" s="1"/>
  <c r="F189" i="10" s="1"/>
  <c r="H189" i="10" l="1"/>
  <c r="I189" i="10" s="1"/>
  <c r="J189" i="10" s="1"/>
  <c r="F190" i="10" s="1"/>
  <c r="H190" i="10" l="1"/>
  <c r="I190" i="10" s="1"/>
  <c r="J190" i="10" s="1"/>
  <c r="F191" i="10" s="1"/>
  <c r="H191" i="10" l="1"/>
  <c r="I191" i="10" s="1"/>
  <c r="J191" i="10" s="1"/>
  <c r="F192" i="10" s="1"/>
  <c r="H192" i="10" l="1"/>
  <c r="I192" i="10" s="1"/>
  <c r="J192" i="10" s="1"/>
  <c r="F193" i="10" s="1"/>
  <c r="H193" i="10" l="1"/>
  <c r="I193" i="10" s="1"/>
  <c r="J193" i="10" s="1"/>
  <c r="F194" i="10" s="1"/>
  <c r="H194" i="10" l="1"/>
  <c r="I194" i="10" s="1"/>
  <c r="J194" i="10" s="1"/>
  <c r="F195" i="10" s="1"/>
  <c r="H195" i="10" l="1"/>
  <c r="I195" i="10" s="1"/>
  <c r="J195" i="10" s="1"/>
  <c r="F196" i="10" s="1"/>
  <c r="H196" i="10" l="1"/>
  <c r="I196" i="10" s="1"/>
  <c r="J196" i="10"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Stanley Ching'amba</author>
  </authors>
  <commentList>
    <comment ref="Q5" authorId="0" shapeId="0" xr:uid="{00000000-0006-0000-0800-000001000000}">
      <text>
        <r>
          <rPr>
            <sz val="11"/>
            <color theme="1"/>
            <rFont val="Calibri"/>
            <family val="2"/>
            <scheme val="minor"/>
          </rPr>
          <t>Clossed</t>
        </r>
      </text>
    </comment>
    <comment ref="R8" authorId="0" shapeId="0" xr:uid="{00000000-0006-0000-0800-000002000000}">
      <text>
        <r>
          <rPr>
            <sz val="11"/>
            <color theme="1"/>
            <rFont val="Calibri"/>
            <family val="2"/>
            <scheme val="minor"/>
          </rPr>
          <t>Reported</t>
        </r>
      </text>
    </comment>
    <comment ref="Q21" authorId="0" shapeId="0" xr:uid="{00000000-0006-0000-0800-000003000000}">
      <text>
        <r>
          <rPr>
            <sz val="11"/>
            <color theme="1"/>
            <rFont val="Calibri"/>
            <family val="2"/>
            <scheme val="minor"/>
          </rPr>
          <t>Clossed</t>
        </r>
      </text>
    </comment>
    <comment ref="Q23" authorId="0" shapeId="0" xr:uid="{00000000-0006-0000-0800-000004000000}">
      <text>
        <r>
          <rPr>
            <sz val="11"/>
            <color theme="1"/>
            <rFont val="Calibri"/>
            <family val="2"/>
            <scheme val="minor"/>
          </rPr>
          <t>Clossed</t>
        </r>
      </text>
    </comment>
    <comment ref="Q24" authorId="0" shapeId="0" xr:uid="{00000000-0006-0000-0800-000005000000}">
      <text>
        <r>
          <rPr>
            <sz val="11"/>
            <color theme="1"/>
            <rFont val="Calibri"/>
            <family val="2"/>
            <scheme val="minor"/>
          </rPr>
          <t>Clossed</t>
        </r>
      </text>
    </comment>
    <comment ref="Q26" authorId="0" shapeId="0" xr:uid="{00000000-0006-0000-0800-000006000000}">
      <text>
        <r>
          <rPr>
            <sz val="11"/>
            <color theme="1"/>
            <rFont val="Calibri"/>
            <family val="2"/>
            <scheme val="minor"/>
          </rPr>
          <t>Clossed</t>
        </r>
      </text>
    </comment>
    <comment ref="Q36" authorId="0" shapeId="0" xr:uid="{00000000-0006-0000-0800-000007000000}">
      <text>
        <r>
          <rPr>
            <sz val="11"/>
            <color theme="1"/>
            <rFont val="Calibri"/>
            <family val="2"/>
            <scheme val="minor"/>
          </rPr>
          <t>Clossed</t>
        </r>
      </text>
    </comment>
    <comment ref="Q45" authorId="0" shapeId="0" xr:uid="{00000000-0006-0000-0800-000008000000}">
      <text>
        <r>
          <rPr>
            <sz val="11"/>
            <color theme="1"/>
            <rFont val="Calibri"/>
            <family val="2"/>
            <scheme val="minor"/>
          </rPr>
          <t>Clossed</t>
        </r>
      </text>
    </comment>
    <comment ref="Q65" authorId="0" shapeId="0" xr:uid="{00000000-0006-0000-0800-000009000000}">
      <text>
        <r>
          <rPr>
            <sz val="11"/>
            <color theme="1"/>
            <rFont val="Calibri"/>
            <family val="2"/>
            <scheme val="minor"/>
          </rPr>
          <t>Clossed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Tamanda Sitimawina</author>
    <author>Stanley Ching'amba</author>
  </authors>
  <commentList>
    <comment ref="K1570" authorId="0" shapeId="0" xr:uid="{00000000-0006-0000-0900-000001000000}">
      <text>
        <r>
          <rPr>
            <sz val="11"/>
            <color theme="1"/>
            <rFont val="Calibri"/>
            <family val="2"/>
            <scheme val="minor"/>
          </rPr>
          <t>Tamanda Sitimawina:
Reconcilng amount to agree with GL balance</t>
        </r>
      </text>
    </comment>
    <comment ref="K4446" authorId="1" shapeId="0" xr:uid="{00000000-0006-0000-0900-000003000000}">
      <text>
        <r>
          <rPr>
            <sz val="11"/>
            <color theme="1"/>
            <rFont val="Calibri"/>
            <family val="2"/>
            <scheme val="minor"/>
          </rPr>
          <t>Returned Cheque No.000246 GY IMPORT</t>
        </r>
      </text>
    </comment>
  </commentList>
</comments>
</file>

<file path=xl/sharedStrings.xml><?xml version="1.0" encoding="utf-8"?>
<sst xmlns="http://schemas.openxmlformats.org/spreadsheetml/2006/main" count="5779" uniqueCount="979">
  <si>
    <t>Take-on schedules as at 31 October 2024, with the E-Banker account mapping to confirm</t>
  </si>
  <si>
    <t>Dupleix Institute for Tamanda Sitimawina, MAIIC  ·  7 October 2026  ·  start with 'Instructions'</t>
  </si>
  <si>
    <t>Sheet</t>
  </si>
  <si>
    <t>What it is</t>
  </si>
  <si>
    <t>Who it is for</t>
  </si>
  <si>
    <t>Read first: what to do and how the sheets are linked</t>
  </si>
  <si>
    <t>Tamanda</t>
  </si>
  <si>
    <t>One row per facility: the proposed account, five tests, your Y/N</t>
  </si>
  <si>
    <t>Tamanda, to fill in</t>
  </si>
  <si>
    <t>The four facilities with no proposed account</t>
  </si>
  <si>
    <t>E-Banker accounts opened before July 2024 with no facility in the workbook</t>
  </si>
  <si>
    <t>The facilities laid out for loading, your terms beside the E-Banker terms</t>
  </si>
  <si>
    <t>Dupleix</t>
  </si>
  <si>
    <t>One row per amortisation block, linked to its facility and account, with a link into the block</t>
  </si>
  <si>
    <t>The E-Banker values the lookups read (extracted 7 October 2026)</t>
  </si>
  <si>
    <t>Reference</t>
  </si>
  <si>
    <t>Your sheet, unchanged</t>
  </si>
  <si>
    <t>What this workbook is</t>
  </si>
  <si>
    <t>Your take-on workbook of 11 September 2026, exactly as you sent it (the sheets 'Loan Book' and 'Amortisation and Repayments' are untouched), with six sheets added by Dupleix that link each facility and each amortisation block to its E-Banker account number.</t>
  </si>
  <si>
    <t>Why</t>
  </si>
  <si>
    <t>The pre-July-2024 history of each loan lives in your workbook; the history from July 2024 lives in E-Banker. To join the two for the effective interest rate, each facility in the workbook needs its E-Banker account number. We have proposed the number for 105 of the 109 facilities. We need you to confirm or correct each one. The fees charged at the start of each loan are the one thing neither your workbook nor E-Banker records against the loan, and the effective interest rate cannot be worked out without them: under IFRS 9 the fee is spread over the life of the loan as part of its yield. That is why the yellow fee columns are asked for.</t>
  </si>
  <si>
    <t>What to do, in order</t>
  </si>
  <si>
    <t>1. Open the sheet 'Mapping'. For each row, look at the proposed account (column J), the E-Banker name beside it (column L) and the five tests (columns S to W). Put Y in column X if the account is right, or N and the correct account number in column Y. Column Z is for any comment.</t>
  </si>
  <si>
    <t>2. Open the sheet 'Not matched'. Four facilities have no proposed account: give the account number, or write 'no account' if the facility was never set up in E-Banker (for example an equity holding, or a loan closed before the migration).</t>
  </si>
  <si>
    <t>3. Open the sheet 'Accounts without a block'. These E-Banker accounts were opened before July 2024 but match no facility in your workbook. Say which facility each is, or 'none'.</t>
  </si>
  <si>
    <t>4. Open the sheet 'Upload summary' and go to the yellow columns at the far right (AO to AT). For every facility, type the arrangement fee and the legal fees charged when the loan was first granted (in kwacha), any other fee that was a condition of the loan (for example a commitment or valuation fee), the date the fees were charged, whether they were deducted from the amount paid out (Y) or paid separately (N), and the reference of the offer letter or receipt you took the figures from. Leave a cell blank if there was no such fee; write 0 only if you know it was nil. Column AU adds them up for you.</t>
  </si>
  <si>
    <t>5. Save the file and send it back. Nothing else needs to change.</t>
  </si>
  <si>
    <t>How the sheets are linked, so that everything can be audited</t>
  </si>
  <si>
    <t>Every workbook figure shown on the new sheets is a formula pointing at the cell in 'Loan Book' or 'Amortisation and Repayments' it comes from. Click any such cell and the formula bar shows the source. If you correct a figure in your sheets, the new sheets follow.</t>
  </si>
  <si>
    <t>Every E-Banker figure is a lookup, by account number, into the sheet 'E-Banker master', which holds the system values as extracted on 7 October 2026 (the source files are named at the foot of that sheet). Those are values, because they come from the system, not from this workbook.</t>
  </si>
  <si>
    <t>The five tests on 'Mapping' are formulas: they recompute from the linked figures. Test 1 compares your Principal at 31 October 2024 with the opening balance E-Banker loaded on 31 July 2024: it matches to the cent on every migrated loan. Test 2 compares your carrying amount with E-Banker's balance at 31 October 2024. Test 3 compares approved with sanction. Test 4 gives the days between your value date and E-Banker's first disbursement-schedule date. Test 5 is the name similarity we scored.</t>
  </si>
  <si>
    <t>Three things are typed in rather than computed, and are labelled: the proposed account number and confidence on 'Mapping' (our matching), the name-similarity flag, and the statistics parsed from each block on 'Blocks' (restructured, rate steps, periods, dates, closing balance).</t>
  </si>
  <si>
    <t>The purple cells on your two sheets</t>
  </si>
  <si>
    <t>On 'Loan Book', eight columns have been added to the right of your last column, in white on purple: the proposed E-Banker account, the confidence, the E-Banker name and status, the take-on posting and opening interest of 31 July 2024, E-Banker's balance at 31 October 2024, and the difference between your carrying amount and that balance. On 'Amortisation and Repayments', four purple cells sit beside each block title: the account, the facility, the take-on posting and the balance. All of them are formulas into the new sheets. Purple means 'added by Dupleix'; none of your own cells has been edited.</t>
  </si>
  <si>
    <t>The sheets</t>
  </si>
  <si>
    <t>TOC: links to every sheet.  Instructions: this page.  Mapping: one row per facility, the proposed account, the tests, and your Y/N.  Upload summary: the same facilities laid out as the engine will load them, one row each, with your terms beside the E-Banker terms.  Blocks: one row per amortisation block with a link that opens it.  Not matched and Accounts without a block: the leftovers for you to place.  E-Banker master: the system values the lookups read.  Loan Book and Amortisation and Repayments: your sheets, unchanged.</t>
  </si>
  <si>
    <t>Prepared by Dupleix Institute, 7 October 2026. The scripts that built the new sheets are kept in our project folder (Build files) so the work can be re-run.</t>
  </si>
  <si>
    <t>Loan Book row</t>
  </si>
  <si>
    <t>Loan Book #</t>
  </si>
  <si>
    <t>Facility name</t>
  </si>
  <si>
    <t>Type</t>
  </si>
  <si>
    <t>Value date</t>
  </si>
  <si>
    <t>Approved</t>
  </si>
  <si>
    <t>Disbursed</t>
  </si>
  <si>
    <t>Principal 31 Oct 2024</t>
  </si>
  <si>
    <t>Carrying amount 31 Oct 2024</t>
  </si>
  <si>
    <t>Proposed E-Banker account</t>
  </si>
  <si>
    <t>Confidence</t>
  </si>
  <si>
    <t>E-Banker name</t>
  </si>
  <si>
    <t>E-Banker opening date</t>
  </si>
  <si>
    <t>E-Banker sanction</t>
  </si>
  <si>
    <t>E-Banker take-on posting 31 Jul 2024</t>
  </si>
  <si>
    <t>E-Banker balance 31 Oct 2024</t>
  </si>
  <si>
    <t>E-Banker first disbursement date</t>
  </si>
  <si>
    <t>E-Banker status</t>
  </si>
  <si>
    <t>Test 1: principal = take-on posting</t>
  </si>
  <si>
    <t>Test 2: carrying amount vs balance</t>
  </si>
  <si>
    <t>Test 3: approved = sanction</t>
  </si>
  <si>
    <t>Test 4: days, value date to first disbursement</t>
  </si>
  <si>
    <t>Test 5: name agrees (as scored)</t>
  </si>
  <si>
    <t>Tamanda: correct? (Y/N)</t>
  </si>
  <si>
    <t>If N, correct account number</t>
  </si>
  <si>
    <t>Comment</t>
  </si>
  <si>
    <t>000104430000001</t>
  </si>
  <si>
    <t>High</t>
  </si>
  <si>
    <t>Yes</t>
  </si>
  <si>
    <t>000104430000002</t>
  </si>
  <si>
    <t>000104420000003</t>
  </si>
  <si>
    <t>000104430000004</t>
  </si>
  <si>
    <t>000104420000005</t>
  </si>
  <si>
    <t>000104420000006</t>
  </si>
  <si>
    <t>000104420000007</t>
  </si>
  <si>
    <t>000104430000008</t>
  </si>
  <si>
    <t>000104420000009</t>
  </si>
  <si>
    <t>000104420000010</t>
  </si>
  <si>
    <t>000104420000012</t>
  </si>
  <si>
    <t>000104420000011</t>
  </si>
  <si>
    <t>000104450000012</t>
  </si>
  <si>
    <t>000104450000013</t>
  </si>
  <si>
    <t>000104460000014</t>
  </si>
  <si>
    <t>000104450000015</t>
  </si>
  <si>
    <t>000104450000016</t>
  </si>
  <si>
    <t>000104460000017</t>
  </si>
  <si>
    <t>000104450000018</t>
  </si>
  <si>
    <t>000104460000019</t>
  </si>
  <si>
    <t>000104450000020</t>
  </si>
  <si>
    <t>000104430000021</t>
  </si>
  <si>
    <t>000104450000022</t>
  </si>
  <si>
    <t>000104450000023</t>
  </si>
  <si>
    <t>000104460000024</t>
  </si>
  <si>
    <t>000104450000025</t>
  </si>
  <si>
    <t>000104450000026</t>
  </si>
  <si>
    <t>000104450000027</t>
  </si>
  <si>
    <t>000104450000028</t>
  </si>
  <si>
    <t>000104460000029</t>
  </si>
  <si>
    <t>000104450000030</t>
  </si>
  <si>
    <t>000104460000031</t>
  </si>
  <si>
    <t>000104420000032</t>
  </si>
  <si>
    <t>000104450000033</t>
  </si>
  <si>
    <t>000104450000034</t>
  </si>
  <si>
    <t>000104450000035</t>
  </si>
  <si>
    <t>000104450000036</t>
  </si>
  <si>
    <t>Not matched</t>
  </si>
  <si>
    <t>No</t>
  </si>
  <si>
    <t>000104450000038</t>
  </si>
  <si>
    <t>000104450000039</t>
  </si>
  <si>
    <t>000104420000040</t>
  </si>
  <si>
    <t>000104450000041</t>
  </si>
  <si>
    <t>000104450000042</t>
  </si>
  <si>
    <t>000104420000043</t>
  </si>
  <si>
    <t>000104420000044</t>
  </si>
  <si>
    <t>000104450000045</t>
  </si>
  <si>
    <t>000104450000046</t>
  </si>
  <si>
    <t>000104450000047</t>
  </si>
  <si>
    <t>000104450000048</t>
  </si>
  <si>
    <t>000104450000049</t>
  </si>
  <si>
    <t>000104450000050</t>
  </si>
  <si>
    <t>000104450000051</t>
  </si>
  <si>
    <t>000104420000052</t>
  </si>
  <si>
    <t>000104450000053</t>
  </si>
  <si>
    <t>000104430000054</t>
  </si>
  <si>
    <t>000104460000055</t>
  </si>
  <si>
    <t>000104450000056</t>
  </si>
  <si>
    <t>000104450000057</t>
  </si>
  <si>
    <t>000104430000061</t>
  </si>
  <si>
    <t>000104460000059</t>
  </si>
  <si>
    <t>000104450000082</t>
  </si>
  <si>
    <t>Medium</t>
  </si>
  <si>
    <t>000104460000061</t>
  </si>
  <si>
    <t>000104420000062</t>
  </si>
  <si>
    <t>000104450000063</t>
  </si>
  <si>
    <t>000104460000064</t>
  </si>
  <si>
    <t>000104460000065</t>
  </si>
  <si>
    <t>000104460000066</t>
  </si>
  <si>
    <t>000104450000067</t>
  </si>
  <si>
    <t>000104450000068</t>
  </si>
  <si>
    <t>000104450000069</t>
  </si>
  <si>
    <t>000104460000070</t>
  </si>
  <si>
    <t>000104460000071</t>
  </si>
  <si>
    <t>000104450000072</t>
  </si>
  <si>
    <t>000104460000073</t>
  </si>
  <si>
    <t>000104450000074</t>
  </si>
  <si>
    <t>000104460000075</t>
  </si>
  <si>
    <t>000104450000076</t>
  </si>
  <si>
    <t>000104450000077</t>
  </si>
  <si>
    <t>Partly</t>
  </si>
  <si>
    <t>000104460000078</t>
  </si>
  <si>
    <t>000104460000079</t>
  </si>
  <si>
    <t>000104460000080</t>
  </si>
  <si>
    <t>000104460000081</t>
  </si>
  <si>
    <t>000104450000060</t>
  </si>
  <si>
    <t>000104460000083</t>
  </si>
  <si>
    <t>000104450000084</t>
  </si>
  <si>
    <t>000104450000085</t>
  </si>
  <si>
    <t>000104450000086</t>
  </si>
  <si>
    <t>000104460000087</t>
  </si>
  <si>
    <t>000104460000088</t>
  </si>
  <si>
    <t>000104460000089</t>
  </si>
  <si>
    <t>000104450000090</t>
  </si>
  <si>
    <t>000104450000091</t>
  </si>
  <si>
    <t>000104460000092</t>
  </si>
  <si>
    <t>000104460000093</t>
  </si>
  <si>
    <t>000104450000037</t>
  </si>
  <si>
    <t>000104450000095</t>
  </si>
  <si>
    <t>000104460000096</t>
  </si>
  <si>
    <t>000104430000062</t>
  </si>
  <si>
    <t>000104460000098</t>
  </si>
  <si>
    <t>000104460000099</t>
  </si>
  <si>
    <t>000104420000063</t>
  </si>
  <si>
    <t>000104460000104</t>
  </si>
  <si>
    <t>000104430000064</t>
  </si>
  <si>
    <t>000104470000004</t>
  </si>
  <si>
    <t>000104430000057</t>
  </si>
  <si>
    <t>000104430000060</t>
  </si>
  <si>
    <t>Columns A to I are formulas into the 'Loan Book' sheet; L to R are lookups into 'E-Banker master' by the account in J; S to V are tests computed here; J, K and W are typed values from our matching (see Instructions). Yellow columns are for Tamanda.</t>
  </si>
  <si>
    <t>Nearest candidates</t>
  </si>
  <si>
    <t>Tamanda: account number or 'no account'</t>
  </si>
  <si>
    <t>Favoured Farms</t>
  </si>
  <si>
    <t>Debt</t>
  </si>
  <si>
    <t>2022-07-13</t>
  </si>
  <si>
    <t>000104450000050 Greendom Farming (score 0.64); 000104450000038 Tac-Maz Investment (score 0.60); 000104450000015 Zaithwa Farms (score 0.58)</t>
  </si>
  <si>
    <t>MMC Limited</t>
  </si>
  <si>
    <t>Equity</t>
  </si>
  <si>
    <t>2022-12-23</t>
  </si>
  <si>
    <t>000104450000085 MMC Limited (score 0.45); 000104450000034 MMM Investments (score 0.23); 000104420000005 MUSECO (score 0.16)</t>
  </si>
  <si>
    <t>Wi Jays Enterprises</t>
  </si>
  <si>
    <t>000104450000045 Walusiya Investment (score 0.19); 000104450000051 JAT Investments (score 0.19); 000106050000005 Wallie Farms (score 0.18)</t>
  </si>
  <si>
    <t>Good Hope</t>
  </si>
  <si>
    <t>2023-03-31</t>
  </si>
  <si>
    <t>000106050000010 KWACHA Boutique HOTEL (score 0.27); 000104450000068 The Food Empire Limited (score 0.26); 000104420000043 The Food Empire Limited (score 0.21)</t>
  </si>
  <si>
    <t>E-Banker account</t>
  </si>
  <si>
    <t>Opening date</t>
  </si>
  <si>
    <t>Sanction</t>
  </si>
  <si>
    <t>Status</t>
  </si>
  <si>
    <t>Tamanda: which facility is this, or 'none'</t>
  </si>
  <si>
    <t>000104430000055</t>
  </si>
  <si>
    <t>000104430000056</t>
  </si>
  <si>
    <t>000104430000058</t>
  </si>
  <si>
    <t>000104430000059</t>
  </si>
  <si>
    <t>000104440000004</t>
  </si>
  <si>
    <t>000104460000058</t>
  </si>
  <si>
    <t>000104460000100</t>
  </si>
  <si>
    <t>000104460000101</t>
  </si>
  <si>
    <t>Maturity date</t>
  </si>
  <si>
    <t>Tenor (years)</t>
  </si>
  <si>
    <t>Moratorium (text)</t>
  </si>
  <si>
    <t>Rate 31 Oct 2024 %</t>
  </si>
  <si>
    <t>Not yet disbursed</t>
  </si>
  <si>
    <t>Interest to date</t>
  </si>
  <si>
    <t>Repayments</t>
  </si>
  <si>
    <t>Arrears principal</t>
  </si>
  <si>
    <t>Arrears interest</t>
  </si>
  <si>
    <t>Arrears total</t>
  </si>
  <si>
    <t>Segment</t>
  </si>
  <si>
    <t>Industry</t>
  </si>
  <si>
    <t>Scheme id</t>
  </si>
  <si>
    <t>GL code</t>
  </si>
  <si>
    <t>Interest policy</t>
  </si>
  <si>
    <t>Rate now %</t>
  </si>
  <si>
    <t>Sanction date</t>
  </si>
  <si>
    <t>Expiry</t>
  </si>
  <si>
    <t>P moratorium</t>
  </si>
  <si>
    <t>I moratorium</t>
  </si>
  <si>
    <t>Take-on posting 31 Jul 2024</t>
  </si>
  <si>
    <t>Opening interest 31 Jul 2024</t>
  </si>
  <si>
    <t>Balance 31 Oct 2024</t>
  </si>
  <si>
    <t>Carrying amount less balance</t>
  </si>
  <si>
    <t>Block #</t>
  </si>
  <si>
    <t>Go to block</t>
  </si>
  <si>
    <t>Tamanda confirmed (from Mapping)</t>
  </si>
  <si>
    <t>Arrangement fee (MK)</t>
  </si>
  <si>
    <t>Legal fees (MK)</t>
  </si>
  <si>
    <t>Other integral fees (MK)</t>
  </si>
  <si>
    <t>Fee date (dd/mm/yyyy)</t>
  </si>
  <si>
    <t>Deducted from disbursement? (Y/N)</t>
  </si>
  <si>
    <t>Source (offer letter ref or receipt)</t>
  </si>
  <si>
    <t>Total fees (MK)</t>
  </si>
  <si>
    <t>Every workbook term is a formula into 'Loan Book'; every E-Banker field is a lookup into 'E-Banker master' by the account in column A, which itself comes from 'Mapping'. Load only rows whose column AN is Y.</t>
  </si>
  <si>
    <t>Block title</t>
  </si>
  <si>
    <t>Principal in block</t>
  </si>
  <si>
    <t>Opening rate</t>
  </si>
  <si>
    <t>Sheet row of block</t>
  </si>
  <si>
    <t>Restructured (parsed)</t>
  </si>
  <si>
    <t>Rate steps (parsed)</t>
  </si>
  <si>
    <t>Periods (parsed)</t>
  </si>
  <si>
    <t>First period (parsed)</t>
  </si>
  <si>
    <t>Last period (parsed)</t>
  </si>
  <si>
    <t>Closing balance (parsed)</t>
  </si>
  <si>
    <t>Fully repaid (parsed)</t>
  </si>
  <si>
    <t>Link score (parsed)</t>
  </si>
  <si>
    <t>True</t>
  </si>
  <si>
    <t>9</t>
  </si>
  <si>
    <t>22</t>
  </si>
  <si>
    <t>2022-04-01</t>
  </si>
  <si>
    <t>2023-12-31</t>
  </si>
  <si>
    <t>-0.0024465173482894897</t>
  </si>
  <si>
    <t>1.5</t>
  </si>
  <si>
    <t>13</t>
  </si>
  <si>
    <t>144</t>
  </si>
  <si>
    <t>2034-03-31</t>
  </si>
  <si>
    <t>3.5762786865234375e-07</t>
  </si>
  <si>
    <t>False</t>
  </si>
  <si>
    <t>1.47</t>
  </si>
  <si>
    <t>0</t>
  </si>
  <si>
    <t>25</t>
  </si>
  <si>
    <t>2020-07-28</t>
  </si>
  <si>
    <t>2022-07-31</t>
  </si>
  <si>
    <t>0.0</t>
  </si>
  <si>
    <t>1.0</t>
  </si>
  <si>
    <t>6</t>
  </si>
  <si>
    <t>24</t>
  </si>
  <si>
    <t>2022-01-01</t>
  </si>
  <si>
    <t>9203503.734338848</t>
  </si>
  <si>
    <t>60</t>
  </si>
  <si>
    <t>2021-08-01</t>
  </si>
  <si>
    <t>2026-07-31</t>
  </si>
  <si>
    <t>2</t>
  </si>
  <si>
    <t>27</t>
  </si>
  <si>
    <t>2020-09-02</t>
  </si>
  <si>
    <t>2022-11-30</t>
  </si>
  <si>
    <t>1.35</t>
  </si>
  <si>
    <t>73</t>
  </si>
  <si>
    <t>2020-10-30</t>
  </si>
  <si>
    <t>2026-10-31</t>
  </si>
  <si>
    <t>4.6566128730773926e-08</t>
  </si>
  <si>
    <t>11</t>
  </si>
  <si>
    <t>50</t>
  </si>
  <si>
    <t>2021-11-01</t>
  </si>
  <si>
    <t>2025-12-31</t>
  </si>
  <si>
    <t>3.5390257835388184e-08</t>
  </si>
  <si>
    <t>48</t>
  </si>
  <si>
    <t>2021-09-01</t>
  </si>
  <si>
    <t>2025-08-31</t>
  </si>
  <si>
    <t>4.190951585769653e-09</t>
  </si>
  <si>
    <t>61</t>
  </si>
  <si>
    <t>2021-04-21</t>
  </si>
  <si>
    <t>2026-04-30</t>
  </si>
  <si>
    <t>-9.313225746154785e-09</t>
  </si>
  <si>
    <t>1.46</t>
  </si>
  <si>
    <t>12</t>
  </si>
  <si>
    <t>49</t>
  </si>
  <si>
    <t>2021-05-20</t>
  </si>
  <si>
    <t>2025-05-31</t>
  </si>
  <si>
    <t>-1.4901161193847656e-08</t>
  </si>
  <si>
    <t>57</t>
  </si>
  <si>
    <t>2021-07-23</t>
  </si>
  <si>
    <t>2026-03-31</t>
  </si>
  <si>
    <t>7.450580596923828e-09</t>
  </si>
  <si>
    <t>4.132743924856186e-09</t>
  </si>
  <si>
    <t>1.48</t>
  </si>
  <si>
    <t>-2.0954757928848267e-09</t>
  </si>
  <si>
    <t>37</t>
  </si>
  <si>
    <t>2022-01-12</t>
  </si>
  <si>
    <t>2025-01-31</t>
  </si>
  <si>
    <t>-2.9103830456733704e-09</t>
  </si>
  <si>
    <t>2022-01-24</t>
  </si>
  <si>
    <t>2024-01-31</t>
  </si>
  <si>
    <t>-4.6566128730773926e-09</t>
  </si>
  <si>
    <t>2022-02-01</t>
  </si>
  <si>
    <t>-3.026798367500305e-09</t>
  </si>
  <si>
    <t>2022-02-11</t>
  </si>
  <si>
    <t>2024-02-28</t>
  </si>
  <si>
    <t>-7.450580596923828e-09</t>
  </si>
  <si>
    <t>2022-02-17</t>
  </si>
  <si>
    <t>2025-02-28</t>
  </si>
  <si>
    <t>147</t>
  </si>
  <si>
    <t>2022-03-24</t>
  </si>
  <si>
    <t>2025-04-30</t>
  </si>
  <si>
    <t>36</t>
  </si>
  <si>
    <t>2022-06-03</t>
  </si>
  <si>
    <t>2024-05-31</t>
  </si>
  <si>
    <t>-2.3283064365386963e-09</t>
  </si>
  <si>
    <t>-1.3504177331924438e-08</t>
  </si>
  <si>
    <t>2022-06-14</t>
  </si>
  <si>
    <t>2024-06-30</t>
  </si>
  <si>
    <t>-3.958120942115784e-09</t>
  </si>
  <si>
    <t>28</t>
  </si>
  <si>
    <t>2024-09-30</t>
  </si>
  <si>
    <t>-1.6298145055770874e-09</t>
  </si>
  <si>
    <t>2022-06-16</t>
  </si>
  <si>
    <t>-3.14321368932724e-09</t>
  </si>
  <si>
    <t>2022-06-28</t>
  </si>
  <si>
    <t>2027-06-30</t>
  </si>
  <si>
    <t>-3.3527612686157227e-08</t>
  </si>
  <si>
    <t>2022-07-07</t>
  </si>
  <si>
    <t>2024-07-31</t>
  </si>
  <si>
    <t>-1.280568540096283e-09</t>
  </si>
  <si>
    <t>5.122274160385132e-09</t>
  </si>
  <si>
    <t>-16740.377689596382</t>
  </si>
  <si>
    <t>32</t>
  </si>
  <si>
    <t>1.6880221664905548e-09</t>
  </si>
  <si>
    <t>10</t>
  </si>
  <si>
    <t>2022-07-19</t>
  </si>
  <si>
    <t>12420615.883890092</t>
  </si>
  <si>
    <t>2022-07-05</t>
  </si>
  <si>
    <t>0.43</t>
  </si>
  <si>
    <t>2022-08-02</t>
  </si>
  <si>
    <t>2024-08-31</t>
  </si>
  <si>
    <t>-3.3760443329811096e-09</t>
  </si>
  <si>
    <t>-3.4924596548080444e-09</t>
  </si>
  <si>
    <t>0.71</t>
  </si>
  <si>
    <t>2022-08-12</t>
  </si>
  <si>
    <t>2026-08-31</t>
  </si>
  <si>
    <t>1.4901161193847656e-08</t>
  </si>
  <si>
    <t>2022-08-30</t>
  </si>
  <si>
    <t>-3.166496753692627e-08</t>
  </si>
  <si>
    <t>2022-10-10</t>
  </si>
  <si>
    <t>2024-10-31</t>
  </si>
  <si>
    <t>-1.862645149230957e-09</t>
  </si>
  <si>
    <t>2022-10-18</t>
  </si>
  <si>
    <t>2022-10-27</t>
  </si>
  <si>
    <t>-4.190951585769653e-09</t>
  </si>
  <si>
    <t>2022-11-02</t>
  </si>
  <si>
    <t>2024-11-30</t>
  </si>
  <si>
    <t>2022-11-09</t>
  </si>
  <si>
    <t>-1.3969838619232178e-09</t>
  </si>
  <si>
    <t>2022-11-10</t>
  </si>
  <si>
    <t>2022-11-18</t>
  </si>
  <si>
    <t>2026-11-30</t>
  </si>
  <si>
    <t>8.940696716308594e-08</t>
  </si>
  <si>
    <t>2023-01-24</t>
  </si>
  <si>
    <t>2026-01-31</t>
  </si>
  <si>
    <t>1.7695128917694092e-08</t>
  </si>
  <si>
    <t>2023-01-26</t>
  </si>
  <si>
    <t>2027-01-31</t>
  </si>
  <si>
    <t>6.6356733441352844e-09</t>
  </si>
  <si>
    <t>2023-02-02</t>
  </si>
  <si>
    <t>-5.3085386753082275e-08</t>
  </si>
  <si>
    <t>0.78</t>
  </si>
  <si>
    <t>2023-02-07</t>
  </si>
  <si>
    <t>4.6566128730773926e-09</t>
  </si>
  <si>
    <t>1.44</t>
  </si>
  <si>
    <t>2023-02-20</t>
  </si>
  <si>
    <t>-1.862645149230957e-08</t>
  </si>
  <si>
    <t>2023-02-28</t>
  </si>
  <si>
    <t>2024-02-29</t>
  </si>
  <si>
    <t>0.0018464252352714539</t>
  </si>
  <si>
    <t>1.49</t>
  </si>
  <si>
    <t>2023-03-20</t>
  </si>
  <si>
    <t>2025-03-31</t>
  </si>
  <si>
    <t>-2.561137080192566e-09</t>
  </si>
  <si>
    <t>2023-03-24</t>
  </si>
  <si>
    <t>2023-04-18</t>
  </si>
  <si>
    <t>2027-02-28</t>
  </si>
  <si>
    <t>-4.190951585769653e-08</t>
  </si>
  <si>
    <t>2023-05-02</t>
  </si>
  <si>
    <t>-9.080395102500916e-09</t>
  </si>
  <si>
    <t>2023-05-18</t>
  </si>
  <si>
    <t>2027-05-31</t>
  </si>
  <si>
    <t>-1.0943040251731873e-08</t>
  </si>
  <si>
    <t>-2.0489096641540527e-08</t>
  </si>
  <si>
    <t>2023-05-19</t>
  </si>
  <si>
    <t>2023-07-10</t>
  </si>
  <si>
    <t>2027-07-31</t>
  </si>
  <si>
    <t>2023-07-20</t>
  </si>
  <si>
    <t>1.30385160446167e-08</t>
  </si>
  <si>
    <t>2025-07-30</t>
  </si>
  <si>
    <t>2023-07-01</t>
  </si>
  <si>
    <t>2023-07-31</t>
  </si>
  <si>
    <t>2.7939677238464355e-08</t>
  </si>
  <si>
    <t>-1.5133991837501526e-09</t>
  </si>
  <si>
    <t>2023-08-07</t>
  </si>
  <si>
    <t>2027-08-31</t>
  </si>
  <si>
    <t>2.0489096641540527e-08</t>
  </si>
  <si>
    <t>2023-08-15</t>
  </si>
  <si>
    <t>2026-03-02</t>
  </si>
  <si>
    <t>2023-10-17</t>
  </si>
  <si>
    <t>2027-10-31</t>
  </si>
  <si>
    <t>-1.3969838619232178e-08</t>
  </si>
  <si>
    <t>1.17</t>
  </si>
  <si>
    <t>2023-10-23</t>
  </si>
  <si>
    <t>-1.30385160446167e-08</t>
  </si>
  <si>
    <t>2023-10-18</t>
  </si>
  <si>
    <t>4.936009645462036e-08</t>
  </si>
  <si>
    <t>1.5832483768463135e-08</t>
  </si>
  <si>
    <t>2023-11-22</t>
  </si>
  <si>
    <t>-8.614733815193176e-09</t>
  </si>
  <si>
    <t>2023-12-01</t>
  </si>
  <si>
    <t>-7.916241884231567e-09</t>
  </si>
  <si>
    <t>1.04</t>
  </si>
  <si>
    <t>2023-12-28</t>
  </si>
  <si>
    <t>2027-12-31</t>
  </si>
  <si>
    <t>0.0018284237012267113</t>
  </si>
  <si>
    <t>2023-12-13</t>
  </si>
  <si>
    <t>-5.820766091346741e-10</t>
  </si>
  <si>
    <t>2024-01-26</t>
  </si>
  <si>
    <t>4.470348358154297e-08</t>
  </si>
  <si>
    <t>2024-02-01</t>
  </si>
  <si>
    <t>2029-01-31</t>
  </si>
  <si>
    <t>5.029141902923584e-08</t>
  </si>
  <si>
    <t>2028-01-31</t>
  </si>
  <si>
    <t>-3.259629011154175e-08</t>
  </si>
  <si>
    <t>2024-02-20</t>
  </si>
  <si>
    <t>4.842877388000488e-08</t>
  </si>
  <si>
    <t>2024-02-08</t>
  </si>
  <si>
    <t>-2.9336661100387573e-08</t>
  </si>
  <si>
    <t>2028-02-29</t>
  </si>
  <si>
    <t>4.190951585769653e-08</t>
  </si>
  <si>
    <t>2024-03-25</t>
  </si>
  <si>
    <t>-6.28642737865448e-09</t>
  </si>
  <si>
    <t>2024-03-28</t>
  </si>
  <si>
    <t>2027-03-31</t>
  </si>
  <si>
    <t>2024-04-25</t>
  </si>
  <si>
    <t>-1.1641532182693481e-08</t>
  </si>
  <si>
    <t>2024-04-30</t>
  </si>
  <si>
    <t>7.916241884231567e-09</t>
  </si>
  <si>
    <t>2029-04-30</t>
  </si>
  <si>
    <t>-1.792795956134796e-08</t>
  </si>
  <si>
    <t>2024-05-13</t>
  </si>
  <si>
    <t>-4.0978193283081055e-08</t>
  </si>
  <si>
    <t>0.93</t>
  </si>
  <si>
    <t>2024-05-29</t>
  </si>
  <si>
    <t>2028-05-31</t>
  </si>
  <si>
    <t>1.42</t>
  </si>
  <si>
    <t>2024-06-05</t>
  </si>
  <si>
    <t>3.585591912269592e-08</t>
  </si>
  <si>
    <t>2024-07-24</t>
  </si>
  <si>
    <t>2028-06-30</t>
  </si>
  <si>
    <t>2024-10-02</t>
  </si>
  <si>
    <t>2029-06-30</t>
  </si>
  <si>
    <t>1.6763806343078613e-08</t>
  </si>
  <si>
    <t>2024-10-22</t>
  </si>
  <si>
    <t>Columns B to D are formulas into 'Amortisation and Repayments'; F opens the block; H and I are formulas into 'Loan Book' and 'Mapping'. Columns J to Q were parsed from the block by script and are values.</t>
  </si>
  <si>
    <t>Account</t>
  </si>
  <si>
    <t>Name</t>
  </si>
  <si>
    <t>First disbursement schedule date</t>
  </si>
  <si>
    <t>Micholess Creamery</t>
  </si>
  <si>
    <t>1050101</t>
  </si>
  <si>
    <t>A</t>
  </si>
  <si>
    <t>M</t>
  </si>
  <si>
    <t>MUSECO</t>
  </si>
  <si>
    <t>D</t>
  </si>
  <si>
    <t>P</t>
  </si>
  <si>
    <t>Nsanama Women Cooperatives</t>
  </si>
  <si>
    <t>LENZIEMILL MILLING LIMITED</t>
  </si>
  <si>
    <t>H</t>
  </si>
  <si>
    <t>Mach Milk Limited</t>
  </si>
  <si>
    <t>Nature's Gift Limited</t>
  </si>
  <si>
    <t>Kajikhomele Foundation Ltd</t>
  </si>
  <si>
    <t>African Honey products Industries</t>
  </si>
  <si>
    <t>Ziweto Enterprise</t>
  </si>
  <si>
    <t>C</t>
  </si>
  <si>
    <t>The Food Empire Limited</t>
  </si>
  <si>
    <t>F</t>
  </si>
  <si>
    <t>Global Seeds Limited FInES</t>
  </si>
  <si>
    <t>Kambewu Organic Fertilizer Investments</t>
  </si>
  <si>
    <t>Happie Foods Limited</t>
  </si>
  <si>
    <t>HORTINET FOODS LTD</t>
  </si>
  <si>
    <t>000104420000064</t>
  </si>
  <si>
    <t>Namalowe Eco Farm Limited</t>
  </si>
  <si>
    <t>CHIKHO HOTEL</t>
  </si>
  <si>
    <t>1050102</t>
  </si>
  <si>
    <t>Edge View Academy Limited</t>
  </si>
  <si>
    <t>COMSIV Limited</t>
  </si>
  <si>
    <t>Corran Farming Limited</t>
  </si>
  <si>
    <t>Malawi Fertilizer Company</t>
  </si>
  <si>
    <t>VNC Bricks &amp; Construction Group Ltd</t>
  </si>
  <si>
    <t>NASCOMEX LIMITED</t>
  </si>
  <si>
    <t>NATURES GIFT LIMITED</t>
  </si>
  <si>
    <t>MCHINJI CIVIL SERVANTS SACCO</t>
  </si>
  <si>
    <t>INFRACON LIMITED</t>
  </si>
  <si>
    <t>SMALL FARM CITIES AFRICA LIMITED</t>
  </si>
  <si>
    <t>TAPEMPHA MEDICAL CARE LIMITED</t>
  </si>
  <si>
    <t>Ifracon Limited</t>
  </si>
  <si>
    <t>000104430000063</t>
  </si>
  <si>
    <t>infotech private limited</t>
  </si>
  <si>
    <t xml:space="preserve">agwenda investments limited </t>
  </si>
  <si>
    <t>000104430000065</t>
  </si>
  <si>
    <t>wix ltd</t>
  </si>
  <si>
    <t>000104430000066</t>
  </si>
  <si>
    <t>Doorbell services</t>
  </si>
  <si>
    <t>000104430000067</t>
  </si>
  <si>
    <t>Nyamnyam processors limited</t>
  </si>
  <si>
    <t>000104430000068</t>
  </si>
  <si>
    <t>Nyamunyamu processors limited</t>
  </si>
  <si>
    <t>000104430000069</t>
  </si>
  <si>
    <t>Microloan Foundation Limited</t>
  </si>
  <si>
    <t>000104430000070</t>
  </si>
  <si>
    <t>Ebenezer midian ltd</t>
  </si>
  <si>
    <t>000104430000071</t>
  </si>
  <si>
    <t>CHIPALA INVESTMENT LIMITED</t>
  </si>
  <si>
    <t>000104430000072</t>
  </si>
  <si>
    <t>MALAWI POLICE SACCO</t>
  </si>
  <si>
    <t>000104430000073</t>
  </si>
  <si>
    <t>SAILE FINANCIAL SERVICES LIMITED COMPANY</t>
  </si>
  <si>
    <t>000104430000074</t>
  </si>
  <si>
    <t>SYCAMORE CREDIT LIMITED</t>
  </si>
  <si>
    <t>000104430000075</t>
  </si>
  <si>
    <t>Chigra Limited</t>
  </si>
  <si>
    <t>000104430000076</t>
  </si>
  <si>
    <t>CHIKOMAnYAMA FARMS</t>
  </si>
  <si>
    <t>000104430000077</t>
  </si>
  <si>
    <t>MTHIRAKUWIRI FARM</t>
  </si>
  <si>
    <t>000104430000078</t>
  </si>
  <si>
    <t>AB MWALE</t>
  </si>
  <si>
    <t>000104430000079</t>
  </si>
  <si>
    <t>ACADES HOLDING LTD</t>
  </si>
  <si>
    <t>000104430000080</t>
  </si>
  <si>
    <t>BARNET AGRICULTURE RESOURCE CENTRE</t>
  </si>
  <si>
    <t>000104430000081</t>
  </si>
  <si>
    <t>PINNACLE FINANCIAL SERVICES LIMITED</t>
  </si>
  <si>
    <t>000104430000082</t>
  </si>
  <si>
    <t>000104430000083</t>
  </si>
  <si>
    <t>JAT GROUP LTD</t>
  </si>
  <si>
    <t>000104430000084</t>
  </si>
  <si>
    <t>EBENEZER MIDIAN LTD</t>
  </si>
  <si>
    <t>000104430000085</t>
  </si>
  <si>
    <t>Mphunzitsi SACCO</t>
  </si>
  <si>
    <t>000104430000086</t>
  </si>
  <si>
    <t>MCHINJI CIVIL SERVICE SAVINGS AND CREDIT COOPERATIVE</t>
  </si>
  <si>
    <t>000104430000087</t>
  </si>
  <si>
    <t>000104430000088</t>
  </si>
  <si>
    <t>ANCHOR PROCESSORS LIMITED</t>
  </si>
  <si>
    <t>000104430000089</t>
  </si>
  <si>
    <t>A.A Mirza General Traders</t>
  </si>
  <si>
    <t>1050103</t>
  </si>
  <si>
    <t>S</t>
  </si>
  <si>
    <t>000104440000005</t>
  </si>
  <si>
    <t>Belk Inc</t>
  </si>
  <si>
    <t>000104440000006</t>
  </si>
  <si>
    <t>DIVYANI ENTERPRISE</t>
  </si>
  <si>
    <t>000104440000007</t>
  </si>
  <si>
    <t>4G Tech Systems</t>
  </si>
  <si>
    <t>000104440000008</t>
  </si>
  <si>
    <t>Bosch</t>
  </si>
  <si>
    <t>Maluso Cooperative Union</t>
  </si>
  <si>
    <t>1050201</t>
  </si>
  <si>
    <t>Ndagha Sustainable Foods Limited</t>
  </si>
  <si>
    <t>Zaithwa Farms</t>
  </si>
  <si>
    <t>Beaulaland Food Processors</t>
  </si>
  <si>
    <t>Muddy Boots</t>
  </si>
  <si>
    <t>Kayola Processors</t>
  </si>
  <si>
    <t>Mwachisosa Women Producers &amp; Marketing Co</t>
  </si>
  <si>
    <t>Lapani Farms</t>
  </si>
  <si>
    <t>Mawindo Enterprise</t>
  </si>
  <si>
    <t>L. J Traders &amp; Suppliers</t>
  </si>
  <si>
    <t>Chikwendeni General Dealers</t>
  </si>
  <si>
    <t>Perisha Agro and packaging Enterprise</t>
  </si>
  <si>
    <t>Mtengo wa Kumunda</t>
  </si>
  <si>
    <t>MMM Investments</t>
  </si>
  <si>
    <t>Sekuru Enterprise</t>
  </si>
  <si>
    <t>Agribusiness Solutions Limited</t>
  </si>
  <si>
    <t>Tac-Maz Investment</t>
  </si>
  <si>
    <t>G&amp;S HomeMart and Agrodealer</t>
  </si>
  <si>
    <t>Kadava Investment Limited</t>
  </si>
  <si>
    <t>Zikometso Smallholder Farmers Association</t>
  </si>
  <si>
    <t>Walusiya Investment</t>
  </si>
  <si>
    <t>G&amp;T General Dealers</t>
  </si>
  <si>
    <t>Rose Harris Investment</t>
  </si>
  <si>
    <t>KANING'A GENERAL DEALER</t>
  </si>
  <si>
    <t>Uchi Conservation Limited</t>
  </si>
  <si>
    <t>Greendom Farming</t>
  </si>
  <si>
    <t>JAT Investments</t>
  </si>
  <si>
    <t>Kwithu Producers and Marketing Co 2</t>
  </si>
  <si>
    <t>Udon Business</t>
  </si>
  <si>
    <t>Debs Agrodealers</t>
  </si>
  <si>
    <t>Chuma Mkandawire TA Chikoma Estates</t>
  </si>
  <si>
    <t>Msusa Investments Ltd</t>
  </si>
  <si>
    <t>Teren Agro Limited</t>
  </si>
  <si>
    <t>Chisitu Tea Blenders and Packers Ltd</t>
  </si>
  <si>
    <t>Jescal Enterprise</t>
  </si>
  <si>
    <t>Pamela Investments</t>
  </si>
  <si>
    <t>Kwithu Kitchens 2</t>
  </si>
  <si>
    <t>Ziweto Zathanzi Veterinary Shop</t>
  </si>
  <si>
    <t>Chambaika Milling Company</t>
  </si>
  <si>
    <t>Chanje Investments</t>
  </si>
  <si>
    <t>Hortinet Foods Limited</t>
  </si>
  <si>
    <t>000104450000096</t>
  </si>
  <si>
    <t>Champion Enterprises Inc.</t>
  </si>
  <si>
    <t>000104450000097</t>
  </si>
  <si>
    <t>NEHA TRADER</t>
  </si>
  <si>
    <t>000104450000098</t>
  </si>
  <si>
    <t xml:space="preserve">GOJET Investments  </t>
  </si>
  <si>
    <t>Ecogen Limited</t>
  </si>
  <si>
    <t>1050202</t>
  </si>
  <si>
    <t>Steel Base Furnitures</t>
  </si>
  <si>
    <t>Zanzi Entertainment Ltd</t>
  </si>
  <si>
    <t>Allied Bricks and Blocks Limited</t>
  </si>
  <si>
    <t>Angwenda Investments Limited</t>
  </si>
  <si>
    <t>Ruo Textiles Limited</t>
  </si>
  <si>
    <t>Tapempha Medical Care Limited</t>
  </si>
  <si>
    <t>BenCal Technologies Ltd</t>
  </si>
  <si>
    <t>Imani Investments</t>
  </si>
  <si>
    <t>Gibson Gray Cane Furniture</t>
  </si>
  <si>
    <t>House of Men Clothing</t>
  </si>
  <si>
    <t>Mphanga Hodings Limited</t>
  </si>
  <si>
    <t>Mchinji Civil Servants SACCO</t>
  </si>
  <si>
    <t>Design Management Consultants Ltd</t>
  </si>
  <si>
    <t>Mosa Limited Company</t>
  </si>
  <si>
    <t>Green Pharmacy</t>
  </si>
  <si>
    <t>Lilongwe Private Clinic</t>
  </si>
  <si>
    <t>F&amp;K Construction</t>
  </si>
  <si>
    <t>Sanwecka Tech Companions</t>
  </si>
  <si>
    <t>Dr Print</t>
  </si>
  <si>
    <t>Kings Foundationn Schools</t>
  </si>
  <si>
    <t>Malasha Briquettes Limited</t>
  </si>
  <si>
    <t>Lehome Investment Limited</t>
  </si>
  <si>
    <t>FAVOA Innovation &amp; Investments Group</t>
  </si>
  <si>
    <t>Difference Construction</t>
  </si>
  <si>
    <t>7 Arts Holdings Limited</t>
  </si>
  <si>
    <t>INFRAWORKS DEVELOPMENT LIMITED</t>
  </si>
  <si>
    <t>BIO ENERGY RESOURCES LIMITED</t>
  </si>
  <si>
    <t>000104460000102</t>
  </si>
  <si>
    <t>TEST CO. LTD.</t>
  </si>
  <si>
    <t>000104460000103</t>
  </si>
  <si>
    <t>Albertson^s Inc.</t>
  </si>
  <si>
    <t>CHimwemwe mafeni transport</t>
  </si>
  <si>
    <t>000104460000105</t>
  </si>
  <si>
    <t>Eye care Centre limited</t>
  </si>
  <si>
    <t>000104460000106</t>
  </si>
  <si>
    <t>000104460000107</t>
  </si>
  <si>
    <t>Premium meat suppliers</t>
  </si>
  <si>
    <t>000104460000108</t>
  </si>
  <si>
    <t>000104460000109</t>
  </si>
  <si>
    <t>JVD AGRO LIMITED</t>
  </si>
  <si>
    <t>000104460000110</t>
  </si>
  <si>
    <t>000104460000111</t>
  </si>
  <si>
    <t>ECOGEN LIMITED</t>
  </si>
  <si>
    <t>000104460000112</t>
  </si>
  <si>
    <t>Elmaw Lodge</t>
  </si>
  <si>
    <t>000104460000113</t>
  </si>
  <si>
    <t>First Wave Limited-Country Cottages</t>
  </si>
  <si>
    <t>000104460000114</t>
  </si>
  <si>
    <t>NAMULERI FINANCE LIMITED</t>
  </si>
  <si>
    <t>000104460000115</t>
  </si>
  <si>
    <t>CHITUKUKO SACCO</t>
  </si>
  <si>
    <t>000104460000116</t>
  </si>
  <si>
    <t>000104460000117</t>
  </si>
  <si>
    <t>Kwithu Producers and marketing cooperative limited</t>
  </si>
  <si>
    <t>000104460000118</t>
  </si>
  <si>
    <t>000104460000119</t>
  </si>
  <si>
    <t>HOUSE OF MEN</t>
  </si>
  <si>
    <t>000104460000120</t>
  </si>
  <si>
    <t>NASCOMEX Limited</t>
  </si>
  <si>
    <t>3065</t>
  </si>
  <si>
    <t>000105810000001</t>
  </si>
  <si>
    <t>Dreyer^s Grand Ice Cream, Inc.</t>
  </si>
  <si>
    <t>1050203</t>
  </si>
  <si>
    <t>000105810000002</t>
  </si>
  <si>
    <t>000105810000003</t>
  </si>
  <si>
    <t>000105810000004</t>
  </si>
  <si>
    <t>000106050000001</t>
  </si>
  <si>
    <t>FOCUS TRADING</t>
  </si>
  <si>
    <t>1050401</t>
  </si>
  <si>
    <t>000106050000002</t>
  </si>
  <si>
    <t>CHIKWENDENI GENERAL DEALERS</t>
  </si>
  <si>
    <t>000106050000003</t>
  </si>
  <si>
    <t>000106050000004</t>
  </si>
  <si>
    <t>PROMENADE MEDICAL CENTRE</t>
  </si>
  <si>
    <t>000106050000005</t>
  </si>
  <si>
    <t>Wallie Farms</t>
  </si>
  <si>
    <t>000106050000006</t>
  </si>
  <si>
    <t>000106050000007</t>
  </si>
  <si>
    <t>Milele Agroprocessing Limited</t>
  </si>
  <si>
    <t>000106050000008</t>
  </si>
  <si>
    <t>SUNVIEW HOTEL LTD</t>
  </si>
  <si>
    <t>000106050000009</t>
  </si>
  <si>
    <t>Lake Malawi Aquaculture Limited</t>
  </si>
  <si>
    <t>000106050000010</t>
  </si>
  <si>
    <t>KWACHA Boutique HOTEL</t>
  </si>
  <si>
    <t>000106050000011</t>
  </si>
  <si>
    <t>GREEN IMPACT TECHNOLOGIES LIMITED</t>
  </si>
  <si>
    <t>000106050000012</t>
  </si>
  <si>
    <t>MUDI SACCO LIMITED</t>
  </si>
  <si>
    <t>000106050000013</t>
  </si>
  <si>
    <t>KINGS FOUNDATION SCHOOLS LTD</t>
  </si>
  <si>
    <t>000106050000014</t>
  </si>
  <si>
    <t>000106050000015</t>
  </si>
  <si>
    <t xml:space="preserve">ACON INDUSTRIES </t>
  </si>
  <si>
    <t>Source: E-Banker extracts received 7 October 2026 (P1_01 ledger, P1_02 account master, P1_03 loan master, P2_09 balance history, P3_12 disbursement schedules). Values, not formulas: they come from the system, not from this workbook.</t>
  </si>
  <si>
    <t>Arrears analysis</t>
  </si>
  <si>
    <t>Added by Dupleix, 7 October 2026: linked to the 'Mapping' and 'E-Banker master' sheets. Your columns to the left are unchanged.</t>
  </si>
  <si>
    <t>BRANCH NAME</t>
  </si>
  <si>
    <t>CUSTOMER ID</t>
  </si>
  <si>
    <t>#</t>
  </si>
  <si>
    <t>Value Date</t>
  </si>
  <si>
    <t>Maturity Date</t>
  </si>
  <si>
    <t>Tenor</t>
  </si>
  <si>
    <t>Moratorium</t>
  </si>
  <si>
    <t>Interest Rate</t>
  </si>
  <si>
    <t>Principal</t>
  </si>
  <si>
    <t>Carrying Ammount</t>
  </si>
  <si>
    <t>Interest</t>
  </si>
  <si>
    <t>Total</t>
  </si>
  <si>
    <t>ARREARS_CATEGORY</t>
  </si>
  <si>
    <t>1-30</t>
  </si>
  <si>
    <t>31-90</t>
  </si>
  <si>
    <t>90-180</t>
  </si>
  <si>
    <t>&gt;180</t>
  </si>
  <si>
    <t>271-360</t>
  </si>
  <si>
    <t>Above 360</t>
  </si>
  <si>
    <t>SEGMENT</t>
  </si>
  <si>
    <t>INDUSTRY_CODE</t>
  </si>
  <si>
    <t>INDUSTRY - DESCRIPTION</t>
  </si>
  <si>
    <t>PHONE 1</t>
  </si>
  <si>
    <t>ARM</t>
  </si>
  <si>
    <t>BUSINESS_UNIT</t>
  </si>
  <si>
    <t>E-Banker account (Dupleix, proposed)</t>
  </si>
  <si>
    <t>Opening interest charge 31 Jul 2024</t>
  </si>
  <si>
    <t>Carrying amount less E-Banker balance</t>
  </si>
  <si>
    <t>Yrs</t>
  </si>
  <si>
    <t>(Months)</t>
  </si>
  <si>
    <t>%</t>
  </si>
  <si>
    <t>K</t>
  </si>
  <si>
    <t>Days</t>
  </si>
  <si>
    <t>Head Office</t>
  </si>
  <si>
    <t>xxxx</t>
  </si>
  <si>
    <t>Chikho Hotel Limited</t>
  </si>
  <si>
    <t>-</t>
  </si>
  <si>
    <t>CORPORATE</t>
  </si>
  <si>
    <t>HOSPITALITY</t>
  </si>
  <si>
    <t>FOSTERS</t>
  </si>
  <si>
    <t>ENTERPRISE DEVELOPMENT</t>
  </si>
  <si>
    <t>12 (Cap only)</t>
  </si>
  <si>
    <t>6 (Cap+Int)</t>
  </si>
  <si>
    <t>13 (Cap only)</t>
  </si>
  <si>
    <t>6 (Cap only)</t>
  </si>
  <si>
    <t>12 (Cap+Int)</t>
  </si>
  <si>
    <t>Maluso Cooperative Union (MCU)</t>
  </si>
  <si>
    <t>3 (Cap+Int)</t>
  </si>
  <si>
    <t>Ndagha Sustainable Food Ltd</t>
  </si>
  <si>
    <t>Ecogen Ltd</t>
  </si>
  <si>
    <t>Beualaland Food Processors</t>
  </si>
  <si>
    <t>Malawi Fertilizer Co</t>
  </si>
  <si>
    <t>9(Cap+Int)</t>
  </si>
  <si>
    <t>Natures Gift</t>
  </si>
  <si>
    <t>L J Traders &amp; Suppliers</t>
  </si>
  <si>
    <t>Agwenda Investment Ltd</t>
  </si>
  <si>
    <t>9 (Cap only)</t>
  </si>
  <si>
    <t>Mtengo Wa Kumunda</t>
  </si>
  <si>
    <t>Agribusiness Solutions Ltd</t>
  </si>
  <si>
    <t>G &amp; S Home Mart &amp; Agrodealer</t>
  </si>
  <si>
    <t>6 ( Cap only)</t>
  </si>
  <si>
    <t>Global Seeds Ltd</t>
  </si>
  <si>
    <t>Kaning'a General Dealer</t>
  </si>
  <si>
    <t>Kwithu Producers and Marketing Cooperativ</t>
  </si>
  <si>
    <t>3 ( Cap only)</t>
  </si>
  <si>
    <t>12 ( Cap only)</t>
  </si>
  <si>
    <t>12 (Cap + Int)</t>
  </si>
  <si>
    <t>6 (Cap + Int)</t>
  </si>
  <si>
    <t>The Food Empire</t>
  </si>
  <si>
    <t>Chuma Chikomanya</t>
  </si>
  <si>
    <t>DR PRINT</t>
  </si>
  <si>
    <t>18 (Cap+Int)</t>
  </si>
  <si>
    <t>4 (Cap Only)</t>
  </si>
  <si>
    <t>Infracon Limited</t>
  </si>
  <si>
    <t>Infraworks Development Ltd</t>
  </si>
  <si>
    <t>Bio-Energy Resources Limited</t>
  </si>
  <si>
    <t>Hortinet Foods Ltd MAIIC</t>
  </si>
  <si>
    <t>4 (Cap+Int)</t>
  </si>
  <si>
    <t>Chimwemwe Mafeni Transport</t>
  </si>
  <si>
    <t>Agwenda Investment Limited</t>
  </si>
  <si>
    <t>Small Farm Cities Africa Ltd</t>
  </si>
  <si>
    <t>Total Portfolio</t>
  </si>
  <si>
    <t>TOTAL NPLs</t>
  </si>
  <si>
    <t>NPL RATIO</t>
  </si>
  <si>
    <t>Open Asset Exposure Ratio</t>
  </si>
  <si>
    <t>Watch listed exposures</t>
  </si>
  <si>
    <t>Non -Defaulted exposures</t>
  </si>
  <si>
    <t>Total exposure</t>
  </si>
  <si>
    <t>Total Provision</t>
  </si>
  <si>
    <t>On Balance sheet exposures</t>
  </si>
  <si>
    <t>Off Balance Sheet Exposures</t>
  </si>
  <si>
    <t>TOTALS</t>
  </si>
  <si>
    <t>Loan Armotization Schedules</t>
  </si>
  <si>
    <t>Purple cells were added by Dupleix on 7 October 2026 and are linked to the 'Blocks' and 'E-Banker master' sheets. Nothing else on this sheet was changed.</t>
  </si>
  <si>
    <t>Chikho Hotel Armortization</t>
  </si>
  <si>
    <t>13.9 to 16.6%</t>
  </si>
  <si>
    <t>16.6% to 17.3%</t>
  </si>
  <si>
    <t>17.3% to 20%</t>
  </si>
  <si>
    <t>20% to 21.40%</t>
  </si>
  <si>
    <t>21.40 to 22.70%</t>
  </si>
  <si>
    <t>E-Banker account (Dupleix)</t>
  </si>
  <si>
    <t>Restructured</t>
  </si>
  <si>
    <t>Facility (Loan Book)</t>
  </si>
  <si>
    <t>Principal (MK)</t>
  </si>
  <si>
    <t>Rate Adj</t>
  </si>
  <si>
    <t>Rate</t>
  </si>
  <si>
    <t>n</t>
  </si>
  <si>
    <t>Per</t>
  </si>
  <si>
    <t>22.70% to 23.40%</t>
  </si>
  <si>
    <t>23.40% to 23.50%</t>
  </si>
  <si>
    <t>23.50% to 23.60%</t>
  </si>
  <si>
    <t>nPer</t>
  </si>
  <si>
    <t>Days in a year</t>
  </si>
  <si>
    <t>Pmt (MK)</t>
  </si>
  <si>
    <t>Period Start</t>
  </si>
  <si>
    <t>Period End</t>
  </si>
  <si>
    <t>Opening bal.</t>
  </si>
  <si>
    <t>Pmt</t>
  </si>
  <si>
    <t>Closing balance</t>
  </si>
  <si>
    <t>Amount Repaid</t>
  </si>
  <si>
    <t>Accumulated Arrears</t>
  </si>
  <si>
    <t>FULLY REPAID</t>
  </si>
  <si>
    <t>Edgeview Academy Armortization</t>
  </si>
  <si>
    <t>23.60% to 24.90%</t>
  </si>
  <si>
    <t>24.90% to 25.00%</t>
  </si>
  <si>
    <t xml:space="preserve"> 25.00% to 25.10%</t>
  </si>
  <si>
    <t xml:space="preserve"> 25.10% to 25.40%</t>
  </si>
  <si>
    <t>1st Tranche</t>
  </si>
  <si>
    <t>2nd Tranche</t>
  </si>
  <si>
    <t>COMSIV</t>
  </si>
  <si>
    <t>DEC</t>
  </si>
  <si>
    <t>Effective 01 May 2022</t>
  </si>
  <si>
    <t>MUSECO Armortization</t>
  </si>
  <si>
    <t>25.00% to 25.10%</t>
  </si>
  <si>
    <t>25.10% to 25.40%</t>
  </si>
  <si>
    <t>next due date</t>
  </si>
  <si>
    <t>Nsanama Women Cassava Cooperative</t>
  </si>
  <si>
    <t>Lenziemill Armortization</t>
  </si>
  <si>
    <t>Corran Farming Ltd</t>
  </si>
  <si>
    <t>Accumulated  repayment amt</t>
  </si>
  <si>
    <t>Mach Milk</t>
  </si>
  <si>
    <t>23.60% to 24.900%</t>
  </si>
  <si>
    <t>25.00% to 25.1</t>
  </si>
  <si>
    <t>25.10% to 25.4</t>
  </si>
  <si>
    <t>First tranche</t>
  </si>
  <si>
    <t>25.00% to 25.1%</t>
  </si>
  <si>
    <t>25.10% to 25.4%</t>
  </si>
  <si>
    <t>NEXT DUE DATE- 12months</t>
  </si>
  <si>
    <t>Kajikhomele</t>
  </si>
  <si>
    <t>2nd draw down</t>
  </si>
  <si>
    <t>25.010% to 25.4</t>
  </si>
  <si>
    <t>PAYMENT DUE ON 30 JUNE 2023</t>
  </si>
  <si>
    <t>Second Tranche</t>
  </si>
  <si>
    <t>25.10% to 25.14%</t>
  </si>
  <si>
    <t>NEXT DUE DATE</t>
  </si>
  <si>
    <t>Ndagha Sustainable Foods Ltd</t>
  </si>
  <si>
    <t>DUE DECEMBER 2023- annual repayments</t>
  </si>
  <si>
    <t>DUE ON 31 JAN 24</t>
  </si>
  <si>
    <t>Zanzi Entertainment</t>
  </si>
  <si>
    <t>Mwachisosa</t>
  </si>
  <si>
    <t>First drawdown</t>
  </si>
  <si>
    <t>Principal (USD)</t>
  </si>
  <si>
    <t xml:space="preserve">Principal </t>
  </si>
  <si>
    <t>Next payment</t>
  </si>
  <si>
    <t>Allied Bricks</t>
  </si>
  <si>
    <t>REPAYMENT PERIOD EXTENDED BY 5 MONTHS EXPIRING 31 OCTOBER 2024</t>
  </si>
  <si>
    <t>Perisha Agro &amp; Packaging Enterprise</t>
  </si>
  <si>
    <t>NOTE FOR PERISHA: Repayment extended by 3 months, to expire to end 30 September 2024</t>
  </si>
  <si>
    <t>African Honey Products</t>
  </si>
  <si>
    <t>Second draw down</t>
  </si>
  <si>
    <t>Tac Maz Investment</t>
  </si>
  <si>
    <t>NEXT DUE IN JULY</t>
  </si>
  <si>
    <t>G &amp; S Home Mart and Agrodealer</t>
  </si>
  <si>
    <t>First draw down</t>
  </si>
  <si>
    <t>Third draw down</t>
  </si>
  <si>
    <t>Kadava Investment</t>
  </si>
  <si>
    <t>Zikometso</t>
  </si>
  <si>
    <t>Int Adj</t>
  </si>
  <si>
    <t>25% to 25.10%</t>
  </si>
  <si>
    <t>25.10% to 25.140%</t>
  </si>
  <si>
    <t>Walusiya</t>
  </si>
  <si>
    <t>G &amp; T General Dealers</t>
  </si>
  <si>
    <t>Uchi Conservation Ltd</t>
  </si>
  <si>
    <t>First Draw Down</t>
  </si>
  <si>
    <t>3rd drawdown</t>
  </si>
  <si>
    <t>4th draw down</t>
  </si>
  <si>
    <t>Last draw down</t>
  </si>
  <si>
    <t>24.90% to 25%</t>
  </si>
  <si>
    <t>Capitalised</t>
  </si>
  <si>
    <t>NEXT PAYMENT</t>
  </si>
  <si>
    <t>Kwithu Producers</t>
  </si>
  <si>
    <t>VNC Bricks</t>
  </si>
  <si>
    <t>21.40% to 22.70%</t>
  </si>
  <si>
    <t>RUO Textiles</t>
  </si>
  <si>
    <t>3rd draw down</t>
  </si>
  <si>
    <t>UNDON Business Solutions</t>
  </si>
  <si>
    <t>Debs Agro Dealer</t>
  </si>
  <si>
    <t>Tapempha Medical Care Centre</t>
  </si>
  <si>
    <t>second draw down</t>
  </si>
  <si>
    <t>BenCal Technologies</t>
  </si>
  <si>
    <t>Chuma Mkandawire T/A Chikoma Estates</t>
  </si>
  <si>
    <t>Happie Foods</t>
  </si>
  <si>
    <t>Gibson Grays Cane Furniture</t>
  </si>
  <si>
    <t>Mphanga Holdings Ltd</t>
  </si>
  <si>
    <t>Teren Agro Ltd</t>
  </si>
  <si>
    <t>Chisitu Tea Blenders</t>
  </si>
  <si>
    <t>Mchinji SACCO</t>
  </si>
  <si>
    <t>Final drawdown</t>
  </si>
  <si>
    <t>Design Management Consultants Limited</t>
  </si>
  <si>
    <t>Global Seeds</t>
  </si>
  <si>
    <t>F&amp; K Construction</t>
  </si>
  <si>
    <t>Sanwecka Tech Company</t>
  </si>
  <si>
    <t>Interest todate</t>
  </si>
  <si>
    <t>Principle</t>
  </si>
  <si>
    <t>Ziweto Zathanzi Veternary shop</t>
  </si>
  <si>
    <t xml:space="preserve">MMC Limited </t>
  </si>
  <si>
    <t>Kings Foundation School</t>
  </si>
  <si>
    <t>FAVOA Innovations and Investments Group</t>
  </si>
  <si>
    <t>Diference Construction</t>
  </si>
  <si>
    <t>Hortinet Foods Ltd</t>
  </si>
  <si>
    <t>7 ARTS HOLDINGS Limited</t>
  </si>
  <si>
    <t>Second drawdown</t>
  </si>
  <si>
    <t>Infraworks Development LLC</t>
  </si>
  <si>
    <t>Bio Energy Resource Limited</t>
  </si>
  <si>
    <t>Defaulted exposures</t>
  </si>
  <si>
    <t>Number</t>
  </si>
  <si>
    <t>Stage 3 (Defaulted exposures), 14%</t>
  </si>
  <si>
    <t>Stage 2 (Watch listed exposures), 48%</t>
  </si>
  <si>
    <t>Stage 1 (Non -Defaulted exposures), 38%</t>
  </si>
  <si>
    <t>Repayments in arrears</t>
  </si>
  <si>
    <t>Carrying Amount</t>
  </si>
  <si>
    <t>Total Arrears</t>
  </si>
  <si>
    <t>1-30 Days</t>
  </si>
  <si>
    <t>31-90 Days</t>
  </si>
  <si>
    <t>&gt; 90 Days</t>
  </si>
  <si>
    <t>Staging</t>
  </si>
  <si>
    <t>Edge View Academy</t>
  </si>
  <si>
    <t>Micholess Cremeary</t>
  </si>
  <si>
    <t>Nsanama</t>
  </si>
  <si>
    <t>Lenziemill Milling Co</t>
  </si>
  <si>
    <t xml:space="preserve">Kajikhomele Founfdation </t>
  </si>
  <si>
    <t>&gt;90</t>
  </si>
  <si>
    <t>Arrears</t>
  </si>
  <si>
    <t>ARRANGEMENT FEES</t>
  </si>
  <si>
    <t>LEGAL FEES</t>
  </si>
  <si>
    <t>Y</t>
  </si>
  <si>
    <t>Offer letter and Quickbooks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</si>
</sst>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0.00_);_(* \(#,##0.00\);_(* &quot;-&quot;??_);_(@_)"/>
    <numFmt numFmtId="164" formatCode="&quot;MK&quot;#,##0.00_);[Red]\(&quot;MK&quot;#,##0.00\)"/>
    <numFmt numFmtId="165" formatCode="_(* #,##0_);_(* \(#,##0\);_(* &quot;-&quot;??_);_(@_)"/>
    <numFmt numFmtId="166" formatCode="_-* #,##0.00_-;\-* #,##0.00_-;_-* &quot;-&quot;??_-;_-@_-"/>
    <numFmt numFmtId="167" formatCode="_-* #,##0.0_-;\-* #,##0.0_-;_-* &quot;-&quot;??_-;_-@_-"/>
    <numFmt numFmtId="168" formatCode="0.0%"/>
    <numFmt numFmtId="169" formatCode="_(* #,##0.0000_);_(* \(#,##0.0000\);_(* &quot;-&quot;??_);_(@_)"/>
    <numFmt numFmtId="170" formatCode="_ * #,##0.00_ ;_ * \-#,##0.00_ ;_ * &quot;-&quot;??_ ;_ @_ "/>
    <numFmt numFmtId="171" formatCode="[$-409]d\-mmm\-yy;@"/>
    <numFmt numFmtId="172" formatCode="[$-409]dd\-mmm\-yy;@"/>
    <numFmt numFmtId="173" formatCode="#,##0.00;\-#,##0.00"/>
    <numFmt numFmtId="174" formatCode="yyyy\-mm\-dd"/>
    <numFmt numFmtId="175" formatCode="yyyy\-mm\-dd\ h:mm:ss"/>
    <numFmt numFmtId="176" formatCode="dd/mm/yyyy"/>
  </numFmts>
  <fonts count="37" x14ac:knownFonts="1">
    <font>
      <sz val="11"/>
      <color theme="1"/>
      <name val="Calibri"/>
      <family val="2"/>
      <scheme val="minor"/>
    </font>
    <font>
      <sz val="11"/>
      <color theme="1"/>
      <name val="Calibri"/>
      <family val="2"/>
      <scheme val="minor"/>
    </font>
    <font>
      <sz val="10"/>
      <color theme="1"/>
      <name val="Tahoma"/>
      <family val="2"/>
    </font>
    <font>
      <sz val="9"/>
      <color theme="1"/>
      <name val="Times New Roman"/>
      <family val="1"/>
    </font>
    <font>
      <b/>
      <sz val="9"/>
      <color theme="1"/>
      <name val="Times New Roman"/>
      <family val="1"/>
    </font>
    <font>
      <sz val="11"/>
      <color theme="1"/>
      <name val="Times New Roman"/>
      <family val="1"/>
    </font>
    <font>
      <b/>
      <u/>
      <sz val="9"/>
      <color theme="1"/>
      <name val="Times New Roman"/>
      <family val="1"/>
    </font>
    <font>
      <sz val="9"/>
      <name val="Times New Roman"/>
      <family val="1"/>
    </font>
    <font>
      <sz val="11"/>
      <color theme="1"/>
      <name val="Century Gothic"/>
      <family val="2"/>
    </font>
    <font>
      <b/>
      <sz val="9"/>
      <color theme="1"/>
      <name val="Century Gothic"/>
      <family val="2"/>
    </font>
    <font>
      <sz val="9"/>
      <color theme="1"/>
      <name val="Century Gothic"/>
      <family val="2"/>
    </font>
    <font>
      <sz val="9"/>
      <name val="Century Gothic"/>
      <family val="2"/>
    </font>
    <font>
      <sz val="10"/>
      <color theme="1"/>
      <name val="Century Gothic"/>
      <family val="2"/>
    </font>
    <font>
      <b/>
      <sz val="10"/>
      <color theme="1"/>
      <name val="Century Gothic"/>
      <family val="2"/>
    </font>
    <font>
      <b/>
      <sz val="11"/>
      <color theme="1"/>
      <name val="Times New Roman"/>
      <family val="1"/>
    </font>
    <font>
      <sz val="8"/>
      <color theme="1"/>
      <name val="Times New Roman"/>
      <family val="1"/>
    </font>
    <font>
      <b/>
      <sz val="8"/>
      <color theme="1"/>
      <name val="Times New Roman"/>
      <family val="1"/>
    </font>
    <font>
      <sz val="8"/>
      <name val="Times New Roman"/>
      <family val="1"/>
    </font>
    <font>
      <b/>
      <sz val="8"/>
      <name val="Times New Roman"/>
      <family val="1"/>
    </font>
    <font>
      <sz val="9"/>
      <color rgb="FFFF0000"/>
      <name val="Times New Roman"/>
      <family val="1"/>
    </font>
    <font>
      <b/>
      <sz val="9"/>
      <name val="Times New Roman"/>
      <family val="1"/>
    </font>
    <font>
      <b/>
      <sz val="10"/>
      <name val="Century Gothic"/>
      <family val="2"/>
    </font>
    <font>
      <sz val="10"/>
      <name val="Century Gothic"/>
      <family val="2"/>
    </font>
    <font>
      <b/>
      <sz val="8"/>
      <color rgb="FFFF0000"/>
      <name val="Times New Roman"/>
      <family val="1"/>
    </font>
    <font>
      <sz val="9"/>
      <color theme="1"/>
      <name val="Calibri"/>
      <family val="2"/>
      <scheme val="minor"/>
    </font>
    <font>
      <sz val="8"/>
      <color rgb="FF323232"/>
      <name val="Times New Roman"/>
      <family val="1"/>
    </font>
    <font>
      <b/>
      <sz val="11"/>
      <color theme="1"/>
      <name val="Calibri"/>
      <family val="2"/>
      <scheme val="minor"/>
    </font>
    <font>
      <b/>
      <sz val="8"/>
      <color rgb="FF323232"/>
      <name val="Arial"/>
      <family val="2"/>
    </font>
    <font>
      <sz val="10"/>
      <name val="Arial"/>
      <family val="2"/>
    </font>
    <font>
      <b/>
      <sz val="11"/>
      <color rgb="FF7030A0"/>
      <name val="Calibri"/>
      <family val="2"/>
    </font>
    <font>
      <b/>
      <sz val="11"/>
      <color rgb="FFFFFFFF"/>
      <name val="Calibri"/>
      <family val="2"/>
    </font>
    <font>
      <sz val="11"/>
      <color rgb="FFFFFFFF"/>
      <name val="Calibri"/>
      <family val="2"/>
    </font>
    <font>
      <b/>
      <sz val="12"/>
      <color rgb="FF1B2A41"/>
      <name val="Calibri"/>
      <family val="2"/>
    </font>
    <font>
      <b/>
      <sz val="14"/>
      <color rgb="FF1B2A41"/>
      <name val="Calibri"/>
      <family val="2"/>
    </font>
    <font>
      <sz val="11"/>
      <color rgb="FF5B6470"/>
      <name val="Calibri"/>
      <family val="2"/>
    </font>
    <font>
      <u/>
      <sz val="11"/>
      <color rgb="FF0563C1"/>
      <name val="Calibri"/>
      <family val="2"/>
    </font>
    <font>
      <b/>
      <sz val="11"/>
      <color theme="0"/>
      <name val="Calibri"/>
      <family val="2"/>
    </font>
  </fonts>
  <fills count="27">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rgb="FFFFFF00"/>
        <bgColor indexed="64"/>
      </patternFill>
    </fill>
    <fill>
      <patternFill patternType="solid">
        <fgColor theme="9" tint="0.79998168889431442"/>
        <bgColor indexed="64"/>
      </patternFill>
    </fill>
    <fill>
      <patternFill patternType="solid">
        <fgColor theme="9" tint="-0.249977111117893"/>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rgb="FF00B050"/>
        <bgColor indexed="64"/>
      </patternFill>
    </fill>
    <fill>
      <patternFill patternType="solid">
        <fgColor rgb="FFFFCC99"/>
        <bgColor indexed="64"/>
      </patternFill>
    </fill>
    <fill>
      <patternFill patternType="solid">
        <fgColor theme="5" tint="0.39997558519241921"/>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rgb="FFFFC000"/>
        <bgColor indexed="64"/>
      </patternFill>
    </fill>
    <fill>
      <patternFill patternType="solid">
        <fgColor theme="4" tint="0.39997558519241921"/>
        <bgColor indexed="64"/>
      </patternFill>
    </fill>
    <fill>
      <patternFill patternType="solid">
        <fgColor rgb="FF92D050"/>
        <bgColor indexed="64"/>
      </patternFill>
    </fill>
    <fill>
      <patternFill patternType="solid">
        <fgColor rgb="FF00B0F0"/>
        <bgColor indexed="64"/>
      </patternFill>
    </fill>
    <fill>
      <patternFill patternType="solid">
        <fgColor theme="5" tint="0.59999389629810485"/>
        <bgColor indexed="64"/>
      </patternFill>
    </fill>
    <fill>
      <patternFill patternType="solid">
        <fgColor theme="2" tint="-9.9978637043366805E-2"/>
        <bgColor indexed="64"/>
      </patternFill>
    </fill>
    <fill>
      <patternFill patternType="solid">
        <fgColor theme="3" tint="0.79998168889431442"/>
        <bgColor indexed="64"/>
      </patternFill>
    </fill>
    <fill>
      <patternFill patternType="solid">
        <fgColor rgb="FFFFF4E0"/>
      </patternFill>
    </fill>
    <fill>
      <patternFill patternType="solid">
        <fgColor rgb="FF7030A0"/>
      </patternFill>
    </fill>
    <fill>
      <patternFill patternType="solid">
        <fgColor rgb="FF1B2A41"/>
      </patternFill>
    </fill>
    <fill>
      <patternFill patternType="solid">
        <fgColor rgb="FFBF8F00"/>
      </patternFill>
    </fill>
    <fill>
      <patternFill patternType="solid">
        <fgColor rgb="FFFFF2CC"/>
      </patternFill>
    </fill>
  </fills>
  <borders count="63">
    <border>
      <left/>
      <right/>
      <top/>
      <bottom/>
      <diagonal/>
    </border>
    <border>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thin">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diagonal/>
    </border>
    <border>
      <left style="thin">
        <color indexed="64"/>
      </left>
      <right/>
      <top style="medium">
        <color indexed="64"/>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bottom style="medium">
        <color indexed="64"/>
      </bottom>
      <diagonal/>
    </border>
    <border>
      <left style="thin">
        <color indexed="64"/>
      </left>
      <right/>
      <top style="thin">
        <color indexed="64"/>
      </top>
      <bottom style="medium">
        <color indexed="64"/>
      </bottom>
      <diagonal/>
    </border>
    <border>
      <left/>
      <right/>
      <top style="medium">
        <color indexed="64"/>
      </top>
      <bottom/>
      <diagonal/>
    </border>
    <border>
      <left/>
      <right style="medium">
        <color indexed="64"/>
      </right>
      <top style="medium">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medium">
        <color indexed="64"/>
      </left>
      <right/>
      <top/>
      <bottom style="thin">
        <color indexed="64"/>
      </bottom>
      <diagonal/>
    </border>
    <border>
      <left style="medium">
        <color indexed="64"/>
      </left>
      <right/>
      <top style="thin">
        <color indexed="64"/>
      </top>
      <bottom style="thin">
        <color indexed="64"/>
      </bottom>
      <diagonal/>
    </border>
    <border>
      <left style="medium">
        <color indexed="64"/>
      </left>
      <right/>
      <top style="thin">
        <color indexed="64"/>
      </top>
      <bottom/>
      <diagonal/>
    </border>
    <border>
      <left style="medium">
        <color indexed="64"/>
      </left>
      <right style="thin">
        <color indexed="64"/>
      </right>
      <top style="medium">
        <color indexed="64"/>
      </top>
      <bottom/>
      <diagonal/>
    </border>
    <border>
      <left style="medium">
        <color indexed="64"/>
      </left>
      <right style="thin">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medium">
        <color indexed="64"/>
      </right>
      <top/>
      <bottom style="medium">
        <color indexed="64"/>
      </bottom>
      <diagonal/>
    </border>
    <border>
      <left style="thin">
        <color indexed="64"/>
      </left>
      <right/>
      <top/>
      <bottom style="medium">
        <color indexed="64"/>
      </bottom>
      <diagonal/>
    </border>
    <border>
      <left style="medium">
        <color indexed="64"/>
      </left>
      <right style="medium">
        <color indexed="64"/>
      </right>
      <top style="thin">
        <color indexed="64"/>
      </top>
      <bottom style="thin">
        <color indexed="64"/>
      </bottom>
      <diagonal/>
    </border>
    <border>
      <left style="medium">
        <color rgb="FFC5E0B3"/>
      </left>
      <right style="medium">
        <color rgb="FFC5E0B3"/>
      </right>
      <top/>
      <bottom style="medium">
        <color rgb="FFC5E0B3"/>
      </bottom>
      <diagonal/>
    </border>
    <border>
      <left/>
      <right style="medium">
        <color rgb="FFC5E0B3"/>
      </right>
      <top/>
      <bottom style="medium">
        <color rgb="FFC5E0B3"/>
      </bottom>
      <diagonal/>
    </border>
    <border>
      <left style="medium">
        <color indexed="64"/>
      </left>
      <right style="medium">
        <color rgb="FFC5E0B3"/>
      </right>
      <top style="medium">
        <color indexed="64"/>
      </top>
      <bottom style="medium">
        <color indexed="64"/>
      </bottom>
      <diagonal/>
    </border>
    <border>
      <left/>
      <right style="medium">
        <color rgb="FFC5E0B3"/>
      </right>
      <top style="medium">
        <color indexed="64"/>
      </top>
      <bottom style="medium">
        <color indexed="64"/>
      </bottom>
      <diagonal/>
    </border>
    <border>
      <left style="medium">
        <color rgb="FFC5E0B3"/>
      </left>
      <right style="medium">
        <color rgb="FFC5E0B3"/>
      </right>
      <top style="medium">
        <color indexed="64"/>
      </top>
      <bottom style="medium">
        <color indexed="64"/>
      </bottom>
      <diagonal/>
    </border>
    <border>
      <left style="medium">
        <color rgb="FFC5E0B3"/>
      </left>
      <right style="medium">
        <color indexed="64"/>
      </right>
      <top style="medium">
        <color indexed="64"/>
      </top>
      <bottom style="medium">
        <color indexed="64"/>
      </bottom>
      <diagonal/>
    </border>
    <border>
      <left style="medium">
        <color indexed="64"/>
      </left>
      <right/>
      <top/>
      <bottom style="medium">
        <color indexed="64"/>
      </bottom>
      <diagonal/>
    </border>
    <border>
      <left/>
      <right/>
      <top/>
      <bottom style="medium">
        <color indexed="64"/>
      </bottom>
      <diagonal/>
    </border>
    <border>
      <left/>
      <right style="thin">
        <color indexed="64"/>
      </right>
      <top style="medium">
        <color indexed="64"/>
      </top>
      <bottom style="thin">
        <color indexed="64"/>
      </bottom>
      <diagonal/>
    </border>
    <border>
      <left/>
      <right style="medium">
        <color indexed="64"/>
      </right>
      <top style="medium">
        <color indexed="64"/>
      </top>
      <bottom style="medium">
        <color indexed="64"/>
      </bottom>
      <diagonal/>
    </border>
    <border>
      <left/>
      <right/>
      <top style="thin">
        <color indexed="64"/>
      </top>
      <bottom style="double">
        <color indexed="64"/>
      </bottom>
      <diagonal/>
    </border>
    <border>
      <left/>
      <right/>
      <top style="thin">
        <color indexed="64"/>
      </top>
      <bottom style="medium">
        <color indexed="64"/>
      </bottom>
      <diagonal/>
    </border>
    <border>
      <left style="medium">
        <color indexed="64"/>
      </left>
      <right/>
      <top style="thin">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rgb="FFBFBFBF"/>
      </left>
      <right style="thin">
        <color rgb="FFBFBFBF"/>
      </right>
      <top style="thin">
        <color rgb="FFBFBFBF"/>
      </top>
      <bottom style="thin">
        <color rgb="FFBFBFBF"/>
      </bottom>
      <diagonal/>
    </border>
  </borders>
  <cellStyleXfs count="7">
    <xf numFmtId="0" fontId="0" fillId="0" borderId="0"/>
    <xf numFmtId="43" fontId="1" fillId="0" borderId="0"/>
    <xf numFmtId="0" fontId="2" fillId="0" borderId="0"/>
    <xf numFmtId="9" fontId="1" fillId="0" borderId="0"/>
    <xf numFmtId="43" fontId="1" fillId="0" borderId="0"/>
    <xf numFmtId="166" fontId="1" fillId="0" borderId="0"/>
    <xf numFmtId="0" fontId="28" fillId="0" borderId="0"/>
  </cellStyleXfs>
  <cellXfs count="465">
    <xf numFmtId="0" fontId="0" fillId="0" borderId="0" xfId="0"/>
    <xf numFmtId="0" fontId="3" fillId="0" borderId="0" xfId="0" applyFont="1"/>
    <xf numFmtId="0" fontId="4" fillId="0" borderId="0" xfId="0" applyFont="1"/>
    <xf numFmtId="43" fontId="3" fillId="0" borderId="0" xfId="1" applyFont="1"/>
    <xf numFmtId="0" fontId="3" fillId="0" borderId="1" xfId="0" applyFont="1" applyBorder="1"/>
    <xf numFmtId="43" fontId="3" fillId="0" borderId="1" xfId="1" applyFont="1" applyBorder="1"/>
    <xf numFmtId="0" fontId="5" fillId="0" borderId="0" xfId="0" applyFont="1"/>
    <xf numFmtId="43" fontId="5" fillId="0" borderId="0" xfId="1" applyFont="1"/>
    <xf numFmtId="0" fontId="6" fillId="0" borderId="0" xfId="0" applyFont="1"/>
    <xf numFmtId="0" fontId="3" fillId="0" borderId="2" xfId="0" applyFont="1" applyBorder="1"/>
    <xf numFmtId="43" fontId="3" fillId="0" borderId="3" xfId="1" applyFont="1" applyBorder="1"/>
    <xf numFmtId="0" fontId="3" fillId="0" borderId="4" xfId="0" applyFont="1" applyBorder="1"/>
    <xf numFmtId="10" fontId="3" fillId="0" borderId="5" xfId="3" applyNumberFormat="1" applyFont="1" applyBorder="1"/>
    <xf numFmtId="10" fontId="3" fillId="0" borderId="0" xfId="3" applyNumberFormat="1" applyFont="1"/>
    <xf numFmtId="0" fontId="3" fillId="0" borderId="5" xfId="0" applyFont="1" applyBorder="1"/>
    <xf numFmtId="165" fontId="3" fillId="0" borderId="5" xfId="1" applyNumberFormat="1" applyFont="1" applyBorder="1"/>
    <xf numFmtId="1" fontId="3" fillId="0" borderId="5" xfId="0" applyNumberFormat="1" applyFont="1" applyBorder="1"/>
    <xf numFmtId="0" fontId="3" fillId="0" borderId="6" xfId="0" applyFont="1" applyBorder="1"/>
    <xf numFmtId="43" fontId="3" fillId="0" borderId="7" xfId="1" applyFont="1" applyBorder="1"/>
    <xf numFmtId="0" fontId="4" fillId="2" borderId="0" xfId="0" applyFont="1" applyFill="1" applyAlignment="1">
      <alignment horizontal="left"/>
    </xf>
    <xf numFmtId="0" fontId="4" fillId="2" borderId="0" xfId="0" applyFont="1" applyFill="1"/>
    <xf numFmtId="0" fontId="4" fillId="2" borderId="0" xfId="0" applyFont="1" applyFill="1" applyAlignment="1">
      <alignment horizontal="center"/>
    </xf>
    <xf numFmtId="15" fontId="3" fillId="0" borderId="0" xfId="0" applyNumberFormat="1" applyFont="1" applyAlignment="1">
      <alignment horizontal="left"/>
    </xf>
    <xf numFmtId="0" fontId="3" fillId="0" borderId="0" xfId="0" applyFont="1" applyAlignment="1">
      <alignment horizontal="center"/>
    </xf>
    <xf numFmtId="166" fontId="3" fillId="0" borderId="0" xfId="0" applyNumberFormat="1" applyFont="1"/>
    <xf numFmtId="43" fontId="3" fillId="0" borderId="0" xfId="0" applyNumberFormat="1" applyFont="1"/>
    <xf numFmtId="166" fontId="3" fillId="3" borderId="0" xfId="0" applyNumberFormat="1" applyFont="1" applyFill="1"/>
    <xf numFmtId="166" fontId="3" fillId="4" borderId="0" xfId="0" applyNumberFormat="1" applyFont="1" applyFill="1"/>
    <xf numFmtId="0" fontId="4" fillId="0" borderId="8" xfId="0" applyFont="1" applyBorder="1"/>
    <xf numFmtId="43" fontId="4" fillId="0" borderId="0" xfId="1" applyFont="1" applyAlignment="1">
      <alignment horizontal="center"/>
    </xf>
    <xf numFmtId="43" fontId="4" fillId="0" borderId="0" xfId="1" applyFont="1"/>
    <xf numFmtId="166" fontId="7" fillId="0" borderId="0" xfId="0" applyNumberFormat="1" applyFont="1"/>
    <xf numFmtId="166" fontId="5" fillId="0" borderId="0" xfId="0" applyNumberFormat="1" applyFont="1"/>
    <xf numFmtId="0" fontId="3" fillId="0" borderId="0" xfId="0" applyFont="1" applyAlignment="1">
      <alignment horizontal="left"/>
    </xf>
    <xf numFmtId="1" fontId="3" fillId="0" borderId="0" xfId="0" applyNumberFormat="1" applyFont="1" applyAlignment="1">
      <alignment horizontal="left"/>
    </xf>
    <xf numFmtId="43" fontId="3" fillId="0" borderId="0" xfId="1" applyFont="1" applyAlignment="1">
      <alignment horizontal="left"/>
    </xf>
    <xf numFmtId="43" fontId="4" fillId="3" borderId="0" xfId="1" applyFont="1" applyFill="1" applyAlignment="1">
      <alignment horizontal="left"/>
    </xf>
    <xf numFmtId="43" fontId="4" fillId="6" borderId="8" xfId="1" applyFont="1" applyFill="1" applyBorder="1" applyAlignment="1">
      <alignment horizontal="left"/>
    </xf>
    <xf numFmtId="43" fontId="3" fillId="3" borderId="0" xfId="1" applyFont="1" applyFill="1" applyAlignment="1">
      <alignment horizontal="left"/>
    </xf>
    <xf numFmtId="0" fontId="3" fillId="0" borderId="8" xfId="0" applyFont="1" applyBorder="1" applyAlignment="1">
      <alignment horizontal="left"/>
    </xf>
    <xf numFmtId="166" fontId="3" fillId="0" borderId="0" xfId="0" applyNumberFormat="1" applyFont="1" applyAlignment="1">
      <alignment horizontal="left"/>
    </xf>
    <xf numFmtId="0" fontId="4" fillId="6" borderId="8" xfId="0" applyFont="1" applyFill="1" applyBorder="1"/>
    <xf numFmtId="0" fontId="8" fillId="0" borderId="0" xfId="0" applyFont="1"/>
    <xf numFmtId="43" fontId="9" fillId="6" borderId="21" xfId="1" applyFont="1" applyFill="1" applyBorder="1" applyAlignment="1">
      <alignment horizontal="center"/>
    </xf>
    <xf numFmtId="43" fontId="10" fillId="0" borderId="10" xfId="1" applyFont="1" applyBorder="1" applyAlignment="1">
      <alignment horizontal="left"/>
    </xf>
    <xf numFmtId="43" fontId="10" fillId="8" borderId="8" xfId="1" applyFont="1" applyFill="1" applyBorder="1" applyAlignment="1">
      <alignment horizontal="left"/>
    </xf>
    <xf numFmtId="43" fontId="10" fillId="0" borderId="8" xfId="1" applyFont="1" applyBorder="1" applyAlignment="1">
      <alignment horizontal="left"/>
    </xf>
    <xf numFmtId="0" fontId="10" fillId="0" borderId="18" xfId="1" applyNumberFormat="1" applyFont="1" applyBorder="1" applyAlignment="1">
      <alignment horizontal="center"/>
    </xf>
    <xf numFmtId="0" fontId="11" fillId="0" borderId="8" xfId="0" applyFont="1" applyBorder="1" applyAlignment="1">
      <alignment horizontal="left"/>
    </xf>
    <xf numFmtId="43" fontId="10" fillId="0" borderId="9" xfId="1" applyFont="1" applyBorder="1" applyAlignment="1">
      <alignment horizontal="left"/>
    </xf>
    <xf numFmtId="1" fontId="10" fillId="0" borderId="24" xfId="0" applyNumberFormat="1" applyFont="1" applyBorder="1" applyAlignment="1">
      <alignment horizontal="left"/>
    </xf>
    <xf numFmtId="0" fontId="10" fillId="0" borderId="25" xfId="0" applyFont="1" applyBorder="1" applyAlignment="1">
      <alignment horizontal="left"/>
    </xf>
    <xf numFmtId="43" fontId="9" fillId="7" borderId="15" xfId="1" applyFont="1" applyFill="1" applyBorder="1" applyAlignment="1">
      <alignment horizontal="center"/>
    </xf>
    <xf numFmtId="43" fontId="9" fillId="5" borderId="16" xfId="1" applyFont="1" applyFill="1" applyBorder="1" applyAlignment="1">
      <alignment horizontal="center"/>
    </xf>
    <xf numFmtId="43" fontId="9" fillId="4" borderId="17" xfId="1" applyFont="1" applyFill="1" applyBorder="1" applyAlignment="1">
      <alignment horizontal="center"/>
    </xf>
    <xf numFmtId="43" fontId="9" fillId="7" borderId="20" xfId="1" applyFont="1" applyFill="1" applyBorder="1" applyAlignment="1">
      <alignment horizontal="center"/>
    </xf>
    <xf numFmtId="43" fontId="9" fillId="5" borderId="21" xfId="1" applyFont="1" applyFill="1" applyBorder="1" applyAlignment="1">
      <alignment horizontal="center"/>
    </xf>
    <xf numFmtId="43" fontId="9" fillId="4" borderId="22" xfId="1" applyFont="1" applyFill="1" applyBorder="1" applyAlignment="1">
      <alignment horizontal="center"/>
    </xf>
    <xf numFmtId="0" fontId="10" fillId="0" borderId="37" xfId="1" applyNumberFormat="1" applyFont="1" applyBorder="1" applyAlignment="1">
      <alignment horizontal="center"/>
    </xf>
    <xf numFmtId="0" fontId="11" fillId="0" borderId="29" xfId="1" applyNumberFormat="1" applyFont="1" applyBorder="1" applyAlignment="1">
      <alignment horizontal="left"/>
    </xf>
    <xf numFmtId="43" fontId="10" fillId="0" borderId="29" xfId="1" applyFont="1" applyBorder="1" applyAlignment="1">
      <alignment horizontal="left"/>
    </xf>
    <xf numFmtId="43" fontId="10" fillId="0" borderId="30" xfId="1" applyFont="1" applyBorder="1" applyAlignment="1">
      <alignment horizontal="left"/>
    </xf>
    <xf numFmtId="0" fontId="10" fillId="8" borderId="38" xfId="1" applyNumberFormat="1" applyFont="1" applyFill="1" applyBorder="1" applyAlignment="1">
      <alignment horizontal="center"/>
    </xf>
    <xf numFmtId="0" fontId="11" fillId="8" borderId="18" xfId="0" applyFont="1" applyFill="1" applyBorder="1" applyAlignment="1">
      <alignment horizontal="left"/>
    </xf>
    <xf numFmtId="43" fontId="10" fillId="8" borderId="18" xfId="1" applyFont="1" applyFill="1" applyBorder="1" applyAlignment="1">
      <alignment horizontal="left"/>
    </xf>
    <xf numFmtId="0" fontId="10" fillId="0" borderId="38" xfId="1" applyNumberFormat="1" applyFont="1" applyBorder="1" applyAlignment="1">
      <alignment horizontal="center"/>
    </xf>
    <xf numFmtId="0" fontId="11" fillId="0" borderId="18" xfId="0" applyFont="1" applyBorder="1" applyAlignment="1">
      <alignment horizontal="left"/>
    </xf>
    <xf numFmtId="43" fontId="10" fillId="0" borderId="18" xfId="1" applyFont="1" applyBorder="1" applyAlignment="1">
      <alignment horizontal="left"/>
    </xf>
    <xf numFmtId="43" fontId="10" fillId="0" borderId="19" xfId="1" applyFont="1" applyBorder="1" applyAlignment="1">
      <alignment horizontal="left"/>
    </xf>
    <xf numFmtId="0" fontId="10" fillId="0" borderId="39" xfId="1" applyNumberFormat="1" applyFont="1" applyBorder="1" applyAlignment="1">
      <alignment horizontal="center"/>
    </xf>
    <xf numFmtId="0" fontId="11" fillId="0" borderId="23" xfId="0" applyFont="1" applyBorder="1" applyAlignment="1">
      <alignment horizontal="left"/>
    </xf>
    <xf numFmtId="43" fontId="10" fillId="0" borderId="23" xfId="1" applyFont="1" applyBorder="1" applyAlignment="1">
      <alignment horizontal="left"/>
    </xf>
    <xf numFmtId="0" fontId="10" fillId="0" borderId="24" xfId="0" applyFont="1" applyBorder="1" applyAlignment="1">
      <alignment horizontal="left"/>
    </xf>
    <xf numFmtId="43" fontId="9" fillId="0" borderId="26" xfId="0" applyNumberFormat="1" applyFont="1" applyBorder="1" applyAlignment="1">
      <alignment horizontal="left"/>
    </xf>
    <xf numFmtId="0" fontId="10" fillId="0" borderId="0" xfId="0" applyFont="1"/>
    <xf numFmtId="43" fontId="10" fillId="8" borderId="11" xfId="1" applyFont="1" applyFill="1" applyBorder="1" applyAlignment="1">
      <alignment horizontal="left"/>
    </xf>
    <xf numFmtId="43" fontId="10" fillId="0" borderId="11" xfId="1" applyFont="1" applyBorder="1" applyAlignment="1">
      <alignment horizontal="left"/>
    </xf>
    <xf numFmtId="43" fontId="9" fillId="6" borderId="31" xfId="1" applyFont="1" applyFill="1" applyBorder="1" applyAlignment="1">
      <alignment horizontal="left"/>
    </xf>
    <xf numFmtId="43" fontId="9" fillId="7" borderId="41" xfId="1" applyFont="1" applyFill="1" applyBorder="1" applyAlignment="1">
      <alignment horizontal="center"/>
    </xf>
    <xf numFmtId="43" fontId="9" fillId="5" borderId="31" xfId="1" applyFont="1" applyFill="1" applyBorder="1" applyAlignment="1">
      <alignment horizontal="center"/>
    </xf>
    <xf numFmtId="43" fontId="10" fillId="0" borderId="6" xfId="1" applyFont="1" applyBorder="1" applyAlignment="1">
      <alignment horizontal="left"/>
    </xf>
    <xf numFmtId="43" fontId="10" fillId="0" borderId="2" xfId="1" applyFont="1" applyBorder="1" applyAlignment="1">
      <alignment horizontal="left"/>
    </xf>
    <xf numFmtId="43" fontId="9" fillId="0" borderId="24" xfId="0" applyNumberFormat="1" applyFont="1" applyBorder="1" applyAlignment="1">
      <alignment horizontal="left"/>
    </xf>
    <xf numFmtId="43" fontId="9" fillId="4" borderId="28" xfId="1" applyFont="1" applyFill="1" applyBorder="1" applyAlignment="1">
      <alignment horizontal="center"/>
    </xf>
    <xf numFmtId="43" fontId="9" fillId="4" borderId="32" xfId="1" applyFont="1" applyFill="1" applyBorder="1" applyAlignment="1">
      <alignment horizontal="center"/>
    </xf>
    <xf numFmtId="43" fontId="9" fillId="4" borderId="46" xfId="1" applyFont="1" applyFill="1" applyBorder="1" applyAlignment="1">
      <alignment horizontal="center"/>
    </xf>
    <xf numFmtId="0" fontId="9" fillId="9" borderId="42" xfId="0" applyFont="1" applyFill="1" applyBorder="1" applyAlignment="1">
      <alignment horizontal="center"/>
    </xf>
    <xf numFmtId="0" fontId="9" fillId="9" borderId="43" xfId="0" applyFont="1" applyFill="1" applyBorder="1" applyAlignment="1">
      <alignment horizontal="center"/>
    </xf>
    <xf numFmtId="0" fontId="9" fillId="9" borderId="44" xfId="0" applyFont="1" applyFill="1" applyBorder="1" applyAlignment="1">
      <alignment horizontal="center"/>
    </xf>
    <xf numFmtId="43" fontId="9" fillId="9" borderId="42" xfId="0" applyNumberFormat="1" applyFont="1" applyFill="1" applyBorder="1"/>
    <xf numFmtId="43" fontId="9" fillId="9" borderId="47" xfId="0" applyNumberFormat="1" applyFont="1" applyFill="1" applyBorder="1"/>
    <xf numFmtId="43" fontId="9" fillId="9" borderId="43" xfId="0" applyNumberFormat="1" applyFont="1" applyFill="1" applyBorder="1"/>
    <xf numFmtId="43" fontId="9" fillId="9" borderId="14" xfId="0" applyNumberFormat="1" applyFont="1" applyFill="1" applyBorder="1" applyAlignment="1">
      <alignment horizontal="left"/>
    </xf>
    <xf numFmtId="0" fontId="12" fillId="0" borderId="48" xfId="0" applyFont="1" applyBorder="1" applyAlignment="1">
      <alignment vertical="center" wrapText="1"/>
    </xf>
    <xf numFmtId="3" fontId="12" fillId="0" borderId="49" xfId="0" applyNumberFormat="1" applyFont="1" applyBorder="1" applyAlignment="1">
      <alignment horizontal="right" vertical="center" wrapText="1"/>
    </xf>
    <xf numFmtId="0" fontId="12" fillId="0" borderId="49" xfId="0" applyFont="1" applyBorder="1" applyAlignment="1">
      <alignment horizontal="right" vertical="center" wrapText="1"/>
    </xf>
    <xf numFmtId="0" fontId="13" fillId="0" borderId="48" xfId="0" applyFont="1" applyBorder="1" applyAlignment="1">
      <alignment vertical="center" wrapText="1"/>
    </xf>
    <xf numFmtId="3" fontId="13" fillId="0" borderId="49" xfId="0" applyNumberFormat="1" applyFont="1" applyBorder="1" applyAlignment="1">
      <alignment horizontal="right" vertical="center" wrapText="1"/>
    </xf>
    <xf numFmtId="0" fontId="12" fillId="0" borderId="50" xfId="0" applyFont="1" applyBorder="1" applyAlignment="1">
      <alignment vertical="center" wrapText="1"/>
    </xf>
    <xf numFmtId="0" fontId="13" fillId="0" borderId="51" xfId="0" applyFont="1" applyBorder="1" applyAlignment="1">
      <alignment horizontal="right" vertical="center" wrapText="1"/>
    </xf>
    <xf numFmtId="0" fontId="13" fillId="0" borderId="52" xfId="0" applyFont="1" applyBorder="1" applyAlignment="1">
      <alignment vertical="center" wrapText="1"/>
    </xf>
    <xf numFmtId="43" fontId="9" fillId="9" borderId="44" xfId="0" applyNumberFormat="1" applyFont="1" applyFill="1" applyBorder="1" applyAlignment="1">
      <alignment horizontal="left"/>
    </xf>
    <xf numFmtId="43" fontId="9" fillId="0" borderId="41" xfId="0" applyNumberFormat="1" applyFont="1" applyBorder="1" applyAlignment="1">
      <alignment horizontal="left"/>
    </xf>
    <xf numFmtId="43" fontId="10" fillId="0" borderId="21" xfId="1" applyFont="1" applyBorder="1" applyAlignment="1">
      <alignment horizontal="left"/>
    </xf>
    <xf numFmtId="43" fontId="10" fillId="0" borderId="22" xfId="1" applyFont="1" applyBorder="1" applyAlignment="1">
      <alignment horizontal="left"/>
    </xf>
    <xf numFmtId="43" fontId="9" fillId="0" borderId="44" xfId="0" applyNumberFormat="1" applyFont="1" applyBorder="1" applyAlignment="1">
      <alignment horizontal="left"/>
    </xf>
    <xf numFmtId="1" fontId="10" fillId="0" borderId="54" xfId="0" applyNumberFormat="1" applyFont="1" applyBorder="1" applyAlignment="1">
      <alignment horizontal="left"/>
    </xf>
    <xf numFmtId="0" fontId="10" fillId="0" borderId="54" xfId="0" applyFont="1" applyBorder="1" applyAlignment="1">
      <alignment horizontal="left"/>
    </xf>
    <xf numFmtId="0" fontId="10" fillId="0" borderId="55" xfId="0" applyFont="1" applyBorder="1" applyAlignment="1">
      <alignment horizontal="left"/>
    </xf>
    <xf numFmtId="43" fontId="9" fillId="0" borderId="31" xfId="0" applyNumberFormat="1" applyFont="1" applyBorder="1" applyAlignment="1">
      <alignment horizontal="left"/>
    </xf>
    <xf numFmtId="0" fontId="10" fillId="0" borderId="8" xfId="1" applyNumberFormat="1" applyFont="1" applyBorder="1" applyAlignment="1">
      <alignment horizontal="center"/>
    </xf>
    <xf numFmtId="43" fontId="9" fillId="7" borderId="16" xfId="1" applyFont="1" applyFill="1" applyBorder="1" applyAlignment="1">
      <alignment horizontal="center"/>
    </xf>
    <xf numFmtId="43" fontId="9" fillId="7" borderId="21" xfId="1" applyFont="1" applyFill="1" applyBorder="1" applyAlignment="1">
      <alignment horizontal="center"/>
    </xf>
    <xf numFmtId="43" fontId="9" fillId="6" borderId="28" xfId="1" applyFont="1" applyFill="1" applyBorder="1" applyAlignment="1">
      <alignment horizontal="center" wrapText="1"/>
    </xf>
    <xf numFmtId="43" fontId="9" fillId="6" borderId="32" xfId="1" applyFont="1" applyFill="1" applyBorder="1" applyAlignment="1">
      <alignment horizontal="center"/>
    </xf>
    <xf numFmtId="43" fontId="9" fillId="0" borderId="46" xfId="0" applyNumberFormat="1" applyFont="1" applyBorder="1" applyAlignment="1">
      <alignment horizontal="left"/>
    </xf>
    <xf numFmtId="0" fontId="9" fillId="9" borderId="15" xfId="0" applyFont="1" applyFill="1" applyBorder="1" applyAlignment="1">
      <alignment horizontal="center"/>
    </xf>
    <xf numFmtId="0" fontId="9" fillId="9" borderId="20" xfId="0" applyFont="1" applyFill="1" applyBorder="1" applyAlignment="1">
      <alignment horizontal="center"/>
    </xf>
    <xf numFmtId="43" fontId="9" fillId="6" borderId="33" xfId="1" applyFont="1" applyFill="1" applyBorder="1" applyAlignment="1">
      <alignment horizontal="left"/>
    </xf>
    <xf numFmtId="43" fontId="9" fillId="6" borderId="0" xfId="1" applyFont="1" applyFill="1" applyAlignment="1">
      <alignment horizontal="left"/>
    </xf>
    <xf numFmtId="43" fontId="9" fillId="6" borderId="55" xfId="1" applyFont="1" applyFill="1" applyBorder="1" applyAlignment="1">
      <alignment horizontal="left"/>
    </xf>
    <xf numFmtId="43" fontId="10" fillId="0" borderId="7" xfId="1" applyFont="1" applyBorder="1" applyAlignment="1">
      <alignment horizontal="left"/>
    </xf>
    <xf numFmtId="43" fontId="10" fillId="8" borderId="13" xfId="1" applyFont="1" applyFill="1" applyBorder="1" applyAlignment="1">
      <alignment horizontal="left"/>
    </xf>
    <xf numFmtId="43" fontId="10" fillId="0" borderId="13" xfId="1" applyFont="1" applyBorder="1" applyAlignment="1">
      <alignment horizontal="left"/>
    </xf>
    <xf numFmtId="43" fontId="10" fillId="0" borderId="3" xfId="1" applyFont="1" applyBorder="1" applyAlignment="1">
      <alignment horizontal="left"/>
    </xf>
    <xf numFmtId="0" fontId="10" fillId="0" borderId="29" xfId="1" applyNumberFormat="1" applyFont="1" applyBorder="1" applyAlignment="1">
      <alignment horizontal="center"/>
    </xf>
    <xf numFmtId="0" fontId="11" fillId="0" borderId="10" xfId="1" applyNumberFormat="1" applyFont="1" applyBorder="1" applyAlignment="1">
      <alignment horizontal="left"/>
    </xf>
    <xf numFmtId="43" fontId="9" fillId="0" borderId="29" xfId="0" applyNumberFormat="1" applyFont="1" applyBorder="1"/>
    <xf numFmtId="43" fontId="9" fillId="0" borderId="18" xfId="0" applyNumberFormat="1" applyFont="1" applyBorder="1"/>
    <xf numFmtId="0" fontId="10" fillId="0" borderId="20" xfId="1" applyNumberFormat="1" applyFont="1" applyBorder="1" applyAlignment="1">
      <alignment horizontal="center"/>
    </xf>
    <xf numFmtId="0" fontId="11" fillId="0" borderId="21" xfId="0" applyFont="1" applyBorder="1" applyAlignment="1">
      <alignment horizontal="left"/>
    </xf>
    <xf numFmtId="43" fontId="10" fillId="0" borderId="32" xfId="1" applyFont="1" applyBorder="1" applyAlignment="1">
      <alignment horizontal="left"/>
    </xf>
    <xf numFmtId="43" fontId="9" fillId="0" borderId="20" xfId="0" applyNumberFormat="1" applyFont="1" applyBorder="1"/>
    <xf numFmtId="0" fontId="10" fillId="0" borderId="10" xfId="1" applyNumberFormat="1" applyFont="1" applyBorder="1" applyAlignment="1">
      <alignment horizontal="center"/>
    </xf>
    <xf numFmtId="0" fontId="10" fillId="0" borderId="21" xfId="1" applyNumberFormat="1" applyFont="1" applyBorder="1" applyAlignment="1">
      <alignment horizontal="center"/>
    </xf>
    <xf numFmtId="43" fontId="9" fillId="6" borderId="56" xfId="1" applyFont="1" applyFill="1" applyBorder="1" applyAlignment="1">
      <alignment horizontal="center" wrapText="1"/>
    </xf>
    <xf numFmtId="43" fontId="0" fillId="0" borderId="0" xfId="1" applyFont="1"/>
    <xf numFmtId="9" fontId="0" fillId="0" borderId="0" xfId="3" applyFont="1"/>
    <xf numFmtId="0" fontId="0" fillId="0" borderId="0" xfId="0" applyAlignment="1">
      <alignment horizontal="center"/>
    </xf>
    <xf numFmtId="43" fontId="0" fillId="0" borderId="0" xfId="1" applyFont="1" applyAlignment="1">
      <alignment horizontal="center"/>
    </xf>
    <xf numFmtId="43" fontId="3" fillId="0" borderId="0" xfId="0" applyNumberFormat="1" applyFont="1" applyAlignment="1">
      <alignment horizontal="left"/>
    </xf>
    <xf numFmtId="43" fontId="5" fillId="0" borderId="0" xfId="0" applyNumberFormat="1" applyFont="1"/>
    <xf numFmtId="43" fontId="3" fillId="3" borderId="0" xfId="1" applyFont="1" applyFill="1"/>
    <xf numFmtId="166" fontId="4" fillId="0" borderId="0" xfId="0" applyNumberFormat="1" applyFont="1" applyAlignment="1">
      <alignment horizontal="right"/>
    </xf>
    <xf numFmtId="43" fontId="14" fillId="0" borderId="0" xfId="1" applyFont="1"/>
    <xf numFmtId="167" fontId="3" fillId="0" borderId="0" xfId="0" applyNumberFormat="1" applyFont="1"/>
    <xf numFmtId="1" fontId="15" fillId="0" borderId="0" xfId="0" applyNumberFormat="1" applyFont="1" applyAlignment="1">
      <alignment horizontal="left"/>
    </xf>
    <xf numFmtId="0" fontId="15" fillId="0" borderId="0" xfId="0" applyFont="1" applyAlignment="1">
      <alignment horizontal="left"/>
    </xf>
    <xf numFmtId="43" fontId="15" fillId="0" borderId="0" xfId="1" applyFont="1" applyAlignment="1">
      <alignment horizontal="left"/>
    </xf>
    <xf numFmtId="0" fontId="16" fillId="6" borderId="13" xfId="0" applyFont="1" applyFill="1" applyBorder="1"/>
    <xf numFmtId="0" fontId="16" fillId="6" borderId="16" xfId="1" applyNumberFormat="1" applyFont="1" applyFill="1" applyBorder="1" applyAlignment="1">
      <alignment horizontal="center"/>
    </xf>
    <xf numFmtId="0" fontId="16" fillId="6" borderId="16" xfId="1" applyNumberFormat="1" applyFont="1" applyFill="1" applyBorder="1" applyAlignment="1">
      <alignment horizontal="center" wrapText="1"/>
    </xf>
    <xf numFmtId="43" fontId="16" fillId="6" borderId="16" xfId="1" applyFont="1" applyFill="1" applyBorder="1" applyAlignment="1">
      <alignment horizontal="center"/>
    </xf>
    <xf numFmtId="43" fontId="16" fillId="6" borderId="16" xfId="1" applyFont="1" applyFill="1" applyBorder="1" applyAlignment="1">
      <alignment horizontal="center" wrapText="1"/>
    </xf>
    <xf numFmtId="43" fontId="16" fillId="6" borderId="15" xfId="1" applyFont="1" applyFill="1" applyBorder="1" applyAlignment="1">
      <alignment horizontal="center"/>
    </xf>
    <xf numFmtId="43" fontId="16" fillId="6" borderId="28" xfId="1" applyFont="1" applyFill="1" applyBorder="1" applyAlignment="1">
      <alignment horizontal="left"/>
    </xf>
    <xf numFmtId="43" fontId="16" fillId="7" borderId="15" xfId="1" applyFont="1" applyFill="1" applyBorder="1" applyAlignment="1">
      <alignment horizontal="center"/>
    </xf>
    <xf numFmtId="43" fontId="16" fillId="5" borderId="16" xfId="1" applyFont="1" applyFill="1" applyBorder="1" applyAlignment="1">
      <alignment horizontal="center"/>
    </xf>
    <xf numFmtId="43" fontId="16" fillId="4" borderId="17" xfId="1" applyFont="1" applyFill="1" applyBorder="1" applyAlignment="1">
      <alignment horizontal="center"/>
    </xf>
    <xf numFmtId="0" fontId="16" fillId="6" borderId="21" xfId="1" applyNumberFormat="1" applyFont="1" applyFill="1" applyBorder="1" applyAlignment="1">
      <alignment horizontal="center"/>
    </xf>
    <xf numFmtId="43" fontId="16" fillId="6" borderId="21" xfId="1" applyFont="1" applyFill="1" applyBorder="1" applyAlignment="1">
      <alignment horizontal="center"/>
    </xf>
    <xf numFmtId="43" fontId="16" fillId="6" borderId="21" xfId="1" applyFont="1" applyFill="1" applyBorder="1" applyAlignment="1">
      <alignment horizontal="center" wrapText="1"/>
    </xf>
    <xf numFmtId="43" fontId="16" fillId="6" borderId="20" xfId="1" applyFont="1" applyFill="1" applyBorder="1" applyAlignment="1">
      <alignment horizontal="center"/>
    </xf>
    <xf numFmtId="43" fontId="16" fillId="6" borderId="32" xfId="1" applyFont="1" applyFill="1" applyBorder="1" applyAlignment="1">
      <alignment horizontal="left"/>
    </xf>
    <xf numFmtId="43" fontId="16" fillId="7" borderId="20" xfId="1" applyFont="1" applyFill="1" applyBorder="1" applyAlignment="1">
      <alignment horizontal="center"/>
    </xf>
    <xf numFmtId="43" fontId="16" fillId="5" borderId="21" xfId="1" applyFont="1" applyFill="1" applyBorder="1" applyAlignment="1">
      <alignment horizontal="center"/>
    </xf>
    <xf numFmtId="43" fontId="16" fillId="4" borderId="22" xfId="1" applyFont="1" applyFill="1" applyBorder="1" applyAlignment="1">
      <alignment horizontal="center"/>
    </xf>
    <xf numFmtId="43" fontId="16" fillId="0" borderId="10" xfId="1" applyFont="1" applyBorder="1" applyAlignment="1">
      <alignment horizontal="left"/>
    </xf>
    <xf numFmtId="0" fontId="17" fillId="0" borderId="8" xfId="0" applyFont="1" applyBorder="1" applyAlignment="1">
      <alignment horizontal="left"/>
    </xf>
    <xf numFmtId="43" fontId="15" fillId="0" borderId="8" xfId="1" applyFont="1" applyBorder="1" applyAlignment="1">
      <alignment horizontal="left"/>
    </xf>
    <xf numFmtId="15" fontId="15" fillId="0" borderId="8" xfId="1" applyNumberFormat="1" applyFont="1" applyBorder="1" applyAlignment="1">
      <alignment horizontal="left"/>
    </xf>
    <xf numFmtId="1" fontId="15" fillId="0" borderId="8" xfId="1" applyNumberFormat="1" applyFont="1" applyBorder="1" applyAlignment="1">
      <alignment horizontal="center"/>
    </xf>
    <xf numFmtId="2" fontId="15" fillId="0" borderId="8" xfId="0" applyNumberFormat="1" applyFont="1" applyBorder="1" applyAlignment="1">
      <alignment horizontal="center"/>
    </xf>
    <xf numFmtId="43" fontId="17" fillId="0" borderId="8" xfId="1" applyFont="1" applyBorder="1" applyAlignment="1">
      <alignment horizontal="left"/>
    </xf>
    <xf numFmtId="43" fontId="16" fillId="0" borderId="8" xfId="1" applyFont="1" applyBorder="1" applyAlignment="1">
      <alignment horizontal="left"/>
    </xf>
    <xf numFmtId="43" fontId="15" fillId="0" borderId="18" xfId="1" applyFont="1" applyBorder="1" applyAlignment="1">
      <alignment horizontal="left"/>
    </xf>
    <xf numFmtId="43" fontId="15" fillId="0" borderId="8" xfId="1" applyFont="1" applyBorder="1" applyAlignment="1">
      <alignment horizontal="right"/>
    </xf>
    <xf numFmtId="0" fontId="15" fillId="0" borderId="11" xfId="0" applyFont="1" applyBorder="1" applyAlignment="1">
      <alignment horizontal="left"/>
    </xf>
    <xf numFmtId="0" fontId="15" fillId="0" borderId="8" xfId="1" applyNumberFormat="1" applyFont="1" applyBorder="1" applyAlignment="1">
      <alignment horizontal="left"/>
    </xf>
    <xf numFmtId="0" fontId="15" fillId="0" borderId="8" xfId="1" applyNumberFormat="1" applyFont="1" applyBorder="1" applyAlignment="1">
      <alignment horizontal="center"/>
    </xf>
    <xf numFmtId="43" fontId="15" fillId="0" borderId="8" xfId="1" applyFont="1" applyBorder="1" applyAlignment="1">
      <alignment horizontal="center"/>
    </xf>
    <xf numFmtId="0" fontId="15" fillId="0" borderId="8" xfId="0" applyFont="1" applyBorder="1" applyAlignment="1">
      <alignment horizontal="left"/>
    </xf>
    <xf numFmtId="0" fontId="16" fillId="0" borderId="11" xfId="0" applyFont="1" applyBorder="1" applyAlignment="1">
      <alignment horizontal="left"/>
    </xf>
    <xf numFmtId="0" fontId="16" fillId="0" borderId="12" xfId="0" applyFont="1" applyBorder="1" applyAlignment="1">
      <alignment horizontal="left"/>
    </xf>
    <xf numFmtId="0" fontId="16" fillId="0" borderId="13" xfId="0" applyFont="1" applyBorder="1" applyAlignment="1">
      <alignment horizontal="left"/>
    </xf>
    <xf numFmtId="166" fontId="16" fillId="0" borderId="8" xfId="0" applyNumberFormat="1" applyFont="1" applyBorder="1" applyAlignment="1">
      <alignment horizontal="left"/>
    </xf>
    <xf numFmtId="9" fontId="16" fillId="0" borderId="8" xfId="3" applyFont="1" applyBorder="1" applyAlignment="1">
      <alignment horizontal="center"/>
    </xf>
    <xf numFmtId="0" fontId="16" fillId="0" borderId="0" xfId="0" applyFont="1"/>
    <xf numFmtId="166" fontId="15" fillId="0" borderId="0" xfId="0" applyNumberFormat="1" applyFont="1" applyAlignment="1">
      <alignment horizontal="left"/>
    </xf>
    <xf numFmtId="0" fontId="16" fillId="0" borderId="0" xfId="0" applyFont="1" applyAlignment="1">
      <alignment horizontal="left"/>
    </xf>
    <xf numFmtId="9" fontId="16" fillId="0" borderId="0" xfId="3" applyFont="1" applyAlignment="1">
      <alignment horizontal="center"/>
    </xf>
    <xf numFmtId="0" fontId="16" fillId="0" borderId="0" xfId="1" applyNumberFormat="1" applyFont="1"/>
    <xf numFmtId="9" fontId="15" fillId="0" borderId="0" xfId="3" applyFont="1" applyAlignment="1">
      <alignment horizontal="left"/>
    </xf>
    <xf numFmtId="0" fontId="16" fillId="6" borderId="24" xfId="0" applyFont="1" applyFill="1" applyBorder="1" applyAlignment="1">
      <alignment horizontal="center"/>
    </xf>
    <xf numFmtId="0" fontId="16" fillId="6" borderId="25" xfId="0" applyFont="1" applyFill="1" applyBorder="1" applyAlignment="1">
      <alignment horizontal="center"/>
    </xf>
    <xf numFmtId="0" fontId="16" fillId="6" borderId="57" xfId="0" applyFont="1" applyFill="1" applyBorder="1" applyAlignment="1">
      <alignment horizontal="center"/>
    </xf>
    <xf numFmtId="43" fontId="16" fillId="6" borderId="40" xfId="1" applyFont="1" applyFill="1" applyBorder="1" applyAlignment="1">
      <alignment horizontal="center"/>
    </xf>
    <xf numFmtId="0" fontId="16" fillId="6" borderId="27" xfId="1" applyNumberFormat="1" applyFont="1" applyFill="1" applyBorder="1" applyAlignment="1">
      <alignment horizontal="left"/>
    </xf>
    <xf numFmtId="43" fontId="16" fillId="6" borderId="27" xfId="1" applyFont="1" applyFill="1" applyBorder="1" applyAlignment="1">
      <alignment horizontal="left"/>
    </xf>
    <xf numFmtId="0" fontId="16" fillId="6" borderId="27" xfId="1" applyNumberFormat="1" applyFont="1" applyFill="1" applyBorder="1" applyAlignment="1">
      <alignment horizontal="left" wrapText="1"/>
    </xf>
    <xf numFmtId="43" fontId="16" fillId="6" borderId="41" xfId="1" applyFont="1" applyFill="1" applyBorder="1" applyAlignment="1">
      <alignment horizontal="center"/>
    </xf>
    <xf numFmtId="0" fontId="16" fillId="6" borderId="31" xfId="1" applyNumberFormat="1" applyFont="1" applyFill="1" applyBorder="1" applyAlignment="1">
      <alignment horizontal="left"/>
    </xf>
    <xf numFmtId="43" fontId="16" fillId="6" borderId="31" xfId="1" applyFont="1" applyFill="1" applyBorder="1" applyAlignment="1">
      <alignment horizontal="left"/>
    </xf>
    <xf numFmtId="0" fontId="16" fillId="6" borderId="31" xfId="1" applyNumberFormat="1" applyFont="1" applyFill="1" applyBorder="1" applyAlignment="1">
      <alignment horizontal="left" wrapText="1"/>
    </xf>
    <xf numFmtId="166" fontId="3" fillId="5" borderId="0" xfId="0" applyNumberFormat="1" applyFont="1" applyFill="1"/>
    <xf numFmtId="166" fontId="3" fillId="10" borderId="0" xfId="0" applyNumberFormat="1" applyFont="1" applyFill="1"/>
    <xf numFmtId="0" fontId="4" fillId="0" borderId="0" xfId="0" applyFont="1" applyAlignment="1">
      <alignment horizontal="left" wrapText="1"/>
    </xf>
    <xf numFmtId="43" fontId="15" fillId="11" borderId="8" xfId="1" applyFont="1" applyFill="1" applyBorder="1" applyAlignment="1">
      <alignment horizontal="left"/>
    </xf>
    <xf numFmtId="0" fontId="17" fillId="11" borderId="8" xfId="0" applyFont="1" applyFill="1" applyBorder="1" applyAlignment="1">
      <alignment horizontal="left"/>
    </xf>
    <xf numFmtId="15" fontId="15" fillId="11" borderId="8" xfId="1" applyNumberFormat="1" applyFont="1" applyFill="1" applyBorder="1" applyAlignment="1">
      <alignment horizontal="left"/>
    </xf>
    <xf numFmtId="1" fontId="15" fillId="11" borderId="8" xfId="1" applyNumberFormat="1" applyFont="1" applyFill="1" applyBorder="1" applyAlignment="1">
      <alignment horizontal="center"/>
    </xf>
    <xf numFmtId="0" fontId="15" fillId="11" borderId="8" xfId="1" applyNumberFormat="1" applyFont="1" applyFill="1" applyBorder="1" applyAlignment="1">
      <alignment horizontal="left"/>
    </xf>
    <xf numFmtId="2" fontId="15" fillId="11" borderId="8" xfId="0" applyNumberFormat="1" applyFont="1" applyFill="1" applyBorder="1" applyAlignment="1">
      <alignment horizontal="center"/>
    </xf>
    <xf numFmtId="43" fontId="17" fillId="11" borderId="8" xfId="1" applyFont="1" applyFill="1" applyBorder="1" applyAlignment="1">
      <alignment horizontal="left"/>
    </xf>
    <xf numFmtId="43" fontId="16" fillId="11" borderId="8" xfId="1" applyFont="1" applyFill="1" applyBorder="1" applyAlignment="1">
      <alignment horizontal="left"/>
    </xf>
    <xf numFmtId="43" fontId="15" fillId="11" borderId="18" xfId="1" applyFont="1" applyFill="1" applyBorder="1" applyAlignment="1">
      <alignment horizontal="left"/>
    </xf>
    <xf numFmtId="0" fontId="15" fillId="11" borderId="11" xfId="0" applyFont="1" applyFill="1" applyBorder="1" applyAlignment="1">
      <alignment horizontal="left"/>
    </xf>
    <xf numFmtId="43" fontId="15" fillId="11" borderId="19" xfId="1" applyFont="1" applyFill="1" applyBorder="1" applyAlignment="1">
      <alignment horizontal="left"/>
    </xf>
    <xf numFmtId="166" fontId="3" fillId="11" borderId="0" xfId="0" applyNumberFormat="1" applyFont="1" applyFill="1"/>
    <xf numFmtId="0" fontId="3" fillId="0" borderId="9" xfId="0" applyFont="1" applyBorder="1" applyAlignment="1">
      <alignment horizontal="left"/>
    </xf>
    <xf numFmtId="164" fontId="3" fillId="0" borderId="7" xfId="1" applyNumberFormat="1" applyFont="1" applyBorder="1"/>
    <xf numFmtId="43" fontId="15" fillId="12" borderId="8" xfId="1" applyFont="1" applyFill="1" applyBorder="1" applyAlignment="1">
      <alignment horizontal="left"/>
    </xf>
    <xf numFmtId="15" fontId="15" fillId="12" borderId="8" xfId="1" applyNumberFormat="1" applyFont="1" applyFill="1" applyBorder="1" applyAlignment="1">
      <alignment horizontal="left"/>
    </xf>
    <xf numFmtId="1" fontId="15" fillId="12" borderId="8" xfId="1" applyNumberFormat="1" applyFont="1" applyFill="1" applyBorder="1" applyAlignment="1">
      <alignment horizontal="center"/>
    </xf>
    <xf numFmtId="0" fontId="15" fillId="12" borderId="8" xfId="1" applyNumberFormat="1" applyFont="1" applyFill="1" applyBorder="1" applyAlignment="1">
      <alignment horizontal="left"/>
    </xf>
    <xf numFmtId="2" fontId="15" fillId="12" borderId="8" xfId="0" applyNumberFormat="1" applyFont="1" applyFill="1" applyBorder="1" applyAlignment="1">
      <alignment horizontal="center"/>
    </xf>
    <xf numFmtId="43" fontId="17" fillId="12" borderId="8" xfId="1" applyFont="1" applyFill="1" applyBorder="1" applyAlignment="1">
      <alignment horizontal="left"/>
    </xf>
    <xf numFmtId="43" fontId="16" fillId="12" borderId="8" xfId="1" applyFont="1" applyFill="1" applyBorder="1" applyAlignment="1">
      <alignment horizontal="left"/>
    </xf>
    <xf numFmtId="43" fontId="15" fillId="12" borderId="8" xfId="1" applyFont="1" applyFill="1" applyBorder="1" applyAlignment="1">
      <alignment horizontal="right"/>
    </xf>
    <xf numFmtId="0" fontId="15" fillId="12" borderId="8" xfId="0" applyFont="1" applyFill="1" applyBorder="1" applyAlignment="1">
      <alignment horizontal="left"/>
    </xf>
    <xf numFmtId="15" fontId="3" fillId="0" borderId="0" xfId="0" applyNumberFormat="1" applyFont="1" applyAlignment="1">
      <alignment horizontal="right"/>
    </xf>
    <xf numFmtId="43" fontId="3" fillId="0" borderId="0" xfId="1" applyFont="1" applyAlignment="1">
      <alignment horizontal="right"/>
    </xf>
    <xf numFmtId="0" fontId="3" fillId="10" borderId="0" xfId="0" applyFont="1" applyFill="1"/>
    <xf numFmtId="15" fontId="3" fillId="10" borderId="0" xfId="0" applyNumberFormat="1" applyFont="1" applyFill="1" applyAlignment="1">
      <alignment horizontal="left"/>
    </xf>
    <xf numFmtId="0" fontId="3" fillId="10" borderId="0" xfId="0" applyFont="1" applyFill="1" applyAlignment="1">
      <alignment horizontal="center"/>
    </xf>
    <xf numFmtId="166" fontId="3" fillId="10" borderId="0" xfId="0" applyNumberFormat="1" applyFont="1" applyFill="1" applyAlignment="1">
      <alignment horizontal="right"/>
    </xf>
    <xf numFmtId="166" fontId="7" fillId="3" borderId="0" xfId="0" applyNumberFormat="1" applyFont="1" applyFill="1"/>
    <xf numFmtId="43" fontId="15" fillId="0" borderId="0" xfId="0" applyNumberFormat="1" applyFont="1" applyAlignment="1">
      <alignment horizontal="left"/>
    </xf>
    <xf numFmtId="43" fontId="17" fillId="0" borderId="8" xfId="1" applyFont="1" applyBorder="1" applyAlignment="1">
      <alignment horizontal="right"/>
    </xf>
    <xf numFmtId="0" fontId="17" fillId="0" borderId="0" xfId="0" applyFont="1" applyAlignment="1">
      <alignment horizontal="left"/>
    </xf>
    <xf numFmtId="43" fontId="16" fillId="0" borderId="0" xfId="1" applyFont="1" applyAlignment="1">
      <alignment horizontal="left"/>
    </xf>
    <xf numFmtId="43" fontId="5" fillId="10" borderId="0" xfId="1" applyFont="1" applyFill="1"/>
    <xf numFmtId="43" fontId="15" fillId="11" borderId="18" xfId="1" applyFont="1" applyFill="1" applyBorder="1" applyAlignment="1">
      <alignment horizontal="right"/>
    </xf>
    <xf numFmtId="43" fontId="15" fillId="11" borderId="8" xfId="1" applyFont="1" applyFill="1" applyBorder="1" applyAlignment="1">
      <alignment horizontal="right"/>
    </xf>
    <xf numFmtId="43" fontId="15" fillId="0" borderId="11" xfId="1" applyFont="1" applyBorder="1" applyAlignment="1">
      <alignment horizontal="left"/>
    </xf>
    <xf numFmtId="43" fontId="3" fillId="0" borderId="13" xfId="1" applyFont="1" applyBorder="1" applyAlignment="1">
      <alignment horizontal="left"/>
    </xf>
    <xf numFmtId="0" fontId="3" fillId="0" borderId="13" xfId="0" applyFont="1" applyBorder="1" applyAlignment="1">
      <alignment horizontal="left"/>
    </xf>
    <xf numFmtId="0" fontId="3" fillId="0" borderId="3" xfId="0" applyFont="1" applyBorder="1" applyAlignment="1">
      <alignment horizontal="left"/>
    </xf>
    <xf numFmtId="43" fontId="16" fillId="5" borderId="17" xfId="1" applyFont="1" applyFill="1" applyBorder="1" applyAlignment="1">
      <alignment horizontal="center"/>
    </xf>
    <xf numFmtId="43" fontId="16" fillId="5" borderId="22" xfId="1" applyFont="1" applyFill="1" applyBorder="1" applyAlignment="1">
      <alignment horizontal="center"/>
    </xf>
    <xf numFmtId="43" fontId="15" fillId="11" borderId="11" xfId="1" applyFont="1" applyFill="1" applyBorder="1" applyAlignment="1">
      <alignment horizontal="left"/>
    </xf>
    <xf numFmtId="43" fontId="15" fillId="11" borderId="8" xfId="0" applyNumberFormat="1" applyFont="1" applyFill="1" applyBorder="1" applyAlignment="1">
      <alignment horizontal="left"/>
    </xf>
    <xf numFmtId="0" fontId="14" fillId="4" borderId="0" xfId="0" applyFont="1" applyFill="1"/>
    <xf numFmtId="0" fontId="5" fillId="4" borderId="0" xfId="0" applyFont="1" applyFill="1"/>
    <xf numFmtId="0" fontId="15" fillId="11" borderId="8" xfId="0" applyFont="1" applyFill="1" applyBorder="1" applyAlignment="1">
      <alignment horizontal="left"/>
    </xf>
    <xf numFmtId="43" fontId="15" fillId="0" borderId="18" xfId="1" applyFont="1" applyBorder="1" applyAlignment="1">
      <alignment horizontal="right"/>
    </xf>
    <xf numFmtId="43" fontId="15" fillId="0" borderId="8" xfId="0" applyNumberFormat="1" applyFont="1" applyBorder="1" applyAlignment="1">
      <alignment horizontal="left"/>
    </xf>
    <xf numFmtId="10" fontId="3" fillId="0" borderId="0" xfId="0" applyNumberFormat="1" applyFont="1"/>
    <xf numFmtId="43" fontId="4" fillId="0" borderId="0" xfId="1" applyFont="1" applyAlignment="1">
      <alignment horizontal="right"/>
    </xf>
    <xf numFmtId="15" fontId="3" fillId="0" borderId="1" xfId="0" applyNumberFormat="1" applyFont="1" applyBorder="1" applyAlignment="1">
      <alignment horizontal="left"/>
    </xf>
    <xf numFmtId="0" fontId="3" fillId="0" borderId="1" xfId="0" applyFont="1" applyBorder="1" applyAlignment="1">
      <alignment horizontal="center"/>
    </xf>
    <xf numFmtId="0" fontId="14" fillId="0" borderId="0" xfId="0" applyFont="1"/>
    <xf numFmtId="43" fontId="18" fillId="0" borderId="8" xfId="1" applyFont="1" applyBorder="1" applyAlignment="1">
      <alignment horizontal="left"/>
    </xf>
    <xf numFmtId="43" fontId="5" fillId="5" borderId="0" xfId="1" applyFont="1" applyFill="1"/>
    <xf numFmtId="43" fontId="3" fillId="3" borderId="0" xfId="0" applyNumberFormat="1" applyFont="1" applyFill="1"/>
    <xf numFmtId="167" fontId="3" fillId="3" borderId="0" xfId="0" applyNumberFormat="1" applyFont="1" applyFill="1"/>
    <xf numFmtId="43" fontId="3" fillId="0" borderId="5" xfId="1" applyFont="1" applyBorder="1"/>
    <xf numFmtId="43" fontId="3" fillId="0" borderId="2" xfId="1" applyFont="1" applyBorder="1"/>
    <xf numFmtId="43" fontId="3" fillId="0" borderId="4" xfId="1" applyFont="1" applyBorder="1"/>
    <xf numFmtId="43" fontId="3" fillId="0" borderId="6" xfId="1" applyFont="1" applyBorder="1"/>
    <xf numFmtId="43" fontId="4" fillId="2" borderId="0" xfId="1" applyFont="1" applyFill="1" applyAlignment="1">
      <alignment horizontal="center"/>
    </xf>
    <xf numFmtId="43" fontId="7" fillId="0" borderId="0" xfId="1" applyFont="1"/>
    <xf numFmtId="43" fontId="3" fillId="10" borderId="0" xfId="1" applyFont="1" applyFill="1"/>
    <xf numFmtId="43" fontId="5" fillId="4" borderId="0" xfId="1" applyFont="1" applyFill="1"/>
    <xf numFmtId="43" fontId="14" fillId="4" borderId="0" xfId="1" applyFont="1" applyFill="1"/>
    <xf numFmtId="168" fontId="15" fillId="0" borderId="8" xfId="3" applyNumberFormat="1" applyFont="1" applyBorder="1" applyAlignment="1">
      <alignment horizontal="center"/>
    </xf>
    <xf numFmtId="168" fontId="15" fillId="11" borderId="8" xfId="3" applyNumberFormat="1" applyFont="1" applyFill="1" applyBorder="1" applyAlignment="1">
      <alignment horizontal="center"/>
    </xf>
    <xf numFmtId="0" fontId="7" fillId="0" borderId="0" xfId="0" applyFont="1" applyAlignment="1">
      <alignment horizontal="left"/>
    </xf>
    <xf numFmtId="14" fontId="3" fillId="0" borderId="0" xfId="0" applyNumberFormat="1" applyFont="1" applyAlignment="1">
      <alignment horizontal="right"/>
    </xf>
    <xf numFmtId="10" fontId="5" fillId="0" borderId="0" xfId="3" applyNumberFormat="1" applyFont="1"/>
    <xf numFmtId="169" fontId="3" fillId="0" borderId="0" xfId="1" applyNumberFormat="1" applyFont="1"/>
    <xf numFmtId="9" fontId="16" fillId="0" borderId="8" xfId="3" applyFont="1" applyBorder="1" applyAlignment="1">
      <alignment horizontal="left"/>
    </xf>
    <xf numFmtId="43" fontId="4" fillId="0" borderId="3" xfId="1" applyFont="1" applyBorder="1"/>
    <xf numFmtId="0" fontId="7" fillId="0" borderId="0" xfId="0" applyFont="1"/>
    <xf numFmtId="15" fontId="7" fillId="0" borderId="0" xfId="0" applyNumberFormat="1" applyFont="1" applyAlignment="1">
      <alignment horizontal="left"/>
    </xf>
    <xf numFmtId="0" fontId="7" fillId="0" borderId="0" xfId="0" applyFont="1" applyAlignment="1">
      <alignment horizontal="center"/>
    </xf>
    <xf numFmtId="170" fontId="3" fillId="0" borderId="0" xfId="1" applyNumberFormat="1" applyFont="1"/>
    <xf numFmtId="166" fontId="19" fillId="0" borderId="0" xfId="0" applyNumberFormat="1" applyFont="1"/>
    <xf numFmtId="43" fontId="19" fillId="0" borderId="0" xfId="1" applyFont="1"/>
    <xf numFmtId="43" fontId="14" fillId="0" borderId="14" xfId="1" applyFont="1" applyBorder="1"/>
    <xf numFmtId="43" fontId="3" fillId="5" borderId="0" xfId="1" applyFont="1" applyFill="1"/>
    <xf numFmtId="1" fontId="3" fillId="0" borderId="0" xfId="0" applyNumberFormat="1" applyFont="1" applyAlignment="1">
      <alignment horizontal="center"/>
    </xf>
    <xf numFmtId="43" fontId="3" fillId="13" borderId="0" xfId="1" applyFont="1" applyFill="1"/>
    <xf numFmtId="43" fontId="7" fillId="14" borderId="0" xfId="1" applyFont="1" applyFill="1"/>
    <xf numFmtId="171" fontId="3" fillId="0" borderId="0" xfId="1" applyNumberFormat="1" applyFont="1" applyAlignment="1">
      <alignment horizontal="right"/>
    </xf>
    <xf numFmtId="10" fontId="3" fillId="0" borderId="0" xfId="1" applyNumberFormat="1" applyFont="1"/>
    <xf numFmtId="172" fontId="3" fillId="0" borderId="0" xfId="1" applyNumberFormat="1" applyFont="1" applyAlignment="1">
      <alignment horizontal="right"/>
    </xf>
    <xf numFmtId="43" fontId="17" fillId="11" borderId="8" xfId="1" applyFont="1" applyFill="1" applyBorder="1" applyAlignment="1">
      <alignment horizontal="right"/>
    </xf>
    <xf numFmtId="164" fontId="3" fillId="0" borderId="0" xfId="1" applyNumberFormat="1" applyFont="1"/>
    <xf numFmtId="43" fontId="16" fillId="11" borderId="10" xfId="1" applyFont="1" applyFill="1" applyBorder="1" applyAlignment="1">
      <alignment horizontal="left"/>
    </xf>
    <xf numFmtId="43" fontId="18" fillId="11" borderId="11" xfId="1" applyFont="1" applyFill="1" applyBorder="1" applyAlignment="1">
      <alignment horizontal="left"/>
    </xf>
    <xf numFmtId="43" fontId="3" fillId="10" borderId="0" xfId="0" applyNumberFormat="1" applyFont="1" applyFill="1"/>
    <xf numFmtId="43" fontId="3" fillId="5" borderId="0" xfId="0" applyNumberFormat="1" applyFont="1" applyFill="1"/>
    <xf numFmtId="167" fontId="3" fillId="10" borderId="0" xfId="0" applyNumberFormat="1" applyFont="1" applyFill="1"/>
    <xf numFmtId="166" fontId="3" fillId="15" borderId="0" xfId="0" applyNumberFormat="1" applyFont="1" applyFill="1"/>
    <xf numFmtId="166" fontId="19" fillId="16" borderId="0" xfId="0" applyNumberFormat="1" applyFont="1" applyFill="1"/>
    <xf numFmtId="166" fontId="3" fillId="16" borderId="0" xfId="0" applyNumberFormat="1" applyFont="1" applyFill="1"/>
    <xf numFmtId="166" fontId="3" fillId="17" borderId="0" xfId="0" applyNumberFormat="1" applyFont="1" applyFill="1"/>
    <xf numFmtId="15" fontId="5" fillId="0" borderId="0" xfId="0" applyNumberFormat="1" applyFont="1" applyAlignment="1">
      <alignment horizontal="left"/>
    </xf>
    <xf numFmtId="0" fontId="5" fillId="0" borderId="0" xfId="0" applyFont="1" applyAlignment="1">
      <alignment horizontal="center"/>
    </xf>
    <xf numFmtId="43" fontId="3" fillId="0" borderId="0" xfId="1" applyFont="1" applyAlignment="1">
      <alignment horizontal="left" vertical="center"/>
    </xf>
    <xf numFmtId="43" fontId="16" fillId="3" borderId="8" xfId="1" applyFont="1" applyFill="1" applyBorder="1" applyAlignment="1">
      <alignment horizontal="left"/>
    </xf>
    <xf numFmtId="0" fontId="15" fillId="19" borderId="8" xfId="0" applyFont="1" applyFill="1" applyBorder="1" applyAlignment="1">
      <alignment horizontal="left"/>
    </xf>
    <xf numFmtId="43" fontId="15" fillId="19" borderId="8" xfId="1" applyFont="1" applyFill="1" applyBorder="1" applyAlignment="1">
      <alignment horizontal="left"/>
    </xf>
    <xf numFmtId="15" fontId="15" fillId="19" borderId="8" xfId="1" applyNumberFormat="1" applyFont="1" applyFill="1" applyBorder="1" applyAlignment="1">
      <alignment horizontal="left"/>
    </xf>
    <xf numFmtId="1" fontId="15" fillId="19" borderId="8" xfId="1" applyNumberFormat="1" applyFont="1" applyFill="1" applyBorder="1" applyAlignment="1">
      <alignment horizontal="center"/>
    </xf>
    <xf numFmtId="0" fontId="15" fillId="19" borderId="8" xfId="1" applyNumberFormat="1" applyFont="1" applyFill="1" applyBorder="1" applyAlignment="1">
      <alignment horizontal="left"/>
    </xf>
    <xf numFmtId="2" fontId="15" fillId="19" borderId="8" xfId="0" applyNumberFormat="1" applyFont="1" applyFill="1" applyBorder="1" applyAlignment="1">
      <alignment horizontal="center"/>
    </xf>
    <xf numFmtId="43" fontId="16" fillId="19" borderId="8" xfId="1" applyFont="1" applyFill="1" applyBorder="1" applyAlignment="1">
      <alignment horizontal="left"/>
    </xf>
    <xf numFmtId="43" fontId="15" fillId="19" borderId="8" xfId="1" applyFont="1" applyFill="1" applyBorder="1" applyAlignment="1">
      <alignment horizontal="right"/>
    </xf>
    <xf numFmtId="43" fontId="15" fillId="19" borderId="8" xfId="0" applyNumberFormat="1" applyFont="1" applyFill="1" applyBorder="1" applyAlignment="1">
      <alignment horizontal="left"/>
    </xf>
    <xf numFmtId="43" fontId="15" fillId="3" borderId="8" xfId="1" applyFont="1" applyFill="1" applyBorder="1" applyAlignment="1">
      <alignment horizontal="left"/>
    </xf>
    <xf numFmtId="43" fontId="17" fillId="19" borderId="8" xfId="1" applyFont="1" applyFill="1" applyBorder="1" applyAlignment="1">
      <alignment horizontal="left"/>
    </xf>
    <xf numFmtId="43" fontId="5" fillId="5" borderId="0" xfId="0" applyNumberFormat="1" applyFont="1" applyFill="1"/>
    <xf numFmtId="49" fontId="17" fillId="0" borderId="8" xfId="0" applyNumberFormat="1" applyFont="1" applyBorder="1" applyAlignment="1">
      <alignment horizontal="left"/>
    </xf>
    <xf numFmtId="43" fontId="3" fillId="18" borderId="0" xfId="1" applyFont="1" applyFill="1"/>
    <xf numFmtId="43" fontId="16" fillId="0" borderId="0" xfId="0" applyNumberFormat="1" applyFont="1" applyAlignment="1">
      <alignment horizontal="left"/>
    </xf>
    <xf numFmtId="43" fontId="7" fillId="0" borderId="0" xfId="0" applyNumberFormat="1" applyFont="1" applyAlignment="1">
      <alignment horizontal="left"/>
    </xf>
    <xf numFmtId="43" fontId="18" fillId="6" borderId="28" xfId="1" applyFont="1" applyFill="1" applyBorder="1" applyAlignment="1">
      <alignment horizontal="center" wrapText="1"/>
    </xf>
    <xf numFmtId="43" fontId="18" fillId="6" borderId="32" xfId="1" applyFont="1" applyFill="1" applyBorder="1" applyAlignment="1">
      <alignment horizontal="center"/>
    </xf>
    <xf numFmtId="43" fontId="18" fillId="0" borderId="11" xfId="1" applyFont="1" applyBorder="1" applyAlignment="1">
      <alignment horizontal="left"/>
    </xf>
    <xf numFmtId="43" fontId="18" fillId="11" borderId="8" xfId="1" applyFont="1" applyFill="1" applyBorder="1" applyAlignment="1">
      <alignment horizontal="left"/>
    </xf>
    <xf numFmtId="43" fontId="18" fillId="19" borderId="8" xfId="1" applyFont="1" applyFill="1" applyBorder="1" applyAlignment="1">
      <alignment horizontal="left"/>
    </xf>
    <xf numFmtId="43" fontId="17" fillId="0" borderId="0" xfId="1" applyFont="1" applyAlignment="1">
      <alignment horizontal="left"/>
    </xf>
    <xf numFmtId="166" fontId="18" fillId="0" borderId="8" xfId="0" applyNumberFormat="1" applyFont="1" applyBorder="1" applyAlignment="1">
      <alignment horizontal="left"/>
    </xf>
    <xf numFmtId="166" fontId="18" fillId="0" borderId="14" xfId="0" applyNumberFormat="1" applyFont="1" applyBorder="1" applyAlignment="1">
      <alignment horizontal="left"/>
    </xf>
    <xf numFmtId="10" fontId="18" fillId="0" borderId="14" xfId="3" applyNumberFormat="1" applyFont="1" applyBorder="1" applyAlignment="1">
      <alignment horizontal="center"/>
    </xf>
    <xf numFmtId="9" fontId="20" fillId="0" borderId="14" xfId="3" applyFont="1" applyBorder="1" applyAlignment="1">
      <alignment horizontal="center"/>
    </xf>
    <xf numFmtId="0" fontId="21" fillId="0" borderId="53" xfId="0" applyFont="1" applyBorder="1" applyAlignment="1">
      <alignment vertical="center" wrapText="1"/>
    </xf>
    <xf numFmtId="3" fontId="22" fillId="0" borderId="49" xfId="0" applyNumberFormat="1" applyFont="1" applyBorder="1" applyAlignment="1">
      <alignment horizontal="right" vertical="center" wrapText="1"/>
    </xf>
    <xf numFmtId="0" fontId="22" fillId="0" borderId="49" xfId="0" applyFont="1" applyBorder="1" applyAlignment="1">
      <alignment horizontal="right" vertical="center" wrapText="1"/>
    </xf>
    <xf numFmtId="3" fontId="21" fillId="0" borderId="49" xfId="0" applyNumberFormat="1" applyFont="1" applyBorder="1" applyAlignment="1">
      <alignment horizontal="right" vertical="center" wrapText="1"/>
    </xf>
    <xf numFmtId="166" fontId="7" fillId="0" borderId="0" xfId="0" applyNumberFormat="1" applyFont="1" applyAlignment="1">
      <alignment horizontal="left"/>
    </xf>
    <xf numFmtId="15" fontId="3" fillId="0" borderId="0" xfId="0" applyNumberFormat="1" applyFont="1"/>
    <xf numFmtId="43" fontId="3" fillId="0" borderId="0" xfId="0" applyNumberFormat="1" applyFont="1" applyAlignment="1">
      <alignment horizontal="right"/>
    </xf>
    <xf numFmtId="43" fontId="3" fillId="0" borderId="0" xfId="0" applyNumberFormat="1" applyFont="1" applyAlignment="1">
      <alignment horizontal="right" indent="1"/>
    </xf>
    <xf numFmtId="15" fontId="3" fillId="0" borderId="0" xfId="0" applyNumberFormat="1" applyFont="1" applyAlignment="1">
      <alignment horizontal="right" indent="1"/>
    </xf>
    <xf numFmtId="10" fontId="3" fillId="0" borderId="0" xfId="0" applyNumberFormat="1" applyFont="1" applyAlignment="1">
      <alignment horizontal="right" indent="1"/>
    </xf>
    <xf numFmtId="10" fontId="3" fillId="0" borderId="0" xfId="0" applyNumberFormat="1" applyFont="1" applyAlignment="1">
      <alignment horizontal="right"/>
    </xf>
    <xf numFmtId="0" fontId="3" fillId="0" borderId="0" xfId="0" applyFont="1" applyAlignment="1">
      <alignment horizontal="right"/>
    </xf>
    <xf numFmtId="9" fontId="3" fillId="0" borderId="0" xfId="3" applyFont="1" applyAlignment="1">
      <alignment horizontal="right"/>
    </xf>
    <xf numFmtId="0" fontId="5" fillId="0" borderId="0" xfId="1" applyNumberFormat="1" applyFont="1" applyAlignment="1">
      <alignment horizontal="right"/>
    </xf>
    <xf numFmtId="14" fontId="5" fillId="0" borderId="0" xfId="1" applyNumberFormat="1" applyFont="1" applyAlignment="1">
      <alignment horizontal="right"/>
    </xf>
    <xf numFmtId="168" fontId="3" fillId="0" borderId="0" xfId="3" applyNumberFormat="1" applyFont="1"/>
    <xf numFmtId="0" fontId="3" fillId="0" borderId="0" xfId="1" applyNumberFormat="1" applyFont="1" applyAlignment="1">
      <alignment horizontal="right"/>
    </xf>
    <xf numFmtId="14" fontId="3" fillId="0" borderId="0" xfId="1" applyNumberFormat="1" applyFont="1" applyAlignment="1">
      <alignment horizontal="right"/>
    </xf>
    <xf numFmtId="43" fontId="3" fillId="20" borderId="0" xfId="1" applyFont="1" applyFill="1"/>
    <xf numFmtId="166" fontId="3" fillId="20" borderId="0" xfId="0" applyNumberFormat="1" applyFont="1" applyFill="1"/>
    <xf numFmtId="15" fontId="3" fillId="9" borderId="0" xfId="0" applyNumberFormat="1" applyFont="1" applyFill="1" applyAlignment="1">
      <alignment horizontal="left"/>
    </xf>
    <xf numFmtId="0" fontId="3" fillId="9" borderId="0" xfId="0" applyFont="1" applyFill="1" applyAlignment="1">
      <alignment horizontal="center"/>
    </xf>
    <xf numFmtId="43" fontId="5" fillId="10" borderId="0" xfId="0" applyNumberFormat="1" applyFont="1" applyFill="1"/>
    <xf numFmtId="43" fontId="3" fillId="21" borderId="0" xfId="1" applyFont="1" applyFill="1"/>
    <xf numFmtId="4" fontId="15" fillId="0" borderId="0" xfId="1" applyNumberFormat="1" applyFont="1" applyAlignment="1">
      <alignment horizontal="left"/>
    </xf>
    <xf numFmtId="0" fontId="15" fillId="3" borderId="18" xfId="1" applyNumberFormat="1" applyFont="1" applyFill="1" applyBorder="1" applyAlignment="1">
      <alignment horizontal="center"/>
    </xf>
    <xf numFmtId="0" fontId="15" fillId="0" borderId="29" xfId="1" applyNumberFormat="1" applyFont="1" applyBorder="1" applyAlignment="1">
      <alignment horizontal="center"/>
    </xf>
    <xf numFmtId="0" fontId="17" fillId="0" borderId="10" xfId="1" applyNumberFormat="1" applyFont="1" applyBorder="1" applyAlignment="1">
      <alignment horizontal="left"/>
    </xf>
    <xf numFmtId="43" fontId="15" fillId="0" borderId="10" xfId="1" applyFont="1" applyBorder="1" applyAlignment="1">
      <alignment horizontal="left"/>
    </xf>
    <xf numFmtId="15" fontId="15" fillId="0" borderId="10" xfId="1" applyNumberFormat="1" applyFont="1" applyBorder="1" applyAlignment="1">
      <alignment horizontal="left"/>
    </xf>
    <xf numFmtId="1" fontId="15" fillId="0" borderId="10" xfId="1" applyNumberFormat="1" applyFont="1" applyBorder="1" applyAlignment="1">
      <alignment horizontal="center"/>
    </xf>
    <xf numFmtId="0" fontId="15" fillId="0" borderId="10" xfId="1" applyNumberFormat="1" applyFont="1" applyBorder="1" applyAlignment="1">
      <alignment horizontal="left"/>
    </xf>
    <xf numFmtId="168" fontId="15" fillId="0" borderId="10" xfId="3" applyNumberFormat="1" applyFont="1" applyBorder="1" applyAlignment="1">
      <alignment horizontal="center"/>
    </xf>
    <xf numFmtId="43" fontId="17" fillId="0" borderId="10" xfId="1" applyFont="1" applyBorder="1" applyAlignment="1">
      <alignment horizontal="left"/>
    </xf>
    <xf numFmtId="43" fontId="15" fillId="0" borderId="29" xfId="1" applyFont="1" applyBorder="1" applyAlignment="1">
      <alignment horizontal="left"/>
    </xf>
    <xf numFmtId="43" fontId="15" fillId="0" borderId="6" xfId="1" applyFont="1" applyBorder="1" applyAlignment="1">
      <alignment horizontal="left"/>
    </xf>
    <xf numFmtId="43" fontId="3" fillId="0" borderId="8" xfId="1" applyFont="1" applyBorder="1" applyAlignment="1">
      <alignment horizontal="left"/>
    </xf>
    <xf numFmtId="0" fontId="3" fillId="0" borderId="8" xfId="1" applyNumberFormat="1" applyFont="1" applyBorder="1" applyAlignment="1">
      <alignment horizontal="left"/>
    </xf>
    <xf numFmtId="43" fontId="7" fillId="0" borderId="0" xfId="1" applyFont="1" applyAlignment="1">
      <alignment horizontal="left"/>
    </xf>
    <xf numFmtId="15" fontId="17" fillId="0" borderId="8" xfId="1" applyNumberFormat="1" applyFont="1" applyBorder="1" applyAlignment="1">
      <alignment horizontal="left"/>
    </xf>
    <xf numFmtId="1" fontId="17" fillId="0" borderId="8" xfId="1" applyNumberFormat="1" applyFont="1" applyBorder="1" applyAlignment="1">
      <alignment horizontal="center"/>
    </xf>
    <xf numFmtId="0" fontId="17" fillId="0" borderId="8" xfId="1" applyNumberFormat="1" applyFont="1" applyBorder="1" applyAlignment="1">
      <alignment horizontal="left"/>
    </xf>
    <xf numFmtId="2" fontId="17" fillId="0" borderId="8" xfId="0" applyNumberFormat="1" applyFont="1" applyBorder="1" applyAlignment="1">
      <alignment horizontal="center"/>
    </xf>
    <xf numFmtId="43" fontId="17" fillId="0" borderId="11" xfId="1" applyFont="1" applyBorder="1" applyAlignment="1">
      <alignment horizontal="left"/>
    </xf>
    <xf numFmtId="43" fontId="23" fillId="0" borderId="8" xfId="1" applyFont="1" applyBorder="1" applyAlignment="1">
      <alignment horizontal="left"/>
    </xf>
    <xf numFmtId="168" fontId="17" fillId="0" borderId="8" xfId="3" applyNumberFormat="1" applyFont="1" applyBorder="1" applyAlignment="1">
      <alignment horizontal="center"/>
    </xf>
    <xf numFmtId="43" fontId="24" fillId="0" borderId="0" xfId="1" applyFont="1"/>
    <xf numFmtId="0" fontId="15" fillId="0" borderId="18" xfId="1" applyNumberFormat="1" applyFont="1" applyBorder="1" applyAlignment="1">
      <alignment horizontal="center"/>
    </xf>
    <xf numFmtId="43" fontId="18" fillId="14" borderId="8" xfId="1" applyFont="1" applyFill="1" applyBorder="1" applyAlignment="1">
      <alignment horizontal="left"/>
    </xf>
    <xf numFmtId="43" fontId="16" fillId="19" borderId="10" xfId="1" applyFont="1" applyFill="1" applyBorder="1" applyAlignment="1">
      <alignment horizontal="left"/>
    </xf>
    <xf numFmtId="43" fontId="18" fillId="20" borderId="8" xfId="1" applyFont="1" applyFill="1" applyBorder="1" applyAlignment="1">
      <alignment horizontal="left"/>
    </xf>
    <xf numFmtId="43" fontId="18" fillId="20" borderId="6" xfId="1" applyFont="1" applyFill="1" applyBorder="1" applyAlignment="1">
      <alignment horizontal="left"/>
    </xf>
    <xf numFmtId="43" fontId="17" fillId="0" borderId="0" xfId="0" applyNumberFormat="1" applyFont="1" applyAlignment="1">
      <alignment horizontal="left"/>
    </xf>
    <xf numFmtId="9" fontId="15" fillId="0" borderId="8" xfId="3" applyFont="1" applyBorder="1" applyAlignment="1">
      <alignment horizontal="center"/>
    </xf>
    <xf numFmtId="4" fontId="5" fillId="0" borderId="0" xfId="0" applyNumberFormat="1" applyFont="1"/>
    <xf numFmtId="49" fontId="17" fillId="11" borderId="8" xfId="0" applyNumberFormat="1" applyFont="1" applyFill="1" applyBorder="1" applyAlignment="1">
      <alignment horizontal="left"/>
    </xf>
    <xf numFmtId="49" fontId="17" fillId="19" borderId="8" xfId="0" applyNumberFormat="1" applyFont="1" applyFill="1" applyBorder="1" applyAlignment="1">
      <alignment horizontal="left"/>
    </xf>
    <xf numFmtId="49" fontId="25" fillId="0" borderId="8" xfId="0" applyNumberFormat="1" applyFont="1" applyBorder="1"/>
    <xf numFmtId="49" fontId="15" fillId="0" borderId="0" xfId="0" applyNumberFormat="1" applyFont="1"/>
    <xf numFmtId="0" fontId="15" fillId="0" borderId="0" xfId="0" applyFont="1"/>
    <xf numFmtId="43" fontId="14" fillId="0" borderId="58" xfId="1" applyFont="1" applyBorder="1"/>
    <xf numFmtId="49" fontId="15" fillId="0" borderId="8" xfId="0" applyNumberFormat="1" applyFont="1" applyBorder="1"/>
    <xf numFmtId="43" fontId="16" fillId="0" borderId="13" xfId="1" applyFont="1" applyBorder="1" applyAlignment="1">
      <alignment horizontal="left"/>
    </xf>
    <xf numFmtId="173" fontId="27" fillId="0" borderId="8" xfId="0" applyNumberFormat="1" applyFont="1" applyBorder="1"/>
    <xf numFmtId="173" fontId="26" fillId="0" borderId="8" xfId="0" applyNumberFormat="1" applyFont="1" applyBorder="1"/>
    <xf numFmtId="0" fontId="4" fillId="0" borderId="0" xfId="0" applyFont="1" applyAlignment="1">
      <alignment horizontal="left"/>
    </xf>
    <xf numFmtId="0" fontId="5" fillId="17" borderId="0" xfId="0" applyFont="1" applyFill="1"/>
    <xf numFmtId="43" fontId="3" fillId="17" borderId="0" xfId="1" applyFont="1" applyFill="1"/>
    <xf numFmtId="43" fontId="14" fillId="0" borderId="59" xfId="1" applyFont="1" applyBorder="1"/>
    <xf numFmtId="43" fontId="5" fillId="0" borderId="0" xfId="1" applyFont="1" applyAlignment="1">
      <alignment horizontal="right"/>
    </xf>
    <xf numFmtId="166" fontId="15" fillId="0" borderId="8" xfId="1" applyNumberFormat="1" applyFont="1" applyBorder="1" applyAlignment="1">
      <alignment horizontal="right"/>
    </xf>
    <xf numFmtId="43" fontId="15" fillId="0" borderId="10" xfId="0" applyNumberFormat="1" applyFont="1" applyBorder="1" applyAlignment="1">
      <alignment horizontal="left"/>
    </xf>
    <xf numFmtId="1" fontId="15" fillId="0" borderId="60" xfId="0" applyNumberFormat="1" applyFont="1" applyBorder="1" applyAlignment="1">
      <alignment horizontal="left"/>
    </xf>
    <xf numFmtId="0" fontId="15" fillId="0" borderId="59" xfId="0" applyFont="1" applyBorder="1" applyAlignment="1">
      <alignment horizontal="left"/>
    </xf>
    <xf numFmtId="43" fontId="16" fillId="0" borderId="59" xfId="0" applyNumberFormat="1" applyFont="1" applyBorder="1" applyAlignment="1">
      <alignment horizontal="left"/>
    </xf>
    <xf numFmtId="43" fontId="16" fillId="0" borderId="21" xfId="0" applyNumberFormat="1" applyFont="1" applyBorder="1" applyAlignment="1">
      <alignment horizontal="left"/>
    </xf>
    <xf numFmtId="166" fontId="16" fillId="0" borderId="0" xfId="0" applyNumberFormat="1" applyFont="1" applyAlignment="1">
      <alignment horizontal="left"/>
    </xf>
    <xf numFmtId="166" fontId="4" fillId="0" borderId="0" xfId="0" applyNumberFormat="1" applyFont="1" applyAlignment="1">
      <alignment horizontal="left"/>
    </xf>
    <xf numFmtId="43" fontId="17" fillId="11" borderId="11" xfId="1" applyFont="1" applyFill="1" applyBorder="1" applyAlignment="1">
      <alignment horizontal="left"/>
    </xf>
    <xf numFmtId="15" fontId="3" fillId="0" borderId="0" xfId="0" applyNumberFormat="1" applyFont="1" applyAlignment="1">
      <alignment horizontal="center"/>
    </xf>
    <xf numFmtId="43" fontId="3" fillId="0" borderId="0" xfId="1" applyFont="1" applyAlignment="1">
      <alignment horizontal="center"/>
    </xf>
    <xf numFmtId="0" fontId="33" fillId="0" borderId="0" xfId="0" applyFont="1"/>
    <xf numFmtId="0" fontId="34" fillId="0" borderId="0" xfId="0" applyFont="1"/>
    <xf numFmtId="0" fontId="30" fillId="24" borderId="0" xfId="0" applyFont="1" applyFill="1"/>
    <xf numFmtId="0" fontId="35" fillId="0" borderId="0" xfId="0" applyFont="1"/>
    <xf numFmtId="0" fontId="32" fillId="0" borderId="0" xfId="0" applyFont="1" applyAlignment="1">
      <alignment vertical="top" wrapText="1"/>
    </xf>
    <xf numFmtId="0" fontId="0" fillId="0" borderId="0" xfId="0" applyAlignment="1">
      <alignment vertical="top" wrapText="1"/>
    </xf>
    <xf numFmtId="0" fontId="30" fillId="24" borderId="0" xfId="0" applyFont="1" applyFill="1" applyAlignment="1">
      <alignment vertical="top" wrapText="1"/>
    </xf>
    <xf numFmtId="174" fontId="0" fillId="0" borderId="0" xfId="0" applyNumberFormat="1"/>
    <xf numFmtId="4" fontId="0" fillId="0" borderId="0" xfId="0" applyNumberFormat="1"/>
    <xf numFmtId="0" fontId="0" fillId="22" borderId="0" xfId="0" applyFill="1"/>
    <xf numFmtId="175" fontId="0" fillId="0" borderId="0" xfId="0" applyNumberFormat="1"/>
    <xf numFmtId="0" fontId="29" fillId="0" borderId="0" xfId="0" applyFont="1"/>
    <xf numFmtId="0" fontId="30" fillId="23" borderId="0" xfId="0" applyFont="1" applyFill="1" applyAlignment="1">
      <alignment vertical="top" wrapText="1"/>
    </xf>
    <xf numFmtId="0" fontId="31" fillId="23" borderId="0" xfId="0" applyFont="1" applyFill="1"/>
    <xf numFmtId="4" fontId="31" fillId="23" borderId="0" xfId="0" applyNumberFormat="1" applyFont="1" applyFill="1"/>
    <xf numFmtId="43" fontId="31" fillId="23" borderId="0" xfId="1" applyFont="1" applyFill="1" applyAlignment="1">
      <alignment horizontal="left"/>
    </xf>
    <xf numFmtId="43" fontId="31" fillId="23" borderId="0" xfId="0" applyNumberFormat="1" applyFont="1" applyFill="1" applyAlignment="1">
      <alignment horizontal="left"/>
    </xf>
    <xf numFmtId="4" fontId="31" fillId="23" borderId="0" xfId="0" applyNumberFormat="1" applyFont="1" applyFill="1" applyAlignment="1">
      <alignment horizontal="left"/>
    </xf>
    <xf numFmtId="4" fontId="31" fillId="23" borderId="0" xfId="1" applyNumberFormat="1" applyFont="1" applyFill="1" applyAlignment="1">
      <alignment horizontal="left"/>
    </xf>
    <xf numFmtId="0" fontId="30" fillId="23" borderId="0" xfId="0" applyFont="1" applyFill="1"/>
    <xf numFmtId="0" fontId="1" fillId="0" borderId="0" xfId="0" applyFont="1" applyAlignment="1">
      <alignment vertical="top" wrapText="1"/>
    </xf>
    <xf numFmtId="4" fontId="0" fillId="26" borderId="62" xfId="0" applyNumberFormat="1" applyFill="1" applyBorder="1"/>
    <xf numFmtId="176" fontId="0" fillId="26" borderId="62" xfId="0" applyNumberFormat="1" applyFill="1" applyBorder="1"/>
    <xf numFmtId="49" fontId="0" fillId="26" borderId="62" xfId="0" applyNumberFormat="1" applyFill="1" applyBorder="1"/>
    <xf numFmtId="4" fontId="0" fillId="0" borderId="62" xfId="0" applyNumberFormat="1" applyBorder="1"/>
    <xf numFmtId="43" fontId="1" fillId="0" borderId="0" xfId="1"/>
    <xf numFmtId="43" fontId="26" fillId="0" borderId="0" xfId="1" applyFont="1"/>
    <xf numFmtId="0" fontId="9" fillId="6" borderId="16" xfId="1" applyNumberFormat="1" applyFont="1" applyFill="1" applyBorder="1" applyAlignment="1">
      <alignment horizontal="left"/>
    </xf>
    <xf numFmtId="0" fontId="0" fillId="0" borderId="10" xfId="0" applyBorder="1"/>
    <xf numFmtId="43" fontId="9" fillId="6" borderId="15" xfId="1" applyFont="1" applyFill="1" applyBorder="1" applyAlignment="1">
      <alignment horizontal="center"/>
    </xf>
    <xf numFmtId="0" fontId="0" fillId="0" borderId="29" xfId="0" applyBorder="1"/>
    <xf numFmtId="0" fontId="9" fillId="6" borderId="42" xfId="0" applyFont="1" applyFill="1" applyBorder="1" applyAlignment="1">
      <alignment horizontal="center"/>
    </xf>
    <xf numFmtId="0" fontId="0" fillId="0" borderId="33" xfId="0" applyBorder="1"/>
    <xf numFmtId="0" fontId="0" fillId="0" borderId="34" xfId="0" applyBorder="1"/>
    <xf numFmtId="43" fontId="9" fillId="6" borderId="16" xfId="1" applyFont="1" applyFill="1" applyBorder="1" applyAlignment="1">
      <alignment horizontal="left"/>
    </xf>
    <xf numFmtId="0" fontId="9" fillId="6" borderId="26" xfId="1" applyNumberFormat="1" applyFont="1" applyFill="1" applyBorder="1" applyAlignment="1">
      <alignment horizontal="left"/>
    </xf>
    <xf numFmtId="0" fontId="0" fillId="0" borderId="35" xfId="0" applyBorder="1"/>
    <xf numFmtId="0" fontId="0" fillId="0" borderId="41" xfId="0" applyBorder="1"/>
    <xf numFmtId="43" fontId="9" fillId="6" borderId="61" xfId="1" applyFont="1" applyFill="1" applyBorder="1" applyAlignment="1">
      <alignment horizontal="left"/>
    </xf>
    <xf numFmtId="0" fontId="0" fillId="0" borderId="36" xfId="0" applyBorder="1"/>
    <xf numFmtId="0" fontId="0" fillId="0" borderId="45" xfId="0" applyBorder="1"/>
    <xf numFmtId="43" fontId="9" fillId="6" borderId="14" xfId="1" applyFont="1" applyFill="1" applyBorder="1" applyAlignment="1">
      <alignment horizontal="left"/>
    </xf>
    <xf numFmtId="0" fontId="0" fillId="0" borderId="43" xfId="0" applyBorder="1"/>
    <xf numFmtId="0" fontId="0" fillId="0" borderId="44" xfId="0" applyBorder="1"/>
    <xf numFmtId="0" fontId="36" fillId="25" borderId="62" xfId="0" applyFont="1" applyFill="1" applyBorder="1" applyAlignment="1">
      <alignment vertical="center" wrapText="1"/>
    </xf>
    <xf numFmtId="0" fontId="36" fillId="24" borderId="62" xfId="0" applyFont="1" applyFill="1" applyBorder="1" applyAlignment="1">
      <alignment vertical="center" wrapText="1"/>
    </xf>
  </cellXfs>
  <cellStyles count="7">
    <cellStyle name="Comma" xfId="1" builtinId="3"/>
    <cellStyle name="Comma 2" xfId="4" xr:uid="{00000000-0005-0000-0000-000004000000}"/>
    <cellStyle name="Comma 3" xfId="5" xr:uid="{00000000-0005-0000-0000-000005000000}"/>
    <cellStyle name="Normal" xfId="0" builtinId="0"/>
    <cellStyle name="Normal 2" xfId="6" xr:uid="{00000000-0005-0000-0000-000006000000}"/>
    <cellStyle name="Normal 2 2" xfId="2" xr:uid="{00000000-0005-0000-0000-000002000000}"/>
    <cellStyle name="Per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externalLink" Target="externalLinks/externalLink6.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externalLink" Target="externalLinks/externalLink5.xml"/><Relationship Id="rId2" Type="http://schemas.openxmlformats.org/officeDocument/2006/relationships/worksheet" Target="worksheets/sheet2.xml"/><Relationship Id="rId16" Type="http://schemas.openxmlformats.org/officeDocument/2006/relationships/externalLink" Target="externalLinks/externalLink4.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externalLink" Target="externalLinks/externalLink3.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 Id="rId22"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microsoft.com/office/2006/relationships/xlExternalLinkPath/xlPathMissing" Target="RecoveredExternalLink1" TargetMode="External"/></Relationships>
</file>

<file path=xl/externalLinks/_rels/externalLink2.xml.rels><?xml version="1.0" encoding="UTF-8" standalone="yes"?>
<Relationships xmlns="http://schemas.openxmlformats.org/package/2006/relationships"><Relationship Id="rId1" Type="http://schemas.microsoft.com/office/2006/relationships/xlExternalLinkPath/xlPathMissing" Target="RecoveredExternalLink2"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tsitimawina/Desktop/Old_Files/Documents/Management%20Accounts%20-%20October%202020_Revised%20.xlsx" TargetMode="External"/><Relationship Id="rId1" Type="http://schemas.openxmlformats.org/officeDocument/2006/relationships/externalLinkPath" Target="/Users/tsitimawina/Desktop/Old_Files/Documents/Management%20Accounts%20-%20October%202020_Revised%20.xlsx" TargetMode="External"/></Relationships>
</file>

<file path=xl/externalLinks/_rels/externalLink4.xml.rels><?xml version="1.0" encoding="UTF-8" standalone="yes"?>
<Relationships xmlns="http://schemas.openxmlformats.org/package/2006/relationships"><Relationship Id="rId2" Type="http://schemas.openxmlformats.org/officeDocument/2006/relationships/externalLinkPath" Target="../../tsitimawina/Desktop/Old_Files/Documents/Management%20accounts/Management%20Accounts%20-%20October%202020_Revised.xlsx" TargetMode="External"/><Relationship Id="rId1" Type="http://schemas.openxmlformats.org/officeDocument/2006/relationships/externalLinkPath" Target="/Users/tsitimawina/Desktop/Old_Files/Documents/Management%20accounts/Management%20Accounts%20-%20October%202020_Revised.xlsx" TargetMode="External"/></Relationships>
</file>

<file path=xl/externalLinks/_rels/externalLink5.xml.rels><?xml version="1.0" encoding="UTF-8" standalone="yes"?>
<Relationships xmlns="http://schemas.openxmlformats.org/package/2006/relationships"><Relationship Id="rId1" Type="http://schemas.microsoft.com/office/2006/relationships/xlExternalLinkPath/xlPathMissing" Target="RecoveredExternalLink3" TargetMode="External"/></Relationships>
</file>

<file path=xl/externalLinks/_rels/externalLink6.xml.rels><?xml version="1.0" encoding="UTF-8" standalone="yes"?>
<Relationships xmlns="http://schemas.openxmlformats.org/package/2006/relationships"><Relationship Id="rId1" Type="http://schemas.microsoft.com/office/2006/relationships/xlExternalLinkPath/xlPathMissing" Target="RecoveredExternalLink4"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ash position"/>
      <sheetName val="Loan Book"/>
      <sheetName val="Amortisation and Repayments"/>
      <sheetName val="Sheet2"/>
      <sheetName val="Sheet1"/>
    </sheetNames>
    <sheetDataSet>
      <sheetData sheetId="0" refreshError="1"/>
      <sheetData sheetId="1" refreshError="1"/>
      <sheetData sheetId="2" refreshError="1">
        <row r="6">
          <cell r="D6">
            <v>607931248.68072712</v>
          </cell>
        </row>
        <row r="12">
          <cell r="K12">
            <v>0.30670000000000008</v>
          </cell>
        </row>
        <row r="15">
          <cell r="H15">
            <v>9762362.6350646764</v>
          </cell>
          <cell r="K15">
            <v>10857434.869999999</v>
          </cell>
        </row>
        <row r="16">
          <cell r="H16">
            <v>10402183.457907986</v>
          </cell>
          <cell r="K16">
            <v>10857434.869999999</v>
          </cell>
        </row>
        <row r="17">
          <cell r="H17">
            <v>10384979.308579693</v>
          </cell>
          <cell r="K17">
            <v>11954222.199999999</v>
          </cell>
        </row>
        <row r="18">
          <cell r="H18">
            <v>10367480.251458334</v>
          </cell>
          <cell r="K18">
            <v>11405828.529999999</v>
          </cell>
        </row>
        <row r="19">
          <cell r="H19">
            <v>10349681.231332818</v>
          </cell>
          <cell r="K19">
            <v>11405828.529999999</v>
          </cell>
        </row>
        <row r="20">
          <cell r="H20">
            <v>10532482.835191714</v>
          </cell>
          <cell r="K20">
            <v>11405828.529999999</v>
          </cell>
        </row>
        <row r="21">
          <cell r="H21">
            <v>10514281.576957621</v>
          </cell>
          <cell r="K21">
            <v>11405828.529999999</v>
          </cell>
        </row>
        <row r="22">
          <cell r="H22">
            <v>11847147.94938428</v>
          </cell>
          <cell r="K22">
            <v>11405828.529999999</v>
          </cell>
        </row>
        <row r="23">
          <cell r="H23">
            <v>12179721.048952293</v>
          </cell>
          <cell r="K23"/>
        </row>
        <row r="24">
          <cell r="H24">
            <v>12162542.042638632</v>
          </cell>
          <cell r="K24">
            <v>27704813.990000002</v>
          </cell>
        </row>
        <row r="25">
          <cell r="H25">
            <v>12145014.159338418</v>
          </cell>
          <cell r="K25">
            <v>13025630.26</v>
          </cell>
        </row>
        <row r="26">
          <cell r="H26">
            <v>12127130.313941516</v>
          </cell>
          <cell r="K26">
            <v>13025630.26</v>
          </cell>
        </row>
        <row r="27">
          <cell r="H27">
            <v>12108883.27745101</v>
          </cell>
          <cell r="K27">
            <v>13025630.26</v>
          </cell>
        </row>
        <row r="28">
          <cell r="H28">
            <v>13429769.872664517</v>
          </cell>
          <cell r="K28">
            <v>13025630.26</v>
          </cell>
        </row>
        <row r="29">
          <cell r="H29">
            <v>13412540.99634653</v>
          </cell>
          <cell r="K29">
            <v>13025630.26</v>
          </cell>
        </row>
        <row r="30">
          <cell r="H30">
            <v>14087679.019464679</v>
          </cell>
          <cell r="K30">
            <v>13025630.26</v>
          </cell>
        </row>
        <row r="31">
          <cell r="H31">
            <v>14713111.306996249</v>
          </cell>
          <cell r="K31">
            <v>13025630.26</v>
          </cell>
        </row>
        <row r="32">
          <cell r="H32">
            <v>15042109.899384143</v>
          </cell>
          <cell r="K32">
            <v>19498000.59</v>
          </cell>
        </row>
        <row r="33">
          <cell r="H33">
            <v>15074927.426171172</v>
          </cell>
          <cell r="K33">
            <v>209494816.30000001</v>
          </cell>
        </row>
        <row r="34">
          <cell r="H34">
            <v>4355178.0821910882</v>
          </cell>
          <cell r="K34">
            <v>209679601.60000002</v>
          </cell>
        </row>
        <row r="35">
          <cell r="H35">
            <v>2680109.5890696035</v>
          </cell>
          <cell r="K35">
            <v>100000000</v>
          </cell>
        </row>
        <row r="36">
          <cell r="H36">
            <v>1444789.7863565853</v>
          </cell>
          <cell r="K36">
            <v>98800475.857553482</v>
          </cell>
        </row>
        <row r="492">
          <cell r="M492">
            <v>0.29300000000000004</v>
          </cell>
        </row>
        <row r="502">
          <cell r="K502">
            <v>0</v>
          </cell>
        </row>
        <row r="503">
          <cell r="K503">
            <v>0</v>
          </cell>
        </row>
        <row r="504">
          <cell r="K504">
            <v>0</v>
          </cell>
        </row>
        <row r="505">
          <cell r="K505">
            <v>0</v>
          </cell>
        </row>
        <row r="506">
          <cell r="K506"/>
        </row>
        <row r="507">
          <cell r="K507"/>
        </row>
        <row r="508">
          <cell r="K508"/>
        </row>
        <row r="509">
          <cell r="K509"/>
        </row>
        <row r="510">
          <cell r="F510">
            <v>395623962</v>
          </cell>
          <cell r="H510">
            <v>6758576.017500001</v>
          </cell>
          <cell r="K510"/>
        </row>
        <row r="511">
          <cell r="H511">
            <v>6639432.0790655492</v>
          </cell>
          <cell r="K511"/>
        </row>
        <row r="512">
          <cell r="H512">
            <v>7376754.3487012303</v>
          </cell>
          <cell r="K512"/>
        </row>
        <row r="513">
          <cell r="H513">
            <v>7462048.3761385828</v>
          </cell>
          <cell r="K513"/>
        </row>
        <row r="514">
          <cell r="H514">
            <v>7323721.4187875027</v>
          </cell>
          <cell r="K514"/>
        </row>
        <row r="515">
          <cell r="H515">
            <v>7182639.4495358495</v>
          </cell>
          <cell r="K515"/>
        </row>
        <row r="516">
          <cell r="H516">
            <v>7038747.5977299325</v>
          </cell>
          <cell r="K516">
            <v>56142542.590000004</v>
          </cell>
        </row>
        <row r="517">
          <cell r="H517">
            <v>6891989.8998755477</v>
          </cell>
          <cell r="K517">
            <v>28814669.879999999</v>
          </cell>
        </row>
        <row r="518">
          <cell r="H518">
            <v>7503992.7527782964</v>
          </cell>
          <cell r="K518">
            <v>14407334.93</v>
          </cell>
        </row>
        <row r="519">
          <cell r="H519">
            <v>7340426.4864501739</v>
          </cell>
          <cell r="K519">
            <v>22017653.699999999</v>
          </cell>
        </row>
        <row r="520">
          <cell r="H520">
            <v>7550773.1591773098</v>
          </cell>
          <cell r="K520"/>
        </row>
        <row r="521">
          <cell r="H521">
            <v>7722318.1344574867</v>
          </cell>
          <cell r="K521"/>
        </row>
        <row r="522">
          <cell r="H522">
            <v>7716211.3553454829</v>
          </cell>
          <cell r="K522">
            <v>23677014.800000001</v>
          </cell>
        </row>
        <row r="523">
          <cell r="H523">
            <v>7547702.9891169481</v>
          </cell>
          <cell r="K523"/>
        </row>
        <row r="524">
          <cell r="H524">
            <v>7348852.5664423518</v>
          </cell>
          <cell r="K524"/>
        </row>
        <row r="525">
          <cell r="H525">
            <v>7168751.9014098495</v>
          </cell>
          <cell r="K525">
            <v>23677014.800000001</v>
          </cell>
        </row>
        <row r="526">
          <cell r="H526">
            <v>6959332.7499951608</v>
          </cell>
          <cell r="K526"/>
        </row>
        <row r="527">
          <cell r="H527">
            <v>7034975.5404967181</v>
          </cell>
          <cell r="K527"/>
        </row>
        <row r="528">
          <cell r="H528">
            <v>6808326.4784883335</v>
          </cell>
          <cell r="K528"/>
        </row>
        <row r="529">
          <cell r="H529">
            <v>6575727.8786022291</v>
          </cell>
          <cell r="K529">
            <v>26075465.780000001</v>
          </cell>
        </row>
        <row r="530">
          <cell r="H530">
            <v>6357141.1005975874</v>
          </cell>
          <cell r="K530">
            <v>351120707.80000001</v>
          </cell>
        </row>
        <row r="962">
          <cell r="H962">
            <v>126967.74193548386</v>
          </cell>
          <cell r="K962"/>
        </row>
        <row r="963">
          <cell r="H963">
            <v>197858.06451612903</v>
          </cell>
          <cell r="K963"/>
        </row>
        <row r="964">
          <cell r="H964">
            <v>199506.88172043013</v>
          </cell>
          <cell r="K964"/>
        </row>
        <row r="965">
          <cell r="H965">
            <v>201169.43906810039</v>
          </cell>
          <cell r="K965">
            <v>0</v>
          </cell>
        </row>
        <row r="966">
          <cell r="H966">
            <v>202845.85106033456</v>
          </cell>
          <cell r="K966">
            <v>900000</v>
          </cell>
        </row>
        <row r="967">
          <cell r="H967">
            <v>197480.09243904287</v>
          </cell>
          <cell r="K967">
            <v>900000</v>
          </cell>
        </row>
        <row r="968">
          <cell r="H968">
            <v>192069.61916257377</v>
          </cell>
          <cell r="K968">
            <v>900000</v>
          </cell>
        </row>
        <row r="969">
          <cell r="H969">
            <v>186614.05860880073</v>
          </cell>
          <cell r="K969">
            <v>900000</v>
          </cell>
        </row>
        <row r="970">
          <cell r="H970">
            <v>181113.03505041293</v>
          </cell>
          <cell r="K970">
            <v>900000</v>
          </cell>
        </row>
        <row r="971">
          <cell r="H971">
            <v>175566.16962903854</v>
          </cell>
          <cell r="K971">
            <v>700000</v>
          </cell>
        </row>
        <row r="972">
          <cell r="H972">
            <v>169973.08032915276</v>
          </cell>
          <cell r="K972">
            <v>850000</v>
          </cell>
        </row>
        <row r="973">
          <cell r="H973">
            <v>164333.38195176789</v>
          </cell>
          <cell r="K973">
            <v>0</v>
          </cell>
        </row>
        <row r="974">
          <cell r="H974">
            <v>158646.68608790482</v>
          </cell>
          <cell r="K974">
            <v>1000000</v>
          </cell>
        </row>
        <row r="975">
          <cell r="H975">
            <v>152912.60109184287</v>
          </cell>
          <cell r="K975">
            <v>2000000</v>
          </cell>
        </row>
        <row r="976">
          <cell r="H976">
            <v>147130.73205414708</v>
          </cell>
          <cell r="K976">
            <v>650000</v>
          </cell>
        </row>
        <row r="977">
          <cell r="H977">
            <v>141300.6807744705</v>
          </cell>
          <cell r="K977">
            <v>600000</v>
          </cell>
        </row>
        <row r="978">
          <cell r="H978">
            <v>135422.04573412996</v>
          </cell>
          <cell r="K978">
            <v>800000</v>
          </cell>
        </row>
        <row r="979">
          <cell r="H979">
            <v>129494.42206845325</v>
          </cell>
          <cell r="K979">
            <v>300000</v>
          </cell>
        </row>
        <row r="980">
          <cell r="H980">
            <v>123517.40153889589</v>
          </cell>
          <cell r="K980">
            <v>1000000</v>
          </cell>
        </row>
        <row r="981">
          <cell r="K981">
            <v>14200000</v>
          </cell>
        </row>
        <row r="982">
          <cell r="K982"/>
        </row>
        <row r="983">
          <cell r="K983"/>
        </row>
        <row r="984">
          <cell r="K984">
            <v>350000</v>
          </cell>
        </row>
        <row r="985">
          <cell r="K985"/>
        </row>
        <row r="986">
          <cell r="K986"/>
        </row>
        <row r="1094">
          <cell r="H1094">
            <v>108333.33333333333</v>
          </cell>
          <cell r="K1094"/>
        </row>
        <row r="1095">
          <cell r="H1095">
            <v>104237.07742454682</v>
          </cell>
          <cell r="K1095"/>
        </row>
        <row r="1096">
          <cell r="H1096">
            <v>100106.68604985376</v>
          </cell>
          <cell r="K1096"/>
        </row>
        <row r="1097">
          <cell r="H1097">
            <v>95941.874747038266</v>
          </cell>
          <cell r="K1097"/>
        </row>
        <row r="1098">
          <cell r="H1098">
            <v>91742.356683365957</v>
          </cell>
          <cell r="K1098"/>
        </row>
        <row r="1099">
          <cell r="H1099">
            <v>87507.842635829715</v>
          </cell>
          <cell r="K1099"/>
        </row>
        <row r="1100">
          <cell r="H1100">
            <v>83238.040971230672</v>
          </cell>
          <cell r="K1100"/>
        </row>
        <row r="1101">
          <cell r="H1101">
            <v>78932.657626093307</v>
          </cell>
          <cell r="K1101"/>
        </row>
        <row r="1102">
          <cell r="H1102">
            <v>74591.396086413122</v>
          </cell>
          <cell r="K1102"/>
        </row>
        <row r="1103">
          <cell r="H1103">
            <v>70213.957367235605</v>
          </cell>
          <cell r="K1103"/>
        </row>
        <row r="1104">
          <cell r="H1104">
            <v>65800.039992064951</v>
          </cell>
          <cell r="K1104"/>
        </row>
        <row r="1105">
          <cell r="H1105">
            <v>61349.339972101203</v>
          </cell>
          <cell r="K1105">
            <v>7200000</v>
          </cell>
        </row>
        <row r="1106">
          <cell r="H1106">
            <v>56861.550785304426</v>
          </cell>
          <cell r="K1106"/>
        </row>
        <row r="1107">
          <cell r="H1107">
            <v>52336.363355284338</v>
          </cell>
          <cell r="K1107"/>
        </row>
        <row r="1108">
          <cell r="H1108">
            <v>47773.466030014089</v>
          </cell>
          <cell r="K1108"/>
        </row>
        <row r="1109">
          <cell r="H1109">
            <v>43172.544560366579</v>
          </cell>
          <cell r="K1109"/>
        </row>
        <row r="1110">
          <cell r="H1110">
            <v>38533.28207847201</v>
          </cell>
          <cell r="K1110"/>
        </row>
        <row r="1111">
          <cell r="H1111">
            <v>33855.359075894987</v>
          </cell>
          <cell r="K1111"/>
        </row>
        <row r="1112">
          <cell r="K1112">
            <v>7094527.1699999999</v>
          </cell>
        </row>
        <row r="1135">
          <cell r="H1135">
            <v>118356.16438356164</v>
          </cell>
        </row>
        <row r="1136">
          <cell r="H1136">
            <v>200986.30136986301</v>
          </cell>
        </row>
        <row r="1137">
          <cell r="H1137">
            <v>202661.18721461188</v>
          </cell>
        </row>
        <row r="1138">
          <cell r="H1138">
            <v>204350.0304414003</v>
          </cell>
        </row>
        <row r="1139">
          <cell r="H1139">
            <v>206052.94736174532</v>
          </cell>
        </row>
        <row r="1140">
          <cell r="H1140">
            <v>197033.70444200782</v>
          </cell>
        </row>
        <row r="1141">
          <cell r="H1141">
            <v>187939.3011646058</v>
          </cell>
        </row>
        <row r="1142">
          <cell r="H1142">
            <v>178769.11119322546</v>
          </cell>
        </row>
        <row r="1143">
          <cell r="H1143">
            <v>169522.50297208363</v>
          </cell>
        </row>
        <row r="1144">
          <cell r="H1144">
            <v>160198.83968243227</v>
          </cell>
        </row>
        <row r="1145">
          <cell r="H1145">
            <v>150797.47919870046</v>
          </cell>
        </row>
        <row r="1146">
          <cell r="H1146">
            <v>141317.77404427092</v>
          </cell>
        </row>
        <row r="1147">
          <cell r="H1147">
            <v>131759.07134688777</v>
          </cell>
        </row>
        <row r="1302">
          <cell r="H1302">
            <v>2259.3258009863011</v>
          </cell>
        </row>
        <row r="1303">
          <cell r="H1303">
            <v>3290.0589212476934</v>
          </cell>
        </row>
        <row r="1304">
          <cell r="H1304">
            <v>3315.7213808334254</v>
          </cell>
        </row>
        <row r="1305">
          <cell r="H1305">
            <v>3341.5840076039262</v>
          </cell>
        </row>
        <row r="1306">
          <cell r="H1306">
            <v>4334.6851088632366</v>
          </cell>
        </row>
        <row r="1307">
          <cell r="H1307">
            <v>4368.4956527123704</v>
          </cell>
        </row>
        <row r="1308">
          <cell r="H1308">
            <v>4402.5699188035278</v>
          </cell>
        </row>
        <row r="1309">
          <cell r="H1309">
            <v>4436.9099641701951</v>
          </cell>
        </row>
        <row r="1310">
          <cell r="H1310">
            <v>5637.169954093004</v>
          </cell>
        </row>
        <row r="1311">
          <cell r="H1311">
            <v>5692.6021253082527</v>
          </cell>
        </row>
        <row r="1312">
          <cell r="H1312">
            <v>5748.5793795404506</v>
          </cell>
        </row>
        <row r="1313">
          <cell r="H1313">
            <v>5805.1070767725978</v>
          </cell>
        </row>
        <row r="1314">
          <cell r="H1314">
            <v>5862.1906296941952</v>
          </cell>
        </row>
        <row r="1315">
          <cell r="H1315">
            <v>6722.5250641136936</v>
          </cell>
        </row>
        <row r="1316">
          <cell r="H1316">
            <v>6797.5932606629622</v>
          </cell>
        </row>
        <row r="1317">
          <cell r="H1317">
            <v>6873.499718740366</v>
          </cell>
        </row>
        <row r="1318">
          <cell r="H1318">
            <v>6120.3727483141047</v>
          </cell>
        </row>
        <row r="1760">
          <cell r="H1760">
            <v>41666.666666666664</v>
          </cell>
        </row>
        <row r="1761">
          <cell r="H1761">
            <v>83680.555555555547</v>
          </cell>
        </row>
        <row r="1762">
          <cell r="H1762">
            <v>84377.893518518511</v>
          </cell>
        </row>
        <row r="1763">
          <cell r="H1763">
            <v>85081.042631172837</v>
          </cell>
        </row>
        <row r="1764">
          <cell r="H1764">
            <v>85790.051319765946</v>
          </cell>
        </row>
        <row r="1765">
          <cell r="H1765">
            <v>82034.89361463832</v>
          </cell>
        </row>
        <row r="1766">
          <cell r="H1766">
            <v>78248.442928634613</v>
          </cell>
        </row>
        <row r="1767">
          <cell r="H1767">
            <v>74430.438486914209</v>
          </cell>
        </row>
        <row r="1768">
          <cell r="H1768">
            <v>70580.617341512814</v>
          </cell>
        </row>
        <row r="1769">
          <cell r="H1769">
            <v>66698.714353233067</v>
          </cell>
        </row>
        <row r="1770">
          <cell r="H1770">
            <v>62784.462173384323</v>
          </cell>
        </row>
        <row r="1771">
          <cell r="H1771">
            <v>58837.591225370183</v>
          </cell>
        </row>
        <row r="2013">
          <cell r="H2013">
            <v>52777.777777777774</v>
          </cell>
        </row>
        <row r="2014">
          <cell r="H2014">
            <v>83773.148148148146</v>
          </cell>
        </row>
        <row r="2015">
          <cell r="H2015">
            <v>84471.257716049382</v>
          </cell>
        </row>
        <row r="2016">
          <cell r="H2016">
            <v>85175.184863683113</v>
          </cell>
        </row>
        <row r="2017">
          <cell r="H2017">
            <v>85884.978070880476</v>
          </cell>
        </row>
        <row r="2018">
          <cell r="H2018">
            <v>82125.66528115519</v>
          </cell>
        </row>
        <row r="2019">
          <cell r="H2019">
            <v>78335.02488484887</v>
          </cell>
        </row>
        <row r="2020">
          <cell r="H2020">
            <v>74512.79581857333</v>
          </cell>
        </row>
        <row r="2021">
          <cell r="H2021">
            <v>70658.714843412148</v>
          </cell>
        </row>
        <row r="2022">
          <cell r="H2022">
            <v>66772.516526791296</v>
          </cell>
        </row>
        <row r="2023">
          <cell r="H2023">
            <v>62853.933224198605</v>
          </cell>
        </row>
        <row r="2024">
          <cell r="H2024">
            <v>58902.695060750964</v>
          </cell>
        </row>
        <row r="2025">
          <cell r="H2025">
            <v>54918.529912607941</v>
          </cell>
        </row>
        <row r="2026">
          <cell r="H2026">
            <v>50901.163388230379</v>
          </cell>
        </row>
        <row r="2027">
          <cell r="H2027">
            <v>46850.318809483011</v>
          </cell>
        </row>
        <row r="2028">
          <cell r="H2028">
            <v>42765.717192579417</v>
          </cell>
        </row>
        <row r="2029">
          <cell r="H2029">
            <v>38647.077228868293</v>
          </cell>
        </row>
        <row r="2030">
          <cell r="H2030">
            <v>34494.115265459572</v>
          </cell>
        </row>
        <row r="2031">
          <cell r="H2031">
            <v>30306.545285689117</v>
          </cell>
        </row>
        <row r="2032">
          <cell r="H2032">
            <v>26084.078889420569</v>
          </cell>
        </row>
        <row r="2033">
          <cell r="H2033">
            <v>5632.6258769504821</v>
          </cell>
        </row>
        <row r="2136">
          <cell r="K2136">
            <v>0.29950000000000004</v>
          </cell>
        </row>
        <row r="2144">
          <cell r="H2144">
            <v>1108803.0241935484</v>
          </cell>
          <cell r="K2144"/>
        </row>
        <row r="2145">
          <cell r="H2145">
            <v>2644068.75</v>
          </cell>
          <cell r="K2145"/>
        </row>
        <row r="2146">
          <cell r="H2146">
            <v>2695038.7499999995</v>
          </cell>
          <cell r="K2146">
            <v>3752871.77</v>
          </cell>
        </row>
        <row r="2147">
          <cell r="H2147">
            <v>2695038.7499999995</v>
          </cell>
          <cell r="K2147">
            <v>2695038</v>
          </cell>
        </row>
        <row r="2148">
          <cell r="H2148">
            <v>3039086.25</v>
          </cell>
          <cell r="K2148">
            <v>2695039.5</v>
          </cell>
        </row>
        <row r="2149">
          <cell r="H2149">
            <v>3128283.75</v>
          </cell>
          <cell r="K2149">
            <v>3039086.25</v>
          </cell>
        </row>
        <row r="2150">
          <cell r="H2150">
            <v>3128283.75</v>
          </cell>
          <cell r="K2150">
            <v>2695038.75</v>
          </cell>
        </row>
        <row r="2151">
          <cell r="H2151">
            <v>3128283.75</v>
          </cell>
          <cell r="K2151">
            <v>3561528.75</v>
          </cell>
        </row>
        <row r="2152">
          <cell r="H2152">
            <v>3128283.75</v>
          </cell>
          <cell r="K2152">
            <v>3128283.75</v>
          </cell>
        </row>
        <row r="2153">
          <cell r="H2153">
            <v>3128283.75</v>
          </cell>
          <cell r="K2153"/>
        </row>
        <row r="2154">
          <cell r="H2154">
            <v>3472331.25</v>
          </cell>
          <cell r="K2154">
            <v>3128283.75</v>
          </cell>
        </row>
        <row r="2155">
          <cell r="H2155">
            <v>3472331.25</v>
          </cell>
          <cell r="K2155">
            <v>6965691.6600000001</v>
          </cell>
        </row>
        <row r="2156">
          <cell r="H2156">
            <v>3650726.2500000005</v>
          </cell>
          <cell r="K2156">
            <v>3128283.75</v>
          </cell>
        </row>
        <row r="2157">
          <cell r="H2157">
            <v>3816378.7500000005</v>
          </cell>
          <cell r="K2157">
            <v>6269481.2199999997</v>
          </cell>
        </row>
        <row r="2158">
          <cell r="H2158">
            <v>2492564.6772055319</v>
          </cell>
          <cell r="K2158">
            <v>156579159.30000001</v>
          </cell>
        </row>
        <row r="2387">
          <cell r="J2387">
            <v>0.29800000000000004</v>
          </cell>
        </row>
        <row r="2395">
          <cell r="H2395">
            <v>121539.75577419353</v>
          </cell>
        </row>
        <row r="2396">
          <cell r="H2396">
            <v>1918274.7298333333</v>
          </cell>
        </row>
        <row r="2397">
          <cell r="H2397">
            <v>1880364.8377894668</v>
          </cell>
        </row>
        <row r="2398">
          <cell r="H2398">
            <v>2064742.6609698636</v>
          </cell>
        </row>
        <row r="2399">
          <cell r="H2399">
            <v>2079026.7802751288</v>
          </cell>
        </row>
        <row r="2400">
          <cell r="H2400">
            <v>2035042.8344758155</v>
          </cell>
        </row>
        <row r="2401">
          <cell r="H2401">
            <v>1990116.8991706336</v>
          </cell>
        </row>
        <row r="2402">
          <cell r="H2402">
            <v>1944228.8000843322</v>
          </cell>
        </row>
        <row r="2403">
          <cell r="H2403">
            <v>1897357.9308759328</v>
          </cell>
        </row>
        <row r="2404">
          <cell r="H2404">
            <v>2043786.9309861124</v>
          </cell>
        </row>
        <row r="2405">
          <cell r="H2405">
            <v>1991497.6992346272</v>
          </cell>
        </row>
        <row r="2406">
          <cell r="H2406">
            <v>2033504.7351696375</v>
          </cell>
        </row>
        <row r="2407">
          <cell r="H2407">
            <v>2063150.3157832364</v>
          </cell>
        </row>
        <row r="2408">
          <cell r="H2408">
            <v>2048557.5053803634</v>
          </cell>
        </row>
        <row r="2409">
          <cell r="H2409">
            <v>1992643.5560089354</v>
          </cell>
        </row>
        <row r="2410">
          <cell r="H2410">
            <v>1928698.248397673</v>
          </cell>
        </row>
        <row r="2411">
          <cell r="H2411">
            <v>1868893.3530874765</v>
          </cell>
        </row>
        <row r="2412">
          <cell r="H2412">
            <v>1801351.950547674</v>
          </cell>
        </row>
        <row r="2413">
          <cell r="H2413">
            <v>1802372.3276002121</v>
          </cell>
        </row>
        <row r="2414">
          <cell r="H2414">
            <v>1729050.4174067504</v>
          </cell>
        </row>
        <row r="2415">
          <cell r="H2415">
            <v>1653693.8242054204</v>
          </cell>
        </row>
        <row r="2530">
          <cell r="H2530">
            <v>90322.580645161288</v>
          </cell>
        </row>
        <row r="2531">
          <cell r="H2531">
            <v>200752.68817204301</v>
          </cell>
        </row>
        <row r="2532">
          <cell r="H2532">
            <v>202425.62724014337</v>
          </cell>
        </row>
        <row r="2533">
          <cell r="H2533">
            <v>204112.50746714458</v>
          </cell>
        </row>
        <row r="2534">
          <cell r="H2534">
            <v>205813.44502937078</v>
          </cell>
        </row>
        <row r="2535">
          <cell r="H2535">
            <v>196804.68548171403</v>
          </cell>
        </row>
        <row r="2536">
          <cell r="H2536">
            <v>187720.8529378268</v>
          </cell>
        </row>
        <row r="2537">
          <cell r="H2537">
            <v>178561.32178940717</v>
          </cell>
        </row>
        <row r="2538">
          <cell r="H2538">
            <v>169325.46121475071</v>
          </cell>
        </row>
        <row r="2539">
          <cell r="H2539">
            <v>160012.63513530549</v>
          </cell>
        </row>
        <row r="2540">
          <cell r="H2540">
            <v>150622.20217186486</v>
          </cell>
        </row>
        <row r="2541">
          <cell r="H2541">
            <v>141153.51560039553</v>
          </cell>
        </row>
        <row r="2542">
          <cell r="H2542">
            <v>131605.92330749735</v>
          </cell>
        </row>
        <row r="2543">
          <cell r="H2543">
            <v>121978.76774549164</v>
          </cell>
        </row>
        <row r="2544">
          <cell r="H2544">
            <v>112271.38588713591</v>
          </cell>
        </row>
        <row r="2703">
          <cell r="H2703">
            <v>140000</v>
          </cell>
        </row>
        <row r="2704">
          <cell r="H2704">
            <v>201166.66666666666</v>
          </cell>
        </row>
        <row r="2705">
          <cell r="H2705">
            <v>202843.05555555556</v>
          </cell>
        </row>
        <row r="2706">
          <cell r="H2706">
            <v>204533.41435185185</v>
          </cell>
        </row>
        <row r="2707">
          <cell r="H2707">
            <v>206237.85947145062</v>
          </cell>
        </row>
        <row r="2708">
          <cell r="H2708">
            <v>197210.52267459276</v>
          </cell>
        </row>
        <row r="2709">
          <cell r="H2709">
            <v>188107.95807109441</v>
          </cell>
        </row>
        <row r="2710">
          <cell r="H2710">
            <v>178929.53876256692</v>
          </cell>
        </row>
        <row r="2711">
          <cell r="H2711">
            <v>169674.63262646834</v>
          </cell>
        </row>
        <row r="2712">
          <cell r="H2712">
            <v>160342.60227256894</v>
          </cell>
        </row>
        <row r="2713">
          <cell r="H2713">
            <v>150932.80499905371</v>
          </cell>
        </row>
        <row r="2714">
          <cell r="H2714">
            <v>141444.59274825922</v>
          </cell>
        </row>
        <row r="2715">
          <cell r="H2715">
            <v>131877.31206204143</v>
          </cell>
        </row>
        <row r="3246">
          <cell r="H3246">
            <v>5952.3809523809523</v>
          </cell>
        </row>
        <row r="3247">
          <cell r="H3247">
            <v>166716.26984126982</v>
          </cell>
        </row>
        <row r="3248">
          <cell r="H3248">
            <v>168105.57208994706</v>
          </cell>
        </row>
        <row r="3249">
          <cell r="H3249">
            <v>169506.45185736331</v>
          </cell>
        </row>
        <row r="3250">
          <cell r="H3250">
            <v>170919.00562284133</v>
          </cell>
        </row>
        <row r="3251">
          <cell r="H3251">
            <v>172343.33066969833</v>
          </cell>
        </row>
        <row r="3252">
          <cell r="H3252">
            <v>173779.5250919458</v>
          </cell>
        </row>
      </sheetData>
      <sheetData sheetId="3" refreshError="1"/>
      <sheetData sheetId="4"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Term Loans- MWK"/>
      <sheetName val="Sheet2"/>
    </sheetNames>
    <sheetDataSet>
      <sheetData sheetId="0" refreshError="1"/>
      <sheetData sheetId="1"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ver"/>
      <sheetName val="Contents"/>
      <sheetName val="Company information"/>
      <sheetName val="Directors report (3)"/>
      <sheetName val="Mngnt responsiblities"/>
      <sheetName val="Audit rpt"/>
      <sheetName val="aud report 2"/>
      <sheetName val="Audit rpt 3"/>
      <sheetName val="Income Statement"/>
      <sheetName val="Financial Position"/>
      <sheetName val="Equity"/>
      <sheetName val="Cashflow"/>
      <sheetName val="policies"/>
      <sheetName val="AP1"/>
      <sheetName val="Notes"/>
      <sheetName val="Adjustments"/>
      <sheetName val="Statement of Financial Position"/>
      <sheetName val="Profit or Loss"/>
      <sheetName val="Changes in Equity"/>
      <sheetName val="Cashflows"/>
      <sheetName val="Note 1 to 5"/>
      <sheetName val="Note 6 - PPE"/>
      <sheetName val="Note 7 to 9"/>
      <sheetName val="Note 10 to 13"/>
      <sheetName val="Note 14 ECL"/>
      <sheetName val="CAR"/>
      <sheetName val="ETB"/>
      <sheetName val="BIZ REVIEW"/>
      <sheetName val="J1- CDHIB"/>
      <sheetName val="Sheet1"/>
      <sheetName val="Sheet3"/>
      <sheetName val="J2-Payroll"/>
      <sheetName val="J3-Pettycash"/>
      <sheetName val="J4-FAR"/>
      <sheetName val="J5-Issued shares"/>
      <sheetName val="J6-Provisions &amp; other accruals"/>
      <sheetName val="J7-Taxes"/>
      <sheetName val="J8-Prepayments"/>
      <sheetName val="J9-PYA"/>
      <sheetName val="J10-Treasury"/>
      <sheetName val="J11A-Term Loans-Armotisation"/>
      <sheetName val="J11B-Term Loans - Pmts Summ"/>
      <sheetName val="N2"/>
      <sheetName val="N3"/>
      <sheetName val="PPE"/>
      <sheetName val="N4"/>
      <sheetName val="N5"/>
      <sheetName val="N6"/>
      <sheetName val="exp"/>
      <sheetName val="p&amp;l breakdown"/>
      <sheetName val="App 9"/>
      <sheetName val="Reconciliation"/>
      <sheetName val="App1"/>
      <sheetName val="App 2"/>
      <sheetName val="JES"/>
      <sheetName val="2017 TB"/>
      <sheetName val="JEs 2017"/>
      <sheetName val="Exchange difference"/>
      <sheetName val="Exchange rates 2016"/>
      <sheetName val="Cover (2)"/>
      <sheetName val="Contents (2)"/>
      <sheetName val="Company information (2)"/>
      <sheetName val="Directors report (2)"/>
      <sheetName val="Mngnt responsiblities (2)"/>
      <sheetName val="Audit rpt (2)"/>
      <sheetName val="Audit rpt 2 (2)"/>
      <sheetName val="P&amp;L  (2)"/>
      <sheetName val="Bs (2)"/>
      <sheetName val="PPE 2014"/>
      <sheetName val="App4"/>
      <sheetName val="App5"/>
      <sheetName val="App6"/>
      <sheetName val="App7"/>
      <sheetName val="op"/>
      <sheetName val="tax comp"/>
      <sheetName val="opTB"/>
      <sheetName val="opening diff"/>
      <sheetName val="TB NEW"/>
      <sheetName val="Sheet2"/>
      <sheetName val="Mean rates"/>
      <sheetName val="Deffered Income"/>
      <sheetName val="TB 201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row r="10">
          <cell r="H10">
            <v>12055000</v>
          </cell>
        </row>
      </sheetData>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relativeUrl r:id="rId2"/>
    </xxl21:alternateUrls>
    <sheetNames>
      <sheetName val="Cover"/>
      <sheetName val="Contents"/>
      <sheetName val="Company information"/>
      <sheetName val="Directors report (3)"/>
      <sheetName val="Mngnt responsiblities"/>
      <sheetName val="Audit rpt"/>
      <sheetName val="aud report 2"/>
      <sheetName val="Audit rpt 3"/>
      <sheetName val="Income Statement"/>
      <sheetName val="Financial Position"/>
      <sheetName val="Equity"/>
      <sheetName val="Cashflow"/>
      <sheetName val="policies"/>
      <sheetName val="AP1"/>
      <sheetName val="Notes"/>
      <sheetName val="Adjustments"/>
      <sheetName val="Statement of Financial Position"/>
      <sheetName val="Profit or Loss"/>
      <sheetName val="Changes in Equity"/>
      <sheetName val="Cashflows"/>
      <sheetName val="Note 1 to 5"/>
      <sheetName val="Note 6 - PPE"/>
      <sheetName val="Note 7 to 9"/>
      <sheetName val="Note 10 to 13"/>
      <sheetName val="Note 14 ECL"/>
      <sheetName val="CAR"/>
      <sheetName val="ETB"/>
      <sheetName val="BIZ REVIEW"/>
      <sheetName val="J1- CDHIB"/>
      <sheetName val="Sheet1"/>
      <sheetName val="Sheet3"/>
      <sheetName val="J2-Payroll"/>
      <sheetName val="J3-Pettycash"/>
      <sheetName val="J4-FAR"/>
      <sheetName val="J5-Issued shares"/>
      <sheetName val="J6-Provisions &amp; other accruals"/>
      <sheetName val="J7-Taxes"/>
      <sheetName val="J8-Prepayments"/>
      <sheetName val="J9-PYA"/>
      <sheetName val="J10-Treasury"/>
      <sheetName val="J11A-Term Loans-Armotisation"/>
      <sheetName val="J11B-Term Loans - Pmts Summ"/>
      <sheetName val="N2"/>
      <sheetName val="N3"/>
      <sheetName val="PPE"/>
      <sheetName val="N4"/>
      <sheetName val="N5"/>
      <sheetName val="N6"/>
      <sheetName val="exp"/>
      <sheetName val="p&amp;l breakdown"/>
      <sheetName val="App 9"/>
      <sheetName val="Reconciliation"/>
      <sheetName val="App1"/>
      <sheetName val="App 2"/>
      <sheetName val="JES"/>
      <sheetName val="2017 TB"/>
      <sheetName val="JEs 2017"/>
      <sheetName val="Exchange difference"/>
      <sheetName val="Exchange rates 2016"/>
      <sheetName val="Cover (2)"/>
      <sheetName val="Contents (2)"/>
      <sheetName val="Company information (2)"/>
      <sheetName val="Directors report (2)"/>
      <sheetName val="Mngnt responsiblities (2)"/>
      <sheetName val="Audit rpt (2)"/>
      <sheetName val="Audit rpt 2 (2)"/>
      <sheetName val="P&amp;L  (2)"/>
      <sheetName val="Bs (2)"/>
      <sheetName val="PPE 2014"/>
      <sheetName val="App4"/>
      <sheetName val="App5"/>
      <sheetName val="App6"/>
      <sheetName val="App7"/>
      <sheetName val="op"/>
      <sheetName val="tax comp"/>
      <sheetName val="opTB"/>
      <sheetName val="opening diff"/>
      <sheetName val="TB NEW"/>
      <sheetName val="Sheet2"/>
      <sheetName val="Mean rates"/>
      <sheetName val="Deffered Income"/>
      <sheetName val="TB 2015"/>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row r="11">
          <cell r="H11">
            <v>290500000</v>
          </cell>
        </row>
      </sheetData>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n amortisation"/>
      <sheetName val="Sheet1"/>
    </sheetNames>
    <sheetDataSet>
      <sheetData sheetId="0" refreshError="1">
        <row r="4">
          <cell r="D4">
            <v>236401400</v>
          </cell>
        </row>
      </sheetData>
      <sheetData sheetId="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Loan amortisation- F&amp;K"/>
      <sheetName val="Loan amortisation- LLWPC"/>
      <sheetName val="Amortization- GREEN P."/>
      <sheetName val="Sheet1"/>
    </sheetNames>
    <sheetDataSet>
      <sheetData sheetId="0" refreshError="1">
        <row r="4">
          <cell r="D4">
            <v>120000000</v>
          </cell>
        </row>
      </sheetData>
      <sheetData sheetId="1" refreshError="1">
        <row r="4">
          <cell r="D4">
            <v>150000000</v>
          </cell>
        </row>
      </sheetData>
      <sheetData sheetId="2" refreshError="1">
        <row r="4">
          <cell r="D4">
            <v>22000000</v>
          </cell>
        </row>
      </sheetData>
      <sheetData sheetId="3"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9.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0.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3"/>
  <sheetViews>
    <sheetView workbookViewId="0"/>
  </sheetViews>
  <sheetFormatPr defaultRowHeight="14.5" x14ac:dyDescent="0.35"/>
  <cols>
    <col min="1" max="1" width="32" customWidth="1"/>
    <col min="2" max="2" width="90" customWidth="1"/>
    <col min="3" max="3" width="22" customWidth="1"/>
  </cols>
  <sheetData>
    <row r="1" spans="1:3" ht="18.5" x14ac:dyDescent="0.45">
      <c r="A1" s="419" t="s">
        <v>0</v>
      </c>
    </row>
    <row r="2" spans="1:3" x14ac:dyDescent="0.35">
      <c r="A2" s="420" t="s">
        <v>1</v>
      </c>
    </row>
    <row r="4" spans="1:3" x14ac:dyDescent="0.35">
      <c r="A4" s="421" t="s">
        <v>2</v>
      </c>
      <c r="B4" s="421" t="s">
        <v>3</v>
      </c>
      <c r="C4" s="421" t="s">
        <v>4</v>
      </c>
    </row>
    <row r="5" spans="1:3" x14ac:dyDescent="0.35">
      <c r="A5" s="422" t="str">
        <f>HYPERLINK("#'Instructions'!A1","Instructions")</f>
        <v>Instructions</v>
      </c>
      <c r="B5" t="s">
        <v>5</v>
      </c>
      <c r="C5" t="s">
        <v>6</v>
      </c>
    </row>
    <row r="6" spans="1:3" x14ac:dyDescent="0.35">
      <c r="A6" s="422" t="str">
        <f>HYPERLINK("#'Mapping'!A1","Mapping")</f>
        <v>Mapping</v>
      </c>
      <c r="B6" t="s">
        <v>7</v>
      </c>
      <c r="C6" t="s">
        <v>8</v>
      </c>
    </row>
    <row r="7" spans="1:3" x14ac:dyDescent="0.35">
      <c r="A7" s="422" t="str">
        <f>HYPERLINK("#'Not matched'!A1","Not matched")</f>
        <v>Not matched</v>
      </c>
      <c r="B7" t="s">
        <v>9</v>
      </c>
      <c r="C7" t="s">
        <v>8</v>
      </c>
    </row>
    <row r="8" spans="1:3" x14ac:dyDescent="0.35">
      <c r="A8" s="422" t="str">
        <f>HYPERLINK("#'Accounts without a block'!A1","Accounts without a block")</f>
        <v>Accounts without a block</v>
      </c>
      <c r="B8" t="s">
        <v>10</v>
      </c>
      <c r="C8" t="s">
        <v>8</v>
      </c>
    </row>
    <row r="9" spans="1:3" x14ac:dyDescent="0.35">
      <c r="A9" s="422" t="str">
        <f>HYPERLINK("#'Upload summary'!A1","Upload summary")</f>
        <v>Upload summary</v>
      </c>
      <c r="B9" t="s">
        <v>11</v>
      </c>
      <c r="C9" t="s">
        <v>12</v>
      </c>
    </row>
    <row r="10" spans="1:3" x14ac:dyDescent="0.35">
      <c r="A10" s="422" t="str">
        <f>HYPERLINK("#'Blocks'!A1","Blocks")</f>
        <v>Blocks</v>
      </c>
      <c r="B10" t="s">
        <v>13</v>
      </c>
      <c r="C10" t="s">
        <v>12</v>
      </c>
    </row>
    <row r="11" spans="1:3" x14ac:dyDescent="0.35">
      <c r="A11" s="422" t="str">
        <f>HYPERLINK("#'E-Banker master'!A1","E-Banker master")</f>
        <v>E-Banker master</v>
      </c>
      <c r="B11" t="s">
        <v>14</v>
      </c>
      <c r="C11" t="s">
        <v>15</v>
      </c>
    </row>
    <row r="12" spans="1:3" x14ac:dyDescent="0.35">
      <c r="A12" s="422" t="str">
        <f>HYPERLINK("#'Loan Book'!A1","Loan Book")</f>
        <v>Loan Book</v>
      </c>
      <c r="B12" t="s">
        <v>16</v>
      </c>
      <c r="C12" t="s">
        <v>15</v>
      </c>
    </row>
    <row r="13" spans="1:3" x14ac:dyDescent="0.35">
      <c r="A13" s="422" t="str">
        <f>HYPERLINK("#'Amortisation and Repayments'!A1","Amortisation and Repayments")</f>
        <v>Amortisation and Repayments</v>
      </c>
      <c r="B13" t="s">
        <v>16</v>
      </c>
      <c r="C13" t="s">
        <v>15</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25"/>
  <sheetViews>
    <sheetView workbookViewId="0"/>
  </sheetViews>
  <sheetFormatPr defaultRowHeight="14.5" x14ac:dyDescent="0.35"/>
  <cols>
    <col min="1" max="1" width="130" customWidth="1"/>
  </cols>
  <sheetData>
    <row r="1" spans="1:1" ht="15.5" x14ac:dyDescent="0.35">
      <c r="A1" s="423" t="s">
        <v>17</v>
      </c>
    </row>
    <row r="2" spans="1:1" ht="29" x14ac:dyDescent="0.35">
      <c r="A2" s="424" t="s">
        <v>18</v>
      </c>
    </row>
    <row r="3" spans="1:1" x14ac:dyDescent="0.35">
      <c r="A3" s="424"/>
    </row>
    <row r="4" spans="1:1" ht="15.5" x14ac:dyDescent="0.35">
      <c r="A4" s="423" t="s">
        <v>19</v>
      </c>
    </row>
    <row r="5" spans="1:1" ht="72.5" x14ac:dyDescent="0.35">
      <c r="A5" s="424" t="s">
        <v>20</v>
      </c>
    </row>
    <row r="6" spans="1:1" x14ac:dyDescent="0.35">
      <c r="A6" s="424"/>
    </row>
    <row r="7" spans="1:1" ht="15.5" x14ac:dyDescent="0.35">
      <c r="A7" s="423" t="s">
        <v>21</v>
      </c>
    </row>
    <row r="8" spans="1:1" ht="29" x14ac:dyDescent="0.35">
      <c r="A8" s="424" t="s">
        <v>22</v>
      </c>
    </row>
    <row r="9" spans="1:1" ht="29" x14ac:dyDescent="0.35">
      <c r="A9" s="424" t="s">
        <v>23</v>
      </c>
    </row>
    <row r="10" spans="1:1" ht="29" x14ac:dyDescent="0.35">
      <c r="A10" s="424" t="s">
        <v>24</v>
      </c>
    </row>
    <row r="11" spans="1:1" ht="58" x14ac:dyDescent="0.35">
      <c r="A11" s="424" t="s">
        <v>25</v>
      </c>
    </row>
    <row r="12" spans="1:1" x14ac:dyDescent="0.35">
      <c r="A12" s="439" t="s">
        <v>26</v>
      </c>
    </row>
    <row r="13" spans="1:1" ht="15.5" x14ac:dyDescent="0.35">
      <c r="A13" s="423" t="s">
        <v>27</v>
      </c>
    </row>
    <row r="14" spans="1:1" ht="29" x14ac:dyDescent="0.35">
      <c r="A14" s="424" t="s">
        <v>28</v>
      </c>
    </row>
    <row r="15" spans="1:1" ht="29" x14ac:dyDescent="0.35">
      <c r="A15" s="424" t="s">
        <v>29</v>
      </c>
    </row>
    <row r="16" spans="1:1" ht="58" x14ac:dyDescent="0.35">
      <c r="A16" s="424" t="s">
        <v>30</v>
      </c>
    </row>
    <row r="17" spans="1:1" ht="29" x14ac:dyDescent="0.35">
      <c r="A17" s="424" t="s">
        <v>31</v>
      </c>
    </row>
    <row r="18" spans="1:1" x14ac:dyDescent="0.35">
      <c r="A18" s="424"/>
    </row>
    <row r="19" spans="1:1" ht="15.5" x14ac:dyDescent="0.35">
      <c r="A19" s="423" t="s">
        <v>32</v>
      </c>
    </row>
    <row r="20" spans="1:1" ht="58" x14ac:dyDescent="0.35">
      <c r="A20" s="424" t="s">
        <v>33</v>
      </c>
    </row>
    <row r="21" spans="1:1" x14ac:dyDescent="0.35">
      <c r="A21" s="424"/>
    </row>
    <row r="22" spans="1:1" ht="15.5" x14ac:dyDescent="0.35">
      <c r="A22" s="423" t="s">
        <v>34</v>
      </c>
    </row>
    <row r="23" spans="1:1" ht="58" x14ac:dyDescent="0.35">
      <c r="A23" s="424" t="s">
        <v>35</v>
      </c>
    </row>
    <row r="24" spans="1:1" x14ac:dyDescent="0.35">
      <c r="A24" s="424"/>
    </row>
    <row r="25" spans="1:1" x14ac:dyDescent="0.35">
      <c r="A25" s="424" t="s">
        <v>36</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12"/>
  <sheetViews>
    <sheetView workbookViewId="0">
      <pane ySplit="1" topLeftCell="A2" activePane="bottomLeft" state="frozen"/>
      <selection pane="bottomLeft"/>
    </sheetView>
  </sheetViews>
  <sheetFormatPr defaultRowHeight="14.5" x14ac:dyDescent="0.35"/>
  <cols>
    <col min="1" max="2" width="18" customWidth="1"/>
    <col min="3" max="3" width="36" customWidth="1"/>
    <col min="4" max="11" width="18" customWidth="1"/>
    <col min="12" max="12" width="36" customWidth="1"/>
    <col min="13" max="26" width="18" customWidth="1"/>
  </cols>
  <sheetData>
    <row r="1" spans="1:26" ht="42" customHeight="1" x14ac:dyDescent="0.35">
      <c r="A1" s="425" t="s">
        <v>37</v>
      </c>
      <c r="B1" s="425" t="s">
        <v>38</v>
      </c>
      <c r="C1" s="425" t="s">
        <v>39</v>
      </c>
      <c r="D1" s="425" t="s">
        <v>40</v>
      </c>
      <c r="E1" s="425" t="s">
        <v>41</v>
      </c>
      <c r="F1" s="425" t="s">
        <v>42</v>
      </c>
      <c r="G1" s="425" t="s">
        <v>43</v>
      </c>
      <c r="H1" s="425" t="s">
        <v>44</v>
      </c>
      <c r="I1" s="425" t="s">
        <v>45</v>
      </c>
      <c r="J1" s="425" t="s">
        <v>46</v>
      </c>
      <c r="K1" s="425" t="s">
        <v>47</v>
      </c>
      <c r="L1" s="425" t="s">
        <v>48</v>
      </c>
      <c r="M1" s="425" t="s">
        <v>49</v>
      </c>
      <c r="N1" s="425" t="s">
        <v>50</v>
      </c>
      <c r="O1" s="425" t="s">
        <v>51</v>
      </c>
      <c r="P1" s="425" t="s">
        <v>52</v>
      </c>
      <c r="Q1" s="425" t="s">
        <v>53</v>
      </c>
      <c r="R1" s="425" t="s">
        <v>54</v>
      </c>
      <c r="S1" s="425" t="s">
        <v>55</v>
      </c>
      <c r="T1" s="425" t="s">
        <v>56</v>
      </c>
      <c r="U1" s="425" t="s">
        <v>57</v>
      </c>
      <c r="V1" s="425" t="s">
        <v>58</v>
      </c>
      <c r="W1" s="425" t="s">
        <v>59</v>
      </c>
      <c r="X1" s="425" t="s">
        <v>60</v>
      </c>
      <c r="Y1" s="425" t="s">
        <v>61</v>
      </c>
      <c r="Z1" s="425" t="s">
        <v>62</v>
      </c>
    </row>
    <row r="2" spans="1:26" x14ac:dyDescent="0.35">
      <c r="A2">
        <v>5</v>
      </c>
      <c r="B2">
        <f>'Loan Book'!D5</f>
        <v>1</v>
      </c>
      <c r="C2" t="str">
        <f>'Loan Book'!E5</f>
        <v>Chikho Hotel Limited</v>
      </c>
      <c r="D2" t="str">
        <f>'Loan Book'!F5</f>
        <v>Debt</v>
      </c>
      <c r="E2" s="426">
        <f>'Loan Book'!G5</f>
        <v>44470</v>
      </c>
      <c r="F2" s="427">
        <f>'Loan Book'!L5</f>
        <v>620855897.5380075</v>
      </c>
      <c r="G2" s="427">
        <f>'Loan Book'!M5</f>
        <v>620855897.5380075</v>
      </c>
      <c r="H2" s="427">
        <f>'Loan Book'!O5</f>
        <v>607931248.68072712</v>
      </c>
      <c r="I2" s="427">
        <f>'Loan Book'!R5</f>
        <v>1.7285346984863281E-5</v>
      </c>
      <c r="J2" t="s">
        <v>63</v>
      </c>
      <c r="K2" t="s">
        <v>64</v>
      </c>
      <c r="L2" t="str">
        <f>IFERROR(INDEX('E-Banker master'!$B$2:$B$186,MATCH($J2,'E-Banker master'!$A$2:$A$186,0)),"")</f>
        <v>CHIKHO HOTEL</v>
      </c>
      <c r="M2" s="426">
        <f>IFERROR(INDEX('E-Banker master'!$H$2:$H$186,MATCH($J2,'E-Banker master'!$A$2:$A$186,0)),"")</f>
        <v>44652</v>
      </c>
      <c r="N2" s="427">
        <f>IFERROR(INDEX('E-Banker master'!$I$2:$I$186,MATCH($J2,'E-Banker master'!$A$2:$A$186,0)),"")</f>
        <v>620855897.53999996</v>
      </c>
      <c r="O2" s="427">
        <f>IFERROR(INDEX('E-Banker master'!$N$2:$N$186,MATCH($J2,'E-Banker master'!$A$2:$A$186,0)),"")</f>
        <v>0</v>
      </c>
      <c r="P2" s="427">
        <f>IFERROR(INDEX('E-Banker master'!$P$2:$P$186,MATCH($J2,'E-Banker master'!$A$2:$A$186,0)),"")</f>
        <v>0</v>
      </c>
      <c r="Q2" s="426">
        <f>IFERROR(INDEX('E-Banker master'!$Q$2:$Q$186,MATCH($J2,'E-Banker master'!$A$2:$A$186,0)),"")</f>
        <v>44470</v>
      </c>
      <c r="R2" t="str">
        <f>IFERROR(INDEX('E-Banker master'!$E$2:$E$186,MATCH($J2,'E-Banker master'!$A$2:$A$186,0)),"")</f>
        <v>C</v>
      </c>
      <c r="S2" t="e">
        <f t="shared" ref="S2:S33" si="0">IF($J2="","",IF(O2="","No take-on posting",IF(ABS(H2-O2)&lt;1,"Yes",IF(ABS(H2/O2-1)&lt;0.01,"Within 1%","No"))))</f>
        <v>#DIV/0!</v>
      </c>
      <c r="T2" t="str">
        <f t="shared" ref="T2:T33" si="1">IF($J2="","",IF(OR(P2="",P2=0),"No balance",IF(ABS(I2-P2)&lt;1,"Yes",IF(ABS(I2/P2-1)&lt;0.02,"Within 2%",IF(ABS(I2/P2-1)&lt;0.05,"Within 5%","No")))))</f>
        <v>No balance</v>
      </c>
      <c r="U2" t="str">
        <f t="shared" ref="U2:U33" si="2">IF($J2="","",IF(N2="","",IF(ABS(F2-N2)&lt;1,"Yes",IF(ABS(G2-N2)&lt;1,"Disbursed = sanction","No"))))</f>
        <v>Yes</v>
      </c>
      <c r="V2">
        <f t="shared" ref="V2:V33" si="3">IF(OR($J2="",Q2="",E2=""),"",ABS(E2-Q2))</f>
        <v>0</v>
      </c>
      <c r="W2" t="s">
        <v>65</v>
      </c>
      <c r="X2" s="428"/>
      <c r="Y2" s="428"/>
      <c r="Z2" s="428"/>
    </row>
    <row r="3" spans="1:26" x14ac:dyDescent="0.35">
      <c r="A3">
        <v>6</v>
      </c>
      <c r="B3">
        <f>'Loan Book'!D6</f>
        <v>2</v>
      </c>
      <c r="C3" t="str">
        <f>'Loan Book'!E6</f>
        <v>Edge View Academy Limited</v>
      </c>
      <c r="D3" t="str">
        <f>'Loan Book'!F6</f>
        <v>Debt</v>
      </c>
      <c r="E3" s="426">
        <f>'Loan Book'!G6</f>
        <v>43935</v>
      </c>
      <c r="F3" s="427">
        <f>'Loan Book'!L6</f>
        <v>300000000</v>
      </c>
      <c r="G3" s="427">
        <f>'Loan Book'!M6</f>
        <v>300000000</v>
      </c>
      <c r="H3" s="427">
        <f>'Loan Book'!O6</f>
        <v>331395845.48046201</v>
      </c>
      <c r="I3" s="427">
        <f>'Loan Book'!R6</f>
        <v>372853990.59721565</v>
      </c>
      <c r="J3" t="s">
        <v>66</v>
      </c>
      <c r="K3" t="s">
        <v>64</v>
      </c>
      <c r="L3" t="str">
        <f>IFERROR(INDEX('E-Banker master'!$B$2:$B$186,MATCH($J3,'E-Banker master'!$A$2:$A$186,0)),"")</f>
        <v>Edge View Academy Limited</v>
      </c>
      <c r="M3" s="426">
        <f>IFERROR(INDEX('E-Banker master'!$H$2:$H$186,MATCH($J3,'E-Banker master'!$A$2:$A$186,0)),"")</f>
        <v>43894</v>
      </c>
      <c r="N3" s="427">
        <f>IFERROR(INDEX('E-Banker master'!$I$2:$I$186,MATCH($J3,'E-Banker master'!$A$2:$A$186,0)),"")</f>
        <v>300000000</v>
      </c>
      <c r="O3" s="427">
        <f>IFERROR(INDEX('E-Banker master'!$N$2:$N$186,MATCH($J3,'E-Banker master'!$A$2:$A$186,0)),"")</f>
        <v>331395845.48000002</v>
      </c>
      <c r="P3" s="427">
        <f>IFERROR(INDEX('E-Banker master'!$P$2:$P$186,MATCH($J3,'E-Banker master'!$A$2:$A$186,0)),"")</f>
        <v>378644731.35000002</v>
      </c>
      <c r="Q3" s="426">
        <f>IFERROR(INDEX('E-Banker master'!$Q$2:$Q$186,MATCH($J3,'E-Banker master'!$A$2:$A$186,0)),"")</f>
        <v>43894</v>
      </c>
      <c r="R3" t="str">
        <f>IFERROR(INDEX('E-Banker master'!$E$2:$E$186,MATCH($J3,'E-Banker master'!$A$2:$A$186,0)),"")</f>
        <v>A</v>
      </c>
      <c r="S3" t="str">
        <f t="shared" si="0"/>
        <v>Yes</v>
      </c>
      <c r="T3" t="str">
        <f t="shared" si="1"/>
        <v>Within 2%</v>
      </c>
      <c r="U3" t="str">
        <f t="shared" si="2"/>
        <v>Yes</v>
      </c>
      <c r="V3">
        <f t="shared" si="3"/>
        <v>41</v>
      </c>
      <c r="W3" t="s">
        <v>65</v>
      </c>
      <c r="X3" s="428"/>
      <c r="Y3" s="428"/>
      <c r="Z3" s="428"/>
    </row>
    <row r="4" spans="1:26" x14ac:dyDescent="0.35">
      <c r="A4">
        <v>7</v>
      </c>
      <c r="B4">
        <f>'Loan Book'!D7</f>
        <v>3</v>
      </c>
      <c r="C4" t="str">
        <f>'Loan Book'!E7</f>
        <v>Micholess Creamery</v>
      </c>
      <c r="D4" t="str">
        <f>'Loan Book'!F7</f>
        <v>Debt</v>
      </c>
      <c r="E4" s="426">
        <f>'Loan Book'!G7</f>
        <v>44040</v>
      </c>
      <c r="F4" s="427">
        <f>'Loan Book'!L7</f>
        <v>20000000</v>
      </c>
      <c r="G4" s="427">
        <f>'Loan Book'!M7</f>
        <v>18240000</v>
      </c>
      <c r="H4" s="427">
        <f>'Loan Book'!O7</f>
        <v>18240000</v>
      </c>
      <c r="I4" s="427">
        <f>'Loan Book'!R7</f>
        <v>0</v>
      </c>
      <c r="J4" t="s">
        <v>67</v>
      </c>
      <c r="K4" t="s">
        <v>64</v>
      </c>
      <c r="L4" t="str">
        <f>IFERROR(INDEX('E-Banker master'!$B$2:$B$186,MATCH($J4,'E-Banker master'!$A$2:$A$186,0)),"")</f>
        <v>Micholess Creamery</v>
      </c>
      <c r="M4" s="426">
        <f>IFERROR(INDEX('E-Banker master'!$H$2:$H$186,MATCH($J4,'E-Banker master'!$A$2:$A$186,0)),"")</f>
        <v>44040</v>
      </c>
      <c r="N4" s="427">
        <f>IFERROR(INDEX('E-Banker master'!$I$2:$I$186,MATCH($J4,'E-Banker master'!$A$2:$A$186,0)),"")</f>
        <v>20000000</v>
      </c>
      <c r="O4" s="427">
        <f>IFERROR(INDEX('E-Banker master'!$N$2:$N$186,MATCH($J4,'E-Banker master'!$A$2:$A$186,0)),"")</f>
        <v>18240000</v>
      </c>
      <c r="P4" s="427">
        <f>IFERROR(INDEX('E-Banker master'!$P$2:$P$186,MATCH($J4,'E-Banker master'!$A$2:$A$186,0)),"")</f>
        <v>0</v>
      </c>
      <c r="Q4" s="426">
        <f>IFERROR(INDEX('E-Banker master'!$Q$2:$Q$186,MATCH($J4,'E-Banker master'!$A$2:$A$186,0)),"")</f>
        <v>44040</v>
      </c>
      <c r="R4" t="str">
        <f>IFERROR(INDEX('E-Banker master'!$E$2:$E$186,MATCH($J4,'E-Banker master'!$A$2:$A$186,0)),"")</f>
        <v>A</v>
      </c>
      <c r="S4" t="str">
        <f t="shared" si="0"/>
        <v>Yes</v>
      </c>
      <c r="T4" t="str">
        <f t="shared" si="1"/>
        <v>No balance</v>
      </c>
      <c r="U4" t="str">
        <f t="shared" si="2"/>
        <v>Yes</v>
      </c>
      <c r="V4">
        <f t="shared" si="3"/>
        <v>0</v>
      </c>
      <c r="W4" t="s">
        <v>65</v>
      </c>
      <c r="X4" s="428"/>
      <c r="Y4" s="428"/>
      <c r="Z4" s="428"/>
    </row>
    <row r="5" spans="1:26" x14ac:dyDescent="0.35">
      <c r="A5">
        <v>8</v>
      </c>
      <c r="B5">
        <f>'Loan Book'!D8</f>
        <v>4</v>
      </c>
      <c r="C5" t="str">
        <f>'Loan Book'!E8</f>
        <v>COMSIV Limited</v>
      </c>
      <c r="D5" t="str">
        <f>'Loan Book'!F8</f>
        <v>Debt</v>
      </c>
      <c r="E5" s="426">
        <f>'Loan Book'!G8</f>
        <v>44552</v>
      </c>
      <c r="F5" s="427">
        <f>'Loan Book'!L8</f>
        <v>309523514</v>
      </c>
      <c r="G5" s="427">
        <f>'Loan Book'!M8</f>
        <v>309523514</v>
      </c>
      <c r="H5" s="427">
        <f>'Loan Book'!O8</f>
        <v>309523514</v>
      </c>
      <c r="I5" s="427">
        <f>'Loan Book'!R8</f>
        <v>8318966.489192307</v>
      </c>
      <c r="J5" t="s">
        <v>68</v>
      </c>
      <c r="K5" t="s">
        <v>64</v>
      </c>
      <c r="L5" t="str">
        <f>IFERROR(INDEX('E-Banker master'!$B$2:$B$186,MATCH($J5,'E-Banker master'!$A$2:$A$186,0)),"")</f>
        <v>COMSIV Limited</v>
      </c>
      <c r="M5" s="426">
        <f>IFERROR(INDEX('E-Banker master'!$H$2:$H$186,MATCH($J5,'E-Banker master'!$A$2:$A$186,0)),"")</f>
        <v>44525</v>
      </c>
      <c r="N5" s="427">
        <f>IFERROR(INDEX('E-Banker master'!$I$2:$I$186,MATCH($J5,'E-Banker master'!$A$2:$A$186,0)),"")</f>
        <v>309523514</v>
      </c>
      <c r="O5" s="427">
        <f>IFERROR(INDEX('E-Banker master'!$N$2:$N$186,MATCH($J5,'E-Banker master'!$A$2:$A$186,0)),"")</f>
        <v>309523514</v>
      </c>
      <c r="P5" s="427">
        <f>IFERROR(INDEX('E-Banker master'!$P$2:$P$186,MATCH($J5,'E-Banker master'!$A$2:$A$186,0)),"")</f>
        <v>8318966.4900000002</v>
      </c>
      <c r="Q5" s="426">
        <f>IFERROR(INDEX('E-Banker master'!$Q$2:$Q$186,MATCH($J5,'E-Banker master'!$A$2:$A$186,0)),"")</f>
        <v>44525</v>
      </c>
      <c r="R5" t="str">
        <f>IFERROR(INDEX('E-Banker master'!$E$2:$E$186,MATCH($J5,'E-Banker master'!$A$2:$A$186,0)),"")</f>
        <v>H</v>
      </c>
      <c r="S5" t="str">
        <f t="shared" si="0"/>
        <v>Yes</v>
      </c>
      <c r="T5" t="str">
        <f t="shared" si="1"/>
        <v>Yes</v>
      </c>
      <c r="U5" t="str">
        <f t="shared" si="2"/>
        <v>Yes</v>
      </c>
      <c r="V5">
        <f t="shared" si="3"/>
        <v>27</v>
      </c>
      <c r="W5" t="s">
        <v>65</v>
      </c>
      <c r="X5" s="428"/>
      <c r="Y5" s="428"/>
      <c r="Z5" s="428"/>
    </row>
    <row r="6" spans="1:26" x14ac:dyDescent="0.35">
      <c r="A6">
        <v>9</v>
      </c>
      <c r="B6">
        <f>'Loan Book'!D9</f>
        <v>5</v>
      </c>
      <c r="C6" t="str">
        <f>'Loan Book'!E9</f>
        <v>MUSECO</v>
      </c>
      <c r="D6" t="str">
        <f>'Loan Book'!F9</f>
        <v>Debt</v>
      </c>
      <c r="E6" s="426">
        <f>'Loan Book'!G9</f>
        <v>44035</v>
      </c>
      <c r="F6" s="427">
        <f>'Loan Book'!L9</f>
        <v>405097989.86827958</v>
      </c>
      <c r="G6" s="427">
        <f>'Loan Book'!M9</f>
        <v>405097989.86827958</v>
      </c>
      <c r="H6" s="427">
        <f>'Loan Book'!O9</f>
        <v>405097989.86827958</v>
      </c>
      <c r="I6" s="427">
        <f>'Loan Book'!R9</f>
        <v>384753032.03146744</v>
      </c>
      <c r="J6" t="s">
        <v>69</v>
      </c>
      <c r="K6" t="s">
        <v>64</v>
      </c>
      <c r="L6" t="str">
        <f>IFERROR(INDEX('E-Banker master'!$B$2:$B$186,MATCH($J6,'E-Banker master'!$A$2:$A$186,0)),"")</f>
        <v>MUSECO</v>
      </c>
      <c r="M6" s="426">
        <f>IFERROR(INDEX('E-Banker master'!$H$2:$H$186,MATCH($J6,'E-Banker master'!$A$2:$A$186,0)),"")</f>
        <v>43964</v>
      </c>
      <c r="N6" s="427">
        <f>IFERROR(INDEX('E-Banker master'!$I$2:$I$186,MATCH($J6,'E-Banker master'!$A$2:$A$186,0)),"")</f>
        <v>370000000</v>
      </c>
      <c r="O6" s="427">
        <f>IFERROR(INDEX('E-Banker master'!$N$2:$N$186,MATCH($J6,'E-Banker master'!$A$2:$A$186,0)),"")</f>
        <v>405097989.86000001</v>
      </c>
      <c r="P6" s="427">
        <f>IFERROR(INDEX('E-Banker master'!$P$2:$P$186,MATCH($J6,'E-Banker master'!$A$2:$A$186,0)),"")</f>
        <v>399243507.06999999</v>
      </c>
      <c r="Q6" s="426">
        <f>IFERROR(INDEX('E-Banker master'!$Q$2:$Q$186,MATCH($J6,'E-Banker master'!$A$2:$A$186,0)),"")</f>
        <v>44035</v>
      </c>
      <c r="R6" t="str">
        <f>IFERROR(INDEX('E-Banker master'!$E$2:$E$186,MATCH($J6,'E-Banker master'!$A$2:$A$186,0)),"")</f>
        <v>D</v>
      </c>
      <c r="S6" t="str">
        <f t="shared" si="0"/>
        <v>Yes</v>
      </c>
      <c r="T6" t="str">
        <f t="shared" si="1"/>
        <v>Within 5%</v>
      </c>
      <c r="U6" t="str">
        <f t="shared" si="2"/>
        <v>No</v>
      </c>
      <c r="V6">
        <f t="shared" si="3"/>
        <v>0</v>
      </c>
      <c r="W6" t="s">
        <v>65</v>
      </c>
      <c r="X6" s="428"/>
      <c r="Y6" s="428"/>
      <c r="Z6" s="428"/>
    </row>
    <row r="7" spans="1:26" x14ac:dyDescent="0.35">
      <c r="A7">
        <v>10</v>
      </c>
      <c r="B7">
        <f>'Loan Book'!D10</f>
        <v>6</v>
      </c>
      <c r="C7" t="str">
        <f>'Loan Book'!E10</f>
        <v>Nsanama Women Cooperatives</v>
      </c>
      <c r="D7" t="str">
        <f>'Loan Book'!F10</f>
        <v>Debt</v>
      </c>
      <c r="E7" s="426">
        <f>'Loan Book'!G10</f>
        <v>44076</v>
      </c>
      <c r="F7" s="427">
        <f>'Loan Book'!L10</f>
        <v>17000000</v>
      </c>
      <c r="G7" s="427">
        <f>'Loan Book'!M10</f>
        <v>12055000</v>
      </c>
      <c r="H7" s="427">
        <f>'Loan Book'!O10</f>
        <v>12055000</v>
      </c>
      <c r="I7" s="427">
        <f>'Loan Book'!R10</f>
        <v>12847906.891616788</v>
      </c>
      <c r="J7" t="s">
        <v>70</v>
      </c>
      <c r="K7" t="s">
        <v>64</v>
      </c>
      <c r="L7" t="str">
        <f>IFERROR(INDEX('E-Banker master'!$B$2:$B$186,MATCH($J7,'E-Banker master'!$A$2:$A$186,0)),"")</f>
        <v>Nsanama Women Cooperatives</v>
      </c>
      <c r="M7" s="426">
        <f>IFERROR(INDEX('E-Banker master'!$H$2:$H$186,MATCH($J7,'E-Banker master'!$A$2:$A$186,0)),"")</f>
        <v>44076</v>
      </c>
      <c r="N7" s="427">
        <f>IFERROR(INDEX('E-Banker master'!$I$2:$I$186,MATCH($J7,'E-Banker master'!$A$2:$A$186,0)),"")</f>
        <v>17000000</v>
      </c>
      <c r="O7" s="427">
        <f>IFERROR(INDEX('E-Banker master'!$N$2:$N$186,MATCH($J7,'E-Banker master'!$A$2:$A$186,0)),"")</f>
        <v>12055000</v>
      </c>
      <c r="P7" s="427">
        <f>IFERROR(INDEX('E-Banker master'!$P$2:$P$186,MATCH($J7,'E-Banker master'!$A$2:$A$186,0)),"")</f>
        <v>13568451.130000001</v>
      </c>
      <c r="Q7" s="426">
        <f>IFERROR(INDEX('E-Banker master'!$Q$2:$Q$186,MATCH($J7,'E-Banker master'!$A$2:$A$186,0)),"")</f>
        <v>44076</v>
      </c>
      <c r="R7" t="str">
        <f>IFERROR(INDEX('E-Banker master'!$E$2:$E$186,MATCH($J7,'E-Banker master'!$A$2:$A$186,0)),"")</f>
        <v>D</v>
      </c>
      <c r="S7" t="str">
        <f t="shared" si="0"/>
        <v>Yes</v>
      </c>
      <c r="T7" t="str">
        <f t="shared" si="1"/>
        <v>No</v>
      </c>
      <c r="U7" t="str">
        <f t="shared" si="2"/>
        <v>Yes</v>
      </c>
      <c r="V7">
        <f t="shared" si="3"/>
        <v>0</v>
      </c>
      <c r="W7" t="s">
        <v>65</v>
      </c>
      <c r="X7" s="428"/>
      <c r="Y7" s="428"/>
      <c r="Z7" s="428"/>
    </row>
    <row r="8" spans="1:26" x14ac:dyDescent="0.35">
      <c r="A8">
        <v>11</v>
      </c>
      <c r="B8">
        <f>'Loan Book'!D11</f>
        <v>7</v>
      </c>
      <c r="C8" t="str">
        <f>'Loan Book'!E11</f>
        <v>LENZIEMILL MILLING LIMITED</v>
      </c>
      <c r="D8" t="str">
        <f>'Loan Book'!F11</f>
        <v>Debt</v>
      </c>
      <c r="E8" s="426">
        <f>'Loan Book'!G11</f>
        <v>44134</v>
      </c>
      <c r="F8" s="427">
        <f>'Loan Book'!L11</f>
        <v>460000000</v>
      </c>
      <c r="G8" s="427">
        <f>'Loan Book'!M11</f>
        <v>297400000</v>
      </c>
      <c r="H8" s="427">
        <f>'Loan Book'!O11</f>
        <v>297400000</v>
      </c>
      <c r="I8" s="427">
        <f>'Loan Book'!R11</f>
        <v>167059801.6792832</v>
      </c>
      <c r="J8" t="s">
        <v>71</v>
      </c>
      <c r="K8" t="s">
        <v>64</v>
      </c>
      <c r="L8" t="str">
        <f>IFERROR(INDEX('E-Banker master'!$B$2:$B$186,MATCH($J8,'E-Banker master'!$A$2:$A$186,0)),"")</f>
        <v>LENZIEMILL MILLING LIMITED</v>
      </c>
      <c r="M8" s="426">
        <f>IFERROR(INDEX('E-Banker master'!$H$2:$H$186,MATCH($J8,'E-Banker master'!$A$2:$A$186,0)),"")</f>
        <v>44075</v>
      </c>
      <c r="N8" s="427">
        <f>IFERROR(INDEX('E-Banker master'!$I$2:$I$186,MATCH($J8,'E-Banker master'!$A$2:$A$186,0)),"")</f>
        <v>460000000</v>
      </c>
      <c r="O8" s="427">
        <f>IFERROR(INDEX('E-Banker master'!$N$2:$N$186,MATCH($J8,'E-Banker master'!$A$2:$A$186,0)),"")</f>
        <v>297400000</v>
      </c>
      <c r="P8" s="427">
        <f>IFERROR(INDEX('E-Banker master'!$P$2:$P$186,MATCH($J8,'E-Banker master'!$A$2:$A$186,0)),"")</f>
        <v>167976520.65000001</v>
      </c>
      <c r="Q8" s="426">
        <f>IFERROR(INDEX('E-Banker master'!$Q$2:$Q$186,MATCH($J8,'E-Banker master'!$A$2:$A$186,0)),"")</f>
        <v>44075</v>
      </c>
      <c r="R8" t="str">
        <f>IFERROR(INDEX('E-Banker master'!$E$2:$E$186,MATCH($J8,'E-Banker master'!$A$2:$A$186,0)),"")</f>
        <v>H</v>
      </c>
      <c r="S8" t="str">
        <f t="shared" si="0"/>
        <v>Yes</v>
      </c>
      <c r="T8" t="str">
        <f t="shared" si="1"/>
        <v>Within 2%</v>
      </c>
      <c r="U8" t="str">
        <f t="shared" si="2"/>
        <v>Yes</v>
      </c>
      <c r="V8">
        <f t="shared" si="3"/>
        <v>59</v>
      </c>
      <c r="W8" t="s">
        <v>65</v>
      </c>
      <c r="X8" s="428"/>
      <c r="Y8" s="428"/>
      <c r="Z8" s="428"/>
    </row>
    <row r="9" spans="1:26" x14ac:dyDescent="0.35">
      <c r="A9">
        <v>12</v>
      </c>
      <c r="B9">
        <f>'Loan Book'!D12</f>
        <v>8</v>
      </c>
      <c r="C9" t="str">
        <f>'Loan Book'!E12</f>
        <v>Corran Farming Limited</v>
      </c>
      <c r="D9" t="str">
        <f>'Loan Book'!F12</f>
        <v>Debt</v>
      </c>
      <c r="E9" s="426">
        <f>'Loan Book'!G12</f>
        <v>44187</v>
      </c>
      <c r="F9" s="427">
        <f>'Loan Book'!L12</f>
        <v>395623962</v>
      </c>
      <c r="G9" s="427">
        <f>'Loan Book'!M12</f>
        <v>395623962</v>
      </c>
      <c r="H9" s="427">
        <f>'Loan Book'!O12</f>
        <v>395623962</v>
      </c>
      <c r="I9" s="427">
        <f>'Loan Book'!R12</f>
        <v>6.9212913513183594E-4</v>
      </c>
      <c r="J9" t="s">
        <v>72</v>
      </c>
      <c r="K9" t="s">
        <v>64</v>
      </c>
      <c r="L9" t="str">
        <f>IFERROR(INDEX('E-Banker master'!$B$2:$B$186,MATCH($J9,'E-Banker master'!$A$2:$A$186,0)),"")</f>
        <v>Corran Farming Limited</v>
      </c>
      <c r="M9" s="426">
        <f>IFERROR(INDEX('E-Banker master'!$H$2:$H$186,MATCH($J9,'E-Banker master'!$A$2:$A$186,0)),"")</f>
        <v>44501</v>
      </c>
      <c r="N9" s="427">
        <f>IFERROR(INDEX('E-Banker master'!$I$2:$I$186,MATCH($J9,'E-Banker master'!$A$2:$A$186,0)),"")</f>
        <v>395623962</v>
      </c>
      <c r="O9" s="427">
        <f>IFERROR(INDEX('E-Banker master'!$N$2:$N$186,MATCH($J9,'E-Banker master'!$A$2:$A$186,0)),"")</f>
        <v>0</v>
      </c>
      <c r="P9" s="427">
        <f>IFERROR(INDEX('E-Banker master'!$P$2:$P$186,MATCH($J9,'E-Banker master'!$A$2:$A$186,0)),"")</f>
        <v>0</v>
      </c>
      <c r="Q9" s="426">
        <f>IFERROR(INDEX('E-Banker master'!$Q$2:$Q$186,MATCH($J9,'E-Banker master'!$A$2:$A$186,0)),"")</f>
        <v>44187</v>
      </c>
      <c r="R9" t="str">
        <f>IFERROR(INDEX('E-Banker master'!$E$2:$E$186,MATCH($J9,'E-Banker master'!$A$2:$A$186,0)),"")</f>
        <v>C</v>
      </c>
      <c r="S9" t="e">
        <f t="shared" si="0"/>
        <v>#DIV/0!</v>
      </c>
      <c r="T9" t="str">
        <f t="shared" si="1"/>
        <v>No balance</v>
      </c>
      <c r="U9" t="str">
        <f t="shared" si="2"/>
        <v>Yes</v>
      </c>
      <c r="V9">
        <f t="shared" si="3"/>
        <v>0</v>
      </c>
      <c r="W9" t="s">
        <v>65</v>
      </c>
      <c r="X9" s="428"/>
      <c r="Y9" s="428"/>
      <c r="Z9" s="428"/>
    </row>
    <row r="10" spans="1:26" x14ac:dyDescent="0.35">
      <c r="A10">
        <v>13</v>
      </c>
      <c r="B10">
        <f>'Loan Book'!D13</f>
        <v>9</v>
      </c>
      <c r="C10" t="str">
        <f>'Loan Book'!E13</f>
        <v>Mach Milk Limited</v>
      </c>
      <c r="D10" t="str">
        <f>'Loan Book'!F13</f>
        <v>Debt</v>
      </c>
      <c r="E10" s="426">
        <f>'Loan Book'!G13</f>
        <v>44242</v>
      </c>
      <c r="F10" s="427">
        <f>'Loan Book'!L13</f>
        <v>81075926.780000001</v>
      </c>
      <c r="G10" s="427">
        <f>'Loan Book'!M13</f>
        <v>81075926.780000001</v>
      </c>
      <c r="H10" s="427">
        <f>'Loan Book'!O13</f>
        <v>81075926.780000001</v>
      </c>
      <c r="I10" s="427">
        <f>'Loan Book'!R13</f>
        <v>127161799.88494268</v>
      </c>
      <c r="J10" t="s">
        <v>73</v>
      </c>
      <c r="K10" t="s">
        <v>64</v>
      </c>
      <c r="L10" t="str">
        <f>IFERROR(INDEX('E-Banker master'!$B$2:$B$186,MATCH($J10,'E-Banker master'!$A$2:$A$186,0)),"")</f>
        <v>Mach Milk Limited</v>
      </c>
      <c r="M10" s="426">
        <f>IFERROR(INDEX('E-Banker master'!$H$2:$H$186,MATCH($J10,'E-Banker master'!$A$2:$A$186,0)),"")</f>
        <v>44117</v>
      </c>
      <c r="N10" s="427">
        <f>IFERROR(INDEX('E-Banker master'!$I$2:$I$186,MATCH($J10,'E-Banker master'!$A$2:$A$186,0)),"")</f>
        <v>65023440</v>
      </c>
      <c r="O10" s="427">
        <f>IFERROR(INDEX('E-Banker master'!$N$2:$N$186,MATCH($J10,'E-Banker master'!$A$2:$A$186,0)),"")</f>
        <v>81075926.780000001</v>
      </c>
      <c r="P10" s="427">
        <f>IFERROR(INDEX('E-Banker master'!$P$2:$P$186,MATCH($J10,'E-Banker master'!$A$2:$A$186,0)),"")</f>
        <v>135070553.40000001</v>
      </c>
      <c r="Q10" s="426">
        <f>IFERROR(INDEX('E-Banker master'!$Q$2:$Q$186,MATCH($J10,'E-Banker master'!$A$2:$A$186,0)),"")</f>
        <v>44117</v>
      </c>
      <c r="R10" t="str">
        <f>IFERROR(INDEX('E-Banker master'!$E$2:$E$186,MATCH($J10,'E-Banker master'!$A$2:$A$186,0)),"")</f>
        <v>D</v>
      </c>
      <c r="S10" t="str">
        <f t="shared" si="0"/>
        <v>Yes</v>
      </c>
      <c r="T10" t="str">
        <f t="shared" si="1"/>
        <v>No</v>
      </c>
      <c r="U10" t="str">
        <f t="shared" si="2"/>
        <v>No</v>
      </c>
      <c r="V10">
        <f t="shared" si="3"/>
        <v>125</v>
      </c>
      <c r="W10" t="s">
        <v>65</v>
      </c>
      <c r="X10" s="428"/>
      <c r="Y10" s="428"/>
      <c r="Z10" s="428"/>
    </row>
    <row r="11" spans="1:26" x14ac:dyDescent="0.35">
      <c r="A11">
        <v>14</v>
      </c>
      <c r="B11">
        <f>'Loan Book'!D14</f>
        <v>10</v>
      </c>
      <c r="C11" t="str">
        <f>'Loan Book'!E14</f>
        <v>Nature's Gift Limited</v>
      </c>
      <c r="D11" t="str">
        <f>'Loan Book'!F14</f>
        <v>Debt</v>
      </c>
      <c r="E11" s="426">
        <f>'Loan Book'!G14</f>
        <v>44307</v>
      </c>
      <c r="F11" s="427">
        <f>'Loan Book'!L14</f>
        <v>80000000</v>
      </c>
      <c r="G11" s="427">
        <f>'Loan Book'!M14</f>
        <v>80000000</v>
      </c>
      <c r="H11" s="427">
        <f>'Loan Book'!O14</f>
        <v>80000000</v>
      </c>
      <c r="I11" s="427">
        <f>'Loan Book'!R14</f>
        <v>49987222.846146494</v>
      </c>
      <c r="J11" t="s">
        <v>74</v>
      </c>
      <c r="K11" t="s">
        <v>64</v>
      </c>
      <c r="L11" t="str">
        <f>IFERROR(INDEX('E-Banker master'!$B$2:$B$186,MATCH($J11,'E-Banker master'!$A$2:$A$186,0)),"")</f>
        <v>Nature's Gift Limited</v>
      </c>
      <c r="M11" s="426">
        <f>IFERROR(INDEX('E-Banker master'!$H$2:$H$186,MATCH($J11,'E-Banker master'!$A$2:$A$186,0)),"")</f>
        <v>44307</v>
      </c>
      <c r="N11" s="427">
        <f>IFERROR(INDEX('E-Banker master'!$I$2:$I$186,MATCH($J11,'E-Banker master'!$A$2:$A$186,0)),"")</f>
        <v>80000000</v>
      </c>
      <c r="O11" s="427">
        <f>IFERROR(INDEX('E-Banker master'!$N$2:$N$186,MATCH($J11,'E-Banker master'!$A$2:$A$186,0)),"")</f>
        <v>80000000</v>
      </c>
      <c r="P11" s="427">
        <f>IFERROR(INDEX('E-Banker master'!$P$2:$P$186,MATCH($J11,'E-Banker master'!$A$2:$A$186,0)),"")</f>
        <v>50784761.799999997</v>
      </c>
      <c r="Q11" s="426">
        <f>IFERROR(INDEX('E-Banker master'!$Q$2:$Q$186,MATCH($J11,'E-Banker master'!$A$2:$A$186,0)),"")</f>
        <v>44307</v>
      </c>
      <c r="R11" t="str">
        <f>IFERROR(INDEX('E-Banker master'!$E$2:$E$186,MATCH($J11,'E-Banker master'!$A$2:$A$186,0)),"")</f>
        <v>A</v>
      </c>
      <c r="S11" t="str">
        <f t="shared" si="0"/>
        <v>Yes</v>
      </c>
      <c r="T11" t="str">
        <f t="shared" si="1"/>
        <v>Within 2%</v>
      </c>
      <c r="U11" t="str">
        <f t="shared" si="2"/>
        <v>Yes</v>
      </c>
      <c r="V11">
        <f t="shared" si="3"/>
        <v>0</v>
      </c>
      <c r="W11" t="s">
        <v>65</v>
      </c>
      <c r="X11" s="428"/>
      <c r="Y11" s="428"/>
      <c r="Z11" s="428"/>
    </row>
    <row r="12" spans="1:26" x14ac:dyDescent="0.35">
      <c r="A12">
        <v>15</v>
      </c>
      <c r="B12">
        <f>'Loan Book'!D15</f>
        <v>11</v>
      </c>
      <c r="C12" t="str">
        <f>'Loan Book'!E15</f>
        <v>Nature's Gift Limited</v>
      </c>
      <c r="D12" t="str">
        <f>'Loan Book'!F15</f>
        <v>Debt</v>
      </c>
      <c r="E12" s="426">
        <f>'Loan Book'!G15</f>
        <v>44400</v>
      </c>
      <c r="F12" s="427">
        <f>'Loan Book'!L15</f>
        <v>85000000</v>
      </c>
      <c r="G12" s="427">
        <f>'Loan Book'!M15</f>
        <v>85000000</v>
      </c>
      <c r="H12" s="427">
        <f>'Loan Book'!O15</f>
        <v>85000000</v>
      </c>
      <c r="I12" s="427">
        <f>'Loan Book'!R15</f>
        <v>42379450.223180532</v>
      </c>
      <c r="J12" t="s">
        <v>75</v>
      </c>
      <c r="K12" t="s">
        <v>64</v>
      </c>
      <c r="L12" t="str">
        <f>IFERROR(INDEX('E-Banker master'!$B$2:$B$186,MATCH($J12,'E-Banker master'!$A$2:$A$186,0)),"")</f>
        <v>Nature's Gift Limited</v>
      </c>
      <c r="M12" s="426">
        <f>IFERROR(INDEX('E-Banker master'!$H$2:$H$186,MATCH($J12,'E-Banker master'!$A$2:$A$186,0)),"")</f>
        <v>44400</v>
      </c>
      <c r="N12" s="427">
        <f>IFERROR(INDEX('E-Banker master'!$I$2:$I$186,MATCH($J12,'E-Banker master'!$A$2:$A$186,0)),"")</f>
        <v>85000000</v>
      </c>
      <c r="O12" s="427">
        <f>IFERROR(INDEX('E-Banker master'!$N$2:$N$186,MATCH($J12,'E-Banker master'!$A$2:$A$186,0)),"")</f>
        <v>85000000</v>
      </c>
      <c r="P12" s="427">
        <f>IFERROR(INDEX('E-Banker master'!$P$2:$P$186,MATCH($J12,'E-Banker master'!$A$2:$A$186,0)),"")</f>
        <v>42742352.289999999</v>
      </c>
      <c r="Q12" s="426">
        <f>IFERROR(INDEX('E-Banker master'!$Q$2:$Q$186,MATCH($J12,'E-Banker master'!$A$2:$A$186,0)),"")</f>
        <v>44400</v>
      </c>
      <c r="R12" t="str">
        <f>IFERROR(INDEX('E-Banker master'!$E$2:$E$186,MATCH($J12,'E-Banker master'!$A$2:$A$186,0)),"")</f>
        <v>A</v>
      </c>
      <c r="S12" t="str">
        <f t="shared" si="0"/>
        <v>Yes</v>
      </c>
      <c r="T12" t="str">
        <f t="shared" si="1"/>
        <v>Within 2%</v>
      </c>
      <c r="U12" t="str">
        <f t="shared" si="2"/>
        <v>Yes</v>
      </c>
      <c r="V12">
        <f t="shared" si="3"/>
        <v>0</v>
      </c>
      <c r="W12" t="s">
        <v>65</v>
      </c>
      <c r="X12" s="428"/>
      <c r="Y12" s="428"/>
      <c r="Z12" s="428"/>
    </row>
    <row r="13" spans="1:26" x14ac:dyDescent="0.35">
      <c r="A13">
        <v>16</v>
      </c>
      <c r="B13">
        <f>'Loan Book'!D16</f>
        <v>12</v>
      </c>
      <c r="C13" t="str">
        <f>'Loan Book'!E16</f>
        <v>Kajikhomele Foundation Ltd</v>
      </c>
      <c r="D13" t="str">
        <f>'Loan Book'!F16</f>
        <v>Debt</v>
      </c>
      <c r="E13" s="426">
        <f>'Loan Book'!G16</f>
        <v>44336</v>
      </c>
      <c r="F13" s="427">
        <f>'Loan Book'!L16</f>
        <v>96552500</v>
      </c>
      <c r="G13" s="427">
        <f>'Loan Book'!M16</f>
        <v>96552500</v>
      </c>
      <c r="H13" s="427">
        <f>'Loan Book'!O16</f>
        <v>96552500</v>
      </c>
      <c r="I13" s="427">
        <f>'Loan Book'!R16</f>
        <v>153369961.8590008</v>
      </c>
      <c r="J13" t="s">
        <v>76</v>
      </c>
      <c r="K13" t="s">
        <v>64</v>
      </c>
      <c r="L13" t="str">
        <f>IFERROR(INDEX('E-Banker master'!$B$2:$B$186,MATCH($J13,'E-Banker master'!$A$2:$A$186,0)),"")</f>
        <v>Kajikhomele Foundation Ltd</v>
      </c>
      <c r="M13" s="426">
        <f>IFERROR(INDEX('E-Banker master'!$H$2:$H$186,MATCH($J13,'E-Banker master'!$A$2:$A$186,0)),"")</f>
        <v>44266</v>
      </c>
      <c r="N13" s="427">
        <f>IFERROR(INDEX('E-Banker master'!$I$2:$I$186,MATCH($J13,'E-Banker master'!$A$2:$A$186,0)),"")</f>
        <v>96552500</v>
      </c>
      <c r="O13" s="427">
        <f>IFERROR(INDEX('E-Banker master'!$N$2:$N$186,MATCH($J13,'E-Banker master'!$A$2:$A$186,0)),"")</f>
        <v>96552500</v>
      </c>
      <c r="P13" s="427">
        <f>IFERROR(INDEX('E-Banker master'!$P$2:$P$186,MATCH($J13,'E-Banker master'!$A$2:$A$186,0)),"")</f>
        <v>162085543.34</v>
      </c>
      <c r="Q13" s="426">
        <f>IFERROR(INDEX('E-Banker master'!$Q$2:$Q$186,MATCH($J13,'E-Banker master'!$A$2:$A$186,0)),"")</f>
        <v>44266</v>
      </c>
      <c r="R13" t="str">
        <f>IFERROR(INDEX('E-Banker master'!$E$2:$E$186,MATCH($J13,'E-Banker master'!$A$2:$A$186,0)),"")</f>
        <v>D</v>
      </c>
      <c r="S13" t="str">
        <f t="shared" si="0"/>
        <v>Yes</v>
      </c>
      <c r="T13" t="str">
        <f t="shared" si="1"/>
        <v>No</v>
      </c>
      <c r="U13" t="str">
        <f t="shared" si="2"/>
        <v>Yes</v>
      </c>
      <c r="V13">
        <f t="shared" si="3"/>
        <v>70</v>
      </c>
      <c r="W13" t="s">
        <v>65</v>
      </c>
      <c r="X13" s="428"/>
      <c r="Y13" s="428"/>
      <c r="Z13" s="428"/>
    </row>
    <row r="14" spans="1:26" x14ac:dyDescent="0.35">
      <c r="A14">
        <v>17</v>
      </c>
      <c r="B14">
        <f>'Loan Book'!D17</f>
        <v>13</v>
      </c>
      <c r="C14" t="str">
        <f>'Loan Book'!E17</f>
        <v>Maluso Cooperative Union (MCU)</v>
      </c>
      <c r="D14" t="str">
        <f>'Loan Book'!F17</f>
        <v>Debt</v>
      </c>
      <c r="E14" s="426">
        <f>'Loan Book'!G17</f>
        <v>44553</v>
      </c>
      <c r="F14" s="427">
        <f>'Loan Book'!L17</f>
        <v>11511500</v>
      </c>
      <c r="G14" s="427">
        <f>'Loan Book'!M17</f>
        <v>11511500</v>
      </c>
      <c r="H14" s="427">
        <f>'Loan Book'!O17</f>
        <v>11511500</v>
      </c>
      <c r="I14" s="427">
        <f>'Loan Book'!R17</f>
        <v>0</v>
      </c>
      <c r="J14" t="s">
        <v>77</v>
      </c>
      <c r="K14" t="s">
        <v>64</v>
      </c>
      <c r="L14" t="str">
        <f>IFERROR(INDEX('E-Banker master'!$B$2:$B$186,MATCH($J14,'E-Banker master'!$A$2:$A$186,0)),"")</f>
        <v>Maluso Cooperative Union</v>
      </c>
      <c r="M14" s="426">
        <f>IFERROR(INDEX('E-Banker master'!$H$2:$H$186,MATCH($J14,'E-Banker master'!$A$2:$A$186,0)),"")</f>
        <v>44552</v>
      </c>
      <c r="N14" s="427">
        <f>IFERROR(INDEX('E-Banker master'!$I$2:$I$186,MATCH($J14,'E-Banker master'!$A$2:$A$186,0)),"")</f>
        <v>11511500</v>
      </c>
      <c r="O14" s="427">
        <f>IFERROR(INDEX('E-Banker master'!$N$2:$N$186,MATCH($J14,'E-Banker master'!$A$2:$A$186,0)),"")</f>
        <v>11511500</v>
      </c>
      <c r="P14" s="427">
        <f>IFERROR(INDEX('E-Banker master'!$P$2:$P$186,MATCH($J14,'E-Banker master'!$A$2:$A$186,0)),"")</f>
        <v>0</v>
      </c>
      <c r="Q14" s="426">
        <f>IFERROR(INDEX('E-Banker master'!$Q$2:$Q$186,MATCH($J14,'E-Banker master'!$A$2:$A$186,0)),"")</f>
        <v>44553</v>
      </c>
      <c r="R14" t="str">
        <f>IFERROR(INDEX('E-Banker master'!$E$2:$E$186,MATCH($J14,'E-Banker master'!$A$2:$A$186,0)),"")</f>
        <v>A</v>
      </c>
      <c r="S14" t="str">
        <f t="shared" si="0"/>
        <v>Yes</v>
      </c>
      <c r="T14" t="str">
        <f t="shared" si="1"/>
        <v>No balance</v>
      </c>
      <c r="U14" t="str">
        <f t="shared" si="2"/>
        <v>Yes</v>
      </c>
      <c r="V14">
        <f t="shared" si="3"/>
        <v>0</v>
      </c>
      <c r="W14" t="s">
        <v>65</v>
      </c>
      <c r="X14" s="428"/>
      <c r="Y14" s="428"/>
      <c r="Z14" s="428"/>
    </row>
    <row r="15" spans="1:26" x14ac:dyDescent="0.35">
      <c r="A15">
        <v>18</v>
      </c>
      <c r="B15">
        <f>'Loan Book'!D18</f>
        <v>14</v>
      </c>
      <c r="C15" t="str">
        <f>'Loan Book'!E18</f>
        <v>Ndagha Sustainable Food Ltd</v>
      </c>
      <c r="D15" t="str">
        <f>'Loan Book'!F18</f>
        <v>Debt</v>
      </c>
      <c r="E15" s="426">
        <f>'Loan Book'!G18</f>
        <v>44554</v>
      </c>
      <c r="F15" s="427">
        <f>'Loan Book'!L18</f>
        <v>10000000</v>
      </c>
      <c r="G15" s="427">
        <f>'Loan Book'!M18</f>
        <v>10000000</v>
      </c>
      <c r="H15" s="427">
        <f>'Loan Book'!O18</f>
        <v>10000000</v>
      </c>
      <c r="I15" s="427">
        <f>'Loan Book'!R18</f>
        <v>-7.7685900032520294E-4</v>
      </c>
      <c r="J15" t="s">
        <v>78</v>
      </c>
      <c r="K15" t="s">
        <v>64</v>
      </c>
      <c r="L15" t="str">
        <f>IFERROR(INDEX('E-Banker master'!$B$2:$B$186,MATCH($J15,'E-Banker master'!$A$2:$A$186,0)),"")</f>
        <v>Ndagha Sustainable Foods Limited</v>
      </c>
      <c r="M15" s="426">
        <f>IFERROR(INDEX('E-Banker master'!$H$2:$H$186,MATCH($J15,'E-Banker master'!$A$2:$A$186,0)),"")</f>
        <v>44552</v>
      </c>
      <c r="N15" s="427">
        <f>IFERROR(INDEX('E-Banker master'!$I$2:$I$186,MATCH($J15,'E-Banker master'!$A$2:$A$186,0)),"")</f>
        <v>10000000</v>
      </c>
      <c r="O15" s="427">
        <f>IFERROR(INDEX('E-Banker master'!$N$2:$N$186,MATCH($J15,'E-Banker master'!$A$2:$A$186,0)),"")</f>
        <v>0</v>
      </c>
      <c r="P15" s="427">
        <f>IFERROR(INDEX('E-Banker master'!$P$2:$P$186,MATCH($J15,'E-Banker master'!$A$2:$A$186,0)),"")</f>
        <v>0</v>
      </c>
      <c r="Q15" s="426">
        <f>IFERROR(INDEX('E-Banker master'!$Q$2:$Q$186,MATCH($J15,'E-Banker master'!$A$2:$A$186,0)),"")</f>
        <v>44554</v>
      </c>
      <c r="R15" t="str">
        <f>IFERROR(INDEX('E-Banker master'!$E$2:$E$186,MATCH($J15,'E-Banker master'!$A$2:$A$186,0)),"")</f>
        <v>C</v>
      </c>
      <c r="S15" t="e">
        <f t="shared" si="0"/>
        <v>#DIV/0!</v>
      </c>
      <c r="T15" t="str">
        <f t="shared" si="1"/>
        <v>No balance</v>
      </c>
      <c r="U15" t="str">
        <f t="shared" si="2"/>
        <v>Yes</v>
      </c>
      <c r="V15">
        <f t="shared" si="3"/>
        <v>0</v>
      </c>
      <c r="W15" t="s">
        <v>65</v>
      </c>
      <c r="X15" s="428"/>
      <c r="Y15" s="428"/>
      <c r="Z15" s="428"/>
    </row>
    <row r="16" spans="1:26" x14ac:dyDescent="0.35">
      <c r="A16">
        <v>19</v>
      </c>
      <c r="B16">
        <f>'Loan Book'!D19</f>
        <v>15</v>
      </c>
      <c r="C16" t="str">
        <f>'Loan Book'!E19</f>
        <v>Ecogen Ltd</v>
      </c>
      <c r="D16" t="str">
        <f>'Loan Book'!F19</f>
        <v>Debt</v>
      </c>
      <c r="E16" s="426">
        <f>'Loan Book'!G19</f>
        <v>44551</v>
      </c>
      <c r="F16" s="427">
        <f>'Loan Book'!L19</f>
        <v>20000000</v>
      </c>
      <c r="G16" s="427">
        <f>'Loan Book'!M19</f>
        <v>20000000</v>
      </c>
      <c r="H16" s="427">
        <f>'Loan Book'!O19</f>
        <v>20000000</v>
      </c>
      <c r="I16" s="427">
        <f>'Loan Book'!R19</f>
        <v>0</v>
      </c>
      <c r="J16" t="s">
        <v>79</v>
      </c>
      <c r="K16" t="s">
        <v>64</v>
      </c>
      <c r="L16" t="str">
        <f>IFERROR(INDEX('E-Banker master'!$B$2:$B$186,MATCH($J16,'E-Banker master'!$A$2:$A$186,0)),"")</f>
        <v>Ecogen Limited</v>
      </c>
      <c r="M16" s="426">
        <f>IFERROR(INDEX('E-Banker master'!$H$2:$H$186,MATCH($J16,'E-Banker master'!$A$2:$A$186,0)),"")</f>
        <v>44547</v>
      </c>
      <c r="N16" s="427">
        <f>IFERROR(INDEX('E-Banker master'!$I$2:$I$186,MATCH($J16,'E-Banker master'!$A$2:$A$186,0)),"")</f>
        <v>20000000</v>
      </c>
      <c r="O16" s="427">
        <f>IFERROR(INDEX('E-Banker master'!$N$2:$N$186,MATCH($J16,'E-Banker master'!$A$2:$A$186,0)),"")</f>
        <v>0</v>
      </c>
      <c r="P16" s="427">
        <f>IFERROR(INDEX('E-Banker master'!$P$2:$P$186,MATCH($J16,'E-Banker master'!$A$2:$A$186,0)),"")</f>
        <v>0</v>
      </c>
      <c r="Q16" s="426">
        <f>IFERROR(INDEX('E-Banker master'!$Q$2:$Q$186,MATCH($J16,'E-Banker master'!$A$2:$A$186,0)),"")</f>
        <v>44561</v>
      </c>
      <c r="R16" t="str">
        <f>IFERROR(INDEX('E-Banker master'!$E$2:$E$186,MATCH($J16,'E-Banker master'!$A$2:$A$186,0)),"")</f>
        <v>C</v>
      </c>
      <c r="S16" t="e">
        <f t="shared" si="0"/>
        <v>#DIV/0!</v>
      </c>
      <c r="T16" t="str">
        <f t="shared" si="1"/>
        <v>No balance</v>
      </c>
      <c r="U16" t="str">
        <f t="shared" si="2"/>
        <v>Yes</v>
      </c>
      <c r="V16">
        <f t="shared" si="3"/>
        <v>10</v>
      </c>
      <c r="W16" t="s">
        <v>65</v>
      </c>
      <c r="X16" s="428"/>
      <c r="Y16" s="428"/>
      <c r="Z16" s="428"/>
    </row>
    <row r="17" spans="1:26" x14ac:dyDescent="0.35">
      <c r="A17">
        <v>20</v>
      </c>
      <c r="B17">
        <f>'Loan Book'!D20</f>
        <v>16</v>
      </c>
      <c r="C17" t="str">
        <f>'Loan Book'!E20</f>
        <v>Zaithwa Farms</v>
      </c>
      <c r="D17" t="str">
        <f>'Loan Book'!F20</f>
        <v>Debt</v>
      </c>
      <c r="E17" s="426">
        <f>'Loan Book'!G20</f>
        <v>44551</v>
      </c>
      <c r="F17" s="427">
        <f>'Loan Book'!L20</f>
        <v>10000000</v>
      </c>
      <c r="G17" s="427">
        <f>'Loan Book'!M20</f>
        <v>10000000</v>
      </c>
      <c r="H17" s="427">
        <f>'Loan Book'!O20</f>
        <v>10000000</v>
      </c>
      <c r="I17" s="427">
        <f>'Loan Book'!R20</f>
        <v>11104919.307305332</v>
      </c>
      <c r="J17" t="s">
        <v>80</v>
      </c>
      <c r="K17" t="s">
        <v>64</v>
      </c>
      <c r="L17" t="str">
        <f>IFERROR(INDEX('E-Banker master'!$B$2:$B$186,MATCH($J17,'E-Banker master'!$A$2:$A$186,0)),"")</f>
        <v>Zaithwa Farms</v>
      </c>
      <c r="M17" s="426">
        <f>IFERROR(INDEX('E-Banker master'!$H$2:$H$186,MATCH($J17,'E-Banker master'!$A$2:$A$186,0)),"")</f>
        <v>44547</v>
      </c>
      <c r="N17" s="427">
        <f>IFERROR(INDEX('E-Banker master'!$I$2:$I$186,MATCH($J17,'E-Banker master'!$A$2:$A$186,0)),"")</f>
        <v>10000000</v>
      </c>
      <c r="O17" s="427">
        <f>IFERROR(INDEX('E-Banker master'!$N$2:$N$186,MATCH($J17,'E-Banker master'!$A$2:$A$186,0)),"")</f>
        <v>10000000</v>
      </c>
      <c r="P17" s="427">
        <f>IFERROR(INDEX('E-Banker master'!$P$2:$P$186,MATCH($J17,'E-Banker master'!$A$2:$A$186,0)),"")</f>
        <v>11387182.140000001</v>
      </c>
      <c r="Q17" s="426">
        <f>IFERROR(INDEX('E-Banker master'!$Q$2:$Q$186,MATCH($J17,'E-Banker master'!$A$2:$A$186,0)),"")</f>
        <v>44551</v>
      </c>
      <c r="R17" t="str">
        <f>IFERROR(INDEX('E-Banker master'!$E$2:$E$186,MATCH($J17,'E-Banker master'!$A$2:$A$186,0)),"")</f>
        <v>D</v>
      </c>
      <c r="S17" t="str">
        <f t="shared" si="0"/>
        <v>Yes</v>
      </c>
      <c r="T17" t="str">
        <f t="shared" si="1"/>
        <v>Within 5%</v>
      </c>
      <c r="U17" t="str">
        <f t="shared" si="2"/>
        <v>Yes</v>
      </c>
      <c r="V17">
        <f t="shared" si="3"/>
        <v>0</v>
      </c>
      <c r="W17" t="s">
        <v>65</v>
      </c>
      <c r="X17" s="428"/>
      <c r="Y17" s="428"/>
      <c r="Z17" s="428"/>
    </row>
    <row r="18" spans="1:26" x14ac:dyDescent="0.35">
      <c r="A18">
        <v>21</v>
      </c>
      <c r="B18">
        <f>'Loan Book'!D21</f>
        <v>17</v>
      </c>
      <c r="C18" t="str">
        <f>'Loan Book'!E21</f>
        <v>Beualaland Food Processors</v>
      </c>
      <c r="D18" t="str">
        <f>'Loan Book'!F21</f>
        <v>Debt</v>
      </c>
      <c r="E18" s="426">
        <f>'Loan Book'!G21</f>
        <v>44208</v>
      </c>
      <c r="F18" s="427">
        <f>'Loan Book'!L21</f>
        <v>23616000</v>
      </c>
      <c r="G18" s="427">
        <f>'Loan Book'!M21</f>
        <v>23616000</v>
      </c>
      <c r="H18" s="427">
        <f>'Loan Book'!O21</f>
        <v>23616000</v>
      </c>
      <c r="I18" s="427">
        <f>'Loan Book'!R21</f>
        <v>4.8211105167865753E-3</v>
      </c>
      <c r="J18" t="s">
        <v>81</v>
      </c>
      <c r="K18" t="s">
        <v>64</v>
      </c>
      <c r="L18" t="str">
        <f>IFERROR(INDEX('E-Banker master'!$B$2:$B$186,MATCH($J18,'E-Banker master'!$A$2:$A$186,0)),"")</f>
        <v>Beaulaland Food Processors</v>
      </c>
      <c r="M18" s="426">
        <f>IFERROR(INDEX('E-Banker master'!$H$2:$H$186,MATCH($J18,'E-Banker master'!$A$2:$A$186,0)),"")</f>
        <v>44573</v>
      </c>
      <c r="N18" s="427">
        <f>IFERROR(INDEX('E-Banker master'!$I$2:$I$186,MATCH($J18,'E-Banker master'!$A$2:$A$186,0)),"")</f>
        <v>23616000</v>
      </c>
      <c r="O18" s="427">
        <f>IFERROR(INDEX('E-Banker master'!$N$2:$N$186,MATCH($J18,'E-Banker master'!$A$2:$A$186,0)),"")</f>
        <v>0</v>
      </c>
      <c r="P18" s="427">
        <f>IFERROR(INDEX('E-Banker master'!$P$2:$P$186,MATCH($J18,'E-Banker master'!$A$2:$A$186,0)),"")</f>
        <v>0</v>
      </c>
      <c r="Q18" s="426">
        <f>IFERROR(INDEX('E-Banker master'!$Q$2:$Q$186,MATCH($J18,'E-Banker master'!$A$2:$A$186,0)),"")</f>
        <v>44208</v>
      </c>
      <c r="R18" t="str">
        <f>IFERROR(INDEX('E-Banker master'!$E$2:$E$186,MATCH($J18,'E-Banker master'!$A$2:$A$186,0)),"")</f>
        <v>C</v>
      </c>
      <c r="S18" t="e">
        <f t="shared" si="0"/>
        <v>#DIV/0!</v>
      </c>
      <c r="T18" t="str">
        <f t="shared" si="1"/>
        <v>No balance</v>
      </c>
      <c r="U18" t="str">
        <f t="shared" si="2"/>
        <v>Yes</v>
      </c>
      <c r="V18">
        <f t="shared" si="3"/>
        <v>0</v>
      </c>
      <c r="W18" t="s">
        <v>65</v>
      </c>
      <c r="X18" s="428"/>
      <c r="Y18" s="428"/>
      <c r="Z18" s="428"/>
    </row>
    <row r="19" spans="1:26" x14ac:dyDescent="0.35">
      <c r="A19">
        <v>22</v>
      </c>
      <c r="B19">
        <f>'Loan Book'!D22</f>
        <v>18</v>
      </c>
      <c r="C19" t="str">
        <f>'Loan Book'!E22</f>
        <v>Steel Base Furnitures</v>
      </c>
      <c r="D19" t="str">
        <f>'Loan Book'!F22</f>
        <v>Debt</v>
      </c>
      <c r="E19" s="426">
        <f>'Loan Book'!G22</f>
        <v>44220</v>
      </c>
      <c r="F19" s="427">
        <f>'Loan Book'!L22</f>
        <v>14677500</v>
      </c>
      <c r="G19" s="427">
        <f>'Loan Book'!M22</f>
        <v>14677500</v>
      </c>
      <c r="H19" s="427">
        <f>'Loan Book'!O22</f>
        <v>14677500</v>
      </c>
      <c r="I19" s="427">
        <f>'Loan Book'!R22</f>
        <v>0</v>
      </c>
      <c r="J19" t="s">
        <v>82</v>
      </c>
      <c r="K19" t="s">
        <v>64</v>
      </c>
      <c r="L19" t="str">
        <f>IFERROR(INDEX('E-Banker master'!$B$2:$B$186,MATCH($J19,'E-Banker master'!$A$2:$A$186,0)),"")</f>
        <v>Steel Base Furnitures</v>
      </c>
      <c r="M19" s="426">
        <f>IFERROR(INDEX('E-Banker master'!$H$2:$H$186,MATCH($J19,'E-Banker master'!$A$2:$A$186,0)),"")</f>
        <v>44585</v>
      </c>
      <c r="N19" s="427">
        <f>IFERROR(INDEX('E-Banker master'!$I$2:$I$186,MATCH($J19,'E-Banker master'!$A$2:$A$186,0)),"")</f>
        <v>14677500</v>
      </c>
      <c r="O19" s="427">
        <f>IFERROR(INDEX('E-Banker master'!$N$2:$N$186,MATCH($J19,'E-Banker master'!$A$2:$A$186,0)),"")</f>
        <v>14677500</v>
      </c>
      <c r="P19" s="427">
        <f>IFERROR(INDEX('E-Banker master'!$P$2:$P$186,MATCH($J19,'E-Banker master'!$A$2:$A$186,0)),"")</f>
        <v>349021.15</v>
      </c>
      <c r="Q19" s="426">
        <f>IFERROR(INDEX('E-Banker master'!$Q$2:$Q$186,MATCH($J19,'E-Banker master'!$A$2:$A$186,0)),"")</f>
        <v>44220</v>
      </c>
      <c r="R19" t="str">
        <f>IFERROR(INDEX('E-Banker master'!$E$2:$E$186,MATCH($J19,'E-Banker master'!$A$2:$A$186,0)),"")</f>
        <v>H</v>
      </c>
      <c r="S19" t="str">
        <f t="shared" si="0"/>
        <v>Yes</v>
      </c>
      <c r="T19" t="str">
        <f t="shared" si="1"/>
        <v>No</v>
      </c>
      <c r="U19" t="str">
        <f t="shared" si="2"/>
        <v>Yes</v>
      </c>
      <c r="V19">
        <f t="shared" si="3"/>
        <v>0</v>
      </c>
      <c r="W19" t="s">
        <v>65</v>
      </c>
      <c r="X19" s="428"/>
      <c r="Y19" s="428"/>
      <c r="Z19" s="428"/>
    </row>
    <row r="20" spans="1:26" x14ac:dyDescent="0.35">
      <c r="A20">
        <v>23</v>
      </c>
      <c r="B20">
        <f>'Loan Book'!D23</f>
        <v>19</v>
      </c>
      <c r="C20" t="str">
        <f>'Loan Book'!E23</f>
        <v>Muddy Boots</v>
      </c>
      <c r="D20" t="str">
        <f>'Loan Book'!F23</f>
        <v>Debt</v>
      </c>
      <c r="E20" s="426">
        <f>'Loan Book'!G23</f>
        <v>44595</v>
      </c>
      <c r="F20" s="427">
        <f>'Loan Book'!L23</f>
        <v>13000000</v>
      </c>
      <c r="G20" s="427">
        <f>'Loan Book'!M23</f>
        <v>13000000</v>
      </c>
      <c r="H20" s="427">
        <f>'Loan Book'!O23</f>
        <v>13000000</v>
      </c>
      <c r="I20" s="427">
        <f>'Loan Book'!R23</f>
        <v>-1.2255571782588959E-3</v>
      </c>
      <c r="J20" t="s">
        <v>83</v>
      </c>
      <c r="K20" t="s">
        <v>64</v>
      </c>
      <c r="L20" t="str">
        <f>IFERROR(INDEX('E-Banker master'!$B$2:$B$186,MATCH($J20,'E-Banker master'!$A$2:$A$186,0)),"")</f>
        <v>Muddy Boots</v>
      </c>
      <c r="M20" s="426">
        <f>IFERROR(INDEX('E-Banker master'!$H$2:$H$186,MATCH($J20,'E-Banker master'!$A$2:$A$186,0)),"")</f>
        <v>44593</v>
      </c>
      <c r="N20" s="427">
        <f>IFERROR(INDEX('E-Banker master'!$I$2:$I$186,MATCH($J20,'E-Banker master'!$A$2:$A$186,0)),"")</f>
        <v>13000000</v>
      </c>
      <c r="O20" s="427">
        <f>IFERROR(INDEX('E-Banker master'!$N$2:$N$186,MATCH($J20,'E-Banker master'!$A$2:$A$186,0)),"")</f>
        <v>0</v>
      </c>
      <c r="P20" s="427">
        <f>IFERROR(INDEX('E-Banker master'!$P$2:$P$186,MATCH($J20,'E-Banker master'!$A$2:$A$186,0)),"")</f>
        <v>0</v>
      </c>
      <c r="Q20" s="426">
        <f>IFERROR(INDEX('E-Banker master'!$Q$2:$Q$186,MATCH($J20,'E-Banker master'!$A$2:$A$186,0)),"")</f>
        <v>44230</v>
      </c>
      <c r="R20" t="str">
        <f>IFERROR(INDEX('E-Banker master'!$E$2:$E$186,MATCH($J20,'E-Banker master'!$A$2:$A$186,0)),"")</f>
        <v>C</v>
      </c>
      <c r="S20" t="e">
        <f t="shared" si="0"/>
        <v>#DIV/0!</v>
      </c>
      <c r="T20" t="str">
        <f t="shared" si="1"/>
        <v>No balance</v>
      </c>
      <c r="U20" t="str">
        <f t="shared" si="2"/>
        <v>Yes</v>
      </c>
      <c r="V20">
        <f t="shared" si="3"/>
        <v>365</v>
      </c>
      <c r="W20" t="s">
        <v>65</v>
      </c>
      <c r="X20" s="428"/>
      <c r="Y20" s="428"/>
      <c r="Z20" s="428"/>
    </row>
    <row r="21" spans="1:26" x14ac:dyDescent="0.35">
      <c r="A21">
        <v>24</v>
      </c>
      <c r="B21">
        <f>'Loan Book'!D24</f>
        <v>20</v>
      </c>
      <c r="C21" t="str">
        <f>'Loan Book'!E24</f>
        <v>Zanzi Entertainment Ltd</v>
      </c>
      <c r="D21" t="str">
        <f>'Loan Book'!F24</f>
        <v>Debt</v>
      </c>
      <c r="E21" s="426">
        <f>'Loan Book'!G24</f>
        <v>44603</v>
      </c>
      <c r="F21" s="427">
        <f>'Loan Book'!L24</f>
        <v>24000000</v>
      </c>
      <c r="G21" s="427">
        <f>'Loan Book'!M24</f>
        <v>24000000</v>
      </c>
      <c r="H21" s="427">
        <f>'Loan Book'!O24</f>
        <v>24000000</v>
      </c>
      <c r="I21" s="427">
        <f>'Loan Book'!R24</f>
        <v>4.8153996467590332E-3</v>
      </c>
      <c r="J21" t="s">
        <v>84</v>
      </c>
      <c r="K21" t="s">
        <v>64</v>
      </c>
      <c r="L21" t="str">
        <f>IFERROR(INDEX('E-Banker master'!$B$2:$B$186,MATCH($J21,'E-Banker master'!$A$2:$A$186,0)),"")</f>
        <v>Zanzi Entertainment Ltd</v>
      </c>
      <c r="M21" s="426">
        <f>IFERROR(INDEX('E-Banker master'!$H$2:$H$186,MATCH($J21,'E-Banker master'!$A$2:$A$186,0)),"")</f>
        <v>44601</v>
      </c>
      <c r="N21" s="427">
        <f>IFERROR(INDEX('E-Banker master'!$I$2:$I$186,MATCH($J21,'E-Banker master'!$A$2:$A$186,0)),"")</f>
        <v>24000000</v>
      </c>
      <c r="O21" s="427">
        <f>IFERROR(INDEX('E-Banker master'!$N$2:$N$186,MATCH($J21,'E-Banker master'!$A$2:$A$186,0)),"")</f>
        <v>0</v>
      </c>
      <c r="P21" s="427">
        <f>IFERROR(INDEX('E-Banker master'!$P$2:$P$186,MATCH($J21,'E-Banker master'!$A$2:$A$186,0)),"")</f>
        <v>0</v>
      </c>
      <c r="Q21" s="426">
        <f>IFERROR(INDEX('E-Banker master'!$Q$2:$Q$186,MATCH($J21,'E-Banker master'!$A$2:$A$186,0)),"")</f>
        <v>44603</v>
      </c>
      <c r="R21" t="str">
        <f>IFERROR(INDEX('E-Banker master'!$E$2:$E$186,MATCH($J21,'E-Banker master'!$A$2:$A$186,0)),"")</f>
        <v>C</v>
      </c>
      <c r="S21" t="e">
        <f t="shared" si="0"/>
        <v>#DIV/0!</v>
      </c>
      <c r="T21" t="str">
        <f t="shared" si="1"/>
        <v>No balance</v>
      </c>
      <c r="U21" t="str">
        <f t="shared" si="2"/>
        <v>Yes</v>
      </c>
      <c r="V21">
        <f t="shared" si="3"/>
        <v>0</v>
      </c>
      <c r="W21" t="s">
        <v>65</v>
      </c>
      <c r="X21" s="428"/>
      <c r="Y21" s="428"/>
      <c r="Z21" s="428"/>
    </row>
    <row r="22" spans="1:26" x14ac:dyDescent="0.35">
      <c r="A22">
        <v>25</v>
      </c>
      <c r="B22">
        <f>'Loan Book'!D25</f>
        <v>21</v>
      </c>
      <c r="C22" t="str">
        <f>'Loan Book'!E25</f>
        <v>Kayola Processors</v>
      </c>
      <c r="D22" t="str">
        <f>'Loan Book'!F25</f>
        <v>Debt</v>
      </c>
      <c r="E22" s="426">
        <f>'Loan Book'!G25</f>
        <v>44609</v>
      </c>
      <c r="F22" s="427">
        <f>'Loan Book'!L25</f>
        <v>20400000</v>
      </c>
      <c r="G22" s="427">
        <f>'Loan Book'!M25</f>
        <v>20400000</v>
      </c>
      <c r="H22" s="427">
        <f>'Loan Book'!O25</f>
        <v>20400000</v>
      </c>
      <c r="I22" s="427">
        <f>'Loan Book'!R25</f>
        <v>6893570.390543215</v>
      </c>
      <c r="J22" t="s">
        <v>85</v>
      </c>
      <c r="K22" t="s">
        <v>64</v>
      </c>
      <c r="L22" t="str">
        <f>IFERROR(INDEX('E-Banker master'!$B$2:$B$186,MATCH($J22,'E-Banker master'!$A$2:$A$186,0)),"")</f>
        <v>Kayola Processors</v>
      </c>
      <c r="M22" s="426">
        <f>IFERROR(INDEX('E-Banker master'!$H$2:$H$186,MATCH($J22,'E-Banker master'!$A$2:$A$186,0)),"")</f>
        <v>45352</v>
      </c>
      <c r="N22" s="427">
        <f>IFERROR(INDEX('E-Banker master'!$I$2:$I$186,MATCH($J22,'E-Banker master'!$A$2:$A$186,0)),"")</f>
        <v>12543063.039999999</v>
      </c>
      <c r="O22" s="427">
        <f>IFERROR(INDEX('E-Banker master'!$N$2:$N$186,MATCH($J22,'E-Banker master'!$A$2:$A$186,0)),"")</f>
        <v>12543065</v>
      </c>
      <c r="P22" s="427">
        <f>IFERROR(INDEX('E-Banker master'!$P$2:$P$186,MATCH($J22,'E-Banker master'!$A$2:$A$186,0)),"")</f>
        <v>6954076.1699999999</v>
      </c>
      <c r="Q22" s="426">
        <f>IFERROR(INDEX('E-Banker master'!$Q$2:$Q$186,MATCH($J22,'E-Banker master'!$A$2:$A$186,0)),"")</f>
        <v>44609</v>
      </c>
      <c r="R22" t="str">
        <f>IFERROR(INDEX('E-Banker master'!$E$2:$E$186,MATCH($J22,'E-Banker master'!$A$2:$A$186,0)),"")</f>
        <v>H</v>
      </c>
      <c r="S22" t="str">
        <f t="shared" si="0"/>
        <v>No</v>
      </c>
      <c r="T22" t="str">
        <f t="shared" si="1"/>
        <v>Within 2%</v>
      </c>
      <c r="U22" t="str">
        <f t="shared" si="2"/>
        <v>No</v>
      </c>
      <c r="V22">
        <f t="shared" si="3"/>
        <v>0</v>
      </c>
      <c r="W22" t="s">
        <v>65</v>
      </c>
      <c r="X22" s="428"/>
      <c r="Y22" s="428"/>
      <c r="Z22" s="428"/>
    </row>
    <row r="23" spans="1:26" x14ac:dyDescent="0.35">
      <c r="A23">
        <v>26</v>
      </c>
      <c r="B23">
        <f>'Loan Book'!D26</f>
        <v>22</v>
      </c>
      <c r="C23" t="str">
        <f>'Loan Book'!E26</f>
        <v>Malawi Fertilizer Co</v>
      </c>
      <c r="D23" t="str">
        <f>'Loan Book'!F26</f>
        <v>Debt</v>
      </c>
      <c r="E23" s="426">
        <f>'Loan Book'!G26</f>
        <v>44631</v>
      </c>
      <c r="F23" s="427">
        <f>'Loan Book'!L26</f>
        <v>881153952.30199993</v>
      </c>
      <c r="G23" s="427">
        <f>'Loan Book'!M26</f>
        <v>552338180.32000005</v>
      </c>
      <c r="H23" s="427">
        <f>'Loan Book'!O26</f>
        <v>552338180.32000005</v>
      </c>
      <c r="I23" s="427">
        <f>'Loan Book'!R26</f>
        <v>-1.4064311981201172E-3</v>
      </c>
      <c r="J23" t="s">
        <v>86</v>
      </c>
      <c r="K23" t="s">
        <v>64</v>
      </c>
      <c r="L23" t="str">
        <f>IFERROR(INDEX('E-Banker master'!$B$2:$B$186,MATCH($J23,'E-Banker master'!$A$2:$A$186,0)),"")</f>
        <v>Malawi Fertilizer Company</v>
      </c>
      <c r="M23" s="426">
        <f>IFERROR(INDEX('E-Banker master'!$H$2:$H$186,MATCH($J23,'E-Banker master'!$A$2:$A$186,0)),"")</f>
        <v>44631</v>
      </c>
      <c r="N23" s="427">
        <f>IFERROR(INDEX('E-Banker master'!$I$2:$I$186,MATCH($J23,'E-Banker master'!$A$2:$A$186,0)),"")</f>
        <v>881153952.35000002</v>
      </c>
      <c r="O23" s="427">
        <f>IFERROR(INDEX('E-Banker master'!$N$2:$N$186,MATCH($J23,'E-Banker master'!$A$2:$A$186,0)),"")</f>
        <v>0</v>
      </c>
      <c r="P23" s="427">
        <f>IFERROR(INDEX('E-Banker master'!$P$2:$P$186,MATCH($J23,'E-Banker master'!$A$2:$A$186,0)),"")</f>
        <v>0</v>
      </c>
      <c r="Q23" s="426">
        <f>IFERROR(INDEX('E-Banker master'!$Q$2:$Q$186,MATCH($J23,'E-Banker master'!$A$2:$A$186,0)),"")</f>
        <v>44631</v>
      </c>
      <c r="R23" t="str">
        <f>IFERROR(INDEX('E-Banker master'!$E$2:$E$186,MATCH($J23,'E-Banker master'!$A$2:$A$186,0)),"")</f>
        <v>C</v>
      </c>
      <c r="S23" t="e">
        <f t="shared" si="0"/>
        <v>#DIV/0!</v>
      </c>
      <c r="T23" t="str">
        <f t="shared" si="1"/>
        <v>No balance</v>
      </c>
      <c r="U23" t="str">
        <f t="shared" si="2"/>
        <v>Yes</v>
      </c>
      <c r="V23">
        <f t="shared" si="3"/>
        <v>0</v>
      </c>
      <c r="W23" t="s">
        <v>65</v>
      </c>
      <c r="X23" s="428"/>
      <c r="Y23" s="428"/>
      <c r="Z23" s="428"/>
    </row>
    <row r="24" spans="1:26" x14ac:dyDescent="0.35">
      <c r="A24">
        <v>27</v>
      </c>
      <c r="B24">
        <f>'Loan Book'!D27</f>
        <v>23</v>
      </c>
      <c r="C24" t="str">
        <f>'Loan Book'!E27</f>
        <v>Mwachisosa Women Producers &amp; Marketing Co</v>
      </c>
      <c r="D24" t="str">
        <f>'Loan Book'!F27</f>
        <v>Debt</v>
      </c>
      <c r="E24" s="426">
        <f>'Loan Book'!G27</f>
        <v>44644</v>
      </c>
      <c r="F24" s="427">
        <f>'Loan Book'!L27</f>
        <v>12500000</v>
      </c>
      <c r="G24" s="427">
        <f>'Loan Book'!M27</f>
        <v>12500000</v>
      </c>
      <c r="H24" s="427">
        <f>'Loan Book'!O27</f>
        <v>12500000</v>
      </c>
      <c r="I24" s="427">
        <f>'Loan Book'!R27</f>
        <v>10005285.787212253</v>
      </c>
      <c r="J24" t="s">
        <v>87</v>
      </c>
      <c r="K24" t="s">
        <v>64</v>
      </c>
      <c r="L24" t="str">
        <f>IFERROR(INDEX('E-Banker master'!$B$2:$B$186,MATCH($J24,'E-Banker master'!$A$2:$A$186,0)),"")</f>
        <v>Mwachisosa Women Producers &amp; Marketing Co</v>
      </c>
      <c r="M24" s="426">
        <f>IFERROR(INDEX('E-Banker master'!$H$2:$H$186,MATCH($J24,'E-Banker master'!$A$2:$A$186,0)),"")</f>
        <v>44641</v>
      </c>
      <c r="N24" s="427">
        <f>IFERROR(INDEX('E-Banker master'!$I$2:$I$186,MATCH($J24,'E-Banker master'!$A$2:$A$186,0)),"")</f>
        <v>13270993.890000001</v>
      </c>
      <c r="O24" s="427">
        <f>IFERROR(INDEX('E-Banker master'!$N$2:$N$186,MATCH($J24,'E-Banker master'!$A$2:$A$186,0)),"")</f>
        <v>12500000</v>
      </c>
      <c r="P24" s="427">
        <f>IFERROR(INDEX('E-Banker master'!$P$2:$P$186,MATCH($J24,'E-Banker master'!$A$2:$A$186,0)),"")</f>
        <v>10117945.74</v>
      </c>
      <c r="Q24" s="426">
        <f>IFERROR(INDEX('E-Banker master'!$Q$2:$Q$186,MATCH($J24,'E-Banker master'!$A$2:$A$186,0)),"")</f>
        <v>44644</v>
      </c>
      <c r="R24" t="str">
        <f>IFERROR(INDEX('E-Banker master'!$E$2:$E$186,MATCH($J24,'E-Banker master'!$A$2:$A$186,0)),"")</f>
        <v>H</v>
      </c>
      <c r="S24" t="str">
        <f t="shared" si="0"/>
        <v>Yes</v>
      </c>
      <c r="T24" t="str">
        <f t="shared" si="1"/>
        <v>Within 2%</v>
      </c>
      <c r="U24" t="str">
        <f t="shared" si="2"/>
        <v>No</v>
      </c>
      <c r="V24">
        <f t="shared" si="3"/>
        <v>0</v>
      </c>
      <c r="W24" t="s">
        <v>65</v>
      </c>
      <c r="X24" s="428"/>
      <c r="Y24" s="428"/>
      <c r="Z24" s="428"/>
    </row>
    <row r="25" spans="1:26" x14ac:dyDescent="0.35">
      <c r="A25">
        <v>28</v>
      </c>
      <c r="B25">
        <f>'Loan Book'!D28</f>
        <v>24</v>
      </c>
      <c r="C25" t="str">
        <f>'Loan Book'!E28</f>
        <v>Natures Gift</v>
      </c>
      <c r="D25" t="str">
        <f>'Loan Book'!F28</f>
        <v>Debt</v>
      </c>
      <c r="E25" s="426">
        <f>'Loan Book'!G28</f>
        <v>44673</v>
      </c>
      <c r="F25" s="427">
        <f>'Loan Book'!L28</f>
        <v>24600000</v>
      </c>
      <c r="G25" s="427">
        <f>'Loan Book'!M28</f>
        <v>24600000</v>
      </c>
      <c r="H25" s="427">
        <f>'Loan Book'!O28</f>
        <v>24600000</v>
      </c>
      <c r="I25" s="427">
        <f>'Loan Book'!R28</f>
        <v>9389393.5773384981</v>
      </c>
      <c r="J25" t="s">
        <v>88</v>
      </c>
      <c r="K25" t="s">
        <v>64</v>
      </c>
      <c r="L25" t="str">
        <f>IFERROR(INDEX('E-Banker master'!$B$2:$B$186,MATCH($J25,'E-Banker master'!$A$2:$A$186,0)),"")</f>
        <v>Nature's Gift Limited</v>
      </c>
      <c r="M25" s="426">
        <f>IFERROR(INDEX('E-Banker master'!$H$2:$H$186,MATCH($J25,'E-Banker master'!$A$2:$A$186,0)),"")</f>
        <v>44673</v>
      </c>
      <c r="N25" s="427">
        <f>IFERROR(INDEX('E-Banker master'!$I$2:$I$186,MATCH($J25,'E-Banker master'!$A$2:$A$186,0)),"")</f>
        <v>24600000</v>
      </c>
      <c r="O25" s="427">
        <f>IFERROR(INDEX('E-Banker master'!$N$2:$N$186,MATCH($J25,'E-Banker master'!$A$2:$A$186,0)),"")</f>
        <v>24600000</v>
      </c>
      <c r="P25" s="427">
        <f>IFERROR(INDEX('E-Banker master'!$P$2:$P$186,MATCH($J25,'E-Banker master'!$A$2:$A$186,0)),"")</f>
        <v>9471253.0399999991</v>
      </c>
      <c r="Q25" s="426">
        <f>IFERROR(INDEX('E-Banker master'!$Q$2:$Q$186,MATCH($J25,'E-Banker master'!$A$2:$A$186,0)),"")</f>
        <v>44673</v>
      </c>
      <c r="R25" t="str">
        <f>IFERROR(INDEX('E-Banker master'!$E$2:$E$186,MATCH($J25,'E-Banker master'!$A$2:$A$186,0)),"")</f>
        <v>H</v>
      </c>
      <c r="S25" t="str">
        <f t="shared" si="0"/>
        <v>Yes</v>
      </c>
      <c r="T25" t="str">
        <f t="shared" si="1"/>
        <v>Within 2%</v>
      </c>
      <c r="U25" t="str">
        <f t="shared" si="2"/>
        <v>Yes</v>
      </c>
      <c r="V25">
        <f t="shared" si="3"/>
        <v>0</v>
      </c>
      <c r="W25" t="s">
        <v>65</v>
      </c>
      <c r="X25" s="428"/>
      <c r="Y25" s="428"/>
      <c r="Z25" s="428"/>
    </row>
    <row r="26" spans="1:26" x14ac:dyDescent="0.35">
      <c r="A26">
        <v>29</v>
      </c>
      <c r="B26">
        <f>'Loan Book'!D29</f>
        <v>25</v>
      </c>
      <c r="C26" t="str">
        <f>'Loan Book'!E29</f>
        <v>Allied Bricks and Blocks Limited</v>
      </c>
      <c r="D26" t="str">
        <f>'Loan Book'!F29</f>
        <v>Debt</v>
      </c>
      <c r="E26" s="426">
        <f>'Loan Book'!G29</f>
        <v>44715</v>
      </c>
      <c r="F26" s="427">
        <f>'Loan Book'!L29</f>
        <v>12000000</v>
      </c>
      <c r="G26" s="427">
        <f>'Loan Book'!M29</f>
        <v>12000000</v>
      </c>
      <c r="H26" s="427">
        <f>'Loan Book'!O29</f>
        <v>12000000</v>
      </c>
      <c r="I26" s="427">
        <f>'Loan Book'!R29</f>
        <v>-3.3015981316566467E-3</v>
      </c>
      <c r="J26" t="s">
        <v>89</v>
      </c>
      <c r="K26" t="s">
        <v>64</v>
      </c>
      <c r="L26" t="str">
        <f>IFERROR(INDEX('E-Banker master'!$B$2:$B$186,MATCH($J26,'E-Banker master'!$A$2:$A$186,0)),"")</f>
        <v>Allied Bricks and Blocks Limited</v>
      </c>
      <c r="M26" s="426">
        <f>IFERROR(INDEX('E-Banker master'!$H$2:$H$186,MATCH($J26,'E-Banker master'!$A$2:$A$186,0)),"")</f>
        <v>44713</v>
      </c>
      <c r="N26" s="427">
        <f>IFERROR(INDEX('E-Banker master'!$I$2:$I$186,MATCH($J26,'E-Banker master'!$A$2:$A$186,0)),"")</f>
        <v>12000000</v>
      </c>
      <c r="O26" s="427">
        <f>IFERROR(INDEX('E-Banker master'!$N$2:$N$186,MATCH($J26,'E-Banker master'!$A$2:$A$186,0)),"")</f>
        <v>12000000</v>
      </c>
      <c r="P26" s="427">
        <f>IFERROR(INDEX('E-Banker master'!$P$2:$P$186,MATCH($J26,'E-Banker master'!$A$2:$A$186,0)),"")</f>
        <v>-29678.33</v>
      </c>
      <c r="Q26" s="426">
        <f>IFERROR(INDEX('E-Banker master'!$Q$2:$Q$186,MATCH($J26,'E-Banker master'!$A$2:$A$186,0)),"")</f>
        <v>44715</v>
      </c>
      <c r="R26" t="str">
        <f>IFERROR(INDEX('E-Banker master'!$E$2:$E$186,MATCH($J26,'E-Banker master'!$A$2:$A$186,0)),"")</f>
        <v>D</v>
      </c>
      <c r="S26" t="str">
        <f t="shared" si="0"/>
        <v>Yes</v>
      </c>
      <c r="T26" t="str">
        <f t="shared" si="1"/>
        <v>No</v>
      </c>
      <c r="U26" t="str">
        <f t="shared" si="2"/>
        <v>Yes</v>
      </c>
      <c r="V26">
        <f t="shared" si="3"/>
        <v>0</v>
      </c>
      <c r="W26" t="s">
        <v>65</v>
      </c>
      <c r="X26" s="428"/>
      <c r="Y26" s="428"/>
      <c r="Z26" s="428"/>
    </row>
    <row r="27" spans="1:26" x14ac:dyDescent="0.35">
      <c r="A27">
        <v>30</v>
      </c>
      <c r="B27">
        <f>'Loan Book'!D30</f>
        <v>26</v>
      </c>
      <c r="C27" t="str">
        <f>'Loan Book'!E30</f>
        <v>Lapani Farms</v>
      </c>
      <c r="D27" t="str">
        <f>'Loan Book'!F30</f>
        <v>Debt</v>
      </c>
      <c r="E27" s="426">
        <f>'Loan Book'!G30</f>
        <v>44715</v>
      </c>
      <c r="F27" s="427">
        <f>'Loan Book'!L30</f>
        <v>10900000</v>
      </c>
      <c r="G27" s="427">
        <f>'Loan Book'!M30</f>
        <v>10900000</v>
      </c>
      <c r="H27" s="427">
        <f>'Loan Book'!O30</f>
        <v>10900000</v>
      </c>
      <c r="I27" s="427">
        <f>'Loan Book'!R30</f>
        <v>0</v>
      </c>
      <c r="J27" t="s">
        <v>90</v>
      </c>
      <c r="K27" t="s">
        <v>64</v>
      </c>
      <c r="L27" t="str">
        <f>IFERROR(INDEX('E-Banker master'!$B$2:$B$186,MATCH($J27,'E-Banker master'!$A$2:$A$186,0)),"")</f>
        <v>Lapani Farms</v>
      </c>
      <c r="M27" s="426">
        <f>IFERROR(INDEX('E-Banker master'!$H$2:$H$186,MATCH($J27,'E-Banker master'!$A$2:$A$186,0)),"")</f>
        <v>44713</v>
      </c>
      <c r="N27" s="427">
        <f>IFERROR(INDEX('E-Banker master'!$I$2:$I$186,MATCH($J27,'E-Banker master'!$A$2:$A$186,0)),"")</f>
        <v>10900000</v>
      </c>
      <c r="O27" s="427">
        <f>IFERROR(INDEX('E-Banker master'!$N$2:$N$186,MATCH($J27,'E-Banker master'!$A$2:$A$186,0)),"")</f>
        <v>0</v>
      </c>
      <c r="P27" s="427">
        <f>IFERROR(INDEX('E-Banker master'!$P$2:$P$186,MATCH($J27,'E-Banker master'!$A$2:$A$186,0)),"")</f>
        <v>0</v>
      </c>
      <c r="Q27" s="426">
        <f>IFERROR(INDEX('E-Banker master'!$Q$2:$Q$186,MATCH($J27,'E-Banker master'!$A$2:$A$186,0)),"")</f>
        <v>44715</v>
      </c>
      <c r="R27" t="str">
        <f>IFERROR(INDEX('E-Banker master'!$E$2:$E$186,MATCH($J27,'E-Banker master'!$A$2:$A$186,0)),"")</f>
        <v>C</v>
      </c>
      <c r="S27" t="e">
        <f t="shared" si="0"/>
        <v>#DIV/0!</v>
      </c>
      <c r="T27" t="str">
        <f t="shared" si="1"/>
        <v>No balance</v>
      </c>
      <c r="U27" t="str">
        <f t="shared" si="2"/>
        <v>Yes</v>
      </c>
      <c r="V27">
        <f t="shared" si="3"/>
        <v>0</v>
      </c>
      <c r="W27" t="s">
        <v>65</v>
      </c>
      <c r="X27" s="428"/>
      <c r="Y27" s="428"/>
      <c r="Z27" s="428"/>
    </row>
    <row r="28" spans="1:26" x14ac:dyDescent="0.35">
      <c r="A28">
        <v>31</v>
      </c>
      <c r="B28">
        <f>'Loan Book'!D31</f>
        <v>27</v>
      </c>
      <c r="C28" t="str">
        <f>'Loan Book'!E31</f>
        <v>Mawindo Enterprise</v>
      </c>
      <c r="D28" t="str">
        <f>'Loan Book'!F31</f>
        <v>Debt</v>
      </c>
      <c r="E28" s="426">
        <f>'Loan Book'!G31</f>
        <v>44715</v>
      </c>
      <c r="F28" s="427">
        <f>'Loan Book'!L31</f>
        <v>20000000</v>
      </c>
      <c r="G28" s="427">
        <f>'Loan Book'!M31</f>
        <v>20000000</v>
      </c>
      <c r="H28" s="427">
        <f>'Loan Book'!O31</f>
        <v>20000000</v>
      </c>
      <c r="I28" s="427">
        <f>'Loan Book'!R31</f>
        <v>0</v>
      </c>
      <c r="J28" t="s">
        <v>91</v>
      </c>
      <c r="K28" t="s">
        <v>64</v>
      </c>
      <c r="L28" t="str">
        <f>IFERROR(INDEX('E-Banker master'!$B$2:$B$186,MATCH($J28,'E-Banker master'!$A$2:$A$186,0)),"")</f>
        <v>Mawindo Enterprise</v>
      </c>
      <c r="M28" s="426">
        <f>IFERROR(INDEX('E-Banker master'!$H$2:$H$186,MATCH($J28,'E-Banker master'!$A$2:$A$186,0)),"")</f>
        <v>44713</v>
      </c>
      <c r="N28" s="427">
        <f>IFERROR(INDEX('E-Banker master'!$I$2:$I$186,MATCH($J28,'E-Banker master'!$A$2:$A$186,0)),"")</f>
        <v>20000000</v>
      </c>
      <c r="O28" s="427">
        <f>IFERROR(INDEX('E-Banker master'!$N$2:$N$186,MATCH($J28,'E-Banker master'!$A$2:$A$186,0)),"")</f>
        <v>0</v>
      </c>
      <c r="P28" s="427">
        <f>IFERROR(INDEX('E-Banker master'!$P$2:$P$186,MATCH($J28,'E-Banker master'!$A$2:$A$186,0)),"")</f>
        <v>0</v>
      </c>
      <c r="Q28" s="426">
        <f>IFERROR(INDEX('E-Banker master'!$Q$2:$Q$186,MATCH($J28,'E-Banker master'!$A$2:$A$186,0)),"")</f>
        <v>44715</v>
      </c>
      <c r="R28" t="str">
        <f>IFERROR(INDEX('E-Banker master'!$E$2:$E$186,MATCH($J28,'E-Banker master'!$A$2:$A$186,0)),"")</f>
        <v>C</v>
      </c>
      <c r="S28" t="e">
        <f t="shared" si="0"/>
        <v>#DIV/0!</v>
      </c>
      <c r="T28" t="str">
        <f t="shared" si="1"/>
        <v>No balance</v>
      </c>
      <c r="U28" t="str">
        <f t="shared" si="2"/>
        <v>Yes</v>
      </c>
      <c r="V28">
        <f t="shared" si="3"/>
        <v>0</v>
      </c>
      <c r="W28" t="s">
        <v>65</v>
      </c>
      <c r="X28" s="428"/>
      <c r="Y28" s="428"/>
      <c r="Z28" s="428"/>
    </row>
    <row r="29" spans="1:26" x14ac:dyDescent="0.35">
      <c r="A29">
        <v>32</v>
      </c>
      <c r="B29">
        <f>'Loan Book'!D32</f>
        <v>28</v>
      </c>
      <c r="C29" t="str">
        <f>'Loan Book'!E32</f>
        <v>L J Traders &amp; Suppliers</v>
      </c>
      <c r="D29" t="str">
        <f>'Loan Book'!F32</f>
        <v>Debt</v>
      </c>
      <c r="E29" s="426">
        <f>'Loan Book'!G32</f>
        <v>44715</v>
      </c>
      <c r="F29" s="427">
        <f>'Loan Book'!L32</f>
        <v>10000000</v>
      </c>
      <c r="G29" s="427">
        <f>'Loan Book'!M32</f>
        <v>10000000</v>
      </c>
      <c r="H29" s="427">
        <f>'Loan Book'!O32</f>
        <v>10000000</v>
      </c>
      <c r="I29" s="427">
        <f>'Loan Book'!R32</f>
        <v>0</v>
      </c>
      <c r="J29" t="s">
        <v>92</v>
      </c>
      <c r="K29" t="s">
        <v>64</v>
      </c>
      <c r="L29" t="str">
        <f>IFERROR(INDEX('E-Banker master'!$B$2:$B$186,MATCH($J29,'E-Banker master'!$A$2:$A$186,0)),"")</f>
        <v>L. J Traders &amp; Suppliers</v>
      </c>
      <c r="M29" s="426">
        <f>IFERROR(INDEX('E-Banker master'!$H$2:$H$186,MATCH($J29,'E-Banker master'!$A$2:$A$186,0)),"")</f>
        <v>44713</v>
      </c>
      <c r="N29" s="427">
        <f>IFERROR(INDEX('E-Banker master'!$I$2:$I$186,MATCH($J29,'E-Banker master'!$A$2:$A$186,0)),"")</f>
        <v>10000000</v>
      </c>
      <c r="O29" s="427">
        <f>IFERROR(INDEX('E-Banker master'!$N$2:$N$186,MATCH($J29,'E-Banker master'!$A$2:$A$186,0)),"")</f>
        <v>0</v>
      </c>
      <c r="P29" s="427">
        <f>IFERROR(INDEX('E-Banker master'!$P$2:$P$186,MATCH($J29,'E-Banker master'!$A$2:$A$186,0)),"")</f>
        <v>0</v>
      </c>
      <c r="Q29" s="426">
        <f>IFERROR(INDEX('E-Banker master'!$Q$2:$Q$186,MATCH($J29,'E-Banker master'!$A$2:$A$186,0)),"")</f>
        <v>44715</v>
      </c>
      <c r="R29" t="str">
        <f>IFERROR(INDEX('E-Banker master'!$E$2:$E$186,MATCH($J29,'E-Banker master'!$A$2:$A$186,0)),"")</f>
        <v>C</v>
      </c>
      <c r="S29" t="e">
        <f t="shared" si="0"/>
        <v>#DIV/0!</v>
      </c>
      <c r="T29" t="str">
        <f t="shared" si="1"/>
        <v>No balance</v>
      </c>
      <c r="U29" t="str">
        <f t="shared" si="2"/>
        <v>Yes</v>
      </c>
      <c r="V29">
        <f t="shared" si="3"/>
        <v>0</v>
      </c>
      <c r="W29" t="s">
        <v>65</v>
      </c>
      <c r="X29" s="428"/>
      <c r="Y29" s="428"/>
      <c r="Z29" s="428"/>
    </row>
    <row r="30" spans="1:26" x14ac:dyDescent="0.35">
      <c r="A30">
        <v>33</v>
      </c>
      <c r="B30">
        <f>'Loan Book'!D33</f>
        <v>29</v>
      </c>
      <c r="C30" t="str">
        <f>'Loan Book'!E33</f>
        <v>Chikwendeni General Dealers</v>
      </c>
      <c r="D30" t="str">
        <f>'Loan Book'!F33</f>
        <v>Debt</v>
      </c>
      <c r="E30" s="426">
        <f>'Loan Book'!G33</f>
        <v>44715</v>
      </c>
      <c r="F30" s="427">
        <f>'Loan Book'!L33</f>
        <v>24000000</v>
      </c>
      <c r="G30" s="427">
        <f>'Loan Book'!M33</f>
        <v>24000000</v>
      </c>
      <c r="H30" s="427">
        <f>'Loan Book'!O33</f>
        <v>24000000</v>
      </c>
      <c r="I30" s="427">
        <f>'Loan Book'!R33</f>
        <v>1.1336058378219604E-4</v>
      </c>
      <c r="J30" t="s">
        <v>93</v>
      </c>
      <c r="K30" t="s">
        <v>64</v>
      </c>
      <c r="L30" t="str">
        <f>IFERROR(INDEX('E-Banker master'!$B$2:$B$186,MATCH($J30,'E-Banker master'!$A$2:$A$186,0)),"")</f>
        <v>Chikwendeni General Dealers</v>
      </c>
      <c r="M30" s="426">
        <f>IFERROR(INDEX('E-Banker master'!$H$2:$H$186,MATCH($J30,'E-Banker master'!$A$2:$A$186,0)),"")</f>
        <v>44713</v>
      </c>
      <c r="N30" s="427">
        <f>IFERROR(INDEX('E-Banker master'!$I$2:$I$186,MATCH($J30,'E-Banker master'!$A$2:$A$186,0)),"")</f>
        <v>24000000</v>
      </c>
      <c r="O30" s="427">
        <f>IFERROR(INDEX('E-Banker master'!$N$2:$N$186,MATCH($J30,'E-Banker master'!$A$2:$A$186,0)),"")</f>
        <v>0</v>
      </c>
      <c r="P30" s="427">
        <f>IFERROR(INDEX('E-Banker master'!$P$2:$P$186,MATCH($J30,'E-Banker master'!$A$2:$A$186,0)),"")</f>
        <v>0</v>
      </c>
      <c r="Q30" s="426">
        <f>IFERROR(INDEX('E-Banker master'!$Q$2:$Q$186,MATCH($J30,'E-Banker master'!$A$2:$A$186,0)),"")</f>
        <v>44715</v>
      </c>
      <c r="R30" t="str">
        <f>IFERROR(INDEX('E-Banker master'!$E$2:$E$186,MATCH($J30,'E-Banker master'!$A$2:$A$186,0)),"")</f>
        <v>C</v>
      </c>
      <c r="S30" t="e">
        <f t="shared" si="0"/>
        <v>#DIV/0!</v>
      </c>
      <c r="T30" t="str">
        <f t="shared" si="1"/>
        <v>No balance</v>
      </c>
      <c r="U30" t="str">
        <f t="shared" si="2"/>
        <v>Yes</v>
      </c>
      <c r="V30">
        <f t="shared" si="3"/>
        <v>0</v>
      </c>
      <c r="W30" t="s">
        <v>65</v>
      </c>
      <c r="X30" s="428"/>
      <c r="Y30" s="428"/>
      <c r="Z30" s="428"/>
    </row>
    <row r="31" spans="1:26" x14ac:dyDescent="0.35">
      <c r="A31">
        <v>34</v>
      </c>
      <c r="B31">
        <f>'Loan Book'!D34</f>
        <v>30</v>
      </c>
      <c r="C31" t="str">
        <f>'Loan Book'!E34</f>
        <v>Agwenda Investment Ltd</v>
      </c>
      <c r="D31" t="str">
        <f>'Loan Book'!F34</f>
        <v>Debt</v>
      </c>
      <c r="E31" s="426">
        <f>'Loan Book'!G34</f>
        <v>44726</v>
      </c>
      <c r="F31" s="427">
        <f>'Loan Book'!L34</f>
        <v>24000000</v>
      </c>
      <c r="G31" s="427">
        <f>'Loan Book'!M34</f>
        <v>24000000</v>
      </c>
      <c r="H31" s="427">
        <f>'Loan Book'!O34</f>
        <v>24000000</v>
      </c>
      <c r="I31" s="427">
        <f>'Loan Book'!R34</f>
        <v>0</v>
      </c>
      <c r="J31" t="s">
        <v>94</v>
      </c>
      <c r="K31" t="s">
        <v>64</v>
      </c>
      <c r="L31" t="str">
        <f>IFERROR(INDEX('E-Banker master'!$B$2:$B$186,MATCH($J31,'E-Banker master'!$A$2:$A$186,0)),"")</f>
        <v>Angwenda Investments Limited</v>
      </c>
      <c r="M31" s="426">
        <f>IFERROR(INDEX('E-Banker master'!$H$2:$H$186,MATCH($J31,'E-Banker master'!$A$2:$A$186,0)),"")</f>
        <v>44719</v>
      </c>
      <c r="N31" s="427">
        <f>IFERROR(INDEX('E-Banker master'!$I$2:$I$186,MATCH($J31,'E-Banker master'!$A$2:$A$186,0)),"")</f>
        <v>24000000</v>
      </c>
      <c r="O31" s="427">
        <f>IFERROR(INDEX('E-Banker master'!$N$2:$N$186,MATCH($J31,'E-Banker master'!$A$2:$A$186,0)),"")</f>
        <v>0</v>
      </c>
      <c r="P31" s="427">
        <f>IFERROR(INDEX('E-Banker master'!$P$2:$P$186,MATCH($J31,'E-Banker master'!$A$2:$A$186,0)),"")</f>
        <v>0</v>
      </c>
      <c r="Q31" s="426">
        <f>IFERROR(INDEX('E-Banker master'!$Q$2:$Q$186,MATCH($J31,'E-Banker master'!$A$2:$A$186,0)),"")</f>
        <v>44726</v>
      </c>
      <c r="R31" t="str">
        <f>IFERROR(INDEX('E-Banker master'!$E$2:$E$186,MATCH($J31,'E-Banker master'!$A$2:$A$186,0)),"")</f>
        <v>C</v>
      </c>
      <c r="S31" t="e">
        <f t="shared" si="0"/>
        <v>#DIV/0!</v>
      </c>
      <c r="T31" t="str">
        <f t="shared" si="1"/>
        <v>No balance</v>
      </c>
      <c r="U31" t="str">
        <f t="shared" si="2"/>
        <v>Yes</v>
      </c>
      <c r="V31">
        <f t="shared" si="3"/>
        <v>0</v>
      </c>
      <c r="W31" t="s">
        <v>65</v>
      </c>
      <c r="X31" s="428"/>
      <c r="Y31" s="428"/>
      <c r="Z31" s="428"/>
    </row>
    <row r="32" spans="1:26" x14ac:dyDescent="0.35">
      <c r="A32">
        <v>35</v>
      </c>
      <c r="B32">
        <f>'Loan Book'!D35</f>
        <v>31</v>
      </c>
      <c r="C32" t="str">
        <f>'Loan Book'!E35</f>
        <v>Perisha Agro and packaging Enterprise</v>
      </c>
      <c r="D32" t="str">
        <f>'Loan Book'!F35</f>
        <v>Debt</v>
      </c>
      <c r="E32" s="426">
        <f>'Loan Book'!G35</f>
        <v>44728</v>
      </c>
      <c r="F32" s="427">
        <f>'Loan Book'!L35</f>
        <v>12000000</v>
      </c>
      <c r="G32" s="427">
        <f>'Loan Book'!M35</f>
        <v>12000000</v>
      </c>
      <c r="H32" s="427">
        <f>'Loan Book'!O35</f>
        <v>12000000</v>
      </c>
      <c r="I32" s="427">
        <f>'Loan Book'!R35</f>
        <v>0</v>
      </c>
      <c r="J32" t="s">
        <v>95</v>
      </c>
      <c r="K32" t="s">
        <v>64</v>
      </c>
      <c r="L32" t="str">
        <f>IFERROR(INDEX('E-Banker master'!$B$2:$B$186,MATCH($J32,'E-Banker master'!$A$2:$A$186,0)),"")</f>
        <v>Perisha Agro and packaging Enterprise</v>
      </c>
      <c r="M32" s="426">
        <f>IFERROR(INDEX('E-Banker master'!$H$2:$H$186,MATCH($J32,'E-Banker master'!$A$2:$A$186,0)),"")</f>
        <v>44713</v>
      </c>
      <c r="N32" s="427">
        <f>IFERROR(INDEX('E-Banker master'!$I$2:$I$186,MATCH($J32,'E-Banker master'!$A$2:$A$186,0)),"")</f>
        <v>12000000</v>
      </c>
      <c r="O32" s="427">
        <f>IFERROR(INDEX('E-Banker master'!$N$2:$N$186,MATCH($J32,'E-Banker master'!$A$2:$A$186,0)),"")</f>
        <v>12000000</v>
      </c>
      <c r="P32" s="427">
        <f>IFERROR(INDEX('E-Banker master'!$P$2:$P$186,MATCH($J32,'E-Banker master'!$A$2:$A$186,0)),"")</f>
        <v>1358.4</v>
      </c>
      <c r="Q32" s="426">
        <f>IFERROR(INDEX('E-Banker master'!$Q$2:$Q$186,MATCH($J32,'E-Banker master'!$A$2:$A$186,0)),"")</f>
        <v>44728</v>
      </c>
      <c r="R32" t="str">
        <f>IFERROR(INDEX('E-Banker master'!$E$2:$E$186,MATCH($J32,'E-Banker master'!$A$2:$A$186,0)),"")</f>
        <v>H</v>
      </c>
      <c r="S32" t="str">
        <f t="shared" si="0"/>
        <v>Yes</v>
      </c>
      <c r="T32" t="str">
        <f t="shared" si="1"/>
        <v>No</v>
      </c>
      <c r="U32" t="str">
        <f t="shared" si="2"/>
        <v>Yes</v>
      </c>
      <c r="V32">
        <f t="shared" si="3"/>
        <v>0</v>
      </c>
      <c r="W32" t="s">
        <v>65</v>
      </c>
      <c r="X32" s="428"/>
      <c r="Y32" s="428"/>
      <c r="Z32" s="428"/>
    </row>
    <row r="33" spans="1:26" x14ac:dyDescent="0.35">
      <c r="A33">
        <v>36</v>
      </c>
      <c r="B33">
        <f>'Loan Book'!D36</f>
        <v>32</v>
      </c>
      <c r="C33" t="str">
        <f>'Loan Book'!E36</f>
        <v>Pamela Investments</v>
      </c>
      <c r="D33" t="str">
        <f>'Loan Book'!F36</f>
        <v>Debt</v>
      </c>
      <c r="E33" s="426">
        <f>'Loan Book'!G36</f>
        <v>44728</v>
      </c>
      <c r="F33" s="427">
        <f>'Loan Book'!L36</f>
        <v>10000000</v>
      </c>
      <c r="G33" s="427">
        <f>'Loan Book'!M36</f>
        <v>10000000</v>
      </c>
      <c r="H33" s="427">
        <f>'Loan Book'!O36</f>
        <v>10000000</v>
      </c>
      <c r="I33" s="427">
        <f>'Loan Book'!R36</f>
        <v>-1.8463283777236938E-4</v>
      </c>
      <c r="J33" t="s">
        <v>96</v>
      </c>
      <c r="K33" t="s">
        <v>64</v>
      </c>
      <c r="L33" t="str">
        <f>IFERROR(INDEX('E-Banker master'!$B$2:$B$186,MATCH($J33,'E-Banker master'!$A$2:$A$186,0)),"")</f>
        <v>Pamela Investments</v>
      </c>
      <c r="M33" s="426">
        <f>IFERROR(INDEX('E-Banker master'!$H$2:$H$186,MATCH($J33,'E-Banker master'!$A$2:$A$186,0)),"")</f>
        <v>44713</v>
      </c>
      <c r="N33" s="427">
        <f>IFERROR(INDEX('E-Banker master'!$I$2:$I$186,MATCH($J33,'E-Banker master'!$A$2:$A$186,0)),"")</f>
        <v>10000000</v>
      </c>
      <c r="O33" s="427">
        <f>IFERROR(INDEX('E-Banker master'!$N$2:$N$186,MATCH($J33,'E-Banker master'!$A$2:$A$186,0)),"")</f>
        <v>0</v>
      </c>
      <c r="P33" s="427">
        <f>IFERROR(INDEX('E-Banker master'!$P$2:$P$186,MATCH($J33,'E-Banker master'!$A$2:$A$186,0)),"")</f>
        <v>0</v>
      </c>
      <c r="Q33" s="426">
        <f>IFERROR(INDEX('E-Banker master'!$Q$2:$Q$186,MATCH($J33,'E-Banker master'!$A$2:$A$186,0)),"")</f>
        <v>44728</v>
      </c>
      <c r="R33" t="str">
        <f>IFERROR(INDEX('E-Banker master'!$E$2:$E$186,MATCH($J33,'E-Banker master'!$A$2:$A$186,0)),"")</f>
        <v>C</v>
      </c>
      <c r="S33" t="e">
        <f t="shared" si="0"/>
        <v>#DIV/0!</v>
      </c>
      <c r="T33" t="str">
        <f t="shared" si="1"/>
        <v>No balance</v>
      </c>
      <c r="U33" t="str">
        <f t="shared" si="2"/>
        <v>Yes</v>
      </c>
      <c r="V33">
        <f t="shared" si="3"/>
        <v>0</v>
      </c>
      <c r="W33" t="s">
        <v>65</v>
      </c>
      <c r="X33" s="428"/>
      <c r="Y33" s="428"/>
      <c r="Z33" s="428"/>
    </row>
    <row r="34" spans="1:26" x14ac:dyDescent="0.35">
      <c r="A34">
        <v>37</v>
      </c>
      <c r="B34">
        <f>'Loan Book'!D37</f>
        <v>33</v>
      </c>
      <c r="C34" t="str">
        <f>'Loan Book'!E37</f>
        <v>African Honey products Industries</v>
      </c>
      <c r="D34" t="str">
        <f>'Loan Book'!F37</f>
        <v>Debt</v>
      </c>
      <c r="E34" s="426">
        <f>'Loan Book'!G37</f>
        <v>44740</v>
      </c>
      <c r="F34" s="427">
        <f>'Loan Book'!L37</f>
        <v>104979420</v>
      </c>
      <c r="G34" s="427">
        <f>'Loan Book'!M37</f>
        <v>104979420</v>
      </c>
      <c r="H34" s="427">
        <f>'Loan Book'!O37</f>
        <v>104979420</v>
      </c>
      <c r="I34" s="427">
        <f>'Loan Book'!R37</f>
        <v>107020507.47897664</v>
      </c>
      <c r="J34" t="s">
        <v>97</v>
      </c>
      <c r="K34" t="s">
        <v>64</v>
      </c>
      <c r="L34" t="str">
        <f>IFERROR(INDEX('E-Banker master'!$B$2:$B$186,MATCH($J34,'E-Banker master'!$A$2:$A$186,0)),"")</f>
        <v>African Honey products Industries</v>
      </c>
      <c r="M34" s="426">
        <f>IFERROR(INDEX('E-Banker master'!$H$2:$H$186,MATCH($J34,'E-Banker master'!$A$2:$A$186,0)),"")</f>
        <v>44699</v>
      </c>
      <c r="N34" s="427">
        <f>IFERROR(INDEX('E-Banker master'!$I$2:$I$186,MATCH($J34,'E-Banker master'!$A$2:$A$186,0)),"")</f>
        <v>104979420</v>
      </c>
      <c r="O34" s="427">
        <f>IFERROR(INDEX('E-Banker master'!$N$2:$N$186,MATCH($J34,'E-Banker master'!$A$2:$A$186,0)),"")</f>
        <v>104979420</v>
      </c>
      <c r="P34" s="427">
        <f>IFERROR(INDEX('E-Banker master'!$P$2:$P$186,MATCH($J34,'E-Banker master'!$A$2:$A$186,0)),"")</f>
        <v>108314465.95999999</v>
      </c>
      <c r="Q34" s="426">
        <f>IFERROR(INDEX('E-Banker master'!$Q$2:$Q$186,MATCH($J34,'E-Banker master'!$A$2:$A$186,0)),"")</f>
        <v>44699</v>
      </c>
      <c r="R34" t="str">
        <f>IFERROR(INDEX('E-Banker master'!$E$2:$E$186,MATCH($J34,'E-Banker master'!$A$2:$A$186,0)),"")</f>
        <v>A</v>
      </c>
      <c r="S34" t="str">
        <f t="shared" ref="S34:S65" si="4">IF($J34="","",IF(O34="","No take-on posting",IF(ABS(H34-O34)&lt;1,"Yes",IF(ABS(H34/O34-1)&lt;0.01,"Within 1%","No"))))</f>
        <v>Yes</v>
      </c>
      <c r="T34" t="str">
        <f t="shared" ref="T34:T65" si="5">IF($J34="","",IF(OR(P34="",P34=0),"No balance",IF(ABS(I34-P34)&lt;1,"Yes",IF(ABS(I34/P34-1)&lt;0.02,"Within 2%",IF(ABS(I34/P34-1)&lt;0.05,"Within 5%","No")))))</f>
        <v>Within 2%</v>
      </c>
      <c r="U34" t="str">
        <f t="shared" ref="U34:U65" si="6">IF($J34="","",IF(N34="","",IF(ABS(F34-N34)&lt;1,"Yes",IF(ABS(G34-N34)&lt;1,"Disbursed = sanction","No"))))</f>
        <v>Yes</v>
      </c>
      <c r="V34">
        <f t="shared" ref="V34:V65" si="7">IF(OR($J34="",Q34="",E34=""),"",ABS(E34-Q34))</f>
        <v>41</v>
      </c>
      <c r="W34" t="s">
        <v>65</v>
      </c>
      <c r="X34" s="428"/>
      <c r="Y34" s="428"/>
      <c r="Z34" s="428"/>
    </row>
    <row r="35" spans="1:26" x14ac:dyDescent="0.35">
      <c r="A35">
        <v>38</v>
      </c>
      <c r="B35">
        <f>'Loan Book'!D38</f>
        <v>34</v>
      </c>
      <c r="C35" t="str">
        <f>'Loan Book'!E38</f>
        <v>Mtengo Wa Kumunda</v>
      </c>
      <c r="D35" t="str">
        <f>'Loan Book'!F38</f>
        <v>Debt</v>
      </c>
      <c r="E35" s="426">
        <f>'Loan Book'!G38</f>
        <v>44747</v>
      </c>
      <c r="F35" s="427">
        <f>'Loan Book'!L38</f>
        <v>12000000</v>
      </c>
      <c r="G35" s="427">
        <f>'Loan Book'!M38</f>
        <v>12000000</v>
      </c>
      <c r="H35" s="427">
        <f>'Loan Book'!O38</f>
        <v>12000000</v>
      </c>
      <c r="I35" s="427">
        <f>'Loan Book'!R38</f>
        <v>0</v>
      </c>
      <c r="J35" t="s">
        <v>98</v>
      </c>
      <c r="K35" t="s">
        <v>64</v>
      </c>
      <c r="L35" t="str">
        <f>IFERROR(INDEX('E-Banker master'!$B$2:$B$186,MATCH($J35,'E-Banker master'!$A$2:$A$186,0)),"")</f>
        <v>Mtengo wa Kumunda</v>
      </c>
      <c r="M35" s="426">
        <f>IFERROR(INDEX('E-Banker master'!$H$2:$H$186,MATCH($J35,'E-Banker master'!$A$2:$A$186,0)),"")</f>
        <v>44742</v>
      </c>
      <c r="N35" s="427">
        <f>IFERROR(INDEX('E-Banker master'!$I$2:$I$186,MATCH($J35,'E-Banker master'!$A$2:$A$186,0)),"")</f>
        <v>12000000</v>
      </c>
      <c r="O35" s="427">
        <f>IFERROR(INDEX('E-Banker master'!$N$2:$N$186,MATCH($J35,'E-Banker master'!$A$2:$A$186,0)),"")</f>
        <v>12000000</v>
      </c>
      <c r="P35" s="427">
        <f>IFERROR(INDEX('E-Banker master'!$P$2:$P$186,MATCH($J35,'E-Banker master'!$A$2:$A$186,0)),"")</f>
        <v>-83.07</v>
      </c>
      <c r="Q35" s="426">
        <f>IFERROR(INDEX('E-Banker master'!$Q$2:$Q$186,MATCH($J35,'E-Banker master'!$A$2:$A$186,0)),"")</f>
        <v>44747</v>
      </c>
      <c r="R35" t="str">
        <f>IFERROR(INDEX('E-Banker master'!$E$2:$E$186,MATCH($J35,'E-Banker master'!$A$2:$A$186,0)),"")</f>
        <v>D</v>
      </c>
      <c r="S35" t="str">
        <f t="shared" si="4"/>
        <v>Yes</v>
      </c>
      <c r="T35" t="str">
        <f t="shared" si="5"/>
        <v>No</v>
      </c>
      <c r="U35" t="str">
        <f t="shared" si="6"/>
        <v>Yes</v>
      </c>
      <c r="V35">
        <f t="shared" si="7"/>
        <v>0</v>
      </c>
      <c r="W35" t="s">
        <v>65</v>
      </c>
      <c r="X35" s="428"/>
      <c r="Y35" s="428"/>
      <c r="Z35" s="428"/>
    </row>
    <row r="36" spans="1:26" x14ac:dyDescent="0.35">
      <c r="A36">
        <v>39</v>
      </c>
      <c r="B36">
        <f>'Loan Book'!D39</f>
        <v>35</v>
      </c>
      <c r="C36" t="str">
        <f>'Loan Book'!E39</f>
        <v>MMM Investments</v>
      </c>
      <c r="D36" t="str">
        <f>'Loan Book'!F39</f>
        <v>Debt</v>
      </c>
      <c r="E36" s="426">
        <f>'Loan Book'!G39</f>
        <v>44749</v>
      </c>
      <c r="F36" s="427">
        <f>'Loan Book'!L39</f>
        <v>10000000</v>
      </c>
      <c r="G36" s="427">
        <f>'Loan Book'!M39</f>
        <v>10000000</v>
      </c>
      <c r="H36" s="427">
        <f>'Loan Book'!O39</f>
        <v>10000000</v>
      </c>
      <c r="I36" s="427">
        <f>'Loan Book'!R39</f>
        <v>262137.72196254134</v>
      </c>
      <c r="J36" t="s">
        <v>99</v>
      </c>
      <c r="K36" t="s">
        <v>64</v>
      </c>
      <c r="L36" t="str">
        <f>IFERROR(INDEX('E-Banker master'!$B$2:$B$186,MATCH($J36,'E-Banker master'!$A$2:$A$186,0)),"")</f>
        <v>MMM Investments</v>
      </c>
      <c r="M36" s="426">
        <f>IFERROR(INDEX('E-Banker master'!$H$2:$H$186,MATCH($J36,'E-Banker master'!$A$2:$A$186,0)),"")</f>
        <v>44746</v>
      </c>
      <c r="N36" s="427">
        <f>IFERROR(INDEX('E-Banker master'!$I$2:$I$186,MATCH($J36,'E-Banker master'!$A$2:$A$186,0)),"")</f>
        <v>10000000</v>
      </c>
      <c r="O36" s="427">
        <f>IFERROR(INDEX('E-Banker master'!$N$2:$N$186,MATCH($J36,'E-Banker master'!$A$2:$A$186,0)),"")</f>
        <v>10000000</v>
      </c>
      <c r="P36" s="427">
        <f>IFERROR(INDEX('E-Banker master'!$P$2:$P$186,MATCH($J36,'E-Banker master'!$A$2:$A$186,0)),"")</f>
        <v>268800.7</v>
      </c>
      <c r="Q36" s="426">
        <f>IFERROR(INDEX('E-Banker master'!$Q$2:$Q$186,MATCH($J36,'E-Banker master'!$A$2:$A$186,0)),"")</f>
        <v>44749</v>
      </c>
      <c r="R36" t="str">
        <f>IFERROR(INDEX('E-Banker master'!$E$2:$E$186,MATCH($J36,'E-Banker master'!$A$2:$A$186,0)),"")</f>
        <v>H</v>
      </c>
      <c r="S36" t="str">
        <f t="shared" si="4"/>
        <v>Yes</v>
      </c>
      <c r="T36" t="str">
        <f t="shared" si="5"/>
        <v>Within 5%</v>
      </c>
      <c r="U36" t="str">
        <f t="shared" si="6"/>
        <v>Yes</v>
      </c>
      <c r="V36">
        <f t="shared" si="7"/>
        <v>0</v>
      </c>
      <c r="W36" t="s">
        <v>65</v>
      </c>
      <c r="X36" s="428"/>
      <c r="Y36" s="428"/>
      <c r="Z36" s="428"/>
    </row>
    <row r="37" spans="1:26" x14ac:dyDescent="0.35">
      <c r="A37">
        <v>40</v>
      </c>
      <c r="B37">
        <f>'Loan Book'!D40</f>
        <v>36</v>
      </c>
      <c r="C37" t="str">
        <f>'Loan Book'!E40</f>
        <v>Sekuru Enterprise</v>
      </c>
      <c r="D37" t="str">
        <f>'Loan Book'!F40</f>
        <v>Debt</v>
      </c>
      <c r="E37" s="426">
        <f>'Loan Book'!G40</f>
        <v>44749</v>
      </c>
      <c r="F37" s="427">
        <f>'Loan Book'!L40</f>
        <v>10000000</v>
      </c>
      <c r="G37" s="427">
        <f>'Loan Book'!M40</f>
        <v>10000000</v>
      </c>
      <c r="H37" s="427">
        <f>'Loan Book'!O40</f>
        <v>10000000</v>
      </c>
      <c r="I37" s="427">
        <f>'Loan Book'!R40</f>
        <v>0</v>
      </c>
      <c r="J37" t="s">
        <v>100</v>
      </c>
      <c r="K37" t="s">
        <v>64</v>
      </c>
      <c r="L37" t="str">
        <f>IFERROR(INDEX('E-Banker master'!$B$2:$B$186,MATCH($J37,'E-Banker master'!$A$2:$A$186,0)),"")</f>
        <v>Sekuru Enterprise</v>
      </c>
      <c r="M37" s="426">
        <f>IFERROR(INDEX('E-Banker master'!$H$2:$H$186,MATCH($J37,'E-Banker master'!$A$2:$A$186,0)),"")</f>
        <v>44746</v>
      </c>
      <c r="N37" s="427">
        <f>IFERROR(INDEX('E-Banker master'!$I$2:$I$186,MATCH($J37,'E-Banker master'!$A$2:$A$186,0)),"")</f>
        <v>10000000</v>
      </c>
      <c r="O37" s="427">
        <f>IFERROR(INDEX('E-Banker master'!$N$2:$N$186,MATCH($J37,'E-Banker master'!$A$2:$A$186,0)),"")</f>
        <v>0</v>
      </c>
      <c r="P37" s="427">
        <f>IFERROR(INDEX('E-Banker master'!$P$2:$P$186,MATCH($J37,'E-Banker master'!$A$2:$A$186,0)),"")</f>
        <v>0</v>
      </c>
      <c r="Q37" s="426">
        <f>IFERROR(INDEX('E-Banker master'!$Q$2:$Q$186,MATCH($J37,'E-Banker master'!$A$2:$A$186,0)),"")</f>
        <v>44749</v>
      </c>
      <c r="R37" t="str">
        <f>IFERROR(INDEX('E-Banker master'!$E$2:$E$186,MATCH($J37,'E-Banker master'!$A$2:$A$186,0)),"")</f>
        <v>C</v>
      </c>
      <c r="S37" t="e">
        <f t="shared" si="4"/>
        <v>#DIV/0!</v>
      </c>
      <c r="T37" t="str">
        <f t="shared" si="5"/>
        <v>No balance</v>
      </c>
      <c r="U37" t="str">
        <f t="shared" si="6"/>
        <v>Yes</v>
      </c>
      <c r="V37">
        <f t="shared" si="7"/>
        <v>0</v>
      </c>
      <c r="W37" t="s">
        <v>65</v>
      </c>
      <c r="X37" s="428"/>
      <c r="Y37" s="428"/>
      <c r="Z37" s="428"/>
    </row>
    <row r="38" spans="1:26" x14ac:dyDescent="0.35">
      <c r="A38">
        <v>41</v>
      </c>
      <c r="B38">
        <f>'Loan Book'!D41</f>
        <v>37</v>
      </c>
      <c r="C38" t="str">
        <f>'Loan Book'!E41</f>
        <v>Agribusiness Solutions Ltd</v>
      </c>
      <c r="D38" t="str">
        <f>'Loan Book'!F41</f>
        <v>Debt</v>
      </c>
      <c r="E38" s="426">
        <f>'Loan Book'!G41</f>
        <v>44755</v>
      </c>
      <c r="F38" s="427">
        <f>'Loan Book'!L41</f>
        <v>24000000</v>
      </c>
      <c r="G38" s="427">
        <f>'Loan Book'!M41</f>
        <v>24000000</v>
      </c>
      <c r="H38" s="427">
        <f>'Loan Book'!O41</f>
        <v>24000000</v>
      </c>
      <c r="I38" s="427">
        <f>'Loan Book'!R41</f>
        <v>0</v>
      </c>
      <c r="J38" t="s">
        <v>101</v>
      </c>
      <c r="K38" t="s">
        <v>64</v>
      </c>
      <c r="L38" t="str">
        <f>IFERROR(INDEX('E-Banker master'!$B$2:$B$186,MATCH($J38,'E-Banker master'!$A$2:$A$186,0)),"")</f>
        <v>Agribusiness Solutions Limited</v>
      </c>
      <c r="M38" s="426">
        <f>IFERROR(INDEX('E-Banker master'!$H$2:$H$186,MATCH($J38,'E-Banker master'!$A$2:$A$186,0)),"")</f>
        <v>44753</v>
      </c>
      <c r="N38" s="427">
        <f>IFERROR(INDEX('E-Banker master'!$I$2:$I$186,MATCH($J38,'E-Banker master'!$A$2:$A$186,0)),"")</f>
        <v>24000000</v>
      </c>
      <c r="O38" s="427">
        <f>IFERROR(INDEX('E-Banker master'!$N$2:$N$186,MATCH($J38,'E-Banker master'!$A$2:$A$186,0)),"")</f>
        <v>0</v>
      </c>
      <c r="P38" s="427">
        <f>IFERROR(INDEX('E-Banker master'!$P$2:$P$186,MATCH($J38,'E-Banker master'!$A$2:$A$186,0)),"")</f>
        <v>0</v>
      </c>
      <c r="Q38" s="426">
        <f>IFERROR(INDEX('E-Banker master'!$Q$2:$Q$186,MATCH($J38,'E-Banker master'!$A$2:$A$186,0)),"")</f>
        <v>44755</v>
      </c>
      <c r="R38" t="str">
        <f>IFERROR(INDEX('E-Banker master'!$E$2:$E$186,MATCH($J38,'E-Banker master'!$A$2:$A$186,0)),"")</f>
        <v>C</v>
      </c>
      <c r="S38" t="e">
        <f t="shared" si="4"/>
        <v>#DIV/0!</v>
      </c>
      <c r="T38" t="str">
        <f t="shared" si="5"/>
        <v>No balance</v>
      </c>
      <c r="U38" t="str">
        <f t="shared" si="6"/>
        <v>Yes</v>
      </c>
      <c r="V38">
        <f t="shared" si="7"/>
        <v>0</v>
      </c>
      <c r="W38" t="s">
        <v>65</v>
      </c>
      <c r="X38" s="428"/>
      <c r="Y38" s="428"/>
      <c r="Z38" s="428"/>
    </row>
    <row r="39" spans="1:26" x14ac:dyDescent="0.35">
      <c r="A39">
        <v>42</v>
      </c>
      <c r="B39">
        <f>'Loan Book'!D42</f>
        <v>38</v>
      </c>
      <c r="C39" t="str">
        <f>'Loan Book'!E42</f>
        <v>Favoured Farms</v>
      </c>
      <c r="D39" t="str">
        <f>'Loan Book'!F42</f>
        <v>Debt</v>
      </c>
      <c r="E39" s="426">
        <f>'Loan Book'!G42</f>
        <v>44755</v>
      </c>
      <c r="F39" s="427">
        <f>'Loan Book'!L42</f>
        <v>10000000</v>
      </c>
      <c r="G39" s="427">
        <f>'Loan Book'!M42</f>
        <v>10000000</v>
      </c>
      <c r="H39" s="427">
        <f>'Loan Book'!O42</f>
        <v>10000000</v>
      </c>
      <c r="I39" s="427">
        <f>'Loan Book'!R42</f>
        <v>0</v>
      </c>
      <c r="K39" t="s">
        <v>102</v>
      </c>
      <c r="L39" t="str">
        <f>IFERROR(INDEX('E-Banker master'!$B$2:$B$186,MATCH($J39,'E-Banker master'!$A$2:$A$186,0)),"")</f>
        <v/>
      </c>
      <c r="M39" s="426" t="str">
        <f>IFERROR(INDEX('E-Banker master'!$H$2:$H$186,MATCH($J39,'E-Banker master'!$A$2:$A$186,0)),"")</f>
        <v/>
      </c>
      <c r="N39" s="427" t="str">
        <f>IFERROR(INDEX('E-Banker master'!$I$2:$I$186,MATCH($J39,'E-Banker master'!$A$2:$A$186,0)),"")</f>
        <v/>
      </c>
      <c r="O39" s="427" t="str">
        <f>IFERROR(INDEX('E-Banker master'!$N$2:$N$186,MATCH($J39,'E-Banker master'!$A$2:$A$186,0)),"")</f>
        <v/>
      </c>
      <c r="P39" s="427" t="str">
        <f>IFERROR(INDEX('E-Banker master'!$P$2:$P$186,MATCH($J39,'E-Banker master'!$A$2:$A$186,0)),"")</f>
        <v/>
      </c>
      <c r="Q39" s="426" t="str">
        <f>IFERROR(INDEX('E-Banker master'!$Q$2:$Q$186,MATCH($J39,'E-Banker master'!$A$2:$A$186,0)),"")</f>
        <v/>
      </c>
      <c r="R39" t="str">
        <f>IFERROR(INDEX('E-Banker master'!$E$2:$E$186,MATCH($J39,'E-Banker master'!$A$2:$A$186,0)),"")</f>
        <v/>
      </c>
      <c r="S39" t="str">
        <f t="shared" si="4"/>
        <v/>
      </c>
      <c r="T39" t="str">
        <f t="shared" si="5"/>
        <v/>
      </c>
      <c r="U39" t="str">
        <f t="shared" si="6"/>
        <v/>
      </c>
      <c r="V39" t="str">
        <f t="shared" si="7"/>
        <v/>
      </c>
      <c r="W39" t="s">
        <v>103</v>
      </c>
      <c r="X39" s="428"/>
      <c r="Y39" s="428"/>
      <c r="Z39" s="428"/>
    </row>
    <row r="40" spans="1:26" x14ac:dyDescent="0.35">
      <c r="A40">
        <v>43</v>
      </c>
      <c r="B40">
        <f>'Loan Book'!D43</f>
        <v>39</v>
      </c>
      <c r="C40" t="str">
        <f>'Loan Book'!E43</f>
        <v>Tac-Maz Investment</v>
      </c>
      <c r="D40" t="str">
        <f>'Loan Book'!F43</f>
        <v>Debt</v>
      </c>
      <c r="E40" s="426">
        <f>'Loan Book'!G43</f>
        <v>44755</v>
      </c>
      <c r="F40" s="427">
        <f>'Loan Book'!L43</f>
        <v>10000000</v>
      </c>
      <c r="G40" s="427">
        <f>'Loan Book'!M43</f>
        <v>10000000</v>
      </c>
      <c r="H40" s="427">
        <f>'Loan Book'!O43</f>
        <v>10000000</v>
      </c>
      <c r="I40" s="427">
        <f>'Loan Book'!R43</f>
        <v>5853113.3792676926</v>
      </c>
      <c r="J40" t="s">
        <v>104</v>
      </c>
      <c r="K40" t="s">
        <v>64</v>
      </c>
      <c r="L40" t="str">
        <f>IFERROR(INDEX('E-Banker master'!$B$2:$B$186,MATCH($J40,'E-Banker master'!$A$2:$A$186,0)),"")</f>
        <v>Tac-Maz Investment</v>
      </c>
      <c r="M40" s="426">
        <f>IFERROR(INDEX('E-Banker master'!$H$2:$H$186,MATCH($J40,'E-Banker master'!$A$2:$A$186,0)),"")</f>
        <v>44754</v>
      </c>
      <c r="N40" s="427">
        <f>IFERROR(INDEX('E-Banker master'!$I$2:$I$186,MATCH($J40,'E-Banker master'!$A$2:$A$186,0)),"")</f>
        <v>10000000</v>
      </c>
      <c r="O40" s="427">
        <f>IFERROR(INDEX('E-Banker master'!$N$2:$N$186,MATCH($J40,'E-Banker master'!$A$2:$A$186,0)),"")</f>
        <v>10000000</v>
      </c>
      <c r="P40" s="427">
        <f>IFERROR(INDEX('E-Banker master'!$P$2:$P$186,MATCH($J40,'E-Banker master'!$A$2:$A$186,0)),"")</f>
        <v>5917617.5</v>
      </c>
      <c r="Q40" s="426">
        <f>IFERROR(INDEX('E-Banker master'!$Q$2:$Q$186,MATCH($J40,'E-Banker master'!$A$2:$A$186,0)),"")</f>
        <v>44755</v>
      </c>
      <c r="R40" t="str">
        <f>IFERROR(INDEX('E-Banker master'!$E$2:$E$186,MATCH($J40,'E-Banker master'!$A$2:$A$186,0)),"")</f>
        <v>H</v>
      </c>
      <c r="S40" t="str">
        <f t="shared" si="4"/>
        <v>Yes</v>
      </c>
      <c r="T40" t="str">
        <f t="shared" si="5"/>
        <v>Within 2%</v>
      </c>
      <c r="U40" t="str">
        <f t="shared" si="6"/>
        <v>Yes</v>
      </c>
      <c r="V40">
        <f t="shared" si="7"/>
        <v>0</v>
      </c>
      <c r="W40" t="s">
        <v>65</v>
      </c>
      <c r="X40" s="428"/>
      <c r="Y40" s="428"/>
      <c r="Z40" s="428"/>
    </row>
    <row r="41" spans="1:26" x14ac:dyDescent="0.35">
      <c r="A41">
        <v>44</v>
      </c>
      <c r="B41">
        <f>'Loan Book'!D44</f>
        <v>40</v>
      </c>
      <c r="C41" t="str">
        <f>'Loan Book'!E44</f>
        <v>G &amp; S Home Mart &amp; Agrodealer</v>
      </c>
      <c r="D41" t="str">
        <f>'Loan Book'!F44</f>
        <v>Debt</v>
      </c>
      <c r="E41" s="426">
        <f>'Loan Book'!G44</f>
        <v>44755</v>
      </c>
      <c r="F41" s="427">
        <f>'Loan Book'!L44</f>
        <v>10000000</v>
      </c>
      <c r="G41" s="427">
        <f>'Loan Book'!M44</f>
        <v>7000000</v>
      </c>
      <c r="H41" s="427">
        <f>'Loan Book'!O44</f>
        <v>7000000</v>
      </c>
      <c r="I41" s="427">
        <f>'Loan Book'!R44</f>
        <v>0</v>
      </c>
      <c r="J41" t="s">
        <v>105</v>
      </c>
      <c r="K41" t="s">
        <v>64</v>
      </c>
      <c r="L41" t="str">
        <f>IFERROR(INDEX('E-Banker master'!$B$2:$B$186,MATCH($J41,'E-Banker master'!$A$2:$A$186,0)),"")</f>
        <v>G&amp;S HomeMart and Agrodealer</v>
      </c>
      <c r="M41" s="426">
        <f>IFERROR(INDEX('E-Banker master'!$H$2:$H$186,MATCH($J41,'E-Banker master'!$A$2:$A$186,0)),"")</f>
        <v>44754</v>
      </c>
      <c r="N41" s="427">
        <f>IFERROR(INDEX('E-Banker master'!$I$2:$I$186,MATCH($J41,'E-Banker master'!$A$2:$A$186,0)),"")</f>
        <v>10000000</v>
      </c>
      <c r="O41" s="427">
        <f>IFERROR(INDEX('E-Banker master'!$N$2:$N$186,MATCH($J41,'E-Banker master'!$A$2:$A$186,0)),"")</f>
        <v>0</v>
      </c>
      <c r="P41" s="427">
        <f>IFERROR(INDEX('E-Banker master'!$P$2:$P$186,MATCH($J41,'E-Banker master'!$A$2:$A$186,0)),"")</f>
        <v>0</v>
      </c>
      <c r="Q41" s="426">
        <f>IFERROR(INDEX('E-Banker master'!$Q$2:$Q$186,MATCH($J41,'E-Banker master'!$A$2:$A$186,0)),"")</f>
        <v>44755</v>
      </c>
      <c r="R41" t="str">
        <f>IFERROR(INDEX('E-Banker master'!$E$2:$E$186,MATCH($J41,'E-Banker master'!$A$2:$A$186,0)),"")</f>
        <v>C</v>
      </c>
      <c r="S41" t="e">
        <f t="shared" si="4"/>
        <v>#DIV/0!</v>
      </c>
      <c r="T41" t="str">
        <f t="shared" si="5"/>
        <v>No balance</v>
      </c>
      <c r="U41" t="str">
        <f t="shared" si="6"/>
        <v>Yes</v>
      </c>
      <c r="V41">
        <f t="shared" si="7"/>
        <v>0</v>
      </c>
      <c r="W41" t="s">
        <v>65</v>
      </c>
      <c r="X41" s="428"/>
      <c r="Y41" s="428"/>
      <c r="Z41" s="428"/>
    </row>
    <row r="42" spans="1:26" x14ac:dyDescent="0.35">
      <c r="A42">
        <v>45</v>
      </c>
      <c r="B42">
        <f>'Loan Book'!D45</f>
        <v>41</v>
      </c>
      <c r="C42" t="str">
        <f>'Loan Book'!E45</f>
        <v>Ziweto Enterprise</v>
      </c>
      <c r="D42" t="str">
        <f>'Loan Book'!F45</f>
        <v>Debt</v>
      </c>
      <c r="E42" s="426">
        <f>'Loan Book'!G45</f>
        <v>44761</v>
      </c>
      <c r="F42" s="427">
        <f>'Loan Book'!L45</f>
        <v>152910000</v>
      </c>
      <c r="G42" s="427">
        <f>'Loan Book'!M45</f>
        <v>152910000</v>
      </c>
      <c r="H42" s="427">
        <f>'Loan Book'!O45</f>
        <v>152910000</v>
      </c>
      <c r="I42" s="427">
        <f>'Loan Book'!R45</f>
        <v>1.3990700244903564E-3</v>
      </c>
      <c r="J42" t="s">
        <v>106</v>
      </c>
      <c r="K42" t="s">
        <v>64</v>
      </c>
      <c r="L42" t="str">
        <f>IFERROR(INDEX('E-Banker master'!$B$2:$B$186,MATCH($J42,'E-Banker master'!$A$2:$A$186,0)),"")</f>
        <v>Ziweto Enterprise</v>
      </c>
      <c r="M42" s="426">
        <f>IFERROR(INDEX('E-Banker master'!$H$2:$H$186,MATCH($J42,'E-Banker master'!$A$2:$A$186,0)),"")</f>
        <v>44761</v>
      </c>
      <c r="N42" s="427">
        <f>IFERROR(INDEX('E-Banker master'!$I$2:$I$186,MATCH($J42,'E-Banker master'!$A$2:$A$186,0)),"")</f>
        <v>152910000</v>
      </c>
      <c r="O42" s="427">
        <f>IFERROR(INDEX('E-Banker master'!$N$2:$N$186,MATCH($J42,'E-Banker master'!$A$2:$A$186,0)),"")</f>
        <v>0</v>
      </c>
      <c r="P42" s="427">
        <f>IFERROR(INDEX('E-Banker master'!$P$2:$P$186,MATCH($J42,'E-Banker master'!$A$2:$A$186,0)),"")</f>
        <v>0</v>
      </c>
      <c r="Q42" s="426">
        <f>IFERROR(INDEX('E-Banker master'!$Q$2:$Q$186,MATCH($J42,'E-Banker master'!$A$2:$A$186,0)),"")</f>
        <v>44761</v>
      </c>
      <c r="R42" t="str">
        <f>IFERROR(INDEX('E-Banker master'!$E$2:$E$186,MATCH($J42,'E-Banker master'!$A$2:$A$186,0)),"")</f>
        <v>C</v>
      </c>
      <c r="S42" t="e">
        <f t="shared" si="4"/>
        <v>#DIV/0!</v>
      </c>
      <c r="T42" t="str">
        <f t="shared" si="5"/>
        <v>No balance</v>
      </c>
      <c r="U42" t="str">
        <f t="shared" si="6"/>
        <v>Yes</v>
      </c>
      <c r="V42">
        <f t="shared" si="7"/>
        <v>0</v>
      </c>
      <c r="W42" t="s">
        <v>65</v>
      </c>
      <c r="X42" s="428"/>
      <c r="Y42" s="428"/>
      <c r="Z42" s="428"/>
    </row>
    <row r="43" spans="1:26" x14ac:dyDescent="0.35">
      <c r="A43">
        <v>46</v>
      </c>
      <c r="B43">
        <f>'Loan Book'!D46</f>
        <v>42</v>
      </c>
      <c r="C43" t="str">
        <f>'Loan Book'!E46</f>
        <v>Kadava Investment Limited</v>
      </c>
      <c r="D43" t="str">
        <f>'Loan Book'!F46</f>
        <v>Debt</v>
      </c>
      <c r="E43" s="426">
        <f>'Loan Book'!G46</f>
        <v>44775</v>
      </c>
      <c r="F43" s="427">
        <f>'Loan Book'!L46</f>
        <v>12000000</v>
      </c>
      <c r="G43" s="427">
        <f>'Loan Book'!M46</f>
        <v>12000000</v>
      </c>
      <c r="H43" s="427">
        <f>'Loan Book'!O46</f>
        <v>12000000</v>
      </c>
      <c r="I43" s="427">
        <f>'Loan Book'!R46</f>
        <v>4107865.3182512373</v>
      </c>
      <c r="J43" t="s">
        <v>107</v>
      </c>
      <c r="K43" t="s">
        <v>64</v>
      </c>
      <c r="L43" t="str">
        <f>IFERROR(INDEX('E-Banker master'!$B$2:$B$186,MATCH($J43,'E-Banker master'!$A$2:$A$186,0)),"")</f>
        <v>Kadava Investment Limited</v>
      </c>
      <c r="M43" s="426">
        <f>IFERROR(INDEX('E-Banker master'!$H$2:$H$186,MATCH($J43,'E-Banker master'!$A$2:$A$186,0)),"")</f>
        <v>44785</v>
      </c>
      <c r="N43" s="427">
        <f>IFERROR(INDEX('E-Banker master'!$I$2:$I$186,MATCH($J43,'E-Banker master'!$A$2:$A$186,0)),"")</f>
        <v>12000000</v>
      </c>
      <c r="O43" s="427">
        <f>IFERROR(INDEX('E-Banker master'!$N$2:$N$186,MATCH($J43,'E-Banker master'!$A$2:$A$186,0)),"")</f>
        <v>12000000</v>
      </c>
      <c r="P43" s="427">
        <f>IFERROR(INDEX('E-Banker master'!$P$2:$P$186,MATCH($J43,'E-Banker master'!$A$2:$A$186,0)),"")</f>
        <v>4496798.6900000004</v>
      </c>
      <c r="Q43" s="426">
        <f>IFERROR(INDEX('E-Banker master'!$Q$2:$Q$186,MATCH($J43,'E-Banker master'!$A$2:$A$186,0)),"")</f>
        <v>44775</v>
      </c>
      <c r="R43" t="str">
        <f>IFERROR(INDEX('E-Banker master'!$E$2:$E$186,MATCH($J43,'E-Banker master'!$A$2:$A$186,0)),"")</f>
        <v>H</v>
      </c>
      <c r="S43" t="str">
        <f t="shared" si="4"/>
        <v>Yes</v>
      </c>
      <c r="T43" t="str">
        <f t="shared" si="5"/>
        <v>No</v>
      </c>
      <c r="U43" t="str">
        <f t="shared" si="6"/>
        <v>Yes</v>
      </c>
      <c r="V43">
        <f t="shared" si="7"/>
        <v>0</v>
      </c>
      <c r="W43" t="s">
        <v>65</v>
      </c>
      <c r="X43" s="428"/>
      <c r="Y43" s="428"/>
      <c r="Z43" s="428"/>
    </row>
    <row r="44" spans="1:26" x14ac:dyDescent="0.35">
      <c r="A44">
        <v>47</v>
      </c>
      <c r="B44">
        <f>'Loan Book'!D47</f>
        <v>43</v>
      </c>
      <c r="C44" t="str">
        <f>'Loan Book'!E47</f>
        <v>Zikometso Smallholder Farmers Association</v>
      </c>
      <c r="D44" t="str">
        <f>'Loan Book'!F47</f>
        <v>Debt</v>
      </c>
      <c r="E44" s="426">
        <f>'Loan Book'!G47</f>
        <v>44775</v>
      </c>
      <c r="F44" s="427">
        <f>'Loan Book'!L47</f>
        <v>24000000</v>
      </c>
      <c r="G44" s="427">
        <f>'Loan Book'!M47</f>
        <v>11423340</v>
      </c>
      <c r="H44" s="427">
        <f>'Loan Book'!O47</f>
        <v>11423340</v>
      </c>
      <c r="I44" s="427">
        <f>'Loan Book'!R47</f>
        <v>-3.2923882454634068E-3</v>
      </c>
      <c r="J44" t="s">
        <v>108</v>
      </c>
      <c r="K44" t="s">
        <v>64</v>
      </c>
      <c r="L44" t="str">
        <f>IFERROR(INDEX('E-Banker master'!$B$2:$B$186,MATCH($J44,'E-Banker master'!$A$2:$A$186,0)),"")</f>
        <v>Zikometso Smallholder Farmers Association</v>
      </c>
      <c r="M44" s="426">
        <f>IFERROR(INDEX('E-Banker master'!$H$2:$H$186,MATCH($J44,'E-Banker master'!$A$2:$A$186,0)),"")</f>
        <v>44785</v>
      </c>
      <c r="N44" s="427">
        <f>IFERROR(INDEX('E-Banker master'!$I$2:$I$186,MATCH($J44,'E-Banker master'!$A$2:$A$186,0)),"")</f>
        <v>24000000</v>
      </c>
      <c r="O44" s="427">
        <f>IFERROR(INDEX('E-Banker master'!$N$2:$N$186,MATCH($J44,'E-Banker master'!$A$2:$A$186,0)),"")</f>
        <v>11423340</v>
      </c>
      <c r="P44" s="427">
        <f>IFERROR(INDEX('E-Banker master'!$P$2:$P$186,MATCH($J44,'E-Banker master'!$A$2:$A$186,0)),"")</f>
        <v>8338.1200000000008</v>
      </c>
      <c r="Q44" s="426">
        <f>IFERROR(INDEX('E-Banker master'!$Q$2:$Q$186,MATCH($J44,'E-Banker master'!$A$2:$A$186,0)),"")</f>
        <v>44775</v>
      </c>
      <c r="R44" t="str">
        <f>IFERROR(INDEX('E-Banker master'!$E$2:$E$186,MATCH($J44,'E-Banker master'!$A$2:$A$186,0)),"")</f>
        <v>H</v>
      </c>
      <c r="S44" t="str">
        <f t="shared" si="4"/>
        <v>Yes</v>
      </c>
      <c r="T44" t="str">
        <f t="shared" si="5"/>
        <v>No</v>
      </c>
      <c r="U44" t="str">
        <f t="shared" si="6"/>
        <v>Yes</v>
      </c>
      <c r="V44">
        <f t="shared" si="7"/>
        <v>0</v>
      </c>
      <c r="W44" t="s">
        <v>65</v>
      </c>
      <c r="X44" s="428"/>
      <c r="Y44" s="428"/>
      <c r="Z44" s="428"/>
    </row>
    <row r="45" spans="1:26" x14ac:dyDescent="0.35">
      <c r="A45">
        <v>48</v>
      </c>
      <c r="B45">
        <f>'Loan Book'!D48</f>
        <v>44</v>
      </c>
      <c r="C45" t="str">
        <f>'Loan Book'!E48</f>
        <v>The Food Empire Limited</v>
      </c>
      <c r="D45" t="str">
        <f>'Loan Book'!F48</f>
        <v>Debt</v>
      </c>
      <c r="E45" s="426">
        <f>'Loan Book'!G48</f>
        <v>44785</v>
      </c>
      <c r="F45" s="427">
        <f>'Loan Book'!L48</f>
        <v>154724500</v>
      </c>
      <c r="G45" s="427">
        <f>'Loan Book'!M48</f>
        <v>154724500</v>
      </c>
      <c r="H45" s="427">
        <f>'Loan Book'!O48</f>
        <v>154724500</v>
      </c>
      <c r="I45" s="427">
        <f>'Loan Book'!R48</f>
        <v>100874664.81669629</v>
      </c>
      <c r="J45" t="s">
        <v>109</v>
      </c>
      <c r="K45" t="s">
        <v>64</v>
      </c>
      <c r="L45" t="str">
        <f>IFERROR(INDEX('E-Banker master'!$B$2:$B$186,MATCH($J45,'E-Banker master'!$A$2:$A$186,0)),"")</f>
        <v>The Food Empire Limited</v>
      </c>
      <c r="M45" s="426">
        <f>IFERROR(INDEX('E-Banker master'!$H$2:$H$186,MATCH($J45,'E-Banker master'!$A$2:$A$186,0)),"")</f>
        <v>44746</v>
      </c>
      <c r="N45" s="427">
        <f>IFERROR(INDEX('E-Banker master'!$I$2:$I$186,MATCH($J45,'E-Banker master'!$A$2:$A$186,0)),"")</f>
        <v>154724500</v>
      </c>
      <c r="O45" s="427">
        <f>IFERROR(INDEX('E-Banker master'!$N$2:$N$186,MATCH($J45,'E-Banker master'!$A$2:$A$186,0)),"")</f>
        <v>154724500</v>
      </c>
      <c r="P45" s="427">
        <f>IFERROR(INDEX('E-Banker master'!$P$2:$P$186,MATCH($J45,'E-Banker master'!$A$2:$A$186,0)),"")</f>
        <v>101427841.37</v>
      </c>
      <c r="Q45" s="426">
        <f>IFERROR(INDEX('E-Banker master'!$Q$2:$Q$186,MATCH($J45,'E-Banker master'!$A$2:$A$186,0)),"")</f>
        <v>44746</v>
      </c>
      <c r="R45" t="str">
        <f>IFERROR(INDEX('E-Banker master'!$E$2:$E$186,MATCH($J45,'E-Banker master'!$A$2:$A$186,0)),"")</f>
        <v>F</v>
      </c>
      <c r="S45" t="str">
        <f t="shared" si="4"/>
        <v>Yes</v>
      </c>
      <c r="T45" t="str">
        <f t="shared" si="5"/>
        <v>Within 2%</v>
      </c>
      <c r="U45" t="str">
        <f t="shared" si="6"/>
        <v>Yes</v>
      </c>
      <c r="V45">
        <f t="shared" si="7"/>
        <v>39</v>
      </c>
      <c r="W45" t="s">
        <v>65</v>
      </c>
      <c r="X45" s="428"/>
      <c r="Y45" s="428"/>
      <c r="Z45" s="428"/>
    </row>
    <row r="46" spans="1:26" x14ac:dyDescent="0.35">
      <c r="A46">
        <v>49</v>
      </c>
      <c r="B46">
        <f>'Loan Book'!D49</f>
        <v>45</v>
      </c>
      <c r="C46" t="str">
        <f>'Loan Book'!E49</f>
        <v>Global Seeds Ltd</v>
      </c>
      <c r="D46" t="str">
        <f>'Loan Book'!F49</f>
        <v>Debt</v>
      </c>
      <c r="E46" s="426">
        <f>'Loan Book'!G49</f>
        <v>44803</v>
      </c>
      <c r="F46" s="427">
        <f>'Loan Book'!L49</f>
        <v>103225546</v>
      </c>
      <c r="G46" s="427">
        <f>'Loan Book'!M49</f>
        <v>103225546</v>
      </c>
      <c r="H46" s="427">
        <f>'Loan Book'!O49</f>
        <v>103225546</v>
      </c>
      <c r="I46" s="427">
        <f>'Loan Book'!R49</f>
        <v>3.0568242073059082E-3</v>
      </c>
      <c r="J46" t="s">
        <v>110</v>
      </c>
      <c r="K46" t="s">
        <v>64</v>
      </c>
      <c r="L46" t="str">
        <f>IFERROR(INDEX('E-Banker master'!$B$2:$B$186,MATCH($J46,'E-Banker master'!$A$2:$A$186,0)),"")</f>
        <v>Global Seeds Limited FInES</v>
      </c>
      <c r="M46" s="426">
        <f>IFERROR(INDEX('E-Banker master'!$H$2:$H$186,MATCH($J46,'E-Banker master'!$A$2:$A$186,0)),"")</f>
        <v>44803</v>
      </c>
      <c r="N46" s="427">
        <f>IFERROR(INDEX('E-Banker master'!$I$2:$I$186,MATCH($J46,'E-Banker master'!$A$2:$A$186,0)),"")</f>
        <v>103225546</v>
      </c>
      <c r="O46" s="427">
        <f>IFERROR(INDEX('E-Banker master'!$N$2:$N$186,MATCH($J46,'E-Banker master'!$A$2:$A$186,0)),"")</f>
        <v>0</v>
      </c>
      <c r="P46" s="427">
        <f>IFERROR(INDEX('E-Banker master'!$P$2:$P$186,MATCH($J46,'E-Banker master'!$A$2:$A$186,0)),"")</f>
        <v>0</v>
      </c>
      <c r="Q46" s="426">
        <f>IFERROR(INDEX('E-Banker master'!$Q$2:$Q$186,MATCH($J46,'E-Banker master'!$A$2:$A$186,0)),"")</f>
        <v>44803</v>
      </c>
      <c r="R46" t="str">
        <f>IFERROR(INDEX('E-Banker master'!$E$2:$E$186,MATCH($J46,'E-Banker master'!$A$2:$A$186,0)),"")</f>
        <v>C</v>
      </c>
      <c r="S46" t="e">
        <f t="shared" si="4"/>
        <v>#DIV/0!</v>
      </c>
      <c r="T46" t="str">
        <f t="shared" si="5"/>
        <v>No balance</v>
      </c>
      <c r="U46" t="str">
        <f t="shared" si="6"/>
        <v>Yes</v>
      </c>
      <c r="V46">
        <f t="shared" si="7"/>
        <v>0</v>
      </c>
      <c r="W46" t="s">
        <v>65</v>
      </c>
      <c r="X46" s="428"/>
      <c r="Y46" s="428"/>
      <c r="Z46" s="428"/>
    </row>
    <row r="47" spans="1:26" x14ac:dyDescent="0.35">
      <c r="A47">
        <v>50</v>
      </c>
      <c r="B47">
        <f>'Loan Book'!D50</f>
        <v>46</v>
      </c>
      <c r="C47" t="str">
        <f>'Loan Book'!E50</f>
        <v>Walusiya Investment</v>
      </c>
      <c r="D47" t="str">
        <f>'Loan Book'!F50</f>
        <v>Debt</v>
      </c>
      <c r="E47" s="426">
        <f>'Loan Book'!G50</f>
        <v>44844</v>
      </c>
      <c r="F47" s="427">
        <f>'Loan Book'!L50</f>
        <v>10000000</v>
      </c>
      <c r="G47" s="427">
        <f>'Loan Book'!M50</f>
        <v>10000000</v>
      </c>
      <c r="H47" s="427">
        <f>'Loan Book'!O50</f>
        <v>10000000</v>
      </c>
      <c r="I47" s="427">
        <f>'Loan Book'!R50</f>
        <v>9144189.5721939784</v>
      </c>
      <c r="J47" t="s">
        <v>111</v>
      </c>
      <c r="K47" t="s">
        <v>64</v>
      </c>
      <c r="L47" t="str">
        <f>IFERROR(INDEX('E-Banker master'!$B$2:$B$186,MATCH($J47,'E-Banker master'!$A$2:$A$186,0)),"")</f>
        <v>Walusiya Investment</v>
      </c>
      <c r="M47" s="426">
        <f>IFERROR(INDEX('E-Banker master'!$H$2:$H$186,MATCH($J47,'E-Banker master'!$A$2:$A$186,0)),"")</f>
        <v>44841</v>
      </c>
      <c r="N47" s="427">
        <f>IFERROR(INDEX('E-Banker master'!$I$2:$I$186,MATCH($J47,'E-Banker master'!$A$2:$A$186,0)),"")</f>
        <v>10000000</v>
      </c>
      <c r="O47" s="427">
        <f>IFERROR(INDEX('E-Banker master'!$N$2:$N$186,MATCH($J47,'E-Banker master'!$A$2:$A$186,0)),"")</f>
        <v>10000000</v>
      </c>
      <c r="P47" s="427">
        <f>IFERROR(INDEX('E-Banker master'!$P$2:$P$186,MATCH($J47,'E-Banker master'!$A$2:$A$186,0)),"")</f>
        <v>9371307</v>
      </c>
      <c r="Q47" s="426">
        <f>IFERROR(INDEX('E-Banker master'!$Q$2:$Q$186,MATCH($J47,'E-Banker master'!$A$2:$A$186,0)),"")</f>
        <v>44844</v>
      </c>
      <c r="R47" t="str">
        <f>IFERROR(INDEX('E-Banker master'!$E$2:$E$186,MATCH($J47,'E-Banker master'!$A$2:$A$186,0)),"")</f>
        <v>H</v>
      </c>
      <c r="S47" t="str">
        <f t="shared" si="4"/>
        <v>Yes</v>
      </c>
      <c r="T47" t="str">
        <f t="shared" si="5"/>
        <v>Within 5%</v>
      </c>
      <c r="U47" t="str">
        <f t="shared" si="6"/>
        <v>Yes</v>
      </c>
      <c r="V47">
        <f t="shared" si="7"/>
        <v>0</v>
      </c>
      <c r="W47" t="s">
        <v>65</v>
      </c>
      <c r="X47" s="428"/>
      <c r="Y47" s="428"/>
      <c r="Z47" s="428"/>
    </row>
    <row r="48" spans="1:26" x14ac:dyDescent="0.35">
      <c r="A48">
        <v>51</v>
      </c>
      <c r="B48">
        <f>'Loan Book'!D51</f>
        <v>47</v>
      </c>
      <c r="C48" t="str">
        <f>'Loan Book'!E51</f>
        <v>G&amp;T General Dealers</v>
      </c>
      <c r="D48" t="str">
        <f>'Loan Book'!F51</f>
        <v>Debt</v>
      </c>
      <c r="E48" s="426">
        <f>'Loan Book'!G51</f>
        <v>44844</v>
      </c>
      <c r="F48" s="427">
        <f>'Loan Book'!L51</f>
        <v>12000000</v>
      </c>
      <c r="G48" s="427">
        <f>'Loan Book'!M51</f>
        <v>12000000</v>
      </c>
      <c r="H48" s="427">
        <f>'Loan Book'!O51</f>
        <v>12000000</v>
      </c>
      <c r="I48" s="427">
        <f>'Loan Book'!R51</f>
        <v>7041027.4866327737</v>
      </c>
      <c r="J48" t="s">
        <v>112</v>
      </c>
      <c r="K48" t="s">
        <v>64</v>
      </c>
      <c r="L48" t="str">
        <f>IFERROR(INDEX('E-Banker master'!$B$2:$B$186,MATCH($J48,'E-Banker master'!$A$2:$A$186,0)),"")</f>
        <v>G&amp;T General Dealers</v>
      </c>
      <c r="M48" s="426">
        <f>IFERROR(INDEX('E-Banker master'!$H$2:$H$186,MATCH($J48,'E-Banker master'!$A$2:$A$186,0)),"")</f>
        <v>44713</v>
      </c>
      <c r="N48" s="427">
        <f>IFERROR(INDEX('E-Banker master'!$I$2:$I$186,MATCH($J48,'E-Banker master'!$A$2:$A$186,0)),"")</f>
        <v>12000000</v>
      </c>
      <c r="O48" s="427">
        <f>IFERROR(INDEX('E-Banker master'!$N$2:$N$186,MATCH($J48,'E-Banker master'!$A$2:$A$186,0)),"")</f>
        <v>12000000</v>
      </c>
      <c r="P48" s="427">
        <f>IFERROR(INDEX('E-Banker master'!$P$2:$P$186,MATCH($J48,'E-Banker master'!$A$2:$A$186,0)),"")</f>
        <v>7207695.9500000002</v>
      </c>
      <c r="Q48" s="426">
        <f>IFERROR(INDEX('E-Banker master'!$Q$2:$Q$186,MATCH($J48,'E-Banker master'!$A$2:$A$186,0)),"")</f>
        <v>44844</v>
      </c>
      <c r="R48" t="str">
        <f>IFERROR(INDEX('E-Banker master'!$E$2:$E$186,MATCH($J48,'E-Banker master'!$A$2:$A$186,0)),"")</f>
        <v>H</v>
      </c>
      <c r="S48" t="str">
        <f t="shared" si="4"/>
        <v>Yes</v>
      </c>
      <c r="T48" t="str">
        <f t="shared" si="5"/>
        <v>Within 5%</v>
      </c>
      <c r="U48" t="str">
        <f t="shared" si="6"/>
        <v>Yes</v>
      </c>
      <c r="V48">
        <f t="shared" si="7"/>
        <v>0</v>
      </c>
      <c r="W48" t="s">
        <v>65</v>
      </c>
      <c r="X48" s="428"/>
      <c r="Y48" s="428"/>
      <c r="Z48" s="428"/>
    </row>
    <row r="49" spans="1:26" x14ac:dyDescent="0.35">
      <c r="A49">
        <v>52</v>
      </c>
      <c r="B49">
        <f>'Loan Book'!D52</f>
        <v>48</v>
      </c>
      <c r="C49" t="str">
        <f>'Loan Book'!E52</f>
        <v>Rose Harris Investment</v>
      </c>
      <c r="D49" t="str">
        <f>'Loan Book'!F52</f>
        <v>Debt</v>
      </c>
      <c r="E49" s="426">
        <f>'Loan Book'!G52</f>
        <v>44852</v>
      </c>
      <c r="F49" s="427">
        <f>'Loan Book'!L52</f>
        <v>24000000</v>
      </c>
      <c r="G49" s="427">
        <f>'Loan Book'!M52</f>
        <v>24000000</v>
      </c>
      <c r="H49" s="427">
        <f>'Loan Book'!O52</f>
        <v>24000000</v>
      </c>
      <c r="I49" s="427">
        <f>'Loan Book'!R52</f>
        <v>0</v>
      </c>
      <c r="J49" t="s">
        <v>113</v>
      </c>
      <c r="K49" t="s">
        <v>64</v>
      </c>
      <c r="L49" t="str">
        <f>IFERROR(INDEX('E-Banker master'!$B$2:$B$186,MATCH($J49,'E-Banker master'!$A$2:$A$186,0)),"")</f>
        <v>Rose Harris Investment</v>
      </c>
      <c r="M49" s="426">
        <f>IFERROR(INDEX('E-Banker master'!$H$2:$H$186,MATCH($J49,'E-Banker master'!$A$2:$A$186,0)),"")</f>
        <v>44847</v>
      </c>
      <c r="N49" s="427">
        <f>IFERROR(INDEX('E-Banker master'!$I$2:$I$186,MATCH($J49,'E-Banker master'!$A$2:$A$186,0)),"")</f>
        <v>24000000</v>
      </c>
      <c r="O49" s="427">
        <f>IFERROR(INDEX('E-Banker master'!$N$2:$N$186,MATCH($J49,'E-Banker master'!$A$2:$A$186,0)),"")</f>
        <v>0</v>
      </c>
      <c r="P49" s="427">
        <f>IFERROR(INDEX('E-Banker master'!$P$2:$P$186,MATCH($J49,'E-Banker master'!$A$2:$A$186,0)),"")</f>
        <v>0</v>
      </c>
      <c r="Q49" s="426">
        <f>IFERROR(INDEX('E-Banker master'!$Q$2:$Q$186,MATCH($J49,'E-Banker master'!$A$2:$A$186,0)),"")</f>
        <v>44852</v>
      </c>
      <c r="R49" t="str">
        <f>IFERROR(INDEX('E-Banker master'!$E$2:$E$186,MATCH($J49,'E-Banker master'!$A$2:$A$186,0)),"")</f>
        <v>C</v>
      </c>
      <c r="S49" t="e">
        <f t="shared" si="4"/>
        <v>#DIV/0!</v>
      </c>
      <c r="T49" t="str">
        <f t="shared" si="5"/>
        <v>No balance</v>
      </c>
      <c r="U49" t="str">
        <f t="shared" si="6"/>
        <v>Yes</v>
      </c>
      <c r="V49">
        <f t="shared" si="7"/>
        <v>0</v>
      </c>
      <c r="W49" t="s">
        <v>65</v>
      </c>
      <c r="X49" s="428"/>
      <c r="Y49" s="428"/>
      <c r="Z49" s="428"/>
    </row>
    <row r="50" spans="1:26" x14ac:dyDescent="0.35">
      <c r="A50">
        <v>53</v>
      </c>
      <c r="B50">
        <f>'Loan Book'!D53</f>
        <v>49</v>
      </c>
      <c r="C50" t="str">
        <f>'Loan Book'!E53</f>
        <v>Kaning'a General Dealer</v>
      </c>
      <c r="D50" t="str">
        <f>'Loan Book'!F53</f>
        <v>Debt</v>
      </c>
      <c r="E50" s="426">
        <f>'Loan Book'!G53</f>
        <v>44861</v>
      </c>
      <c r="F50" s="427">
        <f>'Loan Book'!L53</f>
        <v>24000000</v>
      </c>
      <c r="G50" s="427">
        <f>'Loan Book'!M53</f>
        <v>24000000</v>
      </c>
      <c r="H50" s="427">
        <f>'Loan Book'!O53</f>
        <v>24000000</v>
      </c>
      <c r="I50" s="427">
        <f>'Loan Book'!R53</f>
        <v>0</v>
      </c>
      <c r="J50" t="s">
        <v>114</v>
      </c>
      <c r="K50" t="s">
        <v>64</v>
      </c>
      <c r="L50" t="str">
        <f>IFERROR(INDEX('E-Banker master'!$B$2:$B$186,MATCH($J50,'E-Banker master'!$A$2:$A$186,0)),"")</f>
        <v>KANING'A GENERAL DEALER</v>
      </c>
      <c r="M50" s="426">
        <f>IFERROR(INDEX('E-Banker master'!$H$2:$H$186,MATCH($J50,'E-Banker master'!$A$2:$A$186,0)),"")</f>
        <v>44860</v>
      </c>
      <c r="N50" s="427">
        <f>IFERROR(INDEX('E-Banker master'!$I$2:$I$186,MATCH($J50,'E-Banker master'!$A$2:$A$186,0)),"")</f>
        <v>24000000</v>
      </c>
      <c r="O50" s="427">
        <f>IFERROR(INDEX('E-Banker master'!$N$2:$N$186,MATCH($J50,'E-Banker master'!$A$2:$A$186,0)),"")</f>
        <v>24000000</v>
      </c>
      <c r="P50" s="427">
        <f>IFERROR(INDEX('E-Banker master'!$P$2:$P$186,MATCH($J50,'E-Banker master'!$A$2:$A$186,0)),"")</f>
        <v>1685.92</v>
      </c>
      <c r="Q50" s="426">
        <f>IFERROR(INDEX('E-Banker master'!$Q$2:$Q$186,MATCH($J50,'E-Banker master'!$A$2:$A$186,0)),"")</f>
        <v>44861</v>
      </c>
      <c r="R50" t="str">
        <f>IFERROR(INDEX('E-Banker master'!$E$2:$E$186,MATCH($J50,'E-Banker master'!$A$2:$A$186,0)),"")</f>
        <v>H</v>
      </c>
      <c r="S50" t="str">
        <f t="shared" si="4"/>
        <v>Yes</v>
      </c>
      <c r="T50" t="str">
        <f t="shared" si="5"/>
        <v>No</v>
      </c>
      <c r="U50" t="str">
        <f t="shared" si="6"/>
        <v>Yes</v>
      </c>
      <c r="V50">
        <f t="shared" si="7"/>
        <v>0</v>
      </c>
      <c r="W50" t="s">
        <v>65</v>
      </c>
      <c r="X50" s="428"/>
      <c r="Y50" s="428"/>
      <c r="Z50" s="428"/>
    </row>
    <row r="51" spans="1:26" x14ac:dyDescent="0.35">
      <c r="A51">
        <v>54</v>
      </c>
      <c r="B51">
        <f>'Loan Book'!D54</f>
        <v>50</v>
      </c>
      <c r="C51" t="str">
        <f>'Loan Book'!E54</f>
        <v>Uchi Conservation Limited</v>
      </c>
      <c r="D51" t="str">
        <f>'Loan Book'!F54</f>
        <v>Debt</v>
      </c>
      <c r="E51" s="426">
        <f>'Loan Book'!G54</f>
        <v>44867</v>
      </c>
      <c r="F51" s="427">
        <f>'Loan Book'!L54</f>
        <v>10000000</v>
      </c>
      <c r="G51" s="427">
        <f>'Loan Book'!M54</f>
        <v>10000000</v>
      </c>
      <c r="H51" s="427">
        <f>'Loan Book'!O54</f>
        <v>10000000</v>
      </c>
      <c r="I51" s="427">
        <f>'Loan Book'!R54</f>
        <v>6698763.1565395948</v>
      </c>
      <c r="J51" t="s">
        <v>115</v>
      </c>
      <c r="K51" t="s">
        <v>64</v>
      </c>
      <c r="L51" t="str">
        <f>IFERROR(INDEX('E-Banker master'!$B$2:$B$186,MATCH($J51,'E-Banker master'!$A$2:$A$186,0)),"")</f>
        <v>Uchi Conservation Limited</v>
      </c>
      <c r="M51" s="426">
        <f>IFERROR(INDEX('E-Banker master'!$H$2:$H$186,MATCH($J51,'E-Banker master'!$A$2:$A$186,0)),"")</f>
        <v>44866</v>
      </c>
      <c r="N51" s="427">
        <f>IFERROR(INDEX('E-Banker master'!$I$2:$I$186,MATCH($J51,'E-Banker master'!$A$2:$A$186,0)),"")</f>
        <v>10000000</v>
      </c>
      <c r="O51" s="427">
        <f>IFERROR(INDEX('E-Banker master'!$N$2:$N$186,MATCH($J51,'E-Banker master'!$A$2:$A$186,0)),"")</f>
        <v>10000000</v>
      </c>
      <c r="P51" s="427">
        <f>IFERROR(INDEX('E-Banker master'!$P$2:$P$186,MATCH($J51,'E-Banker master'!$A$2:$A$186,0)),"")</f>
        <v>6882460.2000000002</v>
      </c>
      <c r="Q51" s="426">
        <f>IFERROR(INDEX('E-Banker master'!$Q$2:$Q$186,MATCH($J51,'E-Banker master'!$A$2:$A$186,0)),"")</f>
        <v>44867</v>
      </c>
      <c r="R51" t="str">
        <f>IFERROR(INDEX('E-Banker master'!$E$2:$E$186,MATCH($J51,'E-Banker master'!$A$2:$A$186,0)),"")</f>
        <v>D</v>
      </c>
      <c r="S51" t="str">
        <f t="shared" si="4"/>
        <v>Yes</v>
      </c>
      <c r="T51" t="str">
        <f t="shared" si="5"/>
        <v>Within 5%</v>
      </c>
      <c r="U51" t="str">
        <f t="shared" si="6"/>
        <v>Yes</v>
      </c>
      <c r="V51">
        <f t="shared" si="7"/>
        <v>0</v>
      </c>
      <c r="W51" t="s">
        <v>65</v>
      </c>
      <c r="X51" s="428"/>
      <c r="Y51" s="428"/>
      <c r="Z51" s="428"/>
    </row>
    <row r="52" spans="1:26" x14ac:dyDescent="0.35">
      <c r="A52">
        <v>55</v>
      </c>
      <c r="B52">
        <f>'Loan Book'!D55</f>
        <v>51</v>
      </c>
      <c r="C52" t="str">
        <f>'Loan Book'!E55</f>
        <v>Greendom Farming</v>
      </c>
      <c r="D52" t="str">
        <f>'Loan Book'!F55</f>
        <v>Debt</v>
      </c>
      <c r="E52" s="426">
        <f>'Loan Book'!G55</f>
        <v>44874</v>
      </c>
      <c r="F52" s="427">
        <f>'Loan Book'!L55</f>
        <v>10000000</v>
      </c>
      <c r="G52" s="427">
        <f>'Loan Book'!M55</f>
        <v>10000000</v>
      </c>
      <c r="H52" s="427">
        <f>'Loan Book'!O55</f>
        <v>10000000</v>
      </c>
      <c r="I52" s="427">
        <f>'Loan Book'!R55</f>
        <v>1069474.8395718969</v>
      </c>
      <c r="J52" t="s">
        <v>116</v>
      </c>
      <c r="K52" t="s">
        <v>64</v>
      </c>
      <c r="L52" t="str">
        <f>IFERROR(INDEX('E-Banker master'!$B$2:$B$186,MATCH($J52,'E-Banker master'!$A$2:$A$186,0)),"")</f>
        <v>Greendom Farming</v>
      </c>
      <c r="M52" s="426">
        <f>IFERROR(INDEX('E-Banker master'!$H$2:$H$186,MATCH($J52,'E-Banker master'!$A$2:$A$186,0)),"")</f>
        <v>44866</v>
      </c>
      <c r="N52" s="427">
        <f>IFERROR(INDEX('E-Banker master'!$I$2:$I$186,MATCH($J52,'E-Banker master'!$A$2:$A$186,0)),"")</f>
        <v>10000000</v>
      </c>
      <c r="O52" s="427">
        <f>IFERROR(INDEX('E-Banker master'!$N$2:$N$186,MATCH($J52,'E-Banker master'!$A$2:$A$186,0)),"")</f>
        <v>10000000</v>
      </c>
      <c r="P52" s="427">
        <f>IFERROR(INDEX('E-Banker master'!$P$2:$P$186,MATCH($J52,'E-Banker master'!$A$2:$A$186,0)),"")</f>
        <v>1072059.3799999999</v>
      </c>
      <c r="Q52" s="426">
        <f>IFERROR(INDEX('E-Banker master'!$Q$2:$Q$186,MATCH($J52,'E-Banker master'!$A$2:$A$186,0)),"")</f>
        <v>44874</v>
      </c>
      <c r="R52" t="str">
        <f>IFERROR(INDEX('E-Banker master'!$E$2:$E$186,MATCH($J52,'E-Banker master'!$A$2:$A$186,0)),"")</f>
        <v>D</v>
      </c>
      <c r="S52" t="str">
        <f t="shared" si="4"/>
        <v>Yes</v>
      </c>
      <c r="T52" t="str">
        <f t="shared" si="5"/>
        <v>Within 2%</v>
      </c>
      <c r="U52" t="str">
        <f t="shared" si="6"/>
        <v>Yes</v>
      </c>
      <c r="V52">
        <f t="shared" si="7"/>
        <v>0</v>
      </c>
      <c r="W52" t="s">
        <v>65</v>
      </c>
      <c r="X52" s="428"/>
      <c r="Y52" s="428"/>
      <c r="Z52" s="428"/>
    </row>
    <row r="53" spans="1:26" x14ac:dyDescent="0.35">
      <c r="A53">
        <v>56</v>
      </c>
      <c r="B53">
        <f>'Loan Book'!D56</f>
        <v>52</v>
      </c>
      <c r="C53" t="str">
        <f>'Loan Book'!E56</f>
        <v>JAT Investments</v>
      </c>
      <c r="D53" t="str">
        <f>'Loan Book'!F56</f>
        <v>Debt</v>
      </c>
      <c r="E53" s="426">
        <f>'Loan Book'!G56</f>
        <v>44875</v>
      </c>
      <c r="F53" s="427">
        <f>'Loan Book'!L56</f>
        <v>24000000</v>
      </c>
      <c r="G53" s="427">
        <f>'Loan Book'!M56</f>
        <v>24000000</v>
      </c>
      <c r="H53" s="427">
        <f>'Loan Book'!O56</f>
        <v>24000000</v>
      </c>
      <c r="I53" s="427">
        <f>'Loan Book'!R56</f>
        <v>0</v>
      </c>
      <c r="J53" t="s">
        <v>117</v>
      </c>
      <c r="K53" t="s">
        <v>64</v>
      </c>
      <c r="L53" t="str">
        <f>IFERROR(INDEX('E-Banker master'!$B$2:$B$186,MATCH($J53,'E-Banker master'!$A$2:$A$186,0)),"")</f>
        <v>JAT Investments</v>
      </c>
      <c r="M53" s="426">
        <f>IFERROR(INDEX('E-Banker master'!$H$2:$H$186,MATCH($J53,'E-Banker master'!$A$2:$A$186,0)),"")</f>
        <v>44873</v>
      </c>
      <c r="N53" s="427">
        <f>IFERROR(INDEX('E-Banker master'!$I$2:$I$186,MATCH($J53,'E-Banker master'!$A$2:$A$186,0)),"")</f>
        <v>24000000</v>
      </c>
      <c r="O53" s="427">
        <f>IFERROR(INDEX('E-Banker master'!$N$2:$N$186,MATCH($J53,'E-Banker master'!$A$2:$A$186,0)),"")</f>
        <v>0</v>
      </c>
      <c r="P53" s="427">
        <f>IFERROR(INDEX('E-Banker master'!$P$2:$P$186,MATCH($J53,'E-Banker master'!$A$2:$A$186,0)),"")</f>
        <v>0</v>
      </c>
      <c r="Q53" s="426">
        <f>IFERROR(INDEX('E-Banker master'!$Q$2:$Q$186,MATCH($J53,'E-Banker master'!$A$2:$A$186,0)),"")</f>
        <v>44875</v>
      </c>
      <c r="R53" t="str">
        <f>IFERROR(INDEX('E-Banker master'!$E$2:$E$186,MATCH($J53,'E-Banker master'!$A$2:$A$186,0)),"")</f>
        <v>C</v>
      </c>
      <c r="S53" t="e">
        <f t="shared" si="4"/>
        <v>#DIV/0!</v>
      </c>
      <c r="T53" t="str">
        <f t="shared" si="5"/>
        <v>No balance</v>
      </c>
      <c r="U53" t="str">
        <f t="shared" si="6"/>
        <v>Yes</v>
      </c>
      <c r="V53">
        <f t="shared" si="7"/>
        <v>0</v>
      </c>
      <c r="W53" t="s">
        <v>65</v>
      </c>
      <c r="X53" s="428"/>
      <c r="Y53" s="428"/>
      <c r="Z53" s="428"/>
    </row>
    <row r="54" spans="1:26" x14ac:dyDescent="0.35">
      <c r="A54">
        <v>57</v>
      </c>
      <c r="B54">
        <f>'Loan Book'!D57</f>
        <v>53</v>
      </c>
      <c r="C54" t="str">
        <f>'Loan Book'!E57</f>
        <v>Kambewu Organic Fertilizer Investments</v>
      </c>
      <c r="D54" t="str">
        <f>'Loan Book'!F57</f>
        <v>Debt</v>
      </c>
      <c r="E54" s="426">
        <f>'Loan Book'!G57</f>
        <v>44883</v>
      </c>
      <c r="F54" s="427">
        <f>'Loan Book'!L57</f>
        <v>103166500</v>
      </c>
      <c r="G54" s="427">
        <f>'Loan Book'!M57</f>
        <v>103166500</v>
      </c>
      <c r="H54" s="427">
        <f>'Loan Book'!O57</f>
        <v>103166500</v>
      </c>
      <c r="I54" s="427">
        <f>'Loan Book'!R57</f>
        <v>168305462.69794104</v>
      </c>
      <c r="J54" t="s">
        <v>118</v>
      </c>
      <c r="K54" t="s">
        <v>64</v>
      </c>
      <c r="L54" t="str">
        <f>IFERROR(INDEX('E-Banker master'!$B$2:$B$186,MATCH($J54,'E-Banker master'!$A$2:$A$186,0)),"")</f>
        <v>Kambewu Organic Fertilizer Investments</v>
      </c>
      <c r="M54" s="426">
        <f>IFERROR(INDEX('E-Banker master'!$H$2:$H$186,MATCH($J54,'E-Banker master'!$A$2:$A$186,0)),"")</f>
        <v>44789</v>
      </c>
      <c r="N54" s="427">
        <f>IFERROR(INDEX('E-Banker master'!$I$2:$I$186,MATCH($J54,'E-Banker master'!$A$2:$A$186,0)),"")</f>
        <v>103166500</v>
      </c>
      <c r="O54" s="427">
        <f>IFERROR(INDEX('E-Banker master'!$N$2:$N$186,MATCH($J54,'E-Banker master'!$A$2:$A$186,0)),"")</f>
        <v>103166500</v>
      </c>
      <c r="P54" s="427">
        <f>IFERROR(INDEX('E-Banker master'!$P$2:$P$186,MATCH($J54,'E-Banker master'!$A$2:$A$186,0)),"")</f>
        <v>172069095.46000001</v>
      </c>
      <c r="Q54" s="426">
        <f>IFERROR(INDEX('E-Banker master'!$Q$2:$Q$186,MATCH($J54,'E-Banker master'!$A$2:$A$186,0)),"")</f>
        <v>44789</v>
      </c>
      <c r="R54" t="str">
        <f>IFERROR(INDEX('E-Banker master'!$E$2:$E$186,MATCH($J54,'E-Banker master'!$A$2:$A$186,0)),"")</f>
        <v>A</v>
      </c>
      <c r="S54" t="str">
        <f t="shared" si="4"/>
        <v>Yes</v>
      </c>
      <c r="T54" t="str">
        <f t="shared" si="5"/>
        <v>Within 5%</v>
      </c>
      <c r="U54" t="str">
        <f t="shared" si="6"/>
        <v>Yes</v>
      </c>
      <c r="V54">
        <f t="shared" si="7"/>
        <v>94</v>
      </c>
      <c r="W54" t="s">
        <v>65</v>
      </c>
      <c r="X54" s="428"/>
      <c r="Y54" s="428"/>
      <c r="Z54" s="428"/>
    </row>
    <row r="55" spans="1:26" x14ac:dyDescent="0.35">
      <c r="A55">
        <v>58</v>
      </c>
      <c r="B55">
        <f>'Loan Book'!D58</f>
        <v>54</v>
      </c>
      <c r="C55" t="str">
        <f>'Loan Book'!E58</f>
        <v>Kwithu Producers and Marketing Cooperativ</v>
      </c>
      <c r="D55" t="str">
        <f>'Loan Book'!F58</f>
        <v>Debt</v>
      </c>
      <c r="E55" s="426">
        <f>'Loan Book'!G58</f>
        <v>44950</v>
      </c>
      <c r="F55" s="427">
        <f>'Loan Book'!L58</f>
        <v>90900000</v>
      </c>
      <c r="G55" s="427">
        <f>'Loan Book'!M58</f>
        <v>90900000</v>
      </c>
      <c r="H55" s="427">
        <f>'Loan Book'!O58</f>
        <v>90900000</v>
      </c>
      <c r="I55" s="427">
        <f>'Loan Book'!R58</f>
        <v>44412207.625653498</v>
      </c>
      <c r="J55" t="s">
        <v>119</v>
      </c>
      <c r="K55" t="s">
        <v>64</v>
      </c>
      <c r="L55" t="str">
        <f>IFERROR(INDEX('E-Banker master'!$B$2:$B$186,MATCH($J55,'E-Banker master'!$A$2:$A$186,0)),"")</f>
        <v>Kwithu Producers and Marketing Co 2</v>
      </c>
      <c r="M55" s="426">
        <f>IFERROR(INDEX('E-Banker master'!$H$2:$H$186,MATCH($J55,'E-Banker master'!$A$2:$A$186,0)),"")</f>
        <v>44949</v>
      </c>
      <c r="N55" s="427">
        <f>IFERROR(INDEX('E-Banker master'!$I$2:$I$186,MATCH($J55,'E-Banker master'!$A$2:$A$186,0)),"")</f>
        <v>90900000</v>
      </c>
      <c r="O55" s="427">
        <f>IFERROR(INDEX('E-Banker master'!$N$2:$N$186,MATCH($J55,'E-Banker master'!$A$2:$A$186,0)),"")</f>
        <v>90900000</v>
      </c>
      <c r="P55" s="427">
        <f>IFERROR(INDEX('E-Banker master'!$P$2:$P$186,MATCH($J55,'E-Banker master'!$A$2:$A$186,0)),"")</f>
        <v>44388654.57</v>
      </c>
      <c r="Q55" s="426">
        <f>IFERROR(INDEX('E-Banker master'!$Q$2:$Q$186,MATCH($J55,'E-Banker master'!$A$2:$A$186,0)),"")</f>
        <v>44950</v>
      </c>
      <c r="R55" t="str">
        <f>IFERROR(INDEX('E-Banker master'!$E$2:$E$186,MATCH($J55,'E-Banker master'!$A$2:$A$186,0)),"")</f>
        <v>F</v>
      </c>
      <c r="S55" t="str">
        <f t="shared" si="4"/>
        <v>Yes</v>
      </c>
      <c r="T55" t="str">
        <f t="shared" si="5"/>
        <v>Within 2%</v>
      </c>
      <c r="U55" t="str">
        <f t="shared" si="6"/>
        <v>Yes</v>
      </c>
      <c r="V55">
        <f t="shared" si="7"/>
        <v>0</v>
      </c>
      <c r="W55" t="s">
        <v>65</v>
      </c>
      <c r="X55" s="428"/>
      <c r="Y55" s="428"/>
      <c r="Z55" s="428"/>
    </row>
    <row r="56" spans="1:26" x14ac:dyDescent="0.35">
      <c r="A56">
        <v>59</v>
      </c>
      <c r="B56">
        <f>'Loan Book'!D59</f>
        <v>55</v>
      </c>
      <c r="C56" t="str">
        <f>'Loan Book'!E59</f>
        <v>VNC Bricks &amp; Construction Group Ltd</v>
      </c>
      <c r="D56" t="str">
        <f>'Loan Book'!F59</f>
        <v>Debt</v>
      </c>
      <c r="E56" s="426">
        <f>'Loan Book'!G59</f>
        <v>44952</v>
      </c>
      <c r="F56" s="427">
        <f>'Loan Book'!L59</f>
        <v>200000000</v>
      </c>
      <c r="G56" s="427">
        <f>'Loan Book'!M59</f>
        <v>200000000</v>
      </c>
      <c r="H56" s="427">
        <f>'Loan Book'!O59</f>
        <v>200000000</v>
      </c>
      <c r="I56" s="427">
        <f>'Loan Book'!R59</f>
        <v>232568531.06852829</v>
      </c>
      <c r="J56" t="s">
        <v>120</v>
      </c>
      <c r="K56" t="s">
        <v>64</v>
      </c>
      <c r="L56" t="str">
        <f>IFERROR(INDEX('E-Banker master'!$B$2:$B$186,MATCH($J56,'E-Banker master'!$A$2:$A$186,0)),"")</f>
        <v>VNC Bricks &amp; Construction Group Ltd</v>
      </c>
      <c r="M56" s="426">
        <f>IFERROR(INDEX('E-Banker master'!$H$2:$H$186,MATCH($J56,'E-Banker master'!$A$2:$A$186,0)),"")</f>
        <v>44853</v>
      </c>
      <c r="N56" s="427">
        <f>IFERROR(INDEX('E-Banker master'!$I$2:$I$186,MATCH($J56,'E-Banker master'!$A$2:$A$186,0)),"")</f>
        <v>20000000</v>
      </c>
      <c r="O56" s="427">
        <f>IFERROR(INDEX('E-Banker master'!$N$2:$N$186,MATCH($J56,'E-Banker master'!$A$2:$A$186,0)),"")</f>
        <v>200000000</v>
      </c>
      <c r="P56" s="427">
        <f>IFERROR(INDEX('E-Banker master'!$P$2:$P$186,MATCH($J56,'E-Banker master'!$A$2:$A$186,0)),"")</f>
        <v>235751878.34999999</v>
      </c>
      <c r="Q56" s="426">
        <f>IFERROR(INDEX('E-Banker master'!$Q$2:$Q$186,MATCH($J56,'E-Banker master'!$A$2:$A$186,0)),"")</f>
        <v>44853</v>
      </c>
      <c r="R56" t="str">
        <f>IFERROR(INDEX('E-Banker master'!$E$2:$E$186,MATCH($J56,'E-Banker master'!$A$2:$A$186,0)),"")</f>
        <v>D</v>
      </c>
      <c r="S56" t="str">
        <f t="shared" si="4"/>
        <v>Yes</v>
      </c>
      <c r="T56" t="str">
        <f t="shared" si="5"/>
        <v>Within 2%</v>
      </c>
      <c r="U56" t="str">
        <f t="shared" si="6"/>
        <v>No</v>
      </c>
      <c r="V56">
        <f t="shared" si="7"/>
        <v>99</v>
      </c>
      <c r="W56" t="s">
        <v>65</v>
      </c>
      <c r="X56" s="428"/>
      <c r="Y56" s="428"/>
      <c r="Z56" s="428"/>
    </row>
    <row r="57" spans="1:26" x14ac:dyDescent="0.35">
      <c r="A57">
        <v>60</v>
      </c>
      <c r="B57">
        <f>'Loan Book'!D60</f>
        <v>56</v>
      </c>
      <c r="C57" t="str">
        <f>'Loan Book'!E60</f>
        <v>Ruo Textiles Limited</v>
      </c>
      <c r="D57" t="str">
        <f>'Loan Book'!F60</f>
        <v>Debt</v>
      </c>
      <c r="E57" s="426">
        <f>'Loan Book'!G60</f>
        <v>44952</v>
      </c>
      <c r="F57" s="427">
        <f>'Loan Book'!L60</f>
        <v>70000000</v>
      </c>
      <c r="G57" s="427">
        <f>'Loan Book'!M60</f>
        <v>21462708.129999999</v>
      </c>
      <c r="H57" s="427">
        <f>'Loan Book'!O60</f>
        <v>21462708.129999999</v>
      </c>
      <c r="I57" s="427">
        <f>'Loan Book'!R60</f>
        <v>16936969.702390514</v>
      </c>
      <c r="J57" t="s">
        <v>121</v>
      </c>
      <c r="K57" t="s">
        <v>64</v>
      </c>
      <c r="L57" t="str">
        <f>IFERROR(INDEX('E-Banker master'!$B$2:$B$186,MATCH($J57,'E-Banker master'!$A$2:$A$186,0)),"")</f>
        <v>Ruo Textiles Limited</v>
      </c>
      <c r="M57" s="426">
        <f>IFERROR(INDEX('E-Banker master'!$H$2:$H$186,MATCH($J57,'E-Banker master'!$A$2:$A$186,0)),"")</f>
        <v>44950</v>
      </c>
      <c r="N57" s="427">
        <f>IFERROR(INDEX('E-Banker master'!$I$2:$I$186,MATCH($J57,'E-Banker master'!$A$2:$A$186,0)),"")</f>
        <v>70000000</v>
      </c>
      <c r="O57" s="427">
        <f>IFERROR(INDEX('E-Banker master'!$N$2:$N$186,MATCH($J57,'E-Banker master'!$A$2:$A$186,0)),"")</f>
        <v>21462708.129999999</v>
      </c>
      <c r="P57" s="427">
        <f>IFERROR(INDEX('E-Banker master'!$P$2:$P$186,MATCH($J57,'E-Banker master'!$A$2:$A$186,0)),"")</f>
        <v>17003080.02</v>
      </c>
      <c r="Q57" s="426">
        <f>IFERROR(INDEX('E-Banker master'!$Q$2:$Q$186,MATCH($J57,'E-Banker master'!$A$2:$A$186,0)),"")</f>
        <v>44952</v>
      </c>
      <c r="R57" t="str">
        <f>IFERROR(INDEX('E-Banker master'!$E$2:$E$186,MATCH($J57,'E-Banker master'!$A$2:$A$186,0)),"")</f>
        <v>A</v>
      </c>
      <c r="S57" t="str">
        <f t="shared" si="4"/>
        <v>Yes</v>
      </c>
      <c r="T57" t="str">
        <f t="shared" si="5"/>
        <v>Within 2%</v>
      </c>
      <c r="U57" t="str">
        <f t="shared" si="6"/>
        <v>Yes</v>
      </c>
      <c r="V57">
        <f t="shared" si="7"/>
        <v>0</v>
      </c>
      <c r="W57" t="s">
        <v>65</v>
      </c>
      <c r="X57" s="428"/>
      <c r="Y57" s="428"/>
      <c r="Z57" s="428"/>
    </row>
    <row r="58" spans="1:26" x14ac:dyDescent="0.35">
      <c r="A58">
        <v>61</v>
      </c>
      <c r="B58">
        <f>'Loan Book'!D61</f>
        <v>57</v>
      </c>
      <c r="C58" t="str">
        <f>'Loan Book'!E61</f>
        <v>Udon Business</v>
      </c>
      <c r="D58" t="str">
        <f>'Loan Book'!F61</f>
        <v>Debt</v>
      </c>
      <c r="E58" s="426">
        <f>'Loan Book'!G61</f>
        <v>44959</v>
      </c>
      <c r="F58" s="427">
        <f>'Loan Book'!L61</f>
        <v>134253000</v>
      </c>
      <c r="G58" s="427">
        <f>'Loan Book'!M61</f>
        <v>134253000</v>
      </c>
      <c r="H58" s="427">
        <f>'Loan Book'!O61</f>
        <v>134253000</v>
      </c>
      <c r="I58" s="427">
        <f>'Loan Book'!R61</f>
        <v>135811615.27031243</v>
      </c>
      <c r="J58" t="s">
        <v>122</v>
      </c>
      <c r="K58" t="s">
        <v>64</v>
      </c>
      <c r="L58" t="str">
        <f>IFERROR(INDEX('E-Banker master'!$B$2:$B$186,MATCH($J58,'E-Banker master'!$A$2:$A$186,0)),"")</f>
        <v>Udon Business</v>
      </c>
      <c r="M58" s="426">
        <f>IFERROR(INDEX('E-Banker master'!$H$2:$H$186,MATCH($J58,'E-Banker master'!$A$2:$A$186,0)),"")</f>
        <v>44939</v>
      </c>
      <c r="N58" s="427">
        <f>IFERROR(INDEX('E-Banker master'!$I$2:$I$186,MATCH($J58,'E-Banker master'!$A$2:$A$186,0)),"")</f>
        <v>134253000</v>
      </c>
      <c r="O58" s="427">
        <f>IFERROR(INDEX('E-Banker master'!$N$2:$N$186,MATCH($J58,'E-Banker master'!$A$2:$A$186,0)),"")</f>
        <v>134253000</v>
      </c>
      <c r="P58" s="427">
        <f>IFERROR(INDEX('E-Banker master'!$P$2:$P$186,MATCH($J58,'E-Banker master'!$A$2:$A$186,0)),"")</f>
        <v>135843297.22999999</v>
      </c>
      <c r="Q58" s="426">
        <f>IFERROR(INDEX('E-Banker master'!$Q$2:$Q$186,MATCH($J58,'E-Banker master'!$A$2:$A$186,0)),"")</f>
        <v>44959</v>
      </c>
      <c r="R58" t="str">
        <f>IFERROR(INDEX('E-Banker master'!$E$2:$E$186,MATCH($J58,'E-Banker master'!$A$2:$A$186,0)),"")</f>
        <v>A</v>
      </c>
      <c r="S58" t="str">
        <f t="shared" si="4"/>
        <v>Yes</v>
      </c>
      <c r="T58" t="str">
        <f t="shared" si="5"/>
        <v>Within 2%</v>
      </c>
      <c r="U58" t="str">
        <f t="shared" si="6"/>
        <v>Yes</v>
      </c>
      <c r="V58">
        <f t="shared" si="7"/>
        <v>0</v>
      </c>
      <c r="W58" t="s">
        <v>65</v>
      </c>
      <c r="X58" s="428"/>
      <c r="Y58" s="428"/>
      <c r="Z58" s="428"/>
    </row>
    <row r="59" spans="1:26" x14ac:dyDescent="0.35">
      <c r="A59">
        <v>62</v>
      </c>
      <c r="B59">
        <f>'Loan Book'!D62</f>
        <v>58</v>
      </c>
      <c r="C59" t="str">
        <f>'Loan Book'!E62</f>
        <v>Debs Agrodealers</v>
      </c>
      <c r="D59" t="str">
        <f>'Loan Book'!F62</f>
        <v>Debt</v>
      </c>
      <c r="E59" s="426">
        <f>'Loan Book'!G62</f>
        <v>44964</v>
      </c>
      <c r="F59" s="427">
        <f>'Loan Book'!L62</f>
        <v>24000000</v>
      </c>
      <c r="G59" s="427">
        <f>'Loan Book'!M62</f>
        <v>24000000</v>
      </c>
      <c r="H59" s="427">
        <f>'Loan Book'!O62</f>
        <v>24000000</v>
      </c>
      <c r="I59" s="427">
        <f>'Loan Book'!R62</f>
        <v>7633344.680886589</v>
      </c>
      <c r="J59" t="s">
        <v>123</v>
      </c>
      <c r="K59" t="s">
        <v>64</v>
      </c>
      <c r="L59" t="str">
        <f>IFERROR(INDEX('E-Banker master'!$B$2:$B$186,MATCH($J59,'E-Banker master'!$A$2:$A$186,0)),"")</f>
        <v>Debs Agrodealers</v>
      </c>
      <c r="M59" s="426">
        <f>IFERROR(INDEX('E-Banker master'!$H$2:$H$186,MATCH($J59,'E-Banker master'!$A$2:$A$186,0)),"")</f>
        <v>44963</v>
      </c>
      <c r="N59" s="427">
        <f>IFERROR(INDEX('E-Banker master'!$I$2:$I$186,MATCH($J59,'E-Banker master'!$A$2:$A$186,0)),"")</f>
        <v>24000000</v>
      </c>
      <c r="O59" s="427">
        <f>IFERROR(INDEX('E-Banker master'!$N$2:$N$186,MATCH($J59,'E-Banker master'!$A$2:$A$186,0)),"")</f>
        <v>24000000</v>
      </c>
      <c r="P59" s="427">
        <f>IFERROR(INDEX('E-Banker master'!$P$2:$P$186,MATCH($J59,'E-Banker master'!$A$2:$A$186,0)),"")</f>
        <v>7670357.5599999996</v>
      </c>
      <c r="Q59" s="426">
        <f>IFERROR(INDEX('E-Banker master'!$Q$2:$Q$186,MATCH($J59,'E-Banker master'!$A$2:$A$186,0)),"")</f>
        <v>44964</v>
      </c>
      <c r="R59" t="str">
        <f>IFERROR(INDEX('E-Banker master'!$E$2:$E$186,MATCH($J59,'E-Banker master'!$A$2:$A$186,0)),"")</f>
        <v>D</v>
      </c>
      <c r="S59" t="str">
        <f t="shared" si="4"/>
        <v>Yes</v>
      </c>
      <c r="T59" t="str">
        <f t="shared" si="5"/>
        <v>Within 2%</v>
      </c>
      <c r="U59" t="str">
        <f t="shared" si="6"/>
        <v>Yes</v>
      </c>
      <c r="V59">
        <f t="shared" si="7"/>
        <v>0</v>
      </c>
      <c r="W59" t="s">
        <v>65</v>
      </c>
      <c r="X59" s="428"/>
      <c r="Y59" s="428"/>
      <c r="Z59" s="428"/>
    </row>
    <row r="60" spans="1:26" x14ac:dyDescent="0.35">
      <c r="A60">
        <v>63</v>
      </c>
      <c r="B60">
        <f>'Loan Book'!D63</f>
        <v>59</v>
      </c>
      <c r="C60" t="str">
        <f>'Loan Book'!E63</f>
        <v>Tapempha Medical Care Limited</v>
      </c>
      <c r="D60" t="str">
        <f>'Loan Book'!F63</f>
        <v>Debt</v>
      </c>
      <c r="E60" s="426">
        <f>'Loan Book'!G63</f>
        <v>44972</v>
      </c>
      <c r="F60" s="427">
        <f>'Loan Book'!L63</f>
        <v>53391150</v>
      </c>
      <c r="G60" s="427">
        <f>'Loan Book'!M63</f>
        <v>53391150</v>
      </c>
      <c r="H60" s="427">
        <f>'Loan Book'!O63</f>
        <v>53391150</v>
      </c>
      <c r="I60" s="427">
        <f>'Loan Book'!R63</f>
        <v>63425975.291360736</v>
      </c>
      <c r="J60" t="s">
        <v>124</v>
      </c>
      <c r="K60" t="s">
        <v>64</v>
      </c>
      <c r="L60" t="str">
        <f>IFERROR(INDEX('E-Banker master'!$B$2:$B$186,MATCH($J60,'E-Banker master'!$A$2:$A$186,0)),"")</f>
        <v>TAPEMPHA MEDICAL CARE LIMITED</v>
      </c>
      <c r="M60" s="426">
        <f>IFERROR(INDEX('E-Banker master'!$H$2:$H$186,MATCH($J60,'E-Banker master'!$A$2:$A$186,0)),"")</f>
        <v>44970</v>
      </c>
      <c r="N60" s="427">
        <f>IFERROR(INDEX('E-Banker master'!$I$2:$I$186,MATCH($J60,'E-Banker master'!$A$2:$A$186,0)),"")</f>
        <v>53391150</v>
      </c>
      <c r="O60" s="427">
        <f>IFERROR(INDEX('E-Banker master'!$N$2:$N$186,MATCH($J60,'E-Banker master'!$A$2:$A$186,0)),"")</f>
        <v>53391150</v>
      </c>
      <c r="P60" s="427">
        <f>IFERROR(INDEX('E-Banker master'!$P$2:$P$186,MATCH($J60,'E-Banker master'!$A$2:$A$186,0)),"")</f>
        <v>66920142.200000003</v>
      </c>
      <c r="Q60" s="426">
        <f>IFERROR(INDEX('E-Banker master'!$Q$2:$Q$186,MATCH($J60,'E-Banker master'!$A$2:$A$186,0)),"")</f>
        <v>44970</v>
      </c>
      <c r="R60" t="str">
        <f>IFERROR(INDEX('E-Banker master'!$E$2:$E$186,MATCH($J60,'E-Banker master'!$A$2:$A$186,0)),"")</f>
        <v>D</v>
      </c>
      <c r="S60" t="str">
        <f t="shared" si="4"/>
        <v>Yes</v>
      </c>
      <c r="T60" t="str">
        <f t="shared" si="5"/>
        <v>No</v>
      </c>
      <c r="U60" t="str">
        <f t="shared" si="6"/>
        <v>Yes</v>
      </c>
      <c r="V60">
        <f t="shared" si="7"/>
        <v>2</v>
      </c>
      <c r="W60" t="s">
        <v>65</v>
      </c>
      <c r="X60" s="428"/>
      <c r="Y60" s="428"/>
      <c r="Z60" s="428"/>
    </row>
    <row r="61" spans="1:26" x14ac:dyDescent="0.35">
      <c r="A61">
        <v>64</v>
      </c>
      <c r="B61">
        <f>'Loan Book'!D64</f>
        <v>60</v>
      </c>
      <c r="C61" t="str">
        <f>'Loan Book'!E64</f>
        <v>BenCal Technologies Ltd</v>
      </c>
      <c r="D61" t="str">
        <f>'Loan Book'!F64</f>
        <v>Debt</v>
      </c>
      <c r="E61" s="426">
        <f>'Loan Book'!G64</f>
        <v>44977</v>
      </c>
      <c r="F61" s="427">
        <f>'Loan Book'!L64</f>
        <v>153974500</v>
      </c>
      <c r="G61" s="427">
        <f>'Loan Book'!M64</f>
        <v>153974500</v>
      </c>
      <c r="H61" s="427">
        <f>'Loan Book'!O64</f>
        <v>153974500</v>
      </c>
      <c r="I61" s="427">
        <f>'Loan Book'!R64</f>
        <v>38576141.050753027</v>
      </c>
      <c r="J61" t="s">
        <v>125</v>
      </c>
      <c r="K61" t="s">
        <v>64</v>
      </c>
      <c r="L61" t="str">
        <f>IFERROR(INDEX('E-Banker master'!$B$2:$B$186,MATCH($J61,'E-Banker master'!$A$2:$A$186,0)),"")</f>
        <v>BenCal Technologies Ltd</v>
      </c>
      <c r="M61" s="426">
        <f>IFERROR(INDEX('E-Banker master'!$H$2:$H$186,MATCH($J61,'E-Banker master'!$A$2:$A$186,0)),"")</f>
        <v>44977</v>
      </c>
      <c r="N61" s="427">
        <f>IFERROR(INDEX('E-Banker master'!$I$2:$I$186,MATCH($J61,'E-Banker master'!$A$2:$A$186,0)),"")</f>
        <v>153974500</v>
      </c>
      <c r="O61" s="427">
        <f>IFERROR(INDEX('E-Banker master'!$N$2:$N$186,MATCH($J61,'E-Banker master'!$A$2:$A$186,0)),"")</f>
        <v>153974500</v>
      </c>
      <c r="P61" s="427">
        <f>IFERROR(INDEX('E-Banker master'!$P$2:$P$186,MATCH($J61,'E-Banker master'!$A$2:$A$186,0)),"")</f>
        <v>37020527.350000001</v>
      </c>
      <c r="Q61" s="426">
        <f>IFERROR(INDEX('E-Banker master'!$Q$2:$Q$186,MATCH($J61,'E-Banker master'!$A$2:$A$186,0)),"")</f>
        <v>44977</v>
      </c>
      <c r="R61" t="str">
        <f>IFERROR(INDEX('E-Banker master'!$E$2:$E$186,MATCH($J61,'E-Banker master'!$A$2:$A$186,0)),"")</f>
        <v>A</v>
      </c>
      <c r="S61" t="str">
        <f t="shared" si="4"/>
        <v>Yes</v>
      </c>
      <c r="T61" t="str">
        <f t="shared" si="5"/>
        <v>Within 5%</v>
      </c>
      <c r="U61" t="str">
        <f t="shared" si="6"/>
        <v>Yes</v>
      </c>
      <c r="V61">
        <f t="shared" si="7"/>
        <v>0</v>
      </c>
      <c r="W61" t="s">
        <v>65</v>
      </c>
      <c r="X61" s="428"/>
      <c r="Y61" s="428"/>
      <c r="Z61" s="428"/>
    </row>
    <row r="62" spans="1:26" x14ac:dyDescent="0.35">
      <c r="A62">
        <v>65</v>
      </c>
      <c r="B62">
        <f>'Loan Book'!D65</f>
        <v>61</v>
      </c>
      <c r="C62" t="str">
        <f>'Loan Book'!E65</f>
        <v>Chuma Mkandawire TA Chikoma Estates</v>
      </c>
      <c r="D62" t="str">
        <f>'Loan Book'!F65</f>
        <v>Debt</v>
      </c>
      <c r="E62" s="426">
        <f>'Loan Book'!G65</f>
        <v>44985</v>
      </c>
      <c r="F62" s="427">
        <f>'Loan Book'!L65</f>
        <v>20000000</v>
      </c>
      <c r="G62" s="427">
        <f>'Loan Book'!M65</f>
        <v>20000000</v>
      </c>
      <c r="H62" s="427">
        <f>'Loan Book'!O65</f>
        <v>20000000</v>
      </c>
      <c r="I62" s="427">
        <f>'Loan Book'!R65</f>
        <v>-3.8745515048503876E-3</v>
      </c>
      <c r="J62" t="s">
        <v>126</v>
      </c>
      <c r="K62" t="s">
        <v>127</v>
      </c>
      <c r="L62" t="str">
        <f>IFERROR(INDEX('E-Banker master'!$B$2:$B$186,MATCH($J62,'E-Banker master'!$A$2:$A$186,0)),"")</f>
        <v>Chuma Mkandawire TA Chikoma Estates</v>
      </c>
      <c r="M62" s="426">
        <f>IFERROR(INDEX('E-Banker master'!$H$2:$H$186,MATCH($J62,'E-Banker master'!$A$2:$A$186,0)),"")</f>
        <v>45258</v>
      </c>
      <c r="N62" s="427">
        <f>IFERROR(INDEX('E-Banker master'!$I$2:$I$186,MATCH($J62,'E-Banker master'!$A$2:$A$186,0)),"")</f>
        <v>30000000</v>
      </c>
      <c r="O62" s="427">
        <f>IFERROR(INDEX('E-Banker master'!$N$2:$N$186,MATCH($J62,'E-Banker master'!$A$2:$A$186,0)),"")</f>
        <v>0</v>
      </c>
      <c r="P62" s="427">
        <f>IFERROR(INDEX('E-Banker master'!$P$2:$P$186,MATCH($J62,'E-Banker master'!$A$2:$A$186,0)),"")</f>
        <v>0</v>
      </c>
      <c r="Q62" s="426">
        <f>IFERROR(INDEX('E-Banker master'!$Q$2:$Q$186,MATCH($J62,'E-Banker master'!$A$2:$A$186,0)),"")</f>
        <v>45261</v>
      </c>
      <c r="R62" t="str">
        <f>IFERROR(INDEX('E-Banker master'!$E$2:$E$186,MATCH($J62,'E-Banker master'!$A$2:$A$186,0)),"")</f>
        <v>C</v>
      </c>
      <c r="S62" t="e">
        <f t="shared" si="4"/>
        <v>#DIV/0!</v>
      </c>
      <c r="T62" t="str">
        <f t="shared" si="5"/>
        <v>No balance</v>
      </c>
      <c r="U62" t="str">
        <f t="shared" si="6"/>
        <v>No</v>
      </c>
      <c r="V62">
        <f t="shared" si="7"/>
        <v>276</v>
      </c>
      <c r="W62" t="s">
        <v>65</v>
      </c>
      <c r="X62" s="428"/>
      <c r="Y62" s="428"/>
      <c r="Z62" s="428"/>
    </row>
    <row r="63" spans="1:26" x14ac:dyDescent="0.35">
      <c r="A63">
        <v>66</v>
      </c>
      <c r="B63">
        <f>'Loan Book'!D66</f>
        <v>62</v>
      </c>
      <c r="C63" t="str">
        <f>'Loan Book'!E66</f>
        <v>Imani Investments</v>
      </c>
      <c r="D63" t="str">
        <f>'Loan Book'!F66</f>
        <v>Debt</v>
      </c>
      <c r="E63" s="426">
        <f>'Loan Book'!G66</f>
        <v>45005</v>
      </c>
      <c r="F63" s="427">
        <f>'Loan Book'!L66</f>
        <v>24000000</v>
      </c>
      <c r="G63" s="427">
        <f>'Loan Book'!M66</f>
        <v>24000000</v>
      </c>
      <c r="H63" s="427">
        <f>'Loan Book'!O66</f>
        <v>24000000</v>
      </c>
      <c r="I63" s="427">
        <f>'Loan Book'!R66</f>
        <v>7558530.1279433966</v>
      </c>
      <c r="J63" t="s">
        <v>128</v>
      </c>
      <c r="K63" t="s">
        <v>64</v>
      </c>
      <c r="L63" t="str">
        <f>IFERROR(INDEX('E-Banker master'!$B$2:$B$186,MATCH($J63,'E-Banker master'!$A$2:$A$186,0)),"")</f>
        <v>Imani Investments</v>
      </c>
      <c r="M63" s="426">
        <f>IFERROR(INDEX('E-Banker master'!$H$2:$H$186,MATCH($J63,'E-Banker master'!$A$2:$A$186,0)),"")</f>
        <v>45005</v>
      </c>
      <c r="N63" s="427">
        <f>IFERROR(INDEX('E-Banker master'!$I$2:$I$186,MATCH($J63,'E-Banker master'!$A$2:$A$186,0)),"")</f>
        <v>24000000</v>
      </c>
      <c r="O63" s="427">
        <f>IFERROR(INDEX('E-Banker master'!$N$2:$N$186,MATCH($J63,'E-Banker master'!$A$2:$A$186,0)),"")</f>
        <v>24000000</v>
      </c>
      <c r="P63" s="427">
        <f>IFERROR(INDEX('E-Banker master'!$P$2:$P$186,MATCH($J63,'E-Banker master'!$A$2:$A$186,0)),"")</f>
        <v>7602201.0199999996</v>
      </c>
      <c r="Q63" s="426">
        <f>IFERROR(INDEX('E-Banker master'!$Q$2:$Q$186,MATCH($J63,'E-Banker master'!$A$2:$A$186,0)),"")</f>
        <v>45005</v>
      </c>
      <c r="R63" t="str">
        <f>IFERROR(INDEX('E-Banker master'!$E$2:$E$186,MATCH($J63,'E-Banker master'!$A$2:$A$186,0)),"")</f>
        <v>H</v>
      </c>
      <c r="S63" t="str">
        <f t="shared" si="4"/>
        <v>Yes</v>
      </c>
      <c r="T63" t="str">
        <f t="shared" si="5"/>
        <v>Within 2%</v>
      </c>
      <c r="U63" t="str">
        <f t="shared" si="6"/>
        <v>Yes</v>
      </c>
      <c r="V63">
        <f t="shared" si="7"/>
        <v>0</v>
      </c>
      <c r="W63" t="s">
        <v>65</v>
      </c>
      <c r="X63" s="428"/>
      <c r="Y63" s="428"/>
      <c r="Z63" s="428"/>
    </row>
    <row r="64" spans="1:26" x14ac:dyDescent="0.35">
      <c r="A64">
        <v>67</v>
      </c>
      <c r="B64">
        <f>'Loan Book'!D67</f>
        <v>63</v>
      </c>
      <c r="C64" t="str">
        <f>'Loan Book'!E67</f>
        <v>Happie Foods Limited</v>
      </c>
      <c r="D64" t="str">
        <f>'Loan Book'!F67</f>
        <v>Debt</v>
      </c>
      <c r="E64" s="426">
        <f>'Loan Book'!G67</f>
        <v>45009</v>
      </c>
      <c r="F64" s="427">
        <f>'Loan Book'!L67</f>
        <v>257860750</v>
      </c>
      <c r="G64" s="427">
        <f>'Loan Book'!M67</f>
        <v>257860750</v>
      </c>
      <c r="H64" s="427">
        <f>'Loan Book'!O67</f>
        <v>257860750</v>
      </c>
      <c r="I64" s="427">
        <f>'Loan Book'!R67</f>
        <v>135123866.32792604</v>
      </c>
      <c r="J64" t="s">
        <v>129</v>
      </c>
      <c r="K64" t="s">
        <v>64</v>
      </c>
      <c r="L64" t="str">
        <f>IFERROR(INDEX('E-Banker master'!$B$2:$B$186,MATCH($J64,'E-Banker master'!$A$2:$A$186,0)),"")</f>
        <v>Happie Foods Limited</v>
      </c>
      <c r="M64" s="426">
        <f>IFERROR(INDEX('E-Banker master'!$H$2:$H$186,MATCH($J64,'E-Banker master'!$A$2:$A$186,0)),"")</f>
        <v>44818</v>
      </c>
      <c r="N64" s="427">
        <f>IFERROR(INDEX('E-Banker master'!$I$2:$I$186,MATCH($J64,'E-Banker master'!$A$2:$A$186,0)),"")</f>
        <v>257860750</v>
      </c>
      <c r="O64" s="427">
        <f>IFERROR(INDEX('E-Banker master'!$N$2:$N$186,MATCH($J64,'E-Banker master'!$A$2:$A$186,0)),"")</f>
        <v>257860750</v>
      </c>
      <c r="P64" s="427">
        <f>IFERROR(INDEX('E-Banker master'!$P$2:$P$186,MATCH($J64,'E-Banker master'!$A$2:$A$186,0)),"")</f>
        <v>135721912.31999999</v>
      </c>
      <c r="Q64" s="426">
        <f>IFERROR(INDEX('E-Banker master'!$Q$2:$Q$186,MATCH($J64,'E-Banker master'!$A$2:$A$186,0)),"")</f>
        <v>44818</v>
      </c>
      <c r="R64" t="str">
        <f>IFERROR(INDEX('E-Banker master'!$E$2:$E$186,MATCH($J64,'E-Banker master'!$A$2:$A$186,0)),"")</f>
        <v>A</v>
      </c>
      <c r="S64" t="str">
        <f t="shared" si="4"/>
        <v>Yes</v>
      </c>
      <c r="T64" t="str">
        <f t="shared" si="5"/>
        <v>Within 2%</v>
      </c>
      <c r="U64" t="str">
        <f t="shared" si="6"/>
        <v>Yes</v>
      </c>
      <c r="V64">
        <f t="shared" si="7"/>
        <v>191</v>
      </c>
      <c r="W64" t="s">
        <v>65</v>
      </c>
      <c r="X64" s="428"/>
      <c r="Y64" s="428"/>
      <c r="Z64" s="428"/>
    </row>
    <row r="65" spans="1:26" x14ac:dyDescent="0.35">
      <c r="A65">
        <v>68</v>
      </c>
      <c r="B65">
        <f>'Loan Book'!D68</f>
        <v>64</v>
      </c>
      <c r="C65" t="str">
        <f>'Loan Book'!E68</f>
        <v>Msusa Investments Ltd</v>
      </c>
      <c r="D65" t="str">
        <f>'Loan Book'!F68</f>
        <v>Debt</v>
      </c>
      <c r="E65" s="426">
        <f>'Loan Book'!G68</f>
        <v>45034</v>
      </c>
      <c r="F65" s="427">
        <f>'Loan Book'!L68</f>
        <v>250000000</v>
      </c>
      <c r="G65" s="427">
        <f>'Loan Book'!M68</f>
        <v>250000000</v>
      </c>
      <c r="H65" s="427">
        <f>'Loan Book'!O68</f>
        <v>250000000</v>
      </c>
      <c r="I65" s="427">
        <f>'Loan Book'!R68</f>
        <v>194212427.99167487</v>
      </c>
      <c r="J65" t="s">
        <v>130</v>
      </c>
      <c r="K65" t="s">
        <v>64</v>
      </c>
      <c r="L65" t="str">
        <f>IFERROR(INDEX('E-Banker master'!$B$2:$B$186,MATCH($J65,'E-Banker master'!$A$2:$A$186,0)),"")</f>
        <v>Msusa Investments Ltd</v>
      </c>
      <c r="M65" s="426">
        <f>IFERROR(INDEX('E-Banker master'!$H$2:$H$186,MATCH($J65,'E-Banker master'!$A$2:$A$186,0)),"")</f>
        <v>45034</v>
      </c>
      <c r="N65" s="427">
        <f>IFERROR(INDEX('E-Banker master'!$I$2:$I$186,MATCH($J65,'E-Banker master'!$A$2:$A$186,0)),"")</f>
        <v>250000000</v>
      </c>
      <c r="O65" s="427">
        <f>IFERROR(INDEX('E-Banker master'!$N$2:$N$186,MATCH($J65,'E-Banker master'!$A$2:$A$186,0)),"")</f>
        <v>250000000</v>
      </c>
      <c r="P65" s="427">
        <f>IFERROR(INDEX('E-Banker master'!$P$2:$P$186,MATCH($J65,'E-Banker master'!$A$2:$A$186,0)),"")</f>
        <v>195249240.19999999</v>
      </c>
      <c r="Q65" s="426">
        <f>IFERROR(INDEX('E-Banker master'!$Q$2:$Q$186,MATCH($J65,'E-Banker master'!$A$2:$A$186,0)),"")</f>
        <v>45034</v>
      </c>
      <c r="R65" t="str">
        <f>IFERROR(INDEX('E-Banker master'!$E$2:$E$186,MATCH($J65,'E-Banker master'!$A$2:$A$186,0)),"")</f>
        <v>A</v>
      </c>
      <c r="S65" t="str">
        <f t="shared" si="4"/>
        <v>Yes</v>
      </c>
      <c r="T65" t="str">
        <f t="shared" si="5"/>
        <v>Within 2%</v>
      </c>
      <c r="U65" t="str">
        <f t="shared" si="6"/>
        <v>Yes</v>
      </c>
      <c r="V65">
        <f t="shared" si="7"/>
        <v>0</v>
      </c>
      <c r="W65" t="s">
        <v>65</v>
      </c>
      <c r="X65" s="428"/>
      <c r="Y65" s="428"/>
      <c r="Z65" s="428"/>
    </row>
    <row r="66" spans="1:26" x14ac:dyDescent="0.35">
      <c r="A66">
        <v>69</v>
      </c>
      <c r="B66">
        <f>'Loan Book'!D69</f>
        <v>65</v>
      </c>
      <c r="C66" t="str">
        <f>'Loan Book'!E69</f>
        <v>Gibson Gray Cane Furniture</v>
      </c>
      <c r="D66" t="str">
        <f>'Loan Book'!F69</f>
        <v>Debt</v>
      </c>
      <c r="E66" s="426">
        <f>'Loan Book'!G69</f>
        <v>45048</v>
      </c>
      <c r="F66" s="427">
        <f>'Loan Book'!L69</f>
        <v>30000000</v>
      </c>
      <c r="G66" s="427">
        <f>'Loan Book'!M69</f>
        <v>30000000</v>
      </c>
      <c r="H66" s="427">
        <f>'Loan Book'!O69</f>
        <v>30000000</v>
      </c>
      <c r="I66" s="427">
        <f>'Loan Book'!R69</f>
        <v>13926963.407137666</v>
      </c>
      <c r="J66" t="s">
        <v>131</v>
      </c>
      <c r="K66" t="s">
        <v>64</v>
      </c>
      <c r="L66" t="str">
        <f>IFERROR(INDEX('E-Banker master'!$B$2:$B$186,MATCH($J66,'E-Banker master'!$A$2:$A$186,0)),"")</f>
        <v>Gibson Gray Cane Furniture</v>
      </c>
      <c r="M66" s="426">
        <f>IFERROR(INDEX('E-Banker master'!$H$2:$H$186,MATCH($J66,'E-Banker master'!$A$2:$A$186,0)),"")</f>
        <v>45048</v>
      </c>
      <c r="N66" s="427">
        <f>IFERROR(INDEX('E-Banker master'!$I$2:$I$186,MATCH($J66,'E-Banker master'!$A$2:$A$186,0)),"")</f>
        <v>30000000</v>
      </c>
      <c r="O66" s="427">
        <f>IFERROR(INDEX('E-Banker master'!$N$2:$N$186,MATCH($J66,'E-Banker master'!$A$2:$A$186,0)),"")</f>
        <v>30000000</v>
      </c>
      <c r="P66" s="427">
        <f>IFERROR(INDEX('E-Banker master'!$P$2:$P$186,MATCH($J66,'E-Banker master'!$A$2:$A$186,0)),"")</f>
        <v>14070777.51</v>
      </c>
      <c r="Q66" s="426">
        <f>IFERROR(INDEX('E-Banker master'!$Q$2:$Q$186,MATCH($J66,'E-Banker master'!$A$2:$A$186,0)),"")</f>
        <v>45048</v>
      </c>
      <c r="R66" t="str">
        <f>IFERROR(INDEX('E-Banker master'!$E$2:$E$186,MATCH($J66,'E-Banker master'!$A$2:$A$186,0)),"")</f>
        <v>H</v>
      </c>
      <c r="S66" t="str">
        <f t="shared" ref="S66:S97" si="8">IF($J66="","",IF(O66="","No take-on posting",IF(ABS(H66-O66)&lt;1,"Yes",IF(ABS(H66/O66-1)&lt;0.01,"Within 1%","No"))))</f>
        <v>Yes</v>
      </c>
      <c r="T66" t="str">
        <f t="shared" ref="T66:T97" si="9">IF($J66="","",IF(OR(P66="",P66=0),"No balance",IF(ABS(I66-P66)&lt;1,"Yes",IF(ABS(I66/P66-1)&lt;0.02,"Within 2%",IF(ABS(I66/P66-1)&lt;0.05,"Within 5%","No")))))</f>
        <v>Within 2%</v>
      </c>
      <c r="U66" t="str">
        <f t="shared" ref="U66:U97" si="10">IF($J66="","",IF(N66="","",IF(ABS(F66-N66)&lt;1,"Yes",IF(ABS(G66-N66)&lt;1,"Disbursed = sanction","No"))))</f>
        <v>Yes</v>
      </c>
      <c r="V66">
        <f t="shared" ref="V66:V97" si="11">IF(OR($J66="",Q66="",E66=""),"",ABS(E66-Q66))</f>
        <v>0</v>
      </c>
      <c r="W66" t="s">
        <v>65</v>
      </c>
      <c r="X66" s="428"/>
      <c r="Y66" s="428"/>
      <c r="Z66" s="428"/>
    </row>
    <row r="67" spans="1:26" x14ac:dyDescent="0.35">
      <c r="A67">
        <v>70</v>
      </c>
      <c r="B67">
        <f>'Loan Book'!D70</f>
        <v>66</v>
      </c>
      <c r="C67" t="str">
        <f>'Loan Book'!E70</f>
        <v>House of Men Clothing</v>
      </c>
      <c r="D67" t="str">
        <f>'Loan Book'!F70</f>
        <v>Debt</v>
      </c>
      <c r="E67" s="426">
        <f>'Loan Book'!G70</f>
        <v>45064</v>
      </c>
      <c r="F67" s="427">
        <f>'Loan Book'!L70</f>
        <v>50000000</v>
      </c>
      <c r="G67" s="427">
        <f>'Loan Book'!M70</f>
        <v>50000000</v>
      </c>
      <c r="H67" s="427">
        <f>'Loan Book'!O70</f>
        <v>50000000</v>
      </c>
      <c r="I67" s="427">
        <f>'Loan Book'!R70</f>
        <v>40656033.109976627</v>
      </c>
      <c r="J67" t="s">
        <v>132</v>
      </c>
      <c r="K67" t="s">
        <v>64</v>
      </c>
      <c r="L67" t="str">
        <f>IFERROR(INDEX('E-Banker master'!$B$2:$B$186,MATCH($J67,'E-Banker master'!$A$2:$A$186,0)),"")</f>
        <v>House of Men Clothing</v>
      </c>
      <c r="M67" s="426">
        <f>IFERROR(INDEX('E-Banker master'!$H$2:$H$186,MATCH($J67,'E-Banker master'!$A$2:$A$186,0)),"")</f>
        <v>45063</v>
      </c>
      <c r="N67" s="427">
        <f>IFERROR(INDEX('E-Banker master'!$I$2:$I$186,MATCH($J67,'E-Banker master'!$A$2:$A$186,0)),"")</f>
        <v>50000000</v>
      </c>
      <c r="O67" s="427">
        <f>IFERROR(INDEX('E-Banker master'!$N$2:$N$186,MATCH($J67,'E-Banker master'!$A$2:$A$186,0)),"")</f>
        <v>50000000</v>
      </c>
      <c r="P67" s="427">
        <f>IFERROR(INDEX('E-Banker master'!$P$2:$P$186,MATCH($J67,'E-Banker master'!$A$2:$A$186,0)),"")</f>
        <v>40660777.880000003</v>
      </c>
      <c r="Q67" s="426">
        <f>IFERROR(INDEX('E-Banker master'!$Q$2:$Q$186,MATCH($J67,'E-Banker master'!$A$2:$A$186,0)),"")</f>
        <v>45064</v>
      </c>
      <c r="R67" t="str">
        <f>IFERROR(INDEX('E-Banker master'!$E$2:$E$186,MATCH($J67,'E-Banker master'!$A$2:$A$186,0)),"")</f>
        <v>A</v>
      </c>
      <c r="S67" t="str">
        <f t="shared" si="8"/>
        <v>Yes</v>
      </c>
      <c r="T67" t="str">
        <f t="shared" si="9"/>
        <v>Within 2%</v>
      </c>
      <c r="U67" t="str">
        <f t="shared" si="10"/>
        <v>Yes</v>
      </c>
      <c r="V67">
        <f t="shared" si="11"/>
        <v>0</v>
      </c>
      <c r="W67" t="s">
        <v>65</v>
      </c>
      <c r="X67" s="428"/>
      <c r="Y67" s="428"/>
      <c r="Z67" s="428"/>
    </row>
    <row r="68" spans="1:26" x14ac:dyDescent="0.35">
      <c r="A68">
        <v>71</v>
      </c>
      <c r="B68">
        <f>'Loan Book'!D71</f>
        <v>67</v>
      </c>
      <c r="C68" t="str">
        <f>'Loan Book'!E71</f>
        <v>Mphanga Hodings Limited</v>
      </c>
      <c r="D68" t="str">
        <f>'Loan Book'!F71</f>
        <v>Debt</v>
      </c>
      <c r="E68" s="426">
        <f>'Loan Book'!G71</f>
        <v>45064</v>
      </c>
      <c r="F68" s="427">
        <f>'Loan Book'!L71</f>
        <v>150000000</v>
      </c>
      <c r="G68" s="427">
        <f>'Loan Book'!M71</f>
        <v>84923700</v>
      </c>
      <c r="H68" s="427">
        <f>'Loan Book'!O71</f>
        <v>84923700</v>
      </c>
      <c r="I68" s="427">
        <f>'Loan Book'!R71</f>
        <v>34836591.846923701</v>
      </c>
      <c r="J68" t="s">
        <v>133</v>
      </c>
      <c r="K68" t="s">
        <v>64</v>
      </c>
      <c r="L68" t="str">
        <f>IFERROR(INDEX('E-Banker master'!$B$2:$B$186,MATCH($J68,'E-Banker master'!$A$2:$A$186,0)),"")</f>
        <v>Mphanga Hodings Limited</v>
      </c>
      <c r="M68" s="426">
        <f>IFERROR(INDEX('E-Banker master'!$H$2:$H$186,MATCH($J68,'E-Banker master'!$A$2:$A$186,0)),"")</f>
        <v>45063</v>
      </c>
      <c r="N68" s="427">
        <f>IFERROR(INDEX('E-Banker master'!$I$2:$I$186,MATCH($J68,'E-Banker master'!$A$2:$A$186,0)),"")</f>
        <v>150000000</v>
      </c>
      <c r="O68" s="427">
        <f>IFERROR(INDEX('E-Banker master'!$N$2:$N$186,MATCH($J68,'E-Banker master'!$A$2:$A$186,0)),"")</f>
        <v>84923700</v>
      </c>
      <c r="P68" s="427">
        <f>IFERROR(INDEX('E-Banker master'!$P$2:$P$186,MATCH($J68,'E-Banker master'!$A$2:$A$186,0)),"")</f>
        <v>34887586.619999997</v>
      </c>
      <c r="Q68" s="426">
        <f>IFERROR(INDEX('E-Banker master'!$Q$2:$Q$186,MATCH($J68,'E-Banker master'!$A$2:$A$186,0)),"")</f>
        <v>45064</v>
      </c>
      <c r="R68" t="str">
        <f>IFERROR(INDEX('E-Banker master'!$E$2:$E$186,MATCH($J68,'E-Banker master'!$A$2:$A$186,0)),"")</f>
        <v>H</v>
      </c>
      <c r="S68" t="str">
        <f t="shared" si="8"/>
        <v>Yes</v>
      </c>
      <c r="T68" t="str">
        <f t="shared" si="9"/>
        <v>Within 2%</v>
      </c>
      <c r="U68" t="str">
        <f t="shared" si="10"/>
        <v>Yes</v>
      </c>
      <c r="V68">
        <f t="shared" si="11"/>
        <v>0</v>
      </c>
      <c r="W68" t="s">
        <v>65</v>
      </c>
      <c r="X68" s="428"/>
      <c r="Y68" s="428"/>
      <c r="Z68" s="428"/>
    </row>
    <row r="69" spans="1:26" x14ac:dyDescent="0.35">
      <c r="A69">
        <v>72</v>
      </c>
      <c r="B69">
        <f>'Loan Book'!D72</f>
        <v>68</v>
      </c>
      <c r="C69" t="str">
        <f>'Loan Book'!E72</f>
        <v>Teren Agro Limited</v>
      </c>
      <c r="D69" t="str">
        <f>'Loan Book'!F72</f>
        <v>Debt</v>
      </c>
      <c r="E69" s="426">
        <f>'Loan Book'!G72</f>
        <v>45065</v>
      </c>
      <c r="F69" s="427">
        <f>'Loan Book'!L72</f>
        <v>30000000</v>
      </c>
      <c r="G69" s="427">
        <f>'Loan Book'!M72</f>
        <v>30000000</v>
      </c>
      <c r="H69" s="427">
        <f>'Loan Book'!O72</f>
        <v>30000000</v>
      </c>
      <c r="I69" s="427">
        <f>'Loan Book'!R72</f>
        <v>14129903.192631673</v>
      </c>
      <c r="J69" t="s">
        <v>134</v>
      </c>
      <c r="K69" t="s">
        <v>64</v>
      </c>
      <c r="L69" t="str">
        <f>IFERROR(INDEX('E-Banker master'!$B$2:$B$186,MATCH($J69,'E-Banker master'!$A$2:$A$186,0)),"")</f>
        <v>Teren Agro Limited</v>
      </c>
      <c r="M69" s="426">
        <f>IFERROR(INDEX('E-Banker master'!$H$2:$H$186,MATCH($J69,'E-Banker master'!$A$2:$A$186,0)),"")</f>
        <v>45064</v>
      </c>
      <c r="N69" s="427">
        <f>IFERROR(INDEX('E-Banker master'!$I$2:$I$186,MATCH($J69,'E-Banker master'!$A$2:$A$186,0)),"")</f>
        <v>30000000</v>
      </c>
      <c r="O69" s="427">
        <f>IFERROR(INDEX('E-Banker master'!$N$2:$N$186,MATCH($J69,'E-Banker master'!$A$2:$A$186,0)),"")</f>
        <v>30000000</v>
      </c>
      <c r="P69" s="427">
        <f>IFERROR(INDEX('E-Banker master'!$P$2:$P$186,MATCH($J69,'E-Banker master'!$A$2:$A$186,0)),"")</f>
        <v>14200437.57</v>
      </c>
      <c r="Q69" s="426">
        <f>IFERROR(INDEX('E-Banker master'!$Q$2:$Q$186,MATCH($J69,'E-Banker master'!$A$2:$A$186,0)),"")</f>
        <v>45065</v>
      </c>
      <c r="R69" t="str">
        <f>IFERROR(INDEX('E-Banker master'!$E$2:$E$186,MATCH($J69,'E-Banker master'!$A$2:$A$186,0)),"")</f>
        <v>D</v>
      </c>
      <c r="S69" t="str">
        <f t="shared" si="8"/>
        <v>Yes</v>
      </c>
      <c r="T69" t="str">
        <f t="shared" si="9"/>
        <v>Within 2%</v>
      </c>
      <c r="U69" t="str">
        <f t="shared" si="10"/>
        <v>Yes</v>
      </c>
      <c r="V69">
        <f t="shared" si="11"/>
        <v>0</v>
      </c>
      <c r="W69" t="s">
        <v>65</v>
      </c>
      <c r="X69" s="428"/>
      <c r="Y69" s="428"/>
      <c r="Z69" s="428"/>
    </row>
    <row r="70" spans="1:26" x14ac:dyDescent="0.35">
      <c r="A70">
        <v>73</v>
      </c>
      <c r="B70">
        <f>'Loan Book'!D73</f>
        <v>69</v>
      </c>
      <c r="C70" t="str">
        <f>'Loan Book'!E73</f>
        <v>The Food Empire</v>
      </c>
      <c r="D70" t="str">
        <f>'Loan Book'!F73</f>
        <v>Debt</v>
      </c>
      <c r="E70" s="426">
        <f>'Loan Book'!G73</f>
        <v>45117</v>
      </c>
      <c r="F70" s="427">
        <f>'Loan Book'!L73</f>
        <v>250000000</v>
      </c>
      <c r="G70" s="427">
        <f>'Loan Book'!M73</f>
        <v>250000000</v>
      </c>
      <c r="H70" s="427">
        <f>'Loan Book'!O73</f>
        <v>250000000</v>
      </c>
      <c r="I70" s="427">
        <f>'Loan Book'!R73</f>
        <v>172724136.54516411</v>
      </c>
      <c r="J70" t="s">
        <v>135</v>
      </c>
      <c r="K70" t="s">
        <v>64</v>
      </c>
      <c r="L70" t="str">
        <f>IFERROR(INDEX('E-Banker master'!$B$2:$B$186,MATCH($J70,'E-Banker master'!$A$2:$A$186,0)),"")</f>
        <v>The Food Empire Limited</v>
      </c>
      <c r="M70" s="426">
        <f>IFERROR(INDEX('E-Banker master'!$H$2:$H$186,MATCH($J70,'E-Banker master'!$A$2:$A$186,0)),"")</f>
        <v>45117</v>
      </c>
      <c r="N70" s="427">
        <f>IFERROR(INDEX('E-Banker master'!$I$2:$I$186,MATCH($J70,'E-Banker master'!$A$2:$A$186,0)),"")</f>
        <v>250000000</v>
      </c>
      <c r="O70" s="427">
        <f>IFERROR(INDEX('E-Banker master'!$N$2:$N$186,MATCH($J70,'E-Banker master'!$A$2:$A$186,0)),"")</f>
        <v>250000000</v>
      </c>
      <c r="P70" s="427">
        <f>IFERROR(INDEX('E-Banker master'!$P$2:$P$186,MATCH($J70,'E-Banker master'!$A$2:$A$186,0)),"")</f>
        <v>172097958.03</v>
      </c>
      <c r="Q70" s="426">
        <f>IFERROR(INDEX('E-Banker master'!$Q$2:$Q$186,MATCH($J70,'E-Banker master'!$A$2:$A$186,0)),"")</f>
        <v>45117</v>
      </c>
      <c r="R70" t="str">
        <f>IFERROR(INDEX('E-Banker master'!$E$2:$E$186,MATCH($J70,'E-Banker master'!$A$2:$A$186,0)),"")</f>
        <v>F</v>
      </c>
      <c r="S70" t="str">
        <f t="shared" si="8"/>
        <v>Yes</v>
      </c>
      <c r="T70" t="str">
        <f t="shared" si="9"/>
        <v>Within 2%</v>
      </c>
      <c r="U70" t="str">
        <f t="shared" si="10"/>
        <v>Yes</v>
      </c>
      <c r="V70">
        <f t="shared" si="11"/>
        <v>0</v>
      </c>
      <c r="W70" t="s">
        <v>65</v>
      </c>
      <c r="X70" s="428"/>
      <c r="Y70" s="428"/>
      <c r="Z70" s="428"/>
    </row>
    <row r="71" spans="1:26" x14ac:dyDescent="0.35">
      <c r="A71">
        <v>74</v>
      </c>
      <c r="B71">
        <f>'Loan Book'!D74</f>
        <v>70</v>
      </c>
      <c r="C71" t="str">
        <f>'Loan Book'!E74</f>
        <v>Chisitu Tea Blenders and Packers Ltd</v>
      </c>
      <c r="D71" t="str">
        <f>'Loan Book'!F74</f>
        <v>Debt</v>
      </c>
      <c r="E71" s="426">
        <f>'Loan Book'!G74</f>
        <v>45127</v>
      </c>
      <c r="F71" s="427">
        <f>'Loan Book'!L74</f>
        <v>200000000</v>
      </c>
      <c r="G71" s="427">
        <f>'Loan Book'!M74</f>
        <v>200000000</v>
      </c>
      <c r="H71" s="427">
        <f>'Loan Book'!O74</f>
        <v>200000000</v>
      </c>
      <c r="I71" s="427">
        <f>'Loan Book'!R74</f>
        <v>206416237.668237</v>
      </c>
      <c r="J71" t="s">
        <v>136</v>
      </c>
      <c r="K71" t="s">
        <v>64</v>
      </c>
      <c r="L71" t="str">
        <f>IFERROR(INDEX('E-Banker master'!$B$2:$B$186,MATCH($J71,'E-Banker master'!$A$2:$A$186,0)),"")</f>
        <v>Chisitu Tea Blenders and Packers Ltd</v>
      </c>
      <c r="M71" s="426">
        <f>IFERROR(INDEX('E-Banker master'!$H$2:$H$186,MATCH($J71,'E-Banker master'!$A$2:$A$186,0)),"")</f>
        <v>45126</v>
      </c>
      <c r="N71" s="427">
        <f>IFERROR(INDEX('E-Banker master'!$I$2:$I$186,MATCH($J71,'E-Banker master'!$A$2:$A$186,0)),"")</f>
        <v>200000000</v>
      </c>
      <c r="O71" s="427">
        <f>IFERROR(INDEX('E-Banker master'!$N$2:$N$186,MATCH($J71,'E-Banker master'!$A$2:$A$186,0)),"")</f>
        <v>200000000</v>
      </c>
      <c r="P71" s="427">
        <f>IFERROR(INDEX('E-Banker master'!$P$2:$P$186,MATCH($J71,'E-Banker master'!$A$2:$A$186,0)),"")</f>
        <v>207088006.12</v>
      </c>
      <c r="Q71" s="426">
        <f>IFERROR(INDEX('E-Banker master'!$Q$2:$Q$186,MATCH($J71,'E-Banker master'!$A$2:$A$186,0)),"")</f>
        <v>45127</v>
      </c>
      <c r="R71" t="str">
        <f>IFERROR(INDEX('E-Banker master'!$E$2:$E$186,MATCH($J71,'E-Banker master'!$A$2:$A$186,0)),"")</f>
        <v>A</v>
      </c>
      <c r="S71" t="str">
        <f t="shared" si="8"/>
        <v>Yes</v>
      </c>
      <c r="T71" t="str">
        <f t="shared" si="9"/>
        <v>Within 2%</v>
      </c>
      <c r="U71" t="str">
        <f t="shared" si="10"/>
        <v>Yes</v>
      </c>
      <c r="V71">
        <f t="shared" si="11"/>
        <v>0</v>
      </c>
      <c r="W71" t="s">
        <v>65</v>
      </c>
      <c r="X71" s="428"/>
      <c r="Y71" s="428"/>
      <c r="Z71" s="428"/>
    </row>
    <row r="72" spans="1:26" x14ac:dyDescent="0.35">
      <c r="A72">
        <v>75</v>
      </c>
      <c r="B72">
        <f>'Loan Book'!D75</f>
        <v>71</v>
      </c>
      <c r="C72" t="str">
        <f>'Loan Book'!E75</f>
        <v>Mchinji Civil Servants SACCO</v>
      </c>
      <c r="D72" t="str">
        <f>'Loan Book'!F75</f>
        <v>Debt</v>
      </c>
      <c r="E72" s="426">
        <f>'Loan Book'!G75</f>
        <v>45127</v>
      </c>
      <c r="F72" s="427">
        <f>'Loan Book'!L75</f>
        <v>100000000</v>
      </c>
      <c r="G72" s="427">
        <f>'Loan Book'!M75</f>
        <v>100000000</v>
      </c>
      <c r="H72" s="427">
        <f>'Loan Book'!O75</f>
        <v>100000000</v>
      </c>
      <c r="I72" s="427">
        <f>'Loan Book'!R75</f>
        <v>50836759.204730198</v>
      </c>
      <c r="J72" t="s">
        <v>137</v>
      </c>
      <c r="K72" t="s">
        <v>64</v>
      </c>
      <c r="L72" t="str">
        <f>IFERROR(INDEX('E-Banker master'!$B$2:$B$186,MATCH($J72,'E-Banker master'!$A$2:$A$186,0)),"")</f>
        <v>Mchinji Civil Servants SACCO</v>
      </c>
      <c r="M72" s="426">
        <f>IFERROR(INDEX('E-Banker master'!$H$2:$H$186,MATCH($J72,'E-Banker master'!$A$2:$A$186,0)),"")</f>
        <v>45138</v>
      </c>
      <c r="N72" s="427">
        <f>IFERROR(INDEX('E-Banker master'!$I$2:$I$186,MATCH($J72,'E-Banker master'!$A$2:$A$186,0)),"")</f>
        <v>50000000</v>
      </c>
      <c r="O72" s="427">
        <f>IFERROR(INDEX('E-Banker master'!$N$2:$N$186,MATCH($J72,'E-Banker master'!$A$2:$A$186,0)),"")</f>
        <v>100000000</v>
      </c>
      <c r="P72" s="427">
        <f>IFERROR(INDEX('E-Banker master'!$P$2:$P$186,MATCH($J72,'E-Banker master'!$A$2:$A$186,0)),"")</f>
        <v>50940060.280000001</v>
      </c>
      <c r="Q72" s="426">
        <f>IFERROR(INDEX('E-Banker master'!$Q$2:$Q$186,MATCH($J72,'E-Banker master'!$A$2:$A$186,0)),"")</f>
        <v>45127</v>
      </c>
      <c r="R72" t="str">
        <f>IFERROR(INDEX('E-Banker master'!$E$2:$E$186,MATCH($J72,'E-Banker master'!$A$2:$A$186,0)),"")</f>
        <v>H</v>
      </c>
      <c r="S72" t="str">
        <f t="shared" si="8"/>
        <v>Yes</v>
      </c>
      <c r="T72" t="str">
        <f t="shared" si="9"/>
        <v>Within 2%</v>
      </c>
      <c r="U72" t="str">
        <f t="shared" si="10"/>
        <v>No</v>
      </c>
      <c r="V72">
        <f t="shared" si="11"/>
        <v>0</v>
      </c>
      <c r="W72" t="s">
        <v>65</v>
      </c>
      <c r="X72" s="428"/>
      <c r="Y72" s="428"/>
      <c r="Z72" s="428"/>
    </row>
    <row r="73" spans="1:26" x14ac:dyDescent="0.35">
      <c r="A73">
        <v>76</v>
      </c>
      <c r="B73">
        <f>'Loan Book'!D76</f>
        <v>72</v>
      </c>
      <c r="C73" t="str">
        <f>'Loan Book'!E76</f>
        <v>Design Management Consultants Ltd</v>
      </c>
      <c r="D73" t="str">
        <f>'Loan Book'!F76</f>
        <v>Debt</v>
      </c>
      <c r="E73" s="426">
        <f>'Loan Book'!G76</f>
        <v>45138</v>
      </c>
      <c r="F73" s="427">
        <f>'Loan Book'!L76</f>
        <v>236401400</v>
      </c>
      <c r="G73" s="427">
        <f>'Loan Book'!M76</f>
        <v>236401400</v>
      </c>
      <c r="H73" s="427">
        <f>'Loan Book'!O76</f>
        <v>236401400</v>
      </c>
      <c r="I73" s="427">
        <f>'Loan Book'!R76</f>
        <v>198907368.84849241</v>
      </c>
      <c r="J73" t="s">
        <v>138</v>
      </c>
      <c r="K73" t="s">
        <v>64</v>
      </c>
      <c r="L73" t="str">
        <f>IFERROR(INDEX('E-Banker master'!$B$2:$B$186,MATCH($J73,'E-Banker master'!$A$2:$A$186,0)),"")</f>
        <v>Design Management Consultants Ltd</v>
      </c>
      <c r="M73" s="426">
        <f>IFERROR(INDEX('E-Banker master'!$H$2:$H$186,MATCH($J73,'E-Banker master'!$A$2:$A$186,0)),"")</f>
        <v>45138</v>
      </c>
      <c r="N73" s="427">
        <f>IFERROR(INDEX('E-Banker master'!$I$2:$I$186,MATCH($J73,'E-Banker master'!$A$2:$A$186,0)),"")</f>
        <v>236401400</v>
      </c>
      <c r="O73" s="427">
        <f>IFERROR(INDEX('E-Banker master'!$N$2:$N$186,MATCH($J73,'E-Banker master'!$A$2:$A$186,0)),"")</f>
        <v>236401400</v>
      </c>
      <c r="P73" s="427">
        <f>IFERROR(INDEX('E-Banker master'!$P$2:$P$186,MATCH($J73,'E-Banker master'!$A$2:$A$186,0)),"")</f>
        <v>198864434.30000001</v>
      </c>
      <c r="Q73" s="426">
        <f>IFERROR(INDEX('E-Banker master'!$Q$2:$Q$186,MATCH($J73,'E-Banker master'!$A$2:$A$186,0)),"")</f>
        <v>45138</v>
      </c>
      <c r="R73" t="str">
        <f>IFERROR(INDEX('E-Banker master'!$E$2:$E$186,MATCH($J73,'E-Banker master'!$A$2:$A$186,0)),"")</f>
        <v>A</v>
      </c>
      <c r="S73" t="str">
        <f t="shared" si="8"/>
        <v>Yes</v>
      </c>
      <c r="T73" t="str">
        <f t="shared" si="9"/>
        <v>Within 2%</v>
      </c>
      <c r="U73" t="str">
        <f t="shared" si="10"/>
        <v>Yes</v>
      </c>
      <c r="V73">
        <f t="shared" si="11"/>
        <v>0</v>
      </c>
      <c r="W73" t="s">
        <v>65</v>
      </c>
      <c r="X73" s="428"/>
      <c r="Y73" s="428"/>
      <c r="Z73" s="428"/>
    </row>
    <row r="74" spans="1:26" x14ac:dyDescent="0.35">
      <c r="A74">
        <v>77</v>
      </c>
      <c r="B74">
        <f>'Loan Book'!D77</f>
        <v>73</v>
      </c>
      <c r="C74" t="str">
        <f>'Loan Book'!E77</f>
        <v>Jescal Enterprise</v>
      </c>
      <c r="D74" t="str">
        <f>'Loan Book'!F77</f>
        <v>Debt</v>
      </c>
      <c r="E74" s="426">
        <f>'Loan Book'!G77</f>
        <v>45138</v>
      </c>
      <c r="F74" s="427">
        <f>'Loan Book'!L77</f>
        <v>15000000</v>
      </c>
      <c r="G74" s="427">
        <f>'Loan Book'!M77</f>
        <v>15000000</v>
      </c>
      <c r="H74" s="427">
        <f>'Loan Book'!O77</f>
        <v>15000000</v>
      </c>
      <c r="I74" s="427">
        <f>'Loan Book'!R77</f>
        <v>6949810.1152477693</v>
      </c>
      <c r="J74" t="s">
        <v>139</v>
      </c>
      <c r="K74" t="s">
        <v>64</v>
      </c>
      <c r="L74" t="str">
        <f>IFERROR(INDEX('E-Banker master'!$B$2:$B$186,MATCH($J74,'E-Banker master'!$A$2:$A$186,0)),"")</f>
        <v>Jescal Enterprise</v>
      </c>
      <c r="M74" s="426">
        <f>IFERROR(INDEX('E-Banker master'!$H$2:$H$186,MATCH($J74,'E-Banker master'!$A$2:$A$186,0)),"")</f>
        <v>45134</v>
      </c>
      <c r="N74" s="427">
        <f>IFERROR(INDEX('E-Banker master'!$I$2:$I$186,MATCH($J74,'E-Banker master'!$A$2:$A$186,0)),"")</f>
        <v>15000000</v>
      </c>
      <c r="O74" s="427">
        <f>IFERROR(INDEX('E-Banker master'!$N$2:$N$186,MATCH($J74,'E-Banker master'!$A$2:$A$186,0)),"")</f>
        <v>15000000</v>
      </c>
      <c r="P74" s="427">
        <f>IFERROR(INDEX('E-Banker master'!$P$2:$P$186,MATCH($J74,'E-Banker master'!$A$2:$A$186,0)),"")</f>
        <v>6964564.7699999996</v>
      </c>
      <c r="Q74" s="426">
        <f>IFERROR(INDEX('E-Banker master'!$Q$2:$Q$186,MATCH($J74,'E-Banker master'!$A$2:$A$186,0)),"")</f>
        <v>45138</v>
      </c>
      <c r="R74" t="str">
        <f>IFERROR(INDEX('E-Banker master'!$E$2:$E$186,MATCH($J74,'E-Banker master'!$A$2:$A$186,0)),"")</f>
        <v>H</v>
      </c>
      <c r="S74" t="str">
        <f t="shared" si="8"/>
        <v>Yes</v>
      </c>
      <c r="T74" t="str">
        <f t="shared" si="9"/>
        <v>Within 2%</v>
      </c>
      <c r="U74" t="str">
        <f t="shared" si="10"/>
        <v>Yes</v>
      </c>
      <c r="V74">
        <f t="shared" si="11"/>
        <v>0</v>
      </c>
      <c r="W74" t="s">
        <v>65</v>
      </c>
      <c r="X74" s="428"/>
      <c r="Y74" s="428"/>
      <c r="Z74" s="428"/>
    </row>
    <row r="75" spans="1:26" x14ac:dyDescent="0.35">
      <c r="A75">
        <v>78</v>
      </c>
      <c r="B75">
        <f>'Loan Book'!D78</f>
        <v>74</v>
      </c>
      <c r="C75" t="str">
        <f>'Loan Book'!E78</f>
        <v>Mosa Limited Company</v>
      </c>
      <c r="D75" t="str">
        <f>'Loan Book'!F78</f>
        <v>Debt</v>
      </c>
      <c r="E75" s="426">
        <f>'Loan Book'!G78</f>
        <v>45138</v>
      </c>
      <c r="F75" s="427">
        <f>'Loan Book'!L78</f>
        <v>21417000</v>
      </c>
      <c r="G75" s="427">
        <f>'Loan Book'!M78</f>
        <v>21417000</v>
      </c>
      <c r="H75" s="427">
        <f>'Loan Book'!O78</f>
        <v>21417000</v>
      </c>
      <c r="I75" s="427">
        <f>'Loan Book'!R78</f>
        <v>12168427.731041821</v>
      </c>
      <c r="J75" t="s">
        <v>140</v>
      </c>
      <c r="K75" t="s">
        <v>64</v>
      </c>
      <c r="L75" t="str">
        <f>IFERROR(INDEX('E-Banker master'!$B$2:$B$186,MATCH($J75,'E-Banker master'!$A$2:$A$186,0)),"")</f>
        <v>Mosa Limited Company</v>
      </c>
      <c r="M75" s="426">
        <f>IFERROR(INDEX('E-Banker master'!$H$2:$H$186,MATCH($J75,'E-Banker master'!$A$2:$A$186,0)),"")</f>
        <v>45128</v>
      </c>
      <c r="N75" s="427">
        <f>IFERROR(INDEX('E-Banker master'!$I$2:$I$186,MATCH($J75,'E-Banker master'!$A$2:$A$186,0)),"")</f>
        <v>21417000</v>
      </c>
      <c r="O75" s="427">
        <f>IFERROR(INDEX('E-Banker master'!$N$2:$N$186,MATCH($J75,'E-Banker master'!$A$2:$A$186,0)),"")</f>
        <v>21417000</v>
      </c>
      <c r="P75" s="427">
        <f>IFERROR(INDEX('E-Banker master'!$P$2:$P$186,MATCH($J75,'E-Banker master'!$A$2:$A$186,0)),"")</f>
        <v>12180308.75</v>
      </c>
      <c r="Q75" s="426">
        <f>IFERROR(INDEX('E-Banker master'!$Q$2:$Q$186,MATCH($J75,'E-Banker master'!$A$2:$A$186,0)),"")</f>
        <v>45138</v>
      </c>
      <c r="R75" t="str">
        <f>IFERROR(INDEX('E-Banker master'!$E$2:$E$186,MATCH($J75,'E-Banker master'!$A$2:$A$186,0)),"")</f>
        <v>D</v>
      </c>
      <c r="S75" t="str">
        <f t="shared" si="8"/>
        <v>Yes</v>
      </c>
      <c r="T75" t="str">
        <f t="shared" si="9"/>
        <v>Within 2%</v>
      </c>
      <c r="U75" t="str">
        <f t="shared" si="10"/>
        <v>Yes</v>
      </c>
      <c r="V75">
        <f t="shared" si="11"/>
        <v>0</v>
      </c>
      <c r="W75" t="s">
        <v>65</v>
      </c>
      <c r="X75" s="428"/>
      <c r="Y75" s="428"/>
      <c r="Z75" s="428"/>
    </row>
    <row r="76" spans="1:26" x14ac:dyDescent="0.35">
      <c r="A76">
        <v>79</v>
      </c>
      <c r="B76">
        <f>'Loan Book'!D79</f>
        <v>75</v>
      </c>
      <c r="C76" t="str">
        <f>'Loan Book'!E79</f>
        <v>Pamela Investments</v>
      </c>
      <c r="D76" t="str">
        <f>'Loan Book'!F79</f>
        <v>Debt</v>
      </c>
      <c r="E76" s="426">
        <f>'Loan Book'!G79</f>
        <v>45108</v>
      </c>
      <c r="F76" s="427">
        <f>'Loan Book'!L79</f>
        <v>30000000</v>
      </c>
      <c r="G76" s="427">
        <f>'Loan Book'!M79</f>
        <v>30000000</v>
      </c>
      <c r="H76" s="427">
        <f>'Loan Book'!O79</f>
        <v>30000000</v>
      </c>
      <c r="I76" s="427">
        <f>'Loan Book'!R79</f>
        <v>22657703.110768009</v>
      </c>
      <c r="J76" t="s">
        <v>141</v>
      </c>
      <c r="K76" t="s">
        <v>64</v>
      </c>
      <c r="L76" t="str">
        <f>IFERROR(INDEX('E-Banker master'!$B$2:$B$186,MATCH($J76,'E-Banker master'!$A$2:$A$186,0)),"")</f>
        <v>Pamela Investments</v>
      </c>
      <c r="M76" s="426">
        <f>IFERROR(INDEX('E-Banker master'!$H$2:$H$186,MATCH($J76,'E-Banker master'!$A$2:$A$186,0)),"")</f>
        <v>45106</v>
      </c>
      <c r="N76" s="427">
        <f>IFERROR(INDEX('E-Banker master'!$I$2:$I$186,MATCH($J76,'E-Banker master'!$A$2:$A$186,0)),"")</f>
        <v>30000000</v>
      </c>
      <c r="O76" s="427">
        <f>IFERROR(INDEX('E-Banker master'!$N$2:$N$186,MATCH($J76,'E-Banker master'!$A$2:$A$186,0)),"")</f>
        <v>30000000</v>
      </c>
      <c r="P76" s="427">
        <f>IFERROR(INDEX('E-Banker master'!$P$2:$P$186,MATCH($J76,'E-Banker master'!$A$2:$A$186,0)),"")</f>
        <v>22848584.379999999</v>
      </c>
      <c r="Q76" s="426">
        <f>IFERROR(INDEX('E-Banker master'!$Q$2:$Q$186,MATCH($J76,'E-Banker master'!$A$2:$A$186,0)),"")</f>
        <v>45108</v>
      </c>
      <c r="R76" t="str">
        <f>IFERROR(INDEX('E-Banker master'!$E$2:$E$186,MATCH($J76,'E-Banker master'!$A$2:$A$186,0)),"")</f>
        <v>H</v>
      </c>
      <c r="S76" t="str">
        <f t="shared" si="8"/>
        <v>Yes</v>
      </c>
      <c r="T76" t="str">
        <f t="shared" si="9"/>
        <v>Within 2%</v>
      </c>
      <c r="U76" t="str">
        <f t="shared" si="10"/>
        <v>Yes</v>
      </c>
      <c r="V76">
        <f t="shared" si="11"/>
        <v>0</v>
      </c>
      <c r="W76" t="s">
        <v>65</v>
      </c>
      <c r="X76" s="428"/>
      <c r="Y76" s="428"/>
      <c r="Z76" s="428"/>
    </row>
    <row r="77" spans="1:26" x14ac:dyDescent="0.35">
      <c r="A77">
        <v>80</v>
      </c>
      <c r="B77">
        <f>'Loan Book'!D80</f>
        <v>76</v>
      </c>
      <c r="C77" t="str">
        <f>'Loan Book'!E80</f>
        <v>Global Seeds Limited FInES</v>
      </c>
      <c r="D77" t="str">
        <f>'Loan Book'!F80</f>
        <v>Debt</v>
      </c>
      <c r="E77" s="426">
        <f>'Loan Book'!G80</f>
        <v>45145</v>
      </c>
      <c r="F77" s="427">
        <f>'Loan Book'!L80</f>
        <v>250000000</v>
      </c>
      <c r="G77" s="427">
        <f>'Loan Book'!M80</f>
        <v>250000000</v>
      </c>
      <c r="H77" s="427">
        <f>'Loan Book'!O80</f>
        <v>250000000</v>
      </c>
      <c r="I77" s="427">
        <f>'Loan Book'!R80</f>
        <v>201082672.09340328</v>
      </c>
      <c r="J77" t="s">
        <v>142</v>
      </c>
      <c r="K77" t="s">
        <v>64</v>
      </c>
      <c r="L77" t="str">
        <f>IFERROR(INDEX('E-Banker master'!$B$2:$B$186,MATCH($J77,'E-Banker master'!$A$2:$A$186,0)),"")</f>
        <v>Global Seeds Limited FInES</v>
      </c>
      <c r="M77" s="426">
        <f>IFERROR(INDEX('E-Banker master'!$H$2:$H$186,MATCH($J77,'E-Banker master'!$A$2:$A$186,0)),"")</f>
        <v>45108</v>
      </c>
      <c r="N77" s="427">
        <f>IFERROR(INDEX('E-Banker master'!$I$2:$I$186,MATCH($J77,'E-Banker master'!$A$2:$A$186,0)),"")</f>
        <v>250000000</v>
      </c>
      <c r="O77" s="427">
        <f>IFERROR(INDEX('E-Banker master'!$N$2:$N$186,MATCH($J77,'E-Banker master'!$A$2:$A$186,0)),"")</f>
        <v>250000000</v>
      </c>
      <c r="P77" s="427">
        <f>IFERROR(INDEX('E-Banker master'!$P$2:$P$186,MATCH($J77,'E-Banker master'!$A$2:$A$186,0)),"")</f>
        <v>201762903.68000001</v>
      </c>
      <c r="Q77" s="426">
        <f>IFERROR(INDEX('E-Banker master'!$Q$2:$Q$186,MATCH($J77,'E-Banker master'!$A$2:$A$186,0)),"")</f>
        <v>45145</v>
      </c>
      <c r="R77" t="str">
        <f>IFERROR(INDEX('E-Banker master'!$E$2:$E$186,MATCH($J77,'E-Banker master'!$A$2:$A$186,0)),"")</f>
        <v>A</v>
      </c>
      <c r="S77" t="str">
        <f t="shared" si="8"/>
        <v>Yes</v>
      </c>
      <c r="T77" t="str">
        <f t="shared" si="9"/>
        <v>Within 2%</v>
      </c>
      <c r="U77" t="str">
        <f t="shared" si="10"/>
        <v>Yes</v>
      </c>
      <c r="V77">
        <f t="shared" si="11"/>
        <v>0</v>
      </c>
      <c r="W77" t="s">
        <v>65</v>
      </c>
      <c r="X77" s="428"/>
      <c r="Y77" s="428"/>
      <c r="Z77" s="428"/>
    </row>
    <row r="78" spans="1:26" x14ac:dyDescent="0.35">
      <c r="A78">
        <v>81</v>
      </c>
      <c r="B78">
        <f>'Loan Book'!D81</f>
        <v>77</v>
      </c>
      <c r="C78" t="str">
        <f>'Loan Book'!E81</f>
        <v>Beaulaland Food Processors</v>
      </c>
      <c r="D78" t="str">
        <f>'Loan Book'!F81</f>
        <v>Debt</v>
      </c>
      <c r="E78" s="426">
        <f>'Loan Book'!G81</f>
        <v>45153</v>
      </c>
      <c r="F78" s="427">
        <f>'Loan Book'!L81</f>
        <v>30000000</v>
      </c>
      <c r="G78" s="427">
        <f>'Loan Book'!M81</f>
        <v>30000000</v>
      </c>
      <c r="H78" s="427">
        <f>'Loan Book'!O81</f>
        <v>30000000</v>
      </c>
      <c r="I78" s="427">
        <f>'Loan Book'!R81</f>
        <v>21012538.49563466</v>
      </c>
      <c r="J78" t="s">
        <v>143</v>
      </c>
      <c r="K78" t="s">
        <v>64</v>
      </c>
      <c r="L78" t="str">
        <f>IFERROR(INDEX('E-Banker master'!$B$2:$B$186,MATCH($J78,'E-Banker master'!$A$2:$A$186,0)),"")</f>
        <v>Beaulaland Food Processors</v>
      </c>
      <c r="M78" s="426">
        <f>IFERROR(INDEX('E-Banker master'!$H$2:$H$186,MATCH($J78,'E-Banker master'!$A$2:$A$186,0)),"")</f>
        <v>45153</v>
      </c>
      <c r="N78" s="427">
        <f>IFERROR(INDEX('E-Banker master'!$I$2:$I$186,MATCH($J78,'E-Banker master'!$A$2:$A$186,0)),"")</f>
        <v>30000000</v>
      </c>
      <c r="O78" s="427">
        <f>IFERROR(INDEX('E-Banker master'!$N$2:$N$186,MATCH($J78,'E-Banker master'!$A$2:$A$186,0)),"")</f>
        <v>30000000</v>
      </c>
      <c r="P78" s="427">
        <f>IFERROR(INDEX('E-Banker master'!$P$2:$P$186,MATCH($J78,'E-Banker master'!$A$2:$A$186,0)),"")</f>
        <v>21032811.59</v>
      </c>
      <c r="Q78" s="426">
        <f>IFERROR(INDEX('E-Banker master'!$Q$2:$Q$186,MATCH($J78,'E-Banker master'!$A$2:$A$186,0)),"")</f>
        <v>45153</v>
      </c>
      <c r="R78" t="str">
        <f>IFERROR(INDEX('E-Banker master'!$E$2:$E$186,MATCH($J78,'E-Banker master'!$A$2:$A$186,0)),"")</f>
        <v>A</v>
      </c>
      <c r="S78" t="str">
        <f t="shared" si="8"/>
        <v>Yes</v>
      </c>
      <c r="T78" t="str">
        <f t="shared" si="9"/>
        <v>Within 2%</v>
      </c>
      <c r="U78" t="str">
        <f t="shared" si="10"/>
        <v>Yes</v>
      </c>
      <c r="V78">
        <f t="shared" si="11"/>
        <v>0</v>
      </c>
      <c r="W78" t="s">
        <v>65</v>
      </c>
      <c r="X78" s="428"/>
      <c r="Y78" s="428"/>
      <c r="Z78" s="428"/>
    </row>
    <row r="79" spans="1:26" x14ac:dyDescent="0.35">
      <c r="A79">
        <v>82</v>
      </c>
      <c r="B79">
        <f>'Loan Book'!D82</f>
        <v>78</v>
      </c>
      <c r="C79" t="str">
        <f>'Loan Book'!E82</f>
        <v>Kwithu Producers and Marketing Co 2</v>
      </c>
      <c r="D79" t="str">
        <f>'Loan Book'!F82</f>
        <v>Debt</v>
      </c>
      <c r="E79" s="426">
        <f>'Loan Book'!G82</f>
        <v>45216</v>
      </c>
      <c r="F79" s="427">
        <f>'Loan Book'!L82</f>
        <v>164000000</v>
      </c>
      <c r="G79" s="427">
        <f>'Loan Book'!M82</f>
        <v>164000000</v>
      </c>
      <c r="H79" s="427">
        <f>'Loan Book'!O82</f>
        <v>164000000</v>
      </c>
      <c r="I79" s="427">
        <f>'Loan Book'!R82</f>
        <v>134856097.47382379</v>
      </c>
      <c r="J79" t="s">
        <v>144</v>
      </c>
      <c r="K79" t="s">
        <v>64</v>
      </c>
      <c r="L79" t="str">
        <f>IFERROR(INDEX('E-Banker master'!$B$2:$B$186,MATCH($J79,'E-Banker master'!$A$2:$A$186,0)),"")</f>
        <v>Kwithu Kitchens 2</v>
      </c>
      <c r="M79" s="426">
        <f>IFERROR(INDEX('E-Banker master'!$H$2:$H$186,MATCH($J79,'E-Banker master'!$A$2:$A$186,0)),"")</f>
        <v>45216</v>
      </c>
      <c r="N79" s="427">
        <f>IFERROR(INDEX('E-Banker master'!$I$2:$I$186,MATCH($J79,'E-Banker master'!$A$2:$A$186,0)),"")</f>
        <v>164000000</v>
      </c>
      <c r="O79" s="427">
        <f>IFERROR(INDEX('E-Banker master'!$N$2:$N$186,MATCH($J79,'E-Banker master'!$A$2:$A$186,0)),"")</f>
        <v>164000000</v>
      </c>
      <c r="P79" s="427">
        <f>IFERROR(INDEX('E-Banker master'!$P$2:$P$186,MATCH($J79,'E-Banker master'!$A$2:$A$186,0)),"")</f>
        <v>134900520.88999999</v>
      </c>
      <c r="Q79" s="426">
        <f>IFERROR(INDEX('E-Banker master'!$Q$2:$Q$186,MATCH($J79,'E-Banker master'!$A$2:$A$186,0)),"")</f>
        <v>45216</v>
      </c>
      <c r="R79" t="str">
        <f>IFERROR(INDEX('E-Banker master'!$E$2:$E$186,MATCH($J79,'E-Banker master'!$A$2:$A$186,0)),"")</f>
        <v>A</v>
      </c>
      <c r="S79" t="str">
        <f t="shared" si="8"/>
        <v>Yes</v>
      </c>
      <c r="T79" t="str">
        <f t="shared" si="9"/>
        <v>Within 2%</v>
      </c>
      <c r="U79" t="str">
        <f t="shared" si="10"/>
        <v>Yes</v>
      </c>
      <c r="V79">
        <f t="shared" si="11"/>
        <v>0</v>
      </c>
      <c r="W79" t="s">
        <v>145</v>
      </c>
      <c r="X79" s="428"/>
      <c r="Y79" s="428"/>
      <c r="Z79" s="428"/>
    </row>
    <row r="80" spans="1:26" x14ac:dyDescent="0.35">
      <c r="A80">
        <v>83</v>
      </c>
      <c r="B80">
        <f>'Loan Book'!D83</f>
        <v>79</v>
      </c>
      <c r="C80" t="str">
        <f>'Loan Book'!E83</f>
        <v>Green Pharmacy</v>
      </c>
      <c r="D80" t="str">
        <f>'Loan Book'!F83</f>
        <v>Debt</v>
      </c>
      <c r="E80" s="426">
        <f>'Loan Book'!G83</f>
        <v>45222</v>
      </c>
      <c r="F80" s="427">
        <f>'Loan Book'!L83</f>
        <v>22000000</v>
      </c>
      <c r="G80" s="427">
        <f>'Loan Book'!M83</f>
        <v>22000000</v>
      </c>
      <c r="H80" s="427">
        <f>'Loan Book'!O83</f>
        <v>22000000</v>
      </c>
      <c r="I80" s="427">
        <f>'Loan Book'!R83</f>
        <v>24245203.898484107</v>
      </c>
      <c r="J80" t="s">
        <v>146</v>
      </c>
      <c r="K80" t="s">
        <v>64</v>
      </c>
      <c r="L80" t="str">
        <f>IFERROR(INDEX('E-Banker master'!$B$2:$B$186,MATCH($J80,'E-Banker master'!$A$2:$A$186,0)),"")</f>
        <v>Green Pharmacy</v>
      </c>
      <c r="M80" s="426">
        <f>IFERROR(INDEX('E-Banker master'!$H$2:$H$186,MATCH($J80,'E-Banker master'!$A$2:$A$186,0)),"")</f>
        <v>45219</v>
      </c>
      <c r="N80" s="427">
        <f>IFERROR(INDEX('E-Banker master'!$I$2:$I$186,MATCH($J80,'E-Banker master'!$A$2:$A$186,0)),"")</f>
        <v>22000000</v>
      </c>
      <c r="O80" s="427">
        <f>IFERROR(INDEX('E-Banker master'!$N$2:$N$186,MATCH($J80,'E-Banker master'!$A$2:$A$186,0)),"")</f>
        <v>22000000</v>
      </c>
      <c r="P80" s="427">
        <f>IFERROR(INDEX('E-Banker master'!$P$2:$P$186,MATCH($J80,'E-Banker master'!$A$2:$A$186,0)),"")</f>
        <v>24338392.329999998</v>
      </c>
      <c r="Q80" s="426">
        <f>IFERROR(INDEX('E-Banker master'!$Q$2:$Q$186,MATCH($J80,'E-Banker master'!$A$2:$A$186,0)),"")</f>
        <v>45222</v>
      </c>
      <c r="R80" t="str">
        <f>IFERROR(INDEX('E-Banker master'!$E$2:$E$186,MATCH($J80,'E-Banker master'!$A$2:$A$186,0)),"")</f>
        <v>D</v>
      </c>
      <c r="S80" t="str">
        <f t="shared" si="8"/>
        <v>Yes</v>
      </c>
      <c r="T80" t="str">
        <f t="shared" si="9"/>
        <v>Within 2%</v>
      </c>
      <c r="U80" t="str">
        <f t="shared" si="10"/>
        <v>Yes</v>
      </c>
      <c r="V80">
        <f t="shared" si="11"/>
        <v>0</v>
      </c>
      <c r="W80" t="s">
        <v>65</v>
      </c>
      <c r="X80" s="428"/>
      <c r="Y80" s="428"/>
      <c r="Z80" s="428"/>
    </row>
    <row r="81" spans="1:26" x14ac:dyDescent="0.35">
      <c r="A81">
        <v>84</v>
      </c>
      <c r="B81">
        <f>'Loan Book'!D84</f>
        <v>80</v>
      </c>
      <c r="C81" t="str">
        <f>'Loan Book'!E84</f>
        <v>Lilongwe Private Clinic</v>
      </c>
      <c r="D81" t="str">
        <f>'Loan Book'!F84</f>
        <v>Debt</v>
      </c>
      <c r="E81" s="426">
        <f>'Loan Book'!G84</f>
        <v>45217</v>
      </c>
      <c r="F81" s="427">
        <f>'Loan Book'!L84</f>
        <v>150000000</v>
      </c>
      <c r="G81" s="427">
        <f>'Loan Book'!M84</f>
        <v>150000000</v>
      </c>
      <c r="H81" s="427">
        <f>'Loan Book'!O84</f>
        <v>150000000</v>
      </c>
      <c r="I81" s="427">
        <f>'Loan Book'!R84</f>
        <v>136407549.3523505</v>
      </c>
      <c r="J81" t="s">
        <v>147</v>
      </c>
      <c r="K81" t="s">
        <v>64</v>
      </c>
      <c r="L81" t="str">
        <f>IFERROR(INDEX('E-Banker master'!$B$2:$B$186,MATCH($J81,'E-Banker master'!$A$2:$A$186,0)),"")</f>
        <v>Lilongwe Private Clinic</v>
      </c>
      <c r="M81" s="426">
        <f>IFERROR(INDEX('E-Banker master'!$H$2:$H$186,MATCH($J81,'E-Banker master'!$A$2:$A$186,0)),"")</f>
        <v>45216</v>
      </c>
      <c r="N81" s="427">
        <f>IFERROR(INDEX('E-Banker master'!$I$2:$I$186,MATCH($J81,'E-Banker master'!$A$2:$A$186,0)),"")</f>
        <v>150000000</v>
      </c>
      <c r="O81" s="427">
        <f>IFERROR(INDEX('E-Banker master'!$N$2:$N$186,MATCH($J81,'E-Banker master'!$A$2:$A$186,0)),"")</f>
        <v>150000000</v>
      </c>
      <c r="P81" s="427">
        <f>IFERROR(INDEX('E-Banker master'!$P$2:$P$186,MATCH($J81,'E-Banker master'!$A$2:$A$186,0)),"")</f>
        <v>136451765.05000001</v>
      </c>
      <c r="Q81" s="426">
        <f>IFERROR(INDEX('E-Banker master'!$Q$2:$Q$186,MATCH($J81,'E-Banker master'!$A$2:$A$186,0)),"")</f>
        <v>45217</v>
      </c>
      <c r="R81" t="str">
        <f>IFERROR(INDEX('E-Banker master'!$E$2:$E$186,MATCH($J81,'E-Banker master'!$A$2:$A$186,0)),"")</f>
        <v>A</v>
      </c>
      <c r="S81" t="str">
        <f t="shared" si="8"/>
        <v>Yes</v>
      </c>
      <c r="T81" t="str">
        <f t="shared" si="9"/>
        <v>Within 2%</v>
      </c>
      <c r="U81" t="str">
        <f t="shared" si="10"/>
        <v>Yes</v>
      </c>
      <c r="V81">
        <f t="shared" si="11"/>
        <v>0</v>
      </c>
      <c r="W81" t="s">
        <v>65</v>
      </c>
      <c r="X81" s="428"/>
      <c r="Y81" s="428"/>
      <c r="Z81" s="428"/>
    </row>
    <row r="82" spans="1:26" x14ac:dyDescent="0.35">
      <c r="A82">
        <v>85</v>
      </c>
      <c r="B82">
        <f>'Loan Book'!D85</f>
        <v>81</v>
      </c>
      <c r="C82" t="str">
        <f>'Loan Book'!E85</f>
        <v>F&amp;K Construction</v>
      </c>
      <c r="D82" t="str">
        <f>'Loan Book'!F85</f>
        <v>Debt</v>
      </c>
      <c r="E82" s="426">
        <f>'Loan Book'!G85</f>
        <v>45217</v>
      </c>
      <c r="F82" s="427">
        <f>'Loan Book'!L85</f>
        <v>120000000</v>
      </c>
      <c r="G82" s="427">
        <f>'Loan Book'!M85</f>
        <v>120000000</v>
      </c>
      <c r="H82" s="427">
        <f>'Loan Book'!O85</f>
        <v>120000000</v>
      </c>
      <c r="I82" s="427">
        <f>'Loan Book'!R85</f>
        <v>106316251.08188041</v>
      </c>
      <c r="J82" t="s">
        <v>148</v>
      </c>
      <c r="K82" t="s">
        <v>64</v>
      </c>
      <c r="L82" t="str">
        <f>IFERROR(INDEX('E-Banker master'!$B$2:$B$186,MATCH($J82,'E-Banker master'!$A$2:$A$186,0)),"")</f>
        <v>F&amp;K Construction</v>
      </c>
      <c r="M82" s="426">
        <f>IFERROR(INDEX('E-Banker master'!$H$2:$H$186,MATCH($J82,'E-Banker master'!$A$2:$A$186,0)),"")</f>
        <v>45204</v>
      </c>
      <c r="N82" s="427">
        <f>IFERROR(INDEX('E-Banker master'!$I$2:$I$186,MATCH($J82,'E-Banker master'!$A$2:$A$186,0)),"")</f>
        <v>120000000</v>
      </c>
      <c r="O82" s="427">
        <f>IFERROR(INDEX('E-Banker master'!$N$2:$N$186,MATCH($J82,'E-Banker master'!$A$2:$A$186,0)),"")</f>
        <v>120000000</v>
      </c>
      <c r="P82" s="427">
        <f>IFERROR(INDEX('E-Banker master'!$P$2:$P$186,MATCH($J82,'E-Banker master'!$A$2:$A$186,0)),"")</f>
        <v>106376318.79000001</v>
      </c>
      <c r="Q82" s="426">
        <f>IFERROR(INDEX('E-Banker master'!$Q$2:$Q$186,MATCH($J82,'E-Banker master'!$A$2:$A$186,0)),"")</f>
        <v>45217</v>
      </c>
      <c r="R82" t="str">
        <f>IFERROR(INDEX('E-Banker master'!$E$2:$E$186,MATCH($J82,'E-Banker master'!$A$2:$A$186,0)),"")</f>
        <v>A</v>
      </c>
      <c r="S82" t="str">
        <f t="shared" si="8"/>
        <v>Yes</v>
      </c>
      <c r="T82" t="str">
        <f t="shared" si="9"/>
        <v>Within 2%</v>
      </c>
      <c r="U82" t="str">
        <f t="shared" si="10"/>
        <v>Yes</v>
      </c>
      <c r="V82">
        <f t="shared" si="11"/>
        <v>0</v>
      </c>
      <c r="W82" t="s">
        <v>65</v>
      </c>
      <c r="X82" s="428"/>
      <c r="Y82" s="428"/>
      <c r="Z82" s="428"/>
    </row>
    <row r="83" spans="1:26" x14ac:dyDescent="0.35">
      <c r="A83">
        <v>86</v>
      </c>
      <c r="B83">
        <f>'Loan Book'!D86</f>
        <v>82</v>
      </c>
      <c r="C83" t="str">
        <f>'Loan Book'!E86</f>
        <v>Sanwecka Tech Companions</v>
      </c>
      <c r="D83" t="str">
        <f>'Loan Book'!F86</f>
        <v>Debt</v>
      </c>
      <c r="E83" s="426">
        <f>'Loan Book'!G86</f>
        <v>45252</v>
      </c>
      <c r="F83" s="427">
        <f>'Loan Book'!L86</f>
        <v>60000000</v>
      </c>
      <c r="G83" s="427">
        <f>'Loan Book'!M86</f>
        <v>60000000</v>
      </c>
      <c r="H83" s="427">
        <f>'Loan Book'!O86</f>
        <v>60000000</v>
      </c>
      <c r="I83" s="427">
        <f>'Loan Book'!R86</f>
        <v>45414329.850247353</v>
      </c>
      <c r="J83" t="s">
        <v>149</v>
      </c>
      <c r="K83" t="s">
        <v>64</v>
      </c>
      <c r="L83" t="str">
        <f>IFERROR(INDEX('E-Banker master'!$B$2:$B$186,MATCH($J83,'E-Banker master'!$A$2:$A$186,0)),"")</f>
        <v>Sanwecka Tech Companions</v>
      </c>
      <c r="M83" s="426">
        <f>IFERROR(INDEX('E-Banker master'!$H$2:$H$186,MATCH($J83,'E-Banker master'!$A$2:$A$186,0)),"")</f>
        <v>45259</v>
      </c>
      <c r="N83" s="427">
        <f>IFERROR(INDEX('E-Banker master'!$I$2:$I$186,MATCH($J83,'E-Banker master'!$A$2:$A$186,0)),"")</f>
        <v>60000000</v>
      </c>
      <c r="O83" s="427">
        <f>IFERROR(INDEX('E-Banker master'!$N$2:$N$186,MATCH($J83,'E-Banker master'!$A$2:$A$186,0)),"")</f>
        <v>60000000</v>
      </c>
      <c r="P83" s="427">
        <f>IFERROR(INDEX('E-Banker master'!$P$2:$P$186,MATCH($J83,'E-Banker master'!$A$2:$A$186,0)),"")</f>
        <v>45402003.850000001</v>
      </c>
      <c r="Q83" s="426">
        <f>IFERROR(INDEX('E-Banker master'!$Q$2:$Q$186,MATCH($J83,'E-Banker master'!$A$2:$A$186,0)),"")</f>
        <v>45252</v>
      </c>
      <c r="R83" t="str">
        <f>IFERROR(INDEX('E-Banker master'!$E$2:$E$186,MATCH($J83,'E-Banker master'!$A$2:$A$186,0)),"")</f>
        <v>A</v>
      </c>
      <c r="S83" t="str">
        <f t="shared" si="8"/>
        <v>Yes</v>
      </c>
      <c r="T83" t="str">
        <f t="shared" si="9"/>
        <v>Within 2%</v>
      </c>
      <c r="U83" t="str">
        <f t="shared" si="10"/>
        <v>Yes</v>
      </c>
      <c r="V83">
        <f t="shared" si="11"/>
        <v>0</v>
      </c>
      <c r="W83" t="s">
        <v>65</v>
      </c>
      <c r="X83" s="428"/>
      <c r="Y83" s="428"/>
      <c r="Z83" s="428"/>
    </row>
    <row r="84" spans="1:26" x14ac:dyDescent="0.35">
      <c r="A84">
        <v>87</v>
      </c>
      <c r="B84">
        <f>'Loan Book'!D87</f>
        <v>83</v>
      </c>
      <c r="C84" t="str">
        <f>'Loan Book'!E87</f>
        <v>Chuma Chikomanya</v>
      </c>
      <c r="D84" t="str">
        <f>'Loan Book'!F87</f>
        <v>Debt</v>
      </c>
      <c r="E84" s="426">
        <f>'Loan Book'!G87</f>
        <v>45261</v>
      </c>
      <c r="F84" s="427">
        <f>'Loan Book'!L87</f>
        <v>30000000</v>
      </c>
      <c r="G84" s="427">
        <f>'Loan Book'!M87</f>
        <v>30000000</v>
      </c>
      <c r="H84" s="427">
        <f>'Loan Book'!O87</f>
        <v>30000000</v>
      </c>
      <c r="I84" s="427">
        <f>'Loan Book'!R87</f>
        <v>31627922.075391054</v>
      </c>
      <c r="J84" t="s">
        <v>150</v>
      </c>
      <c r="K84" t="s">
        <v>64</v>
      </c>
      <c r="L84" t="str">
        <f>IFERROR(INDEX('E-Banker master'!$B$2:$B$186,MATCH($J84,'E-Banker master'!$A$2:$A$186,0)),"")</f>
        <v>Chuma Mkandawire TA Chikoma Estates</v>
      </c>
      <c r="M84" s="426">
        <f>IFERROR(INDEX('E-Banker master'!$H$2:$H$186,MATCH($J84,'E-Banker master'!$A$2:$A$186,0)),"")</f>
        <v>45261</v>
      </c>
      <c r="N84" s="427">
        <f>IFERROR(INDEX('E-Banker master'!$I$2:$I$186,MATCH($J84,'E-Banker master'!$A$2:$A$186,0)),"")</f>
        <v>30000000</v>
      </c>
      <c r="O84" s="427">
        <f>IFERROR(INDEX('E-Banker master'!$N$2:$N$186,MATCH($J84,'E-Banker master'!$A$2:$A$186,0)),"")</f>
        <v>30000000</v>
      </c>
      <c r="P84" s="427">
        <f>IFERROR(INDEX('E-Banker master'!$P$2:$P$186,MATCH($J84,'E-Banker master'!$A$2:$A$186,0)),"")</f>
        <v>32232512.18</v>
      </c>
      <c r="Q84" s="426">
        <f>IFERROR(INDEX('E-Banker master'!$Q$2:$Q$186,MATCH($J84,'E-Banker master'!$A$2:$A$186,0)),"")</f>
        <v>44985</v>
      </c>
      <c r="R84" t="str">
        <f>IFERROR(INDEX('E-Banker master'!$E$2:$E$186,MATCH($J84,'E-Banker master'!$A$2:$A$186,0)),"")</f>
        <v>H</v>
      </c>
      <c r="S84" t="str">
        <f t="shared" si="8"/>
        <v>Yes</v>
      </c>
      <c r="T84" t="str">
        <f t="shared" si="9"/>
        <v>Within 2%</v>
      </c>
      <c r="U84" t="str">
        <f t="shared" si="10"/>
        <v>Yes</v>
      </c>
      <c r="V84">
        <f t="shared" si="11"/>
        <v>276</v>
      </c>
      <c r="W84" t="s">
        <v>145</v>
      </c>
      <c r="X84" s="428"/>
      <c r="Y84" s="428"/>
      <c r="Z84" s="428"/>
    </row>
    <row r="85" spans="1:26" x14ac:dyDescent="0.35">
      <c r="A85">
        <v>88</v>
      </c>
      <c r="B85">
        <f>'Loan Book'!D88</f>
        <v>84</v>
      </c>
      <c r="C85" t="str">
        <f>'Loan Book'!E88</f>
        <v>DR PRINT</v>
      </c>
      <c r="D85" t="str">
        <f>'Loan Book'!F88</f>
        <v>Debt</v>
      </c>
      <c r="E85" s="426">
        <f>'Loan Book'!G88</f>
        <v>45288</v>
      </c>
      <c r="F85" s="427">
        <f>'Loan Book'!L88</f>
        <v>120000000</v>
      </c>
      <c r="G85" s="427">
        <f>'Loan Book'!M88</f>
        <v>120000000</v>
      </c>
      <c r="H85" s="427">
        <f>'Loan Book'!O88</f>
        <v>120000000</v>
      </c>
      <c r="I85" s="427">
        <f>'Loan Book'!R88</f>
        <v>120620460.77354716</v>
      </c>
      <c r="J85" t="s">
        <v>151</v>
      </c>
      <c r="K85" t="s">
        <v>64</v>
      </c>
      <c r="L85" t="str">
        <f>IFERROR(INDEX('E-Banker master'!$B$2:$B$186,MATCH($J85,'E-Banker master'!$A$2:$A$186,0)),"")</f>
        <v>Dr Print</v>
      </c>
      <c r="M85" s="426">
        <f>IFERROR(INDEX('E-Banker master'!$H$2:$H$186,MATCH($J85,'E-Banker master'!$A$2:$A$186,0)),"")</f>
        <v>45288</v>
      </c>
      <c r="N85" s="427">
        <f>IFERROR(INDEX('E-Banker master'!$I$2:$I$186,MATCH($J85,'E-Banker master'!$A$2:$A$186,0)),"")</f>
        <v>120000000</v>
      </c>
      <c r="O85" s="427">
        <f>IFERROR(INDEX('E-Banker master'!$N$2:$N$186,MATCH($J85,'E-Banker master'!$A$2:$A$186,0)),"")</f>
        <v>120000000</v>
      </c>
      <c r="P85" s="427">
        <f>IFERROR(INDEX('E-Banker master'!$P$2:$P$186,MATCH($J85,'E-Banker master'!$A$2:$A$186,0)),"")</f>
        <v>120829331.66</v>
      </c>
      <c r="Q85" s="426">
        <f>IFERROR(INDEX('E-Banker master'!$Q$2:$Q$186,MATCH($J85,'E-Banker master'!$A$2:$A$186,0)),"")</f>
        <v>45288</v>
      </c>
      <c r="R85" t="str">
        <f>IFERROR(INDEX('E-Banker master'!$E$2:$E$186,MATCH($J85,'E-Banker master'!$A$2:$A$186,0)),"")</f>
        <v>A</v>
      </c>
      <c r="S85" t="str">
        <f t="shared" si="8"/>
        <v>Yes</v>
      </c>
      <c r="T85" t="str">
        <f t="shared" si="9"/>
        <v>Within 2%</v>
      </c>
      <c r="U85" t="str">
        <f t="shared" si="10"/>
        <v>Yes</v>
      </c>
      <c r="V85">
        <f t="shared" si="11"/>
        <v>0</v>
      </c>
      <c r="W85" t="s">
        <v>65</v>
      </c>
      <c r="X85" s="428"/>
      <c r="Y85" s="428"/>
      <c r="Z85" s="428"/>
    </row>
    <row r="86" spans="1:26" x14ac:dyDescent="0.35">
      <c r="A86">
        <v>89</v>
      </c>
      <c r="B86">
        <f>'Loan Book'!D89</f>
        <v>85</v>
      </c>
      <c r="C86" t="str">
        <f>'Loan Book'!E89</f>
        <v>Ziweto Zathanzi Veterinary Shop</v>
      </c>
      <c r="D86" t="str">
        <f>'Loan Book'!F89</f>
        <v>Debt</v>
      </c>
      <c r="E86" s="426">
        <f>'Loan Book'!G89</f>
        <v>45273</v>
      </c>
      <c r="F86" s="427">
        <f>'Loan Book'!L89</f>
        <v>10000000</v>
      </c>
      <c r="G86" s="427">
        <f>'Loan Book'!M89</f>
        <v>10000000</v>
      </c>
      <c r="H86" s="427">
        <f>'Loan Book'!O89</f>
        <v>10000000</v>
      </c>
      <c r="I86" s="427">
        <f>'Loan Book'!R89</f>
        <v>7899047.5358439945</v>
      </c>
      <c r="J86" t="s">
        <v>152</v>
      </c>
      <c r="K86" t="s">
        <v>64</v>
      </c>
      <c r="L86" t="str">
        <f>IFERROR(INDEX('E-Banker master'!$B$2:$B$186,MATCH($J86,'E-Banker master'!$A$2:$A$186,0)),"")</f>
        <v>Ziweto Zathanzi Veterinary Shop</v>
      </c>
      <c r="M86" s="426">
        <f>IFERROR(INDEX('E-Banker master'!$H$2:$H$186,MATCH($J86,'E-Banker master'!$A$2:$A$186,0)),"")</f>
        <v>45272</v>
      </c>
      <c r="N86" s="427">
        <f>IFERROR(INDEX('E-Banker master'!$I$2:$I$186,MATCH($J86,'E-Banker master'!$A$2:$A$186,0)),"")</f>
        <v>10000000</v>
      </c>
      <c r="O86" s="427">
        <f>IFERROR(INDEX('E-Banker master'!$N$2:$N$186,MATCH($J86,'E-Banker master'!$A$2:$A$186,0)),"")</f>
        <v>10000000</v>
      </c>
      <c r="P86" s="427">
        <f>IFERROR(INDEX('E-Banker master'!$P$2:$P$186,MATCH($J86,'E-Banker master'!$A$2:$A$186,0)),"")</f>
        <v>7917794.6699999999</v>
      </c>
      <c r="Q86" s="426">
        <f>IFERROR(INDEX('E-Banker master'!$Q$2:$Q$186,MATCH($J86,'E-Banker master'!$A$2:$A$186,0)),"")</f>
        <v>45273</v>
      </c>
      <c r="R86" t="str">
        <f>IFERROR(INDEX('E-Banker master'!$E$2:$E$186,MATCH($J86,'E-Banker master'!$A$2:$A$186,0)),"")</f>
        <v>A</v>
      </c>
      <c r="S86" t="str">
        <f t="shared" si="8"/>
        <v>Yes</v>
      </c>
      <c r="T86" t="str">
        <f t="shared" si="9"/>
        <v>Within 2%</v>
      </c>
      <c r="U86" t="str">
        <f t="shared" si="10"/>
        <v>Yes</v>
      </c>
      <c r="V86">
        <f t="shared" si="11"/>
        <v>0</v>
      </c>
      <c r="W86" t="s">
        <v>65</v>
      </c>
      <c r="X86" s="428"/>
      <c r="Y86" s="428"/>
      <c r="Z86" s="428"/>
    </row>
    <row r="87" spans="1:26" x14ac:dyDescent="0.35">
      <c r="A87">
        <v>90</v>
      </c>
      <c r="B87">
        <f>'Loan Book'!D90</f>
        <v>86</v>
      </c>
      <c r="C87" t="str">
        <f>'Loan Book'!E90</f>
        <v>MMC Limited</v>
      </c>
      <c r="D87" t="str">
        <f>'Loan Book'!F90</f>
        <v>Debt</v>
      </c>
      <c r="E87" s="426">
        <f>'Loan Book'!G90</f>
        <v>45317</v>
      </c>
      <c r="F87" s="427">
        <f>'Loan Book'!L90</f>
        <v>144500000</v>
      </c>
      <c r="G87" s="427">
        <f>'Loan Book'!M90</f>
        <v>144500000</v>
      </c>
      <c r="H87" s="427">
        <f>'Loan Book'!O90</f>
        <v>144500000</v>
      </c>
      <c r="I87" s="427">
        <f>'Loan Book'!R90</f>
        <v>155915144.91886964</v>
      </c>
      <c r="J87" t="s">
        <v>153</v>
      </c>
      <c r="K87" t="s">
        <v>64</v>
      </c>
      <c r="L87" t="str">
        <f>IFERROR(INDEX('E-Banker master'!$B$2:$B$186,MATCH($J87,'E-Banker master'!$A$2:$A$186,0)),"")</f>
        <v>MMC Limited</v>
      </c>
      <c r="M87" s="426">
        <f>IFERROR(INDEX('E-Banker master'!$H$2:$H$186,MATCH($J87,'E-Banker master'!$A$2:$A$186,0)),"")</f>
        <v>44918</v>
      </c>
      <c r="N87" s="427">
        <f>IFERROR(INDEX('E-Banker master'!$I$2:$I$186,MATCH($J87,'E-Banker master'!$A$2:$A$186,0)),"")</f>
        <v>144500000</v>
      </c>
      <c r="O87" s="427">
        <f>IFERROR(INDEX('E-Banker master'!$N$2:$N$186,MATCH($J87,'E-Banker master'!$A$2:$A$186,0)),"")</f>
        <v>144500000</v>
      </c>
      <c r="P87" s="427">
        <f>IFERROR(INDEX('E-Banker master'!$P$2:$P$186,MATCH($J87,'E-Banker master'!$A$2:$A$186,0)),"")</f>
        <v>155946915.83000001</v>
      </c>
      <c r="Q87" s="426">
        <f>IFERROR(INDEX('E-Banker master'!$Q$2:$Q$186,MATCH($J87,'E-Banker master'!$A$2:$A$186,0)),"")</f>
        <v>45317</v>
      </c>
      <c r="R87" t="str">
        <f>IFERROR(INDEX('E-Banker master'!$E$2:$E$186,MATCH($J87,'E-Banker master'!$A$2:$A$186,0)),"")</f>
        <v>A</v>
      </c>
      <c r="S87" t="str">
        <f t="shared" si="8"/>
        <v>Yes</v>
      </c>
      <c r="T87" t="str">
        <f t="shared" si="9"/>
        <v>Within 2%</v>
      </c>
      <c r="U87" t="str">
        <f t="shared" si="10"/>
        <v>Yes</v>
      </c>
      <c r="V87">
        <f t="shared" si="11"/>
        <v>0</v>
      </c>
      <c r="W87" t="s">
        <v>65</v>
      </c>
      <c r="X87" s="428"/>
      <c r="Y87" s="428"/>
      <c r="Z87" s="428"/>
    </row>
    <row r="88" spans="1:26" x14ac:dyDescent="0.35">
      <c r="A88">
        <v>91</v>
      </c>
      <c r="B88">
        <f>'Loan Book'!D91</f>
        <v>87</v>
      </c>
      <c r="C88" t="str">
        <f>'Loan Book'!E91</f>
        <v>Chambaika Milling Company</v>
      </c>
      <c r="D88" t="str">
        <f>'Loan Book'!F91</f>
        <v>Debt</v>
      </c>
      <c r="E88" s="426">
        <f>'Loan Book'!G91</f>
        <v>45323</v>
      </c>
      <c r="F88" s="427">
        <f>'Loan Book'!L91</f>
        <v>350660000</v>
      </c>
      <c r="G88" s="427">
        <f>'Loan Book'!M91</f>
        <v>350660000</v>
      </c>
      <c r="H88" s="427">
        <f>'Loan Book'!O91</f>
        <v>350660000</v>
      </c>
      <c r="I88" s="427">
        <f>'Loan Book'!R91</f>
        <v>377853410.83239698</v>
      </c>
      <c r="J88" t="s">
        <v>154</v>
      </c>
      <c r="K88" t="s">
        <v>64</v>
      </c>
      <c r="L88" t="str">
        <f>IFERROR(INDEX('E-Banker master'!$B$2:$B$186,MATCH($J88,'E-Banker master'!$A$2:$A$186,0)),"")</f>
        <v>Chambaika Milling Company</v>
      </c>
      <c r="M88" s="426">
        <f>IFERROR(INDEX('E-Banker master'!$H$2:$H$186,MATCH($J88,'E-Banker master'!$A$2:$A$186,0)),"")</f>
        <v>45323</v>
      </c>
      <c r="N88" s="427">
        <f>IFERROR(INDEX('E-Banker master'!$I$2:$I$186,MATCH($J88,'E-Banker master'!$A$2:$A$186,0)),"")</f>
        <v>350660000</v>
      </c>
      <c r="O88" s="427">
        <f>IFERROR(INDEX('E-Banker master'!$N$2:$N$186,MATCH($J88,'E-Banker master'!$A$2:$A$186,0)),"")</f>
        <v>350660000</v>
      </c>
      <c r="P88" s="427">
        <f>IFERROR(INDEX('E-Banker master'!$P$2:$P$186,MATCH($J88,'E-Banker master'!$A$2:$A$186,0)),"")</f>
        <v>377930406.22000003</v>
      </c>
      <c r="Q88" s="426">
        <f>IFERROR(INDEX('E-Banker master'!$Q$2:$Q$186,MATCH($J88,'E-Banker master'!$A$2:$A$186,0)),"")</f>
        <v>45323</v>
      </c>
      <c r="R88" t="str">
        <f>IFERROR(INDEX('E-Banker master'!$E$2:$E$186,MATCH($J88,'E-Banker master'!$A$2:$A$186,0)),"")</f>
        <v>A</v>
      </c>
      <c r="S88" t="str">
        <f t="shared" si="8"/>
        <v>Yes</v>
      </c>
      <c r="T88" t="str">
        <f t="shared" si="9"/>
        <v>Within 2%</v>
      </c>
      <c r="U88" t="str">
        <f t="shared" si="10"/>
        <v>Yes</v>
      </c>
      <c r="V88">
        <f t="shared" si="11"/>
        <v>0</v>
      </c>
      <c r="W88" t="s">
        <v>65</v>
      </c>
      <c r="X88" s="428"/>
      <c r="Y88" s="428"/>
      <c r="Z88" s="428"/>
    </row>
    <row r="89" spans="1:26" x14ac:dyDescent="0.35">
      <c r="A89">
        <v>92</v>
      </c>
      <c r="B89">
        <f>'Loan Book'!D92</f>
        <v>88</v>
      </c>
      <c r="C89" t="str">
        <f>'Loan Book'!E92</f>
        <v>Kings Foundationn Schools</v>
      </c>
      <c r="D89" t="str">
        <f>'Loan Book'!F92</f>
        <v>Debt</v>
      </c>
      <c r="E89" s="426">
        <f>'Loan Book'!G92</f>
        <v>45323</v>
      </c>
      <c r="F89" s="427">
        <f>'Loan Book'!L92</f>
        <v>200000000</v>
      </c>
      <c r="G89" s="427">
        <f>'Loan Book'!M92</f>
        <v>200000000</v>
      </c>
      <c r="H89" s="427">
        <f>'Loan Book'!O92</f>
        <v>200000000</v>
      </c>
      <c r="I89" s="427">
        <f>'Loan Book'!R92</f>
        <v>199236804.02153265</v>
      </c>
      <c r="J89" t="s">
        <v>155</v>
      </c>
      <c r="K89" t="s">
        <v>64</v>
      </c>
      <c r="L89" t="str">
        <f>IFERROR(INDEX('E-Banker master'!$B$2:$B$186,MATCH($J89,'E-Banker master'!$A$2:$A$186,0)),"")</f>
        <v>Kings Foundationn Schools</v>
      </c>
      <c r="M89" s="426">
        <f>IFERROR(INDEX('E-Banker master'!$H$2:$H$186,MATCH($J89,'E-Banker master'!$A$2:$A$186,0)),"")</f>
        <v>45323</v>
      </c>
      <c r="N89" s="427">
        <f>IFERROR(INDEX('E-Banker master'!$I$2:$I$186,MATCH($J89,'E-Banker master'!$A$2:$A$186,0)),"")</f>
        <v>200000000</v>
      </c>
      <c r="O89" s="427">
        <f>IFERROR(INDEX('E-Banker master'!$N$2:$N$186,MATCH($J89,'E-Banker master'!$A$2:$A$186,0)),"")</f>
        <v>200000000</v>
      </c>
      <c r="P89" s="427">
        <f>IFERROR(INDEX('E-Banker master'!$P$2:$P$186,MATCH($J89,'E-Banker master'!$A$2:$A$186,0)),"")</f>
        <v>199386933.16</v>
      </c>
      <c r="Q89" s="426">
        <f>IFERROR(INDEX('E-Banker master'!$Q$2:$Q$186,MATCH($J89,'E-Banker master'!$A$2:$A$186,0)),"")</f>
        <v>45323</v>
      </c>
      <c r="R89" t="str">
        <f>IFERROR(INDEX('E-Banker master'!$E$2:$E$186,MATCH($J89,'E-Banker master'!$A$2:$A$186,0)),"")</f>
        <v>A</v>
      </c>
      <c r="S89" t="str">
        <f t="shared" si="8"/>
        <v>Yes</v>
      </c>
      <c r="T89" t="str">
        <f t="shared" si="9"/>
        <v>Within 2%</v>
      </c>
      <c r="U89" t="str">
        <f t="shared" si="10"/>
        <v>Yes</v>
      </c>
      <c r="V89">
        <f t="shared" si="11"/>
        <v>0</v>
      </c>
      <c r="W89" t="s">
        <v>65</v>
      </c>
      <c r="X89" s="428"/>
      <c r="Y89" s="428"/>
      <c r="Z89" s="428"/>
    </row>
    <row r="90" spans="1:26" x14ac:dyDescent="0.35">
      <c r="A90">
        <v>93</v>
      </c>
      <c r="B90">
        <f>'Loan Book'!D93</f>
        <v>89</v>
      </c>
      <c r="C90" t="str">
        <f>'Loan Book'!E93</f>
        <v>Malasha Briquettes Limited</v>
      </c>
      <c r="D90" t="str">
        <f>'Loan Book'!F93</f>
        <v>Debt</v>
      </c>
      <c r="E90" s="426">
        <f>'Loan Book'!G93</f>
        <v>45323</v>
      </c>
      <c r="F90" s="427">
        <f>'Loan Book'!L93</f>
        <v>17000000</v>
      </c>
      <c r="G90" s="427">
        <f>'Loan Book'!M93</f>
        <v>17000000</v>
      </c>
      <c r="H90" s="427">
        <f>'Loan Book'!O93</f>
        <v>17000000</v>
      </c>
      <c r="I90" s="427">
        <f>'Loan Book'!R93</f>
        <v>12754884.937501984</v>
      </c>
      <c r="J90" t="s">
        <v>156</v>
      </c>
      <c r="K90" t="s">
        <v>64</v>
      </c>
      <c r="L90" t="str">
        <f>IFERROR(INDEX('E-Banker master'!$B$2:$B$186,MATCH($J90,'E-Banker master'!$A$2:$A$186,0)),"")</f>
        <v>Malasha Briquettes Limited</v>
      </c>
      <c r="M90" s="426">
        <f>IFERROR(INDEX('E-Banker master'!$H$2:$H$186,MATCH($J90,'E-Banker master'!$A$2:$A$186,0)),"")</f>
        <v>45323</v>
      </c>
      <c r="N90" s="427">
        <f>IFERROR(INDEX('E-Banker master'!$I$2:$I$186,MATCH($J90,'E-Banker master'!$A$2:$A$186,0)),"")</f>
        <v>17000000</v>
      </c>
      <c r="O90" s="427">
        <f>IFERROR(INDEX('E-Banker master'!$N$2:$N$186,MATCH($J90,'E-Banker master'!$A$2:$A$186,0)),"")</f>
        <v>17000000</v>
      </c>
      <c r="P90" s="427">
        <f>IFERROR(INDEX('E-Banker master'!$P$2:$P$186,MATCH($J90,'E-Banker master'!$A$2:$A$186,0)),"")</f>
        <v>12758872.960000001</v>
      </c>
      <c r="Q90" s="426">
        <f>IFERROR(INDEX('E-Banker master'!$Q$2:$Q$186,MATCH($J90,'E-Banker master'!$A$2:$A$186,0)),"")</f>
        <v>45323</v>
      </c>
      <c r="R90" t="str">
        <f>IFERROR(INDEX('E-Banker master'!$E$2:$E$186,MATCH($J90,'E-Banker master'!$A$2:$A$186,0)),"")</f>
        <v>A</v>
      </c>
      <c r="S90" t="str">
        <f t="shared" si="8"/>
        <v>Yes</v>
      </c>
      <c r="T90" t="str">
        <f t="shared" si="9"/>
        <v>Within 2%</v>
      </c>
      <c r="U90" t="str">
        <f t="shared" si="10"/>
        <v>Yes</v>
      </c>
      <c r="V90">
        <f t="shared" si="11"/>
        <v>0</v>
      </c>
      <c r="W90" t="s">
        <v>65</v>
      </c>
      <c r="X90" s="428"/>
      <c r="Y90" s="428"/>
      <c r="Z90" s="428"/>
    </row>
    <row r="91" spans="1:26" x14ac:dyDescent="0.35">
      <c r="A91">
        <v>94</v>
      </c>
      <c r="B91">
        <f>'Loan Book'!D94</f>
        <v>90</v>
      </c>
      <c r="C91" t="str">
        <f>'Loan Book'!E94</f>
        <v>Lehome Investment Limited</v>
      </c>
      <c r="D91" t="str">
        <f>'Loan Book'!F94</f>
        <v>Debt</v>
      </c>
      <c r="E91" s="426">
        <f>'Loan Book'!G94</f>
        <v>45342</v>
      </c>
      <c r="F91" s="427">
        <f>'Loan Book'!L94</f>
        <v>150000000</v>
      </c>
      <c r="G91" s="427">
        <f>'Loan Book'!M94</f>
        <v>150000000</v>
      </c>
      <c r="H91" s="427">
        <f>'Loan Book'!O94</f>
        <v>150000000</v>
      </c>
      <c r="I91" s="427">
        <f>'Loan Book'!R94</f>
        <v>147256130.12387747</v>
      </c>
      <c r="J91" t="s">
        <v>157</v>
      </c>
      <c r="K91" t="s">
        <v>64</v>
      </c>
      <c r="L91" t="str">
        <f>IFERROR(INDEX('E-Banker master'!$B$2:$B$186,MATCH($J91,'E-Banker master'!$A$2:$A$186,0)),"")</f>
        <v>Lehome Investment Limited</v>
      </c>
      <c r="M91" s="426">
        <f>IFERROR(INDEX('E-Banker master'!$H$2:$H$186,MATCH($J91,'E-Banker master'!$A$2:$A$186,0)),"")</f>
        <v>45330</v>
      </c>
      <c r="N91" s="427">
        <f>IFERROR(INDEX('E-Banker master'!$I$2:$I$186,MATCH($J91,'E-Banker master'!$A$2:$A$186,0)),"")</f>
        <v>150000000</v>
      </c>
      <c r="O91" s="427">
        <f>IFERROR(INDEX('E-Banker master'!$N$2:$N$186,MATCH($J91,'E-Banker master'!$A$2:$A$186,0)),"")</f>
        <v>150000000</v>
      </c>
      <c r="P91" s="427">
        <f>IFERROR(INDEX('E-Banker master'!$P$2:$P$186,MATCH($J91,'E-Banker master'!$A$2:$A$186,0)),"")</f>
        <v>147295308.09</v>
      </c>
      <c r="Q91" s="426">
        <f>IFERROR(INDEX('E-Banker master'!$Q$2:$Q$186,MATCH($J91,'E-Banker master'!$A$2:$A$186,0)),"")</f>
        <v>45342</v>
      </c>
      <c r="R91" t="str">
        <f>IFERROR(INDEX('E-Banker master'!$E$2:$E$186,MATCH($J91,'E-Banker master'!$A$2:$A$186,0)),"")</f>
        <v>A</v>
      </c>
      <c r="S91" t="str">
        <f t="shared" si="8"/>
        <v>Yes</v>
      </c>
      <c r="T91" t="str">
        <f t="shared" si="9"/>
        <v>Within 2%</v>
      </c>
      <c r="U91" t="str">
        <f t="shared" si="10"/>
        <v>Yes</v>
      </c>
      <c r="V91">
        <f t="shared" si="11"/>
        <v>0</v>
      </c>
      <c r="W91" t="s">
        <v>65</v>
      </c>
      <c r="X91" s="428"/>
      <c r="Y91" s="428"/>
      <c r="Z91" s="428"/>
    </row>
    <row r="92" spans="1:26" x14ac:dyDescent="0.35">
      <c r="A92">
        <v>95</v>
      </c>
      <c r="B92">
        <f>'Loan Book'!D95</f>
        <v>91</v>
      </c>
      <c r="C92" t="str">
        <f>'Loan Book'!E95</f>
        <v>JAT Investments</v>
      </c>
      <c r="D92" t="str">
        <f>'Loan Book'!F95</f>
        <v>Debt</v>
      </c>
      <c r="E92" s="426">
        <f>'Loan Book'!G95</f>
        <v>45330</v>
      </c>
      <c r="F92" s="427">
        <f>'Loan Book'!L95</f>
        <v>130000000</v>
      </c>
      <c r="G92" s="427">
        <f>'Loan Book'!M95</f>
        <v>130000000</v>
      </c>
      <c r="H92" s="427">
        <f>'Loan Book'!O95</f>
        <v>130000000</v>
      </c>
      <c r="I92" s="427">
        <f>'Loan Book'!R95</f>
        <v>124799738.18391517</v>
      </c>
      <c r="J92" t="s">
        <v>158</v>
      </c>
      <c r="K92" t="s">
        <v>64</v>
      </c>
      <c r="L92" t="str">
        <f>IFERROR(INDEX('E-Banker master'!$B$2:$B$186,MATCH($J92,'E-Banker master'!$A$2:$A$186,0)),"")</f>
        <v>JAT Investments</v>
      </c>
      <c r="M92" s="426">
        <f>IFERROR(INDEX('E-Banker master'!$H$2:$H$186,MATCH($J92,'E-Banker master'!$A$2:$A$186,0)),"")</f>
        <v>45330</v>
      </c>
      <c r="N92" s="427">
        <f>IFERROR(INDEX('E-Banker master'!$I$2:$I$186,MATCH($J92,'E-Banker master'!$A$2:$A$186,0)),"")</f>
        <v>130000000</v>
      </c>
      <c r="O92" s="427">
        <f>IFERROR(INDEX('E-Banker master'!$N$2:$N$186,MATCH($J92,'E-Banker master'!$A$2:$A$186,0)),"")</f>
        <v>130000000</v>
      </c>
      <c r="P92" s="427">
        <f>IFERROR(INDEX('E-Banker master'!$P$2:$P$186,MATCH($J92,'E-Banker master'!$A$2:$A$186,0)),"")</f>
        <v>124893754.23</v>
      </c>
      <c r="Q92" s="426">
        <f>IFERROR(INDEX('E-Banker master'!$Q$2:$Q$186,MATCH($J92,'E-Banker master'!$A$2:$A$186,0)),"")</f>
        <v>45330</v>
      </c>
      <c r="R92" t="str">
        <f>IFERROR(INDEX('E-Banker master'!$E$2:$E$186,MATCH($J92,'E-Banker master'!$A$2:$A$186,0)),"")</f>
        <v>A</v>
      </c>
      <c r="S92" t="str">
        <f t="shared" si="8"/>
        <v>Yes</v>
      </c>
      <c r="T92" t="str">
        <f t="shared" si="9"/>
        <v>Within 2%</v>
      </c>
      <c r="U92" t="str">
        <f t="shared" si="10"/>
        <v>Yes</v>
      </c>
      <c r="V92">
        <f t="shared" si="11"/>
        <v>0</v>
      </c>
      <c r="W92" t="s">
        <v>65</v>
      </c>
      <c r="X92" s="428"/>
      <c r="Y92" s="428"/>
      <c r="Z92" s="428"/>
    </row>
    <row r="93" spans="1:26" x14ac:dyDescent="0.35">
      <c r="A93">
        <v>96</v>
      </c>
      <c r="B93">
        <f>'Loan Book'!D96</f>
        <v>92</v>
      </c>
      <c r="C93" t="str">
        <f>'Loan Book'!E96</f>
        <v>Chanje Investments</v>
      </c>
      <c r="D93" t="str">
        <f>'Loan Book'!F96</f>
        <v>Debt</v>
      </c>
      <c r="E93" s="426">
        <f>'Loan Book'!G96</f>
        <v>45351</v>
      </c>
      <c r="F93" s="427">
        <f>'Loan Book'!L96</f>
        <v>200000000</v>
      </c>
      <c r="G93" s="427">
        <f>'Loan Book'!M96</f>
        <v>200000000</v>
      </c>
      <c r="H93" s="427">
        <f>'Loan Book'!O96</f>
        <v>200000000</v>
      </c>
      <c r="I93" s="427">
        <f>'Loan Book'!R96</f>
        <v>213679167.52646255</v>
      </c>
      <c r="J93" t="s">
        <v>159</v>
      </c>
      <c r="K93" t="s">
        <v>64</v>
      </c>
      <c r="L93" t="str">
        <f>IFERROR(INDEX('E-Banker master'!$B$2:$B$186,MATCH($J93,'E-Banker master'!$A$2:$A$186,0)),"")</f>
        <v>Chanje Investments</v>
      </c>
      <c r="M93" s="426">
        <f>IFERROR(INDEX('E-Banker master'!$H$2:$H$186,MATCH($J93,'E-Banker master'!$A$2:$A$186,0)),"")</f>
        <v>45351</v>
      </c>
      <c r="N93" s="427">
        <f>IFERROR(INDEX('E-Banker master'!$I$2:$I$186,MATCH($J93,'E-Banker master'!$A$2:$A$186,0)),"")</f>
        <v>200000000</v>
      </c>
      <c r="O93" s="427">
        <f>IFERROR(INDEX('E-Banker master'!$N$2:$N$186,MATCH($J93,'E-Banker master'!$A$2:$A$186,0)),"")</f>
        <v>200000000</v>
      </c>
      <c r="P93" s="427">
        <f>IFERROR(INDEX('E-Banker master'!$P$2:$P$186,MATCH($J93,'E-Banker master'!$A$2:$A$186,0)),"")</f>
        <v>213772323.30000001</v>
      </c>
      <c r="Q93" s="426">
        <f>IFERROR(INDEX('E-Banker master'!$Q$2:$Q$186,MATCH($J93,'E-Banker master'!$A$2:$A$186,0)),"")</f>
        <v>45351</v>
      </c>
      <c r="R93" t="str">
        <f>IFERROR(INDEX('E-Banker master'!$E$2:$E$186,MATCH($J93,'E-Banker master'!$A$2:$A$186,0)),"")</f>
        <v>D</v>
      </c>
      <c r="S93" t="str">
        <f t="shared" si="8"/>
        <v>Yes</v>
      </c>
      <c r="T93" t="str">
        <f t="shared" si="9"/>
        <v>Within 2%</v>
      </c>
      <c r="U93" t="str">
        <f t="shared" si="10"/>
        <v>Yes</v>
      </c>
      <c r="V93">
        <f t="shared" si="11"/>
        <v>0</v>
      </c>
      <c r="W93" t="s">
        <v>65</v>
      </c>
      <c r="X93" s="428"/>
      <c r="Y93" s="428"/>
      <c r="Z93" s="428"/>
    </row>
    <row r="94" spans="1:26" x14ac:dyDescent="0.35">
      <c r="A94">
        <v>97</v>
      </c>
      <c r="B94">
        <f>'Loan Book'!D97</f>
        <v>93</v>
      </c>
      <c r="C94" t="str">
        <f>'Loan Book'!E97</f>
        <v>FAVOA Innovation &amp; Investments Group</v>
      </c>
      <c r="D94" t="str">
        <f>'Loan Book'!F97</f>
        <v>Debt</v>
      </c>
      <c r="E94" s="426">
        <f>'Loan Book'!G97</f>
        <v>45376</v>
      </c>
      <c r="F94" s="427">
        <f>'Loan Book'!L97</f>
        <v>30000000</v>
      </c>
      <c r="G94" s="427">
        <f>'Loan Book'!M97</f>
        <v>30000000</v>
      </c>
      <c r="H94" s="427">
        <f>'Loan Book'!O97</f>
        <v>30000000</v>
      </c>
      <c r="I94" s="427">
        <f>'Loan Book'!R97</f>
        <v>26957291.158822387</v>
      </c>
      <c r="J94" t="s">
        <v>160</v>
      </c>
      <c r="K94" t="s">
        <v>64</v>
      </c>
      <c r="L94" t="str">
        <f>IFERROR(INDEX('E-Banker master'!$B$2:$B$186,MATCH($J94,'E-Banker master'!$A$2:$A$186,0)),"")</f>
        <v>FAVOA Innovation &amp; Investments Group</v>
      </c>
      <c r="M94" s="426">
        <f>IFERROR(INDEX('E-Banker master'!$H$2:$H$186,MATCH($J94,'E-Banker master'!$A$2:$A$186,0)),"")</f>
        <v>45376</v>
      </c>
      <c r="N94" s="427">
        <f>IFERROR(INDEX('E-Banker master'!$I$2:$I$186,MATCH($J94,'E-Banker master'!$A$2:$A$186,0)),"")</f>
        <v>30000000</v>
      </c>
      <c r="O94" s="427">
        <f>IFERROR(INDEX('E-Banker master'!$N$2:$N$186,MATCH($J94,'E-Banker master'!$A$2:$A$186,0)),"")</f>
        <v>30000000</v>
      </c>
      <c r="P94" s="427">
        <f>IFERROR(INDEX('E-Banker master'!$P$2:$P$186,MATCH($J94,'E-Banker master'!$A$2:$A$186,0)),"")</f>
        <v>26961470.879999999</v>
      </c>
      <c r="Q94" s="426">
        <f>IFERROR(INDEX('E-Banker master'!$Q$2:$Q$186,MATCH($J94,'E-Banker master'!$A$2:$A$186,0)),"")</f>
        <v>45376</v>
      </c>
      <c r="R94" t="str">
        <f>IFERROR(INDEX('E-Banker master'!$E$2:$E$186,MATCH($J94,'E-Banker master'!$A$2:$A$186,0)),"")</f>
        <v>D</v>
      </c>
      <c r="S94" t="str">
        <f t="shared" si="8"/>
        <v>Yes</v>
      </c>
      <c r="T94" t="str">
        <f t="shared" si="9"/>
        <v>Within 2%</v>
      </c>
      <c r="U94" t="str">
        <f t="shared" si="10"/>
        <v>Yes</v>
      </c>
      <c r="V94">
        <f t="shared" si="11"/>
        <v>0</v>
      </c>
      <c r="W94" t="s">
        <v>65</v>
      </c>
      <c r="X94" s="428"/>
      <c r="Y94" s="428"/>
      <c r="Z94" s="428"/>
    </row>
    <row r="95" spans="1:26" x14ac:dyDescent="0.35">
      <c r="A95">
        <v>98</v>
      </c>
      <c r="B95">
        <f>'Loan Book'!D98</f>
        <v>94</v>
      </c>
      <c r="C95" t="str">
        <f>'Loan Book'!E98</f>
        <v>Difference Construction</v>
      </c>
      <c r="D95" t="str">
        <f>'Loan Book'!F98</f>
        <v>Debt</v>
      </c>
      <c r="E95" s="426">
        <f>'Loan Book'!G98</f>
        <v>45377</v>
      </c>
      <c r="F95" s="427">
        <f>'Loan Book'!L98</f>
        <v>120000000</v>
      </c>
      <c r="G95" s="427">
        <f>'Loan Book'!M98</f>
        <v>120000000</v>
      </c>
      <c r="H95" s="427">
        <f>'Loan Book'!O98</f>
        <v>120000000</v>
      </c>
      <c r="I95" s="427">
        <f>'Loan Book'!R98</f>
        <v>123280013.37215267</v>
      </c>
      <c r="J95" t="s">
        <v>161</v>
      </c>
      <c r="K95" t="s">
        <v>64</v>
      </c>
      <c r="L95" t="str">
        <f>IFERROR(INDEX('E-Banker master'!$B$2:$B$186,MATCH($J95,'E-Banker master'!$A$2:$A$186,0)),"")</f>
        <v>Difference Construction</v>
      </c>
      <c r="M95" s="426">
        <f>IFERROR(INDEX('E-Banker master'!$H$2:$H$186,MATCH($J95,'E-Banker master'!$A$2:$A$186,0)),"")</f>
        <v>45377</v>
      </c>
      <c r="N95" s="427">
        <f>IFERROR(INDEX('E-Banker master'!$I$2:$I$186,MATCH($J95,'E-Banker master'!$A$2:$A$186,0)),"")</f>
        <v>120000000</v>
      </c>
      <c r="O95" s="427">
        <f>IFERROR(INDEX('E-Banker master'!$N$2:$N$186,MATCH($J95,'E-Banker master'!$A$2:$A$186,0)),"")</f>
        <v>120000000</v>
      </c>
      <c r="P95" s="427">
        <f>IFERROR(INDEX('E-Banker master'!$P$2:$P$186,MATCH($J95,'E-Banker master'!$A$2:$A$186,0)),"")</f>
        <v>123213189.98</v>
      </c>
      <c r="Q95" s="426">
        <f>IFERROR(INDEX('E-Banker master'!$Q$2:$Q$186,MATCH($J95,'E-Banker master'!$A$2:$A$186,0)),"")</f>
        <v>45377</v>
      </c>
      <c r="R95" t="str">
        <f>IFERROR(INDEX('E-Banker master'!$E$2:$E$186,MATCH($J95,'E-Banker master'!$A$2:$A$186,0)),"")</f>
        <v>A</v>
      </c>
      <c r="S95" t="str">
        <f t="shared" si="8"/>
        <v>Yes</v>
      </c>
      <c r="T95" t="str">
        <f t="shared" si="9"/>
        <v>Within 2%</v>
      </c>
      <c r="U95" t="str">
        <f t="shared" si="10"/>
        <v>Yes</v>
      </c>
      <c r="V95">
        <f t="shared" si="11"/>
        <v>0</v>
      </c>
      <c r="W95" t="s">
        <v>65</v>
      </c>
      <c r="X95" s="428"/>
      <c r="Y95" s="428"/>
      <c r="Z95" s="428"/>
    </row>
    <row r="96" spans="1:26" x14ac:dyDescent="0.35">
      <c r="A96">
        <v>99</v>
      </c>
      <c r="B96">
        <f>'Loan Book'!D99</f>
        <v>95</v>
      </c>
      <c r="C96" t="str">
        <f>'Loan Book'!E99</f>
        <v>Favoured Farms</v>
      </c>
      <c r="D96" t="str">
        <f>'Loan Book'!F99</f>
        <v>Debt</v>
      </c>
      <c r="E96" s="426">
        <f>'Loan Book'!G99</f>
        <v>45407</v>
      </c>
      <c r="F96" s="427">
        <f>'Loan Book'!L99</f>
        <v>30000000</v>
      </c>
      <c r="G96" s="427">
        <f>'Loan Book'!M99</f>
        <v>30000000</v>
      </c>
      <c r="H96" s="427">
        <f>'Loan Book'!O99</f>
        <v>30000000</v>
      </c>
      <c r="I96" s="427">
        <f>'Loan Book'!R99</f>
        <v>27335910.077778623</v>
      </c>
      <c r="J96" t="s">
        <v>162</v>
      </c>
      <c r="K96" t="s">
        <v>64</v>
      </c>
      <c r="L96" t="str">
        <f>IFERROR(INDEX('E-Banker master'!$B$2:$B$186,MATCH($J96,'E-Banker master'!$A$2:$A$186,0)),"")</f>
        <v>Favoured Farms</v>
      </c>
      <c r="M96" s="426">
        <f>IFERROR(INDEX('E-Banker master'!$H$2:$H$186,MATCH($J96,'E-Banker master'!$A$2:$A$186,0)),"")</f>
        <v>45407</v>
      </c>
      <c r="N96" s="427">
        <f>IFERROR(INDEX('E-Banker master'!$I$2:$I$186,MATCH($J96,'E-Banker master'!$A$2:$A$186,0)),"")</f>
        <v>30000000</v>
      </c>
      <c r="O96" s="427">
        <f>IFERROR(INDEX('E-Banker master'!$N$2:$N$186,MATCH($J96,'E-Banker master'!$A$2:$A$186,0)),"")</f>
        <v>30000000</v>
      </c>
      <c r="P96" s="427">
        <f>IFERROR(INDEX('E-Banker master'!$P$2:$P$186,MATCH($J96,'E-Banker master'!$A$2:$A$186,0)),"")</f>
        <v>27353908.27</v>
      </c>
      <c r="Q96" s="426">
        <f>IFERROR(INDEX('E-Banker master'!$Q$2:$Q$186,MATCH($J96,'E-Banker master'!$A$2:$A$186,0)),"")</f>
        <v>44755</v>
      </c>
      <c r="R96" t="str">
        <f>IFERROR(INDEX('E-Banker master'!$E$2:$E$186,MATCH($J96,'E-Banker master'!$A$2:$A$186,0)),"")</f>
        <v>D</v>
      </c>
      <c r="S96" t="str">
        <f t="shared" si="8"/>
        <v>Yes</v>
      </c>
      <c r="T96" t="str">
        <f t="shared" si="9"/>
        <v>Within 2%</v>
      </c>
      <c r="U96" t="str">
        <f t="shared" si="10"/>
        <v>Yes</v>
      </c>
      <c r="V96">
        <f t="shared" si="11"/>
        <v>652</v>
      </c>
      <c r="W96" t="s">
        <v>65</v>
      </c>
      <c r="X96" s="428"/>
      <c r="Y96" s="428"/>
      <c r="Z96" s="428"/>
    </row>
    <row r="97" spans="1:26" x14ac:dyDescent="0.35">
      <c r="A97">
        <v>100</v>
      </c>
      <c r="B97">
        <f>'Loan Book'!D100</f>
        <v>96</v>
      </c>
      <c r="C97" t="str">
        <f>'Loan Book'!E100</f>
        <v>Hortinet Foods Limited</v>
      </c>
      <c r="D97" t="str">
        <f>'Loan Book'!F100</f>
        <v>Debt</v>
      </c>
      <c r="E97" s="426">
        <f>'Loan Book'!G100</f>
        <v>45412</v>
      </c>
      <c r="F97" s="427">
        <f>'Loan Book'!L100</f>
        <v>50000000</v>
      </c>
      <c r="G97" s="427">
        <f>'Loan Book'!M100</f>
        <v>50000000</v>
      </c>
      <c r="H97" s="427">
        <f>'Loan Book'!O100</f>
        <v>50000000</v>
      </c>
      <c r="I97" s="427">
        <f>'Loan Book'!R100</f>
        <v>43379022.551433489</v>
      </c>
      <c r="J97" t="s">
        <v>163</v>
      </c>
      <c r="K97" t="s">
        <v>64</v>
      </c>
      <c r="L97" t="str">
        <f>IFERROR(INDEX('E-Banker master'!$B$2:$B$186,MATCH($J97,'E-Banker master'!$A$2:$A$186,0)),"")</f>
        <v>Hortinet Foods Limited</v>
      </c>
      <c r="M97" s="426">
        <f>IFERROR(INDEX('E-Banker master'!$H$2:$H$186,MATCH($J97,'E-Banker master'!$A$2:$A$186,0)),"")</f>
        <v>45412</v>
      </c>
      <c r="N97" s="427">
        <f>IFERROR(INDEX('E-Banker master'!$I$2:$I$186,MATCH($J97,'E-Banker master'!$A$2:$A$186,0)),"")</f>
        <v>50000000</v>
      </c>
      <c r="O97" s="427">
        <f>IFERROR(INDEX('E-Banker master'!$N$2:$N$186,MATCH($J97,'E-Banker master'!$A$2:$A$186,0)),"")</f>
        <v>50000000</v>
      </c>
      <c r="P97" s="427">
        <f>IFERROR(INDEX('E-Banker master'!$P$2:$P$186,MATCH($J97,'E-Banker master'!$A$2:$A$186,0)),"")</f>
        <v>43437806.509999998</v>
      </c>
      <c r="Q97" s="426">
        <f>IFERROR(INDEX('E-Banker master'!$Q$2:$Q$186,MATCH($J97,'E-Banker master'!$A$2:$A$186,0)),"")</f>
        <v>45412</v>
      </c>
      <c r="R97" t="str">
        <f>IFERROR(INDEX('E-Banker master'!$E$2:$E$186,MATCH($J97,'E-Banker master'!$A$2:$A$186,0)),"")</f>
        <v>D</v>
      </c>
      <c r="S97" t="str">
        <f t="shared" si="8"/>
        <v>Yes</v>
      </c>
      <c r="T97" t="str">
        <f t="shared" si="9"/>
        <v>Within 2%</v>
      </c>
      <c r="U97" t="str">
        <f t="shared" si="10"/>
        <v>Yes</v>
      </c>
      <c r="V97">
        <f t="shared" si="11"/>
        <v>0</v>
      </c>
      <c r="W97" t="s">
        <v>65</v>
      </c>
      <c r="X97" s="428"/>
      <c r="Y97" s="428"/>
      <c r="Z97" s="428"/>
    </row>
    <row r="98" spans="1:26" x14ac:dyDescent="0.35">
      <c r="A98">
        <v>101</v>
      </c>
      <c r="B98">
        <f>'Loan Book'!D101</f>
        <v>97</v>
      </c>
      <c r="C98" t="str">
        <f>'Loan Book'!E101</f>
        <v>7 Arts Holdings Limited</v>
      </c>
      <c r="D98" t="str">
        <f>'Loan Book'!F101</f>
        <v>Debt</v>
      </c>
      <c r="E98" s="426">
        <f>'Loan Book'!G101</f>
        <v>45412</v>
      </c>
      <c r="F98" s="427">
        <f>'Loan Book'!L101</f>
        <v>65000000</v>
      </c>
      <c r="G98" s="427">
        <f>'Loan Book'!M101</f>
        <v>65000000</v>
      </c>
      <c r="H98" s="427">
        <f>'Loan Book'!O101</f>
        <v>65000000</v>
      </c>
      <c r="I98" s="427">
        <f>'Loan Book'!R101</f>
        <v>65541666.655555554</v>
      </c>
      <c r="J98" t="s">
        <v>164</v>
      </c>
      <c r="K98" t="s">
        <v>64</v>
      </c>
      <c r="L98" t="str">
        <f>IFERROR(INDEX('E-Banker master'!$B$2:$B$186,MATCH($J98,'E-Banker master'!$A$2:$A$186,0)),"")</f>
        <v>7 Arts Holdings Limited</v>
      </c>
      <c r="M98" s="426">
        <f>IFERROR(INDEX('E-Banker master'!$H$2:$H$186,MATCH($J98,'E-Banker master'!$A$2:$A$186,0)),"")</f>
        <v>45412</v>
      </c>
      <c r="N98" s="427">
        <f>IFERROR(INDEX('E-Banker master'!$I$2:$I$186,MATCH($J98,'E-Banker master'!$A$2:$A$186,0)),"")</f>
        <v>65000000</v>
      </c>
      <c r="O98" s="427">
        <f>IFERROR(INDEX('E-Banker master'!$N$2:$N$186,MATCH($J98,'E-Banker master'!$A$2:$A$186,0)),"")</f>
        <v>65000000</v>
      </c>
      <c r="P98" s="427">
        <f>IFERROR(INDEX('E-Banker master'!$P$2:$P$186,MATCH($J98,'E-Banker master'!$A$2:$A$186,0)),"")</f>
        <v>65552342.399999999</v>
      </c>
      <c r="Q98" s="426">
        <f>IFERROR(INDEX('E-Banker master'!$Q$2:$Q$186,MATCH($J98,'E-Banker master'!$A$2:$A$186,0)),"")</f>
        <v>45411</v>
      </c>
      <c r="R98" t="str">
        <f>IFERROR(INDEX('E-Banker master'!$E$2:$E$186,MATCH($J98,'E-Banker master'!$A$2:$A$186,0)),"")</f>
        <v>A</v>
      </c>
      <c r="S98" t="str">
        <f t="shared" ref="S98:S110" si="12">IF($J98="","",IF(O98="","No take-on posting",IF(ABS(H98-O98)&lt;1,"Yes",IF(ABS(H98/O98-1)&lt;0.01,"Within 1%","No"))))</f>
        <v>Yes</v>
      </c>
      <c r="T98" t="str">
        <f t="shared" ref="T98:T110" si="13">IF($J98="","",IF(OR(P98="",P98=0),"No balance",IF(ABS(I98-P98)&lt;1,"Yes",IF(ABS(I98/P98-1)&lt;0.02,"Within 2%",IF(ABS(I98/P98-1)&lt;0.05,"Within 5%","No")))))</f>
        <v>Within 2%</v>
      </c>
      <c r="U98" t="str">
        <f t="shared" ref="U98:U110" si="14">IF($J98="","",IF(N98="","",IF(ABS(F98-N98)&lt;1,"Yes",IF(ABS(G98-N98)&lt;1,"Disbursed = sanction","No"))))</f>
        <v>Yes</v>
      </c>
      <c r="V98">
        <f t="shared" ref="V98:V110" si="15">IF(OR($J98="",Q98="",E98=""),"",ABS(E98-Q98))</f>
        <v>1</v>
      </c>
      <c r="W98" t="s">
        <v>65</v>
      </c>
      <c r="X98" s="428"/>
      <c r="Y98" s="428"/>
      <c r="Z98" s="428"/>
    </row>
    <row r="99" spans="1:26" x14ac:dyDescent="0.35">
      <c r="A99">
        <v>102</v>
      </c>
      <c r="B99">
        <f>'Loan Book'!D102</f>
        <v>98</v>
      </c>
      <c r="C99" t="str">
        <f>'Loan Book'!E102</f>
        <v>Infracon Limited</v>
      </c>
      <c r="D99" t="str">
        <f>'Loan Book'!F102</f>
        <v>Debt</v>
      </c>
      <c r="E99" s="426">
        <f>'Loan Book'!G102</f>
        <v>45425</v>
      </c>
      <c r="F99" s="427">
        <f>'Loan Book'!L102</f>
        <v>627746500</v>
      </c>
      <c r="G99" s="427">
        <f>'Loan Book'!M102</f>
        <v>627746500</v>
      </c>
      <c r="H99" s="427">
        <f>'Loan Book'!O102</f>
        <v>627746500</v>
      </c>
      <c r="I99" s="427">
        <f>'Loan Book'!R102</f>
        <v>726469613.61547518</v>
      </c>
      <c r="J99" t="s">
        <v>165</v>
      </c>
      <c r="K99" t="s">
        <v>64</v>
      </c>
      <c r="L99" t="str">
        <f>IFERROR(INDEX('E-Banker master'!$B$2:$B$186,MATCH($J99,'E-Banker master'!$A$2:$A$186,0)),"")</f>
        <v>Ifracon Limited</v>
      </c>
      <c r="M99" s="426">
        <f>IFERROR(INDEX('E-Banker master'!$H$2:$H$186,MATCH($J99,'E-Banker master'!$A$2:$A$186,0)),"")</f>
        <v>45425</v>
      </c>
      <c r="N99" s="427">
        <f>IFERROR(INDEX('E-Banker master'!$I$2:$I$186,MATCH($J99,'E-Banker master'!$A$2:$A$186,0)),"")</f>
        <v>627746500</v>
      </c>
      <c r="O99" s="427">
        <f>IFERROR(INDEX('E-Banker master'!$N$2:$N$186,MATCH($J99,'E-Banker master'!$A$2:$A$186,0)),"")</f>
        <v>627746500</v>
      </c>
      <c r="P99" s="427">
        <f>IFERROR(INDEX('E-Banker master'!$P$2:$P$186,MATCH($J99,'E-Banker master'!$A$2:$A$186,0)),"")</f>
        <v>726418591.95000005</v>
      </c>
      <c r="Q99" s="426">
        <f>IFERROR(INDEX('E-Banker master'!$Q$2:$Q$186,MATCH($J99,'E-Banker master'!$A$2:$A$186,0)),"")</f>
        <v>45425</v>
      </c>
      <c r="R99" t="str">
        <f>IFERROR(INDEX('E-Banker master'!$E$2:$E$186,MATCH($J99,'E-Banker master'!$A$2:$A$186,0)),"")</f>
        <v>A</v>
      </c>
      <c r="S99" t="str">
        <f t="shared" si="12"/>
        <v>Yes</v>
      </c>
      <c r="T99" t="str">
        <f t="shared" si="13"/>
        <v>Within 2%</v>
      </c>
      <c r="U99" t="str">
        <f t="shared" si="14"/>
        <v>Yes</v>
      </c>
      <c r="V99">
        <f t="shared" si="15"/>
        <v>0</v>
      </c>
      <c r="W99" t="s">
        <v>65</v>
      </c>
      <c r="X99" s="428"/>
      <c r="Y99" s="428"/>
      <c r="Z99" s="428"/>
    </row>
    <row r="100" spans="1:26" x14ac:dyDescent="0.35">
      <c r="A100">
        <v>103</v>
      </c>
      <c r="B100">
        <f>'Loan Book'!D103</f>
        <v>99</v>
      </c>
      <c r="C100" t="str">
        <f>'Loan Book'!E103</f>
        <v>Infraworks Development Ltd</v>
      </c>
      <c r="D100" t="str">
        <f>'Loan Book'!F103</f>
        <v>Debt</v>
      </c>
      <c r="E100" s="426">
        <f>'Loan Book'!G103</f>
        <v>45441</v>
      </c>
      <c r="F100" s="427">
        <f>'Loan Book'!L103</f>
        <v>400000000</v>
      </c>
      <c r="G100" s="427">
        <f>'Loan Book'!M103</f>
        <v>400000000</v>
      </c>
      <c r="H100" s="427">
        <f>'Loan Book'!O103</f>
        <v>400000000</v>
      </c>
      <c r="I100" s="427">
        <f>'Loan Book'!R103</f>
        <v>403352092.34888887</v>
      </c>
      <c r="J100" t="s">
        <v>166</v>
      </c>
      <c r="K100" t="s">
        <v>64</v>
      </c>
      <c r="L100" t="str">
        <f>IFERROR(INDEX('E-Banker master'!$B$2:$B$186,MATCH($J100,'E-Banker master'!$A$2:$A$186,0)),"")</f>
        <v>INFRAWORKS DEVELOPMENT LIMITED</v>
      </c>
      <c r="M100" s="426">
        <f>IFERROR(INDEX('E-Banker master'!$H$2:$H$186,MATCH($J100,'E-Banker master'!$A$2:$A$186,0)),"")</f>
        <v>45443</v>
      </c>
      <c r="N100" s="427">
        <f>IFERROR(INDEX('E-Banker master'!$I$2:$I$186,MATCH($J100,'E-Banker master'!$A$2:$A$186,0)),"")</f>
        <v>400000000</v>
      </c>
      <c r="O100" s="427">
        <f>IFERROR(INDEX('E-Banker master'!$N$2:$N$186,MATCH($J100,'E-Banker master'!$A$2:$A$186,0)),"")</f>
        <v>400000000</v>
      </c>
      <c r="P100" s="427">
        <f>IFERROR(INDEX('E-Banker master'!$P$2:$P$186,MATCH($J100,'E-Banker master'!$A$2:$A$186,0)),"")</f>
        <v>403516713.47000003</v>
      </c>
      <c r="Q100" s="426">
        <f>IFERROR(INDEX('E-Banker master'!$Q$2:$Q$186,MATCH($J100,'E-Banker master'!$A$2:$A$186,0)),"")</f>
        <v>45443</v>
      </c>
      <c r="R100" t="str">
        <f>IFERROR(INDEX('E-Banker master'!$E$2:$E$186,MATCH($J100,'E-Banker master'!$A$2:$A$186,0)),"")</f>
        <v>A</v>
      </c>
      <c r="S100" t="str">
        <f t="shared" si="12"/>
        <v>Yes</v>
      </c>
      <c r="T100" t="str">
        <f t="shared" si="13"/>
        <v>Within 2%</v>
      </c>
      <c r="U100" t="str">
        <f t="shared" si="14"/>
        <v>Yes</v>
      </c>
      <c r="V100">
        <f t="shared" si="15"/>
        <v>2</v>
      </c>
      <c r="W100" t="s">
        <v>65</v>
      </c>
      <c r="X100" s="428"/>
      <c r="Y100" s="428"/>
      <c r="Z100" s="428"/>
    </row>
    <row r="101" spans="1:26" x14ac:dyDescent="0.35">
      <c r="A101">
        <v>104</v>
      </c>
      <c r="B101">
        <f>'Loan Book'!D104</f>
        <v>100</v>
      </c>
      <c r="C101" t="str">
        <f>'Loan Book'!E104</f>
        <v>Bio-Energy Resources Limited</v>
      </c>
      <c r="D101" t="str">
        <f>'Loan Book'!F104</f>
        <v>Debt</v>
      </c>
      <c r="E101" s="426">
        <f>'Loan Book'!G104</f>
        <v>45448</v>
      </c>
      <c r="F101" s="427">
        <f>'Loan Book'!L104</f>
        <v>108431000</v>
      </c>
      <c r="G101" s="427">
        <f>'Loan Book'!M104</f>
        <v>108431000</v>
      </c>
      <c r="H101" s="427">
        <f>'Loan Book'!O104</f>
        <v>108431000</v>
      </c>
      <c r="I101" s="427">
        <f>'Loan Book'!R104</f>
        <v>112900342.42116246</v>
      </c>
      <c r="J101" t="s">
        <v>167</v>
      </c>
      <c r="K101" t="s">
        <v>64</v>
      </c>
      <c r="L101" t="str">
        <f>IFERROR(INDEX('E-Banker master'!$B$2:$B$186,MATCH($J101,'E-Banker master'!$A$2:$A$186,0)),"")</f>
        <v>BIO ENERGY RESOURCES LIMITED</v>
      </c>
      <c r="M101" s="426">
        <f>IFERROR(INDEX('E-Banker master'!$H$2:$H$186,MATCH($J101,'E-Banker master'!$A$2:$A$186,0)),"")</f>
        <v>45448</v>
      </c>
      <c r="N101" s="427">
        <f>IFERROR(INDEX('E-Banker master'!$I$2:$I$186,MATCH($J101,'E-Banker master'!$A$2:$A$186,0)),"")</f>
        <v>108431000</v>
      </c>
      <c r="O101" s="427">
        <f>IFERROR(INDEX('E-Banker master'!$N$2:$N$186,MATCH($J101,'E-Banker master'!$A$2:$A$186,0)),"")</f>
        <v>108431000</v>
      </c>
      <c r="P101" s="427">
        <f>IFERROR(INDEX('E-Banker master'!$P$2:$P$186,MATCH($J101,'E-Banker master'!$A$2:$A$186,0)),"")</f>
        <v>112923348.17</v>
      </c>
      <c r="Q101" s="426">
        <f>IFERROR(INDEX('E-Banker master'!$Q$2:$Q$186,MATCH($J101,'E-Banker master'!$A$2:$A$186,0)),"")</f>
        <v>45448</v>
      </c>
      <c r="R101" t="str">
        <f>IFERROR(INDEX('E-Banker master'!$E$2:$E$186,MATCH($J101,'E-Banker master'!$A$2:$A$186,0)),"")</f>
        <v>D</v>
      </c>
      <c r="S101" t="str">
        <f t="shared" si="12"/>
        <v>Yes</v>
      </c>
      <c r="T101" t="str">
        <f t="shared" si="13"/>
        <v>Within 2%</v>
      </c>
      <c r="U101" t="str">
        <f t="shared" si="14"/>
        <v>Yes</v>
      </c>
      <c r="V101">
        <f t="shared" si="15"/>
        <v>0</v>
      </c>
      <c r="W101" t="s">
        <v>65</v>
      </c>
      <c r="X101" s="428"/>
      <c r="Y101" s="428"/>
      <c r="Z101" s="428"/>
    </row>
    <row r="102" spans="1:26" x14ac:dyDescent="0.35">
      <c r="A102">
        <v>105</v>
      </c>
      <c r="B102">
        <f>'Loan Book'!D105</f>
        <v>101</v>
      </c>
      <c r="C102" t="str">
        <f>'Loan Book'!E105</f>
        <v>Hortinet Foods Ltd MAIIC</v>
      </c>
      <c r="D102" t="str">
        <f>'Loan Book'!F105</f>
        <v>Debt</v>
      </c>
      <c r="E102" s="426">
        <f>'Loan Book'!G105</f>
        <v>45497</v>
      </c>
      <c r="F102" s="427">
        <f>'Loan Book'!L105</f>
        <v>150000000</v>
      </c>
      <c r="G102" s="427">
        <f>'Loan Book'!M105</f>
        <v>150000000</v>
      </c>
      <c r="H102" s="427">
        <f>'Loan Book'!O105</f>
        <v>150000000</v>
      </c>
      <c r="I102" s="427">
        <f>'Loan Book'!R105</f>
        <v>163762541.97011718</v>
      </c>
      <c r="J102" t="s">
        <v>168</v>
      </c>
      <c r="K102" t="s">
        <v>64</v>
      </c>
      <c r="L102" t="str">
        <f>IFERROR(INDEX('E-Banker master'!$B$2:$B$186,MATCH($J102,'E-Banker master'!$A$2:$A$186,0)),"")</f>
        <v>HORTINET FOODS LTD</v>
      </c>
      <c r="M102" s="426">
        <f>IFERROR(INDEX('E-Banker master'!$H$2:$H$186,MATCH($J102,'E-Banker master'!$A$2:$A$186,0)),"")</f>
        <v>45489</v>
      </c>
      <c r="N102" s="427">
        <f>IFERROR(INDEX('E-Banker master'!$I$2:$I$186,MATCH($J102,'E-Banker master'!$A$2:$A$186,0)),"")</f>
        <v>150000000</v>
      </c>
      <c r="O102" s="427">
        <f>IFERROR(INDEX('E-Banker master'!$N$2:$N$186,MATCH($J102,'E-Banker master'!$A$2:$A$186,0)),"")</f>
        <v>150000000</v>
      </c>
      <c r="P102" s="427">
        <f>IFERROR(INDEX('E-Banker master'!$P$2:$P$186,MATCH($J102,'E-Banker master'!$A$2:$A$186,0)),"")</f>
        <v>164662573.22999999</v>
      </c>
      <c r="Q102" s="426">
        <f>IFERROR(INDEX('E-Banker master'!$Q$2:$Q$186,MATCH($J102,'E-Banker master'!$A$2:$A$186,0)),"")</f>
        <v>45489</v>
      </c>
      <c r="R102" t="str">
        <f>IFERROR(INDEX('E-Banker master'!$E$2:$E$186,MATCH($J102,'E-Banker master'!$A$2:$A$186,0)),"")</f>
        <v>D</v>
      </c>
      <c r="S102" t="str">
        <f t="shared" si="12"/>
        <v>Yes</v>
      </c>
      <c r="T102" t="str">
        <f t="shared" si="13"/>
        <v>Within 2%</v>
      </c>
      <c r="U102" t="str">
        <f t="shared" si="14"/>
        <v>Yes</v>
      </c>
      <c r="V102">
        <f t="shared" si="15"/>
        <v>8</v>
      </c>
      <c r="W102" t="s">
        <v>65</v>
      </c>
      <c r="X102" s="428"/>
      <c r="Y102" s="428"/>
      <c r="Z102" s="428"/>
    </row>
    <row r="103" spans="1:26" x14ac:dyDescent="0.35">
      <c r="A103">
        <v>106</v>
      </c>
      <c r="B103">
        <f>'Loan Book'!D106</f>
        <v>102</v>
      </c>
      <c r="C103" t="str">
        <f>'Loan Book'!E106</f>
        <v>Chimwemwe Mafeni Transport</v>
      </c>
      <c r="D103" t="str">
        <f>'Loan Book'!F106</f>
        <v>Debt</v>
      </c>
      <c r="E103" s="426">
        <f>'Loan Book'!G106</f>
        <v>45567</v>
      </c>
      <c r="F103" s="427">
        <f>'Loan Book'!L106</f>
        <v>200000000</v>
      </c>
      <c r="G103" s="427">
        <f>'Loan Book'!M106</f>
        <v>200000000</v>
      </c>
      <c r="H103" s="427">
        <f>'Loan Book'!O106</f>
        <v>200000000</v>
      </c>
      <c r="I103" s="427">
        <f>'Loan Book'!R106</f>
        <v>201666666.66666666</v>
      </c>
      <c r="J103" t="s">
        <v>169</v>
      </c>
      <c r="K103" t="s">
        <v>64</v>
      </c>
      <c r="L103" t="str">
        <f>IFERROR(INDEX('E-Banker master'!$B$2:$B$186,MATCH($J103,'E-Banker master'!$A$2:$A$186,0)),"")</f>
        <v>CHimwemwe mafeni transport</v>
      </c>
      <c r="M103" s="426">
        <f>IFERROR(INDEX('E-Banker master'!$H$2:$H$186,MATCH($J103,'E-Banker master'!$A$2:$A$186,0)),"")</f>
        <v>45593</v>
      </c>
      <c r="N103" s="427">
        <f>IFERROR(INDEX('E-Banker master'!$I$2:$I$186,MATCH($J103,'E-Banker master'!$A$2:$A$186,0)),"")</f>
        <v>425000000</v>
      </c>
      <c r="O103" s="427">
        <f>IFERROR(INDEX('E-Banker master'!$N$2:$N$186,MATCH($J103,'E-Banker master'!$A$2:$A$186,0)),"")</f>
        <v>0</v>
      </c>
      <c r="P103" s="427">
        <f>IFERROR(INDEX('E-Banker master'!$P$2:$P$186,MATCH($J103,'E-Banker master'!$A$2:$A$186,0)),"")</f>
        <v>200235616.44</v>
      </c>
      <c r="Q103" s="426">
        <f>IFERROR(INDEX('E-Banker master'!$Q$2:$Q$186,MATCH($J103,'E-Banker master'!$A$2:$A$186,0)),"")</f>
        <v>45594</v>
      </c>
      <c r="R103" t="str">
        <f>IFERROR(INDEX('E-Banker master'!$E$2:$E$186,MATCH($J103,'E-Banker master'!$A$2:$A$186,0)),"")</f>
        <v>A</v>
      </c>
      <c r="S103" t="e">
        <f t="shared" si="12"/>
        <v>#DIV/0!</v>
      </c>
      <c r="T103" t="str">
        <f t="shared" si="13"/>
        <v>Within 2%</v>
      </c>
      <c r="U103" t="str">
        <f t="shared" si="14"/>
        <v>No</v>
      </c>
      <c r="V103">
        <f t="shared" si="15"/>
        <v>27</v>
      </c>
      <c r="W103" t="s">
        <v>65</v>
      </c>
      <c r="X103" s="428"/>
      <c r="Y103" s="428"/>
      <c r="Z103" s="428"/>
    </row>
    <row r="104" spans="1:26" x14ac:dyDescent="0.35">
      <c r="A104">
        <v>107</v>
      </c>
      <c r="B104">
        <f>'Loan Book'!D107</f>
        <v>103</v>
      </c>
      <c r="C104" t="str">
        <f>'Loan Book'!E107</f>
        <v>Agwenda Investment Limited</v>
      </c>
      <c r="D104" t="str">
        <f>'Loan Book'!F107</f>
        <v>Debt</v>
      </c>
      <c r="E104" s="426">
        <f>'Loan Book'!G107</f>
        <v>45587</v>
      </c>
      <c r="F104" s="427">
        <f>'Loan Book'!L107</f>
        <v>50000000</v>
      </c>
      <c r="G104" s="427">
        <f>'Loan Book'!M107</f>
        <v>21295000</v>
      </c>
      <c r="H104" s="427">
        <f>'Loan Book'!O107</f>
        <v>21295000</v>
      </c>
      <c r="I104" s="427">
        <f>'Loan Book'!R107</f>
        <v>21490204.166666668</v>
      </c>
      <c r="J104" t="s">
        <v>170</v>
      </c>
      <c r="K104" t="s">
        <v>64</v>
      </c>
      <c r="L104" t="str">
        <f>IFERROR(INDEX('E-Banker master'!$B$2:$B$186,MATCH($J104,'E-Banker master'!$A$2:$A$186,0)),"")</f>
        <v xml:space="preserve">agwenda investments limited </v>
      </c>
      <c r="M104" s="426">
        <f>IFERROR(INDEX('E-Banker master'!$H$2:$H$186,MATCH($J104,'E-Banker master'!$A$2:$A$186,0)),"")</f>
        <v>45587</v>
      </c>
      <c r="N104" s="427">
        <f>IFERROR(INDEX('E-Banker master'!$I$2:$I$186,MATCH($J104,'E-Banker master'!$A$2:$A$186,0)),"")</f>
        <v>50000000</v>
      </c>
      <c r="O104" s="427">
        <f>IFERROR(INDEX('E-Banker master'!$N$2:$N$186,MATCH($J104,'E-Banker master'!$A$2:$A$186,0)),"")</f>
        <v>0</v>
      </c>
      <c r="P104" s="427">
        <f>IFERROR(INDEX('E-Banker master'!$P$2:$P$186,MATCH($J104,'E-Banker master'!$A$2:$A$186,0)),"")</f>
        <v>21295000</v>
      </c>
      <c r="Q104" s="426">
        <f>IFERROR(INDEX('E-Banker master'!$Q$2:$Q$186,MATCH($J104,'E-Banker master'!$A$2:$A$186,0)),"")</f>
        <v>45587</v>
      </c>
      <c r="R104" t="str">
        <f>IFERROR(INDEX('E-Banker master'!$E$2:$E$186,MATCH($J104,'E-Banker master'!$A$2:$A$186,0)),"")</f>
        <v>A</v>
      </c>
      <c r="S104" t="e">
        <f t="shared" si="12"/>
        <v>#DIV/0!</v>
      </c>
      <c r="T104" t="str">
        <f t="shared" si="13"/>
        <v>Within 2%</v>
      </c>
      <c r="U104" t="str">
        <f t="shared" si="14"/>
        <v>Yes</v>
      </c>
      <c r="V104">
        <f t="shared" si="15"/>
        <v>0</v>
      </c>
      <c r="W104" t="s">
        <v>65</v>
      </c>
      <c r="X104" s="428"/>
      <c r="Y104" s="428"/>
      <c r="Z104" s="428"/>
    </row>
    <row r="105" spans="1:26" x14ac:dyDescent="0.35">
      <c r="A105">
        <v>111</v>
      </c>
      <c r="B105">
        <f>'Loan Book'!D111</f>
        <v>1</v>
      </c>
      <c r="C105" t="str">
        <f>'Loan Book'!E111</f>
        <v>MMC Limited</v>
      </c>
      <c r="D105" t="str">
        <f>'Loan Book'!F111</f>
        <v>Equity</v>
      </c>
      <c r="E105" s="426">
        <f>'Loan Book'!G111</f>
        <v>44918</v>
      </c>
      <c r="F105" s="427">
        <f>'Loan Book'!L111</f>
        <v>819476000</v>
      </c>
      <c r="G105" s="427">
        <f>'Loan Book'!M111</f>
        <v>819476000</v>
      </c>
      <c r="H105" s="427">
        <f>'Loan Book'!O111</f>
        <v>819476000</v>
      </c>
      <c r="I105" s="427">
        <f>'Loan Book'!R111</f>
        <v>819476000</v>
      </c>
      <c r="K105" t="s">
        <v>102</v>
      </c>
      <c r="L105" t="str">
        <f>IFERROR(INDEX('E-Banker master'!$B$2:$B$186,MATCH($J105,'E-Banker master'!$A$2:$A$186,0)),"")</f>
        <v/>
      </c>
      <c r="M105" s="426" t="str">
        <f>IFERROR(INDEX('E-Banker master'!$H$2:$H$186,MATCH($J105,'E-Banker master'!$A$2:$A$186,0)),"")</f>
        <v/>
      </c>
      <c r="N105" s="427" t="str">
        <f>IFERROR(INDEX('E-Banker master'!$I$2:$I$186,MATCH($J105,'E-Banker master'!$A$2:$A$186,0)),"")</f>
        <v/>
      </c>
      <c r="O105" s="427" t="str">
        <f>IFERROR(INDEX('E-Banker master'!$N$2:$N$186,MATCH($J105,'E-Banker master'!$A$2:$A$186,0)),"")</f>
        <v/>
      </c>
      <c r="P105" s="427" t="str">
        <f>IFERROR(INDEX('E-Banker master'!$P$2:$P$186,MATCH($J105,'E-Banker master'!$A$2:$A$186,0)),"")</f>
        <v/>
      </c>
      <c r="Q105" s="426" t="str">
        <f>IFERROR(INDEX('E-Banker master'!$Q$2:$Q$186,MATCH($J105,'E-Banker master'!$A$2:$A$186,0)),"")</f>
        <v/>
      </c>
      <c r="R105" t="str">
        <f>IFERROR(INDEX('E-Banker master'!$E$2:$E$186,MATCH($J105,'E-Banker master'!$A$2:$A$186,0)),"")</f>
        <v/>
      </c>
      <c r="S105" t="str">
        <f t="shared" si="12"/>
        <v/>
      </c>
      <c r="T105" t="str">
        <f t="shared" si="13"/>
        <v/>
      </c>
      <c r="U105" t="str">
        <f t="shared" si="14"/>
        <v/>
      </c>
      <c r="V105" t="str">
        <f t="shared" si="15"/>
        <v/>
      </c>
      <c r="W105" t="s">
        <v>103</v>
      </c>
      <c r="X105" s="428"/>
      <c r="Y105" s="428"/>
      <c r="Z105" s="428"/>
    </row>
    <row r="106" spans="1:26" x14ac:dyDescent="0.35">
      <c r="A106">
        <v>112</v>
      </c>
      <c r="B106">
        <f>'Loan Book'!D112</f>
        <v>2</v>
      </c>
      <c r="C106" t="str">
        <f>'Loan Book'!E112</f>
        <v>Wi Jays Enterprises</v>
      </c>
      <c r="D106" t="str">
        <f>'Loan Book'!F112</f>
        <v>Equity</v>
      </c>
      <c r="E106" s="426">
        <f>'Loan Book'!G112</f>
        <v>44918</v>
      </c>
      <c r="F106" s="427">
        <f>'Loan Book'!L112</f>
        <v>177939650</v>
      </c>
      <c r="G106" s="427">
        <f>'Loan Book'!M112</f>
        <v>177939650</v>
      </c>
      <c r="H106" s="427">
        <f>'Loan Book'!O112</f>
        <v>177939650</v>
      </c>
      <c r="I106" s="427">
        <f>'Loan Book'!R112</f>
        <v>210065735</v>
      </c>
      <c r="K106" t="s">
        <v>102</v>
      </c>
      <c r="L106" t="str">
        <f>IFERROR(INDEX('E-Banker master'!$B$2:$B$186,MATCH($J106,'E-Banker master'!$A$2:$A$186,0)),"")</f>
        <v/>
      </c>
      <c r="M106" s="426" t="str">
        <f>IFERROR(INDEX('E-Banker master'!$H$2:$H$186,MATCH($J106,'E-Banker master'!$A$2:$A$186,0)),"")</f>
        <v/>
      </c>
      <c r="N106" s="427" t="str">
        <f>IFERROR(INDEX('E-Banker master'!$I$2:$I$186,MATCH($J106,'E-Banker master'!$A$2:$A$186,0)),"")</f>
        <v/>
      </c>
      <c r="O106" s="427" t="str">
        <f>IFERROR(INDEX('E-Banker master'!$N$2:$N$186,MATCH($J106,'E-Banker master'!$A$2:$A$186,0)),"")</f>
        <v/>
      </c>
      <c r="P106" s="427" t="str">
        <f>IFERROR(INDEX('E-Banker master'!$P$2:$P$186,MATCH($J106,'E-Banker master'!$A$2:$A$186,0)),"")</f>
        <v/>
      </c>
      <c r="Q106" s="426" t="str">
        <f>IFERROR(INDEX('E-Banker master'!$Q$2:$Q$186,MATCH($J106,'E-Banker master'!$A$2:$A$186,0)),"")</f>
        <v/>
      </c>
      <c r="R106" t="str">
        <f>IFERROR(INDEX('E-Banker master'!$E$2:$E$186,MATCH($J106,'E-Banker master'!$A$2:$A$186,0)),"")</f>
        <v/>
      </c>
      <c r="S106" t="str">
        <f t="shared" si="12"/>
        <v/>
      </c>
      <c r="T106" t="str">
        <f t="shared" si="13"/>
        <v/>
      </c>
      <c r="U106" t="str">
        <f t="shared" si="14"/>
        <v/>
      </c>
      <c r="V106" t="str">
        <f t="shared" si="15"/>
        <v/>
      </c>
      <c r="W106" t="s">
        <v>103</v>
      </c>
      <c r="X106" s="428"/>
      <c r="Y106" s="428"/>
      <c r="Z106" s="428"/>
    </row>
    <row r="107" spans="1:26" x14ac:dyDescent="0.35">
      <c r="A107">
        <v>113</v>
      </c>
      <c r="B107">
        <f>'Loan Book'!D113</f>
        <v>3</v>
      </c>
      <c r="C107" t="str">
        <f>'Loan Book'!E113</f>
        <v>Good Hope</v>
      </c>
      <c r="D107" t="str">
        <f>'Loan Book'!F113</f>
        <v>Equity</v>
      </c>
      <c r="E107" s="426">
        <f>'Loan Book'!G113</f>
        <v>45016</v>
      </c>
      <c r="F107" s="427">
        <f>'Loan Book'!L113</f>
        <v>1500000000</v>
      </c>
      <c r="G107" s="427">
        <f>'Loan Book'!M113</f>
        <v>1500000000</v>
      </c>
      <c r="H107" s="427">
        <f>'Loan Book'!O113</f>
        <v>1500000000</v>
      </c>
      <c r="I107" s="427">
        <f>'Loan Book'!R113</f>
        <v>1375625000</v>
      </c>
      <c r="K107" t="s">
        <v>102</v>
      </c>
      <c r="L107" t="str">
        <f>IFERROR(INDEX('E-Banker master'!$B$2:$B$186,MATCH($J107,'E-Banker master'!$A$2:$A$186,0)),"")</f>
        <v/>
      </c>
      <c r="M107" s="426" t="str">
        <f>IFERROR(INDEX('E-Banker master'!$H$2:$H$186,MATCH($J107,'E-Banker master'!$A$2:$A$186,0)),"")</f>
        <v/>
      </c>
      <c r="N107" s="427" t="str">
        <f>IFERROR(INDEX('E-Banker master'!$I$2:$I$186,MATCH($J107,'E-Banker master'!$A$2:$A$186,0)),"")</f>
        <v/>
      </c>
      <c r="O107" s="427" t="str">
        <f>IFERROR(INDEX('E-Banker master'!$N$2:$N$186,MATCH($J107,'E-Banker master'!$A$2:$A$186,0)),"")</f>
        <v/>
      </c>
      <c r="P107" s="427" t="str">
        <f>IFERROR(INDEX('E-Banker master'!$P$2:$P$186,MATCH($J107,'E-Banker master'!$A$2:$A$186,0)),"")</f>
        <v/>
      </c>
      <c r="Q107" s="426" t="str">
        <f>IFERROR(INDEX('E-Banker master'!$Q$2:$Q$186,MATCH($J107,'E-Banker master'!$A$2:$A$186,0)),"")</f>
        <v/>
      </c>
      <c r="R107" t="str">
        <f>IFERROR(INDEX('E-Banker master'!$E$2:$E$186,MATCH($J107,'E-Banker master'!$A$2:$A$186,0)),"")</f>
        <v/>
      </c>
      <c r="S107" t="str">
        <f t="shared" si="12"/>
        <v/>
      </c>
      <c r="T107" t="str">
        <f t="shared" si="13"/>
        <v/>
      </c>
      <c r="U107" t="str">
        <f t="shared" si="14"/>
        <v/>
      </c>
      <c r="V107" t="str">
        <f t="shared" si="15"/>
        <v/>
      </c>
      <c r="W107" t="s">
        <v>103</v>
      </c>
      <c r="X107" s="428"/>
      <c r="Y107" s="428"/>
      <c r="Z107" s="428"/>
    </row>
    <row r="108" spans="1:26" x14ac:dyDescent="0.35">
      <c r="A108">
        <v>114</v>
      </c>
      <c r="B108">
        <f>'Loan Book'!D114</f>
        <v>4</v>
      </c>
      <c r="C108" t="str">
        <f>'Loan Book'!E114</f>
        <v>NASCOMEX Limited</v>
      </c>
      <c r="D108" t="str">
        <f>'Loan Book'!F114</f>
        <v>Equity</v>
      </c>
      <c r="E108" s="426">
        <f>'Loan Book'!G114</f>
        <v>45443</v>
      </c>
      <c r="F108" s="427">
        <f>'Loan Book'!L114</f>
        <v>2500000000</v>
      </c>
      <c r="G108" s="427">
        <f>'Loan Book'!M114</f>
        <v>2500000000</v>
      </c>
      <c r="H108" s="427">
        <f>'Loan Book'!O114</f>
        <v>2500000000</v>
      </c>
      <c r="I108" s="427">
        <f>'Loan Book'!R114</f>
        <v>2500000000</v>
      </c>
      <c r="J108" t="s">
        <v>171</v>
      </c>
      <c r="K108" t="s">
        <v>64</v>
      </c>
      <c r="L108" t="str">
        <f>IFERROR(INDEX('E-Banker master'!$B$2:$B$186,MATCH($J108,'E-Banker master'!$A$2:$A$186,0)),"")</f>
        <v>NASCOMEX Limited</v>
      </c>
      <c r="M108" s="426">
        <f>IFERROR(INDEX('E-Banker master'!$H$2:$H$186,MATCH($J108,'E-Banker master'!$A$2:$A$186,0)),"")</f>
        <v>45376</v>
      </c>
      <c r="N108" s="427">
        <f>IFERROR(INDEX('E-Banker master'!$I$2:$I$186,MATCH($J108,'E-Banker master'!$A$2:$A$186,0)),"")</f>
        <v>2500000000</v>
      </c>
      <c r="O108" s="427">
        <f>IFERROR(INDEX('E-Banker master'!$N$2:$N$186,MATCH($J108,'E-Banker master'!$A$2:$A$186,0)),"")</f>
        <v>0</v>
      </c>
      <c r="P108" s="427">
        <f>IFERROR(INDEX('E-Banker master'!$P$2:$P$186,MATCH($J108,'E-Banker master'!$A$2:$A$186,0)),"")</f>
        <v>0</v>
      </c>
      <c r="Q108" s="426">
        <f>IFERROR(INDEX('E-Banker master'!$Q$2:$Q$186,MATCH($J108,'E-Banker master'!$A$2:$A$186,0)),"")</f>
        <v>45376</v>
      </c>
      <c r="R108" t="str">
        <f>IFERROR(INDEX('E-Banker master'!$E$2:$E$186,MATCH($J108,'E-Banker master'!$A$2:$A$186,0)),"")</f>
        <v>A</v>
      </c>
      <c r="S108" t="e">
        <f t="shared" si="12"/>
        <v>#DIV/0!</v>
      </c>
      <c r="T108" t="str">
        <f t="shared" si="13"/>
        <v>No balance</v>
      </c>
      <c r="U108" t="str">
        <f t="shared" si="14"/>
        <v>Yes</v>
      </c>
      <c r="V108">
        <f t="shared" si="15"/>
        <v>67</v>
      </c>
      <c r="W108" t="s">
        <v>65</v>
      </c>
      <c r="X108" s="428"/>
      <c r="Y108" s="428"/>
      <c r="Z108" s="428"/>
    </row>
    <row r="109" spans="1:26" x14ac:dyDescent="0.35">
      <c r="A109">
        <v>115</v>
      </c>
      <c r="B109">
        <f>'Loan Book'!D115</f>
        <v>5</v>
      </c>
      <c r="C109" t="str">
        <f>'Loan Book'!E115</f>
        <v>Natures Gift</v>
      </c>
      <c r="D109" t="str">
        <f>'Loan Book'!F115</f>
        <v>Equity</v>
      </c>
      <c r="E109" s="426">
        <f>'Loan Book'!G115</f>
        <v>45446</v>
      </c>
      <c r="F109" s="427">
        <f>'Loan Book'!L115</f>
        <v>500000000</v>
      </c>
      <c r="G109" s="427">
        <f>'Loan Book'!M115</f>
        <v>500000000</v>
      </c>
      <c r="H109" s="427">
        <f>'Loan Book'!O115</f>
        <v>500000000</v>
      </c>
      <c r="I109" s="427">
        <f>'Loan Book'!R115</f>
        <v>500000000</v>
      </c>
      <c r="J109" t="s">
        <v>172</v>
      </c>
      <c r="K109" t="s">
        <v>64</v>
      </c>
      <c r="L109" t="str">
        <f>IFERROR(INDEX('E-Banker master'!$B$2:$B$186,MATCH($J109,'E-Banker master'!$A$2:$A$186,0)),"")</f>
        <v>NATURES GIFT LIMITED</v>
      </c>
      <c r="M109" s="426">
        <f>IFERROR(INDEX('E-Banker master'!$H$2:$H$186,MATCH($J109,'E-Banker master'!$A$2:$A$186,0)),"")</f>
        <v>45446</v>
      </c>
      <c r="N109" s="427">
        <f>IFERROR(INDEX('E-Banker master'!$I$2:$I$186,MATCH($J109,'E-Banker master'!$A$2:$A$186,0)),"")</f>
        <v>500000000</v>
      </c>
      <c r="O109" s="427">
        <f>IFERROR(INDEX('E-Banker master'!$N$2:$N$186,MATCH($J109,'E-Banker master'!$A$2:$A$186,0)),"")</f>
        <v>0</v>
      </c>
      <c r="P109" s="427">
        <f>IFERROR(INDEX('E-Banker master'!$P$2:$P$186,MATCH($J109,'E-Banker master'!$A$2:$A$186,0)),"")</f>
        <v>0</v>
      </c>
      <c r="Q109" s="426">
        <f>IFERROR(INDEX('E-Banker master'!$Q$2:$Q$186,MATCH($J109,'E-Banker master'!$A$2:$A$186,0)),"")</f>
        <v>45446</v>
      </c>
      <c r="R109" t="str">
        <f>IFERROR(INDEX('E-Banker master'!$E$2:$E$186,MATCH($J109,'E-Banker master'!$A$2:$A$186,0)),"")</f>
        <v>C</v>
      </c>
      <c r="S109" t="e">
        <f t="shared" si="12"/>
        <v>#DIV/0!</v>
      </c>
      <c r="T109" t="str">
        <f t="shared" si="13"/>
        <v>No balance</v>
      </c>
      <c r="U109" t="str">
        <f t="shared" si="14"/>
        <v>Yes</v>
      </c>
      <c r="V109">
        <f t="shared" si="15"/>
        <v>0</v>
      </c>
      <c r="W109" t="s">
        <v>65</v>
      </c>
      <c r="X109" s="428"/>
      <c r="Y109" s="428"/>
      <c r="Z109" s="428"/>
    </row>
    <row r="110" spans="1:26" x14ac:dyDescent="0.35">
      <c r="A110">
        <v>116</v>
      </c>
      <c r="B110">
        <f>'Loan Book'!D116</f>
        <v>6</v>
      </c>
      <c r="C110" t="str">
        <f>'Loan Book'!E116</f>
        <v>Small Farm Cities Africa Ltd</v>
      </c>
      <c r="D110" t="str">
        <f>'Loan Book'!F116</f>
        <v>Equity</v>
      </c>
      <c r="E110" s="426">
        <f>'Loan Book'!G116</f>
        <v>45488</v>
      </c>
      <c r="F110" s="427">
        <f>'Loan Book'!L116</f>
        <v>250000000</v>
      </c>
      <c r="G110" s="427">
        <f>'Loan Book'!M116</f>
        <v>250000000</v>
      </c>
      <c r="H110" s="427">
        <f>'Loan Book'!O116</f>
        <v>250000000</v>
      </c>
      <c r="I110" s="427">
        <f>'Loan Book'!R116</f>
        <v>250000000</v>
      </c>
      <c r="J110" t="s">
        <v>173</v>
      </c>
      <c r="K110" t="s">
        <v>64</v>
      </c>
      <c r="L110" t="str">
        <f>IFERROR(INDEX('E-Banker master'!$B$2:$B$186,MATCH($J110,'E-Banker master'!$A$2:$A$186,0)),"")</f>
        <v>SMALL FARM CITIES AFRICA LIMITED</v>
      </c>
      <c r="M110" s="426">
        <f>IFERROR(INDEX('E-Banker master'!$H$2:$H$186,MATCH($J110,'E-Banker master'!$A$2:$A$186,0)),"")</f>
        <v>45474</v>
      </c>
      <c r="N110" s="427">
        <f>IFERROR(INDEX('E-Banker master'!$I$2:$I$186,MATCH($J110,'E-Banker master'!$A$2:$A$186,0)),"")</f>
        <v>250000000</v>
      </c>
      <c r="O110" s="427">
        <f>IFERROR(INDEX('E-Banker master'!$N$2:$N$186,MATCH($J110,'E-Banker master'!$A$2:$A$186,0)),"")</f>
        <v>0</v>
      </c>
      <c r="P110" s="427">
        <f>IFERROR(INDEX('E-Banker master'!$P$2:$P$186,MATCH($J110,'E-Banker master'!$A$2:$A$186,0)),"")</f>
        <v>0</v>
      </c>
      <c r="Q110" s="426">
        <f>IFERROR(INDEX('E-Banker master'!$Q$2:$Q$186,MATCH($J110,'E-Banker master'!$A$2:$A$186,0)),"")</f>
        <v>45474</v>
      </c>
      <c r="R110" t="str">
        <f>IFERROR(INDEX('E-Banker master'!$E$2:$E$186,MATCH($J110,'E-Banker master'!$A$2:$A$186,0)),"")</f>
        <v>C</v>
      </c>
      <c r="S110" t="e">
        <f t="shared" si="12"/>
        <v>#DIV/0!</v>
      </c>
      <c r="T110" t="str">
        <f t="shared" si="13"/>
        <v>No balance</v>
      </c>
      <c r="U110" t="str">
        <f t="shared" si="14"/>
        <v>Yes</v>
      </c>
      <c r="V110">
        <f t="shared" si="15"/>
        <v>14</v>
      </c>
      <c r="W110" t="s">
        <v>65</v>
      </c>
      <c r="X110" s="428"/>
      <c r="Y110" s="428"/>
      <c r="Z110" s="428"/>
    </row>
    <row r="112" spans="1:26" x14ac:dyDescent="0.35">
      <c r="A112" t="s">
        <v>174</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H5"/>
  <sheetViews>
    <sheetView workbookViewId="0">
      <pane ySplit="1" topLeftCell="A2" activePane="bottomLeft" state="frozen"/>
      <selection pane="bottomLeft"/>
    </sheetView>
  </sheetViews>
  <sheetFormatPr defaultRowHeight="14.5" x14ac:dyDescent="0.35"/>
  <cols>
    <col min="1" max="8" width="18" customWidth="1"/>
  </cols>
  <sheetData>
    <row r="1" spans="1:8" ht="42" customHeight="1" x14ac:dyDescent="0.35">
      <c r="A1" s="425" t="s">
        <v>38</v>
      </c>
      <c r="B1" s="425" t="s">
        <v>39</v>
      </c>
      <c r="C1" s="425" t="s">
        <v>40</v>
      </c>
      <c r="D1" s="425" t="s">
        <v>41</v>
      </c>
      <c r="E1" s="425" t="s">
        <v>42</v>
      </c>
      <c r="F1" s="425" t="s">
        <v>175</v>
      </c>
      <c r="G1" s="425" t="s">
        <v>176</v>
      </c>
      <c r="H1" s="425" t="s">
        <v>62</v>
      </c>
    </row>
    <row r="2" spans="1:8" x14ac:dyDescent="0.35">
      <c r="A2">
        <v>38</v>
      </c>
      <c r="B2" t="s">
        <v>177</v>
      </c>
      <c r="C2" t="s">
        <v>178</v>
      </c>
      <c r="D2" t="s">
        <v>179</v>
      </c>
      <c r="E2">
        <v>10000000</v>
      </c>
      <c r="F2" t="s">
        <v>180</v>
      </c>
      <c r="G2" s="428"/>
      <c r="H2" s="428"/>
    </row>
    <row r="3" spans="1:8" x14ac:dyDescent="0.35">
      <c r="A3">
        <v>1</v>
      </c>
      <c r="B3" t="s">
        <v>181</v>
      </c>
      <c r="C3" t="s">
        <v>182</v>
      </c>
      <c r="D3" t="s">
        <v>183</v>
      </c>
      <c r="E3">
        <v>819476000</v>
      </c>
      <c r="F3" t="s">
        <v>184</v>
      </c>
      <c r="G3" s="428"/>
      <c r="H3" s="428"/>
    </row>
    <row r="4" spans="1:8" x14ac:dyDescent="0.35">
      <c r="A4">
        <v>2</v>
      </c>
      <c r="B4" t="s">
        <v>185</v>
      </c>
      <c r="C4" t="s">
        <v>182</v>
      </c>
      <c r="D4" t="s">
        <v>183</v>
      </c>
      <c r="E4">
        <v>177939650</v>
      </c>
      <c r="F4" t="s">
        <v>186</v>
      </c>
      <c r="G4" s="428"/>
      <c r="H4" s="428"/>
    </row>
    <row r="5" spans="1:8" x14ac:dyDescent="0.35">
      <c r="A5">
        <v>3</v>
      </c>
      <c r="B5" t="s">
        <v>187</v>
      </c>
      <c r="C5" t="s">
        <v>182</v>
      </c>
      <c r="D5" t="s">
        <v>188</v>
      </c>
      <c r="E5">
        <v>1500000000</v>
      </c>
      <c r="F5" t="s">
        <v>189</v>
      </c>
      <c r="G5" s="428"/>
      <c r="H5" s="428"/>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G9"/>
  <sheetViews>
    <sheetView workbookViewId="0">
      <pane ySplit="1" topLeftCell="A2" activePane="bottomLeft" state="frozen"/>
      <selection pane="bottomLeft"/>
    </sheetView>
  </sheetViews>
  <sheetFormatPr defaultRowHeight="14.5" x14ac:dyDescent="0.35"/>
  <cols>
    <col min="1" max="7" width="18" customWidth="1"/>
  </cols>
  <sheetData>
    <row r="1" spans="1:7" ht="42" customHeight="1" x14ac:dyDescent="0.35">
      <c r="A1" s="425" t="s">
        <v>190</v>
      </c>
      <c r="B1" s="425" t="s">
        <v>48</v>
      </c>
      <c r="C1" s="425" t="s">
        <v>191</v>
      </c>
      <c r="D1" s="425" t="s">
        <v>192</v>
      </c>
      <c r="E1" s="425" t="s">
        <v>193</v>
      </c>
      <c r="F1" s="425" t="s">
        <v>194</v>
      </c>
      <c r="G1" s="425" t="s">
        <v>62</v>
      </c>
    </row>
    <row r="2" spans="1:7" x14ac:dyDescent="0.35">
      <c r="A2" t="s">
        <v>195</v>
      </c>
      <c r="B2" t="str">
        <f>IFERROR(INDEX('E-Banker master'!$B$2:$B$186,MATCH($A2,'E-Banker master'!$A$2:$A$186,0)),"")</f>
        <v>NASCOMEX LIMITED</v>
      </c>
      <c r="C2" s="426">
        <f>IFERROR(INDEX('E-Banker master'!$H$2:$H$186,MATCH($A2,'E-Banker master'!$A$2:$A$186,0)),"")</f>
        <v>45446</v>
      </c>
      <c r="D2" s="427">
        <f>IFERROR(INDEX('E-Banker master'!$I$2:$I$186,MATCH($A2,'E-Banker master'!$A$2:$A$186,0)),"")</f>
        <v>1762000051</v>
      </c>
      <c r="E2" t="str">
        <f>IFERROR(INDEX('E-Banker master'!$E$2:$E$186,MATCH($A2,'E-Banker master'!$A$2:$A$186,0)),"")</f>
        <v>C</v>
      </c>
      <c r="F2" s="428"/>
      <c r="G2" s="428"/>
    </row>
    <row r="3" spans="1:7" x14ac:dyDescent="0.35">
      <c r="A3" t="s">
        <v>196</v>
      </c>
      <c r="B3" t="str">
        <f>IFERROR(INDEX('E-Banker master'!$B$2:$B$186,MATCH($A3,'E-Banker master'!$A$2:$A$186,0)),"")</f>
        <v>NATURES GIFT LIMITED</v>
      </c>
      <c r="C3" s="426">
        <f>IFERROR(INDEX('E-Banker master'!$H$2:$H$186,MATCH($A3,'E-Banker master'!$A$2:$A$186,0)),"")</f>
        <v>45446</v>
      </c>
      <c r="D3" s="427">
        <f>IFERROR(INDEX('E-Banker master'!$I$2:$I$186,MATCH($A3,'E-Banker master'!$A$2:$A$186,0)),"")</f>
        <v>481899500</v>
      </c>
      <c r="E3" t="str">
        <f>IFERROR(INDEX('E-Banker master'!$E$2:$E$186,MATCH($A3,'E-Banker master'!$A$2:$A$186,0)),"")</f>
        <v>C</v>
      </c>
      <c r="F3" s="428"/>
      <c r="G3" s="428"/>
    </row>
    <row r="4" spans="1:7" x14ac:dyDescent="0.35">
      <c r="A4" t="s">
        <v>197</v>
      </c>
      <c r="B4" t="str">
        <f>IFERROR(INDEX('E-Banker master'!$B$2:$B$186,MATCH($A4,'E-Banker master'!$A$2:$A$186,0)),"")</f>
        <v>MCHINJI CIVIL SERVANTS SACCO</v>
      </c>
      <c r="C4" s="426">
        <f>IFERROR(INDEX('E-Banker master'!$H$2:$H$186,MATCH($A4,'E-Banker master'!$A$2:$A$186,0)),"")</f>
        <v>45448</v>
      </c>
      <c r="D4" s="427">
        <f>IFERROR(INDEX('E-Banker master'!$I$2:$I$186,MATCH($A4,'E-Banker master'!$A$2:$A$186,0)),"")</f>
        <v>50000000</v>
      </c>
      <c r="E4" t="str">
        <f>IFERROR(INDEX('E-Banker master'!$E$2:$E$186,MATCH($A4,'E-Banker master'!$A$2:$A$186,0)),"")</f>
        <v>C</v>
      </c>
      <c r="F4" s="428"/>
      <c r="G4" s="428"/>
    </row>
    <row r="5" spans="1:7" x14ac:dyDescent="0.35">
      <c r="A5" t="s">
        <v>198</v>
      </c>
      <c r="B5" t="str">
        <f>IFERROR(INDEX('E-Banker master'!$B$2:$B$186,MATCH($A5,'E-Banker master'!$A$2:$A$186,0)),"")</f>
        <v>INFRACON LIMITED</v>
      </c>
      <c r="C5" s="426">
        <f>IFERROR(INDEX('E-Banker master'!$H$2:$H$186,MATCH($A5,'E-Banker master'!$A$2:$A$186,0)),"")</f>
        <v>45421</v>
      </c>
      <c r="D5" s="427">
        <f>IFERROR(INDEX('E-Banker master'!$I$2:$I$186,MATCH($A5,'E-Banker master'!$A$2:$A$186,0)),"")</f>
        <v>265656500</v>
      </c>
      <c r="E5" t="str">
        <f>IFERROR(INDEX('E-Banker master'!$E$2:$E$186,MATCH($A5,'E-Banker master'!$A$2:$A$186,0)),"")</f>
        <v>C</v>
      </c>
      <c r="F5" s="428"/>
      <c r="G5" s="428"/>
    </row>
    <row r="6" spans="1:7" x14ac:dyDescent="0.35">
      <c r="A6" t="s">
        <v>199</v>
      </c>
      <c r="B6" t="str">
        <f>IFERROR(INDEX('E-Banker master'!$B$2:$B$186,MATCH($A6,'E-Banker master'!$A$2:$A$186,0)),"")</f>
        <v>A.A Mirza General Traders</v>
      </c>
      <c r="C6" s="426">
        <f>IFERROR(INDEX('E-Banker master'!$H$2:$H$186,MATCH($A6,'E-Banker master'!$A$2:$A$186,0)),"")</f>
        <v>45383</v>
      </c>
      <c r="D6" s="427">
        <f>IFERROR(INDEX('E-Banker master'!$I$2:$I$186,MATCH($A6,'E-Banker master'!$A$2:$A$186,0)),"")</f>
        <v>0</v>
      </c>
      <c r="E6" t="str">
        <f>IFERROR(INDEX('E-Banker master'!$E$2:$E$186,MATCH($A6,'E-Banker master'!$A$2:$A$186,0)),"")</f>
        <v>C</v>
      </c>
      <c r="F6" s="428"/>
      <c r="G6" s="428"/>
    </row>
    <row r="7" spans="1:7" x14ac:dyDescent="0.35">
      <c r="A7" t="s">
        <v>200</v>
      </c>
      <c r="B7" t="str">
        <f>IFERROR(INDEX('E-Banker master'!$B$2:$B$186,MATCH($A7,'E-Banker master'!$A$2:$A$186,0)),"")</f>
        <v>Tapempha Medical Care Limited</v>
      </c>
      <c r="C7" s="426">
        <f>IFERROR(INDEX('E-Banker master'!$H$2:$H$186,MATCH($A7,'E-Banker master'!$A$2:$A$186,0)),"")</f>
        <v>44972</v>
      </c>
      <c r="D7" s="427">
        <f>IFERROR(INDEX('E-Banker master'!$I$2:$I$186,MATCH($A7,'E-Banker master'!$A$2:$A$186,0)),"")</f>
        <v>53391150</v>
      </c>
      <c r="E7" t="str">
        <f>IFERROR(INDEX('E-Banker master'!$E$2:$E$186,MATCH($A7,'E-Banker master'!$A$2:$A$186,0)),"")</f>
        <v>C</v>
      </c>
      <c r="F7" s="428"/>
      <c r="G7" s="428"/>
    </row>
    <row r="8" spans="1:7" x14ac:dyDescent="0.35">
      <c r="A8" t="s">
        <v>201</v>
      </c>
      <c r="B8" t="str">
        <f>IFERROR(INDEX('E-Banker master'!$B$2:$B$186,MATCH($A8,'E-Banker master'!$A$2:$A$186,0)),"")</f>
        <v>MCHINJI CIVIL SERVANTS SACCO</v>
      </c>
      <c r="C8" s="426">
        <f>IFERROR(INDEX('E-Banker master'!$H$2:$H$186,MATCH($A8,'E-Banker master'!$A$2:$A$186,0)),"")</f>
        <v>45448</v>
      </c>
      <c r="D8" s="427">
        <f>IFERROR(INDEX('E-Banker master'!$I$2:$I$186,MATCH($A8,'E-Banker master'!$A$2:$A$186,0)),"")</f>
        <v>50000000</v>
      </c>
      <c r="E8" t="str">
        <f>IFERROR(INDEX('E-Banker master'!$E$2:$E$186,MATCH($A8,'E-Banker master'!$A$2:$A$186,0)),"")</f>
        <v>C</v>
      </c>
      <c r="F8" s="428"/>
      <c r="G8" s="428"/>
    </row>
    <row r="9" spans="1:7" x14ac:dyDescent="0.35">
      <c r="A9" t="s">
        <v>202</v>
      </c>
      <c r="B9" t="str">
        <f>IFERROR(INDEX('E-Banker master'!$B$2:$B$186,MATCH($A9,'E-Banker master'!$A$2:$A$186,0)),"")</f>
        <v>Ifracon Limited</v>
      </c>
      <c r="C9" s="426">
        <f>IFERROR(INDEX('E-Banker master'!$H$2:$H$186,MATCH($A9,'E-Banker master'!$A$2:$A$186,0)),"")</f>
        <v>45425</v>
      </c>
      <c r="D9" s="427">
        <f>IFERROR(INDEX('E-Banker master'!$I$2:$I$186,MATCH($A9,'E-Banker master'!$A$2:$A$186,0)),"")</f>
        <v>627746500</v>
      </c>
      <c r="E9" t="str">
        <f>IFERROR(INDEX('E-Banker master'!$E$2:$E$186,MATCH($A9,'E-Banker master'!$A$2:$A$186,0)),"")</f>
        <v>C</v>
      </c>
      <c r="F9" s="428"/>
      <c r="G9" s="428"/>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U112"/>
  <sheetViews>
    <sheetView tabSelected="1" topLeftCell="AM1" workbookViewId="0">
      <pane ySplit="1" topLeftCell="A95" activePane="bottomLeft" state="frozen"/>
      <selection pane="bottomLeft" activeCell="AW5" sqref="AW5"/>
    </sheetView>
  </sheetViews>
  <sheetFormatPr defaultRowHeight="14.5" x14ac:dyDescent="0.35"/>
  <cols>
    <col min="1" max="3" width="18" customWidth="1"/>
    <col min="4" max="4" width="36" customWidth="1"/>
    <col min="5" max="22" width="18" customWidth="1"/>
    <col min="23" max="23" width="36" customWidth="1"/>
    <col min="24" max="40" width="18" customWidth="1"/>
    <col min="41" max="41" width="20" customWidth="1"/>
    <col min="42" max="42" width="18" customWidth="1"/>
    <col min="43" max="43" width="22" customWidth="1"/>
    <col min="44" max="44" width="20" customWidth="1"/>
    <col min="45" max="45" width="24" customWidth="1"/>
    <col min="46" max="46" width="30" customWidth="1"/>
    <col min="47" max="47" width="18" customWidth="1"/>
  </cols>
  <sheetData>
    <row r="1" spans="1:47" ht="45" customHeight="1" x14ac:dyDescent="0.35">
      <c r="A1" s="425" t="s">
        <v>190</v>
      </c>
      <c r="B1" s="425" t="s">
        <v>47</v>
      </c>
      <c r="C1" s="425" t="s">
        <v>37</v>
      </c>
      <c r="D1" s="425" t="s">
        <v>39</v>
      </c>
      <c r="E1" s="425" t="s">
        <v>40</v>
      </c>
      <c r="F1" s="425" t="s">
        <v>41</v>
      </c>
      <c r="G1" s="425" t="s">
        <v>203</v>
      </c>
      <c r="H1" s="425" t="s">
        <v>204</v>
      </c>
      <c r="I1" s="425" t="s">
        <v>205</v>
      </c>
      <c r="J1" s="425" t="s">
        <v>206</v>
      </c>
      <c r="K1" s="425" t="s">
        <v>42</v>
      </c>
      <c r="L1" s="425" t="s">
        <v>43</v>
      </c>
      <c r="M1" s="425" t="s">
        <v>207</v>
      </c>
      <c r="N1" s="425" t="s">
        <v>44</v>
      </c>
      <c r="O1" s="425" t="s">
        <v>208</v>
      </c>
      <c r="P1" s="425" t="s">
        <v>209</v>
      </c>
      <c r="Q1" s="425" t="s">
        <v>45</v>
      </c>
      <c r="R1" s="425" t="s">
        <v>210</v>
      </c>
      <c r="S1" s="425" t="s">
        <v>211</v>
      </c>
      <c r="T1" s="425" t="s">
        <v>212</v>
      </c>
      <c r="U1" s="425" t="s">
        <v>213</v>
      </c>
      <c r="V1" s="425" t="s">
        <v>214</v>
      </c>
      <c r="W1" s="425" t="s">
        <v>48</v>
      </c>
      <c r="X1" s="425" t="s">
        <v>215</v>
      </c>
      <c r="Y1" s="425" t="s">
        <v>216</v>
      </c>
      <c r="Z1" s="425" t="s">
        <v>193</v>
      </c>
      <c r="AA1" s="425" t="s">
        <v>217</v>
      </c>
      <c r="AB1" s="425" t="s">
        <v>218</v>
      </c>
      <c r="AC1" s="425" t="s">
        <v>192</v>
      </c>
      <c r="AD1" s="425" t="s">
        <v>219</v>
      </c>
      <c r="AE1" s="425" t="s">
        <v>220</v>
      </c>
      <c r="AF1" s="425" t="s">
        <v>221</v>
      </c>
      <c r="AG1" s="425" t="s">
        <v>222</v>
      </c>
      <c r="AH1" s="425" t="s">
        <v>223</v>
      </c>
      <c r="AI1" s="425" t="s">
        <v>224</v>
      </c>
      <c r="AJ1" s="425" t="s">
        <v>225</v>
      </c>
      <c r="AK1" s="425" t="s">
        <v>226</v>
      </c>
      <c r="AL1" s="425" t="s">
        <v>227</v>
      </c>
      <c r="AM1" s="425" t="s">
        <v>228</v>
      </c>
      <c r="AN1" s="425" t="s">
        <v>229</v>
      </c>
      <c r="AO1" s="463" t="s">
        <v>230</v>
      </c>
      <c r="AP1" s="463" t="s">
        <v>231</v>
      </c>
      <c r="AQ1" s="463" t="s">
        <v>232</v>
      </c>
      <c r="AR1" s="463" t="s">
        <v>233</v>
      </c>
      <c r="AS1" s="463" t="s">
        <v>234</v>
      </c>
      <c r="AT1" s="463" t="s">
        <v>235</v>
      </c>
      <c r="AU1" s="464" t="s">
        <v>236</v>
      </c>
    </row>
    <row r="2" spans="1:47" x14ac:dyDescent="0.35">
      <c r="A2" t="str">
        <f>Mapping!J2</f>
        <v>000104430000001</v>
      </c>
      <c r="B2" t="str">
        <f>Mapping!K2</f>
        <v>High</v>
      </c>
      <c r="C2">
        <v>5</v>
      </c>
      <c r="D2" t="str">
        <f>'Loan Book'!E5</f>
        <v>Chikho Hotel Limited</v>
      </c>
      <c r="E2" t="str">
        <f>'Loan Book'!F5</f>
        <v>Debt</v>
      </c>
      <c r="F2" s="426">
        <f>'Loan Book'!G5</f>
        <v>44470</v>
      </c>
      <c r="G2" s="426">
        <f>'Loan Book'!H5</f>
        <v>46934</v>
      </c>
      <c r="H2">
        <f>'Loan Book'!I5</f>
        <v>6.7506849315068491</v>
      </c>
      <c r="I2" t="str">
        <f>'Loan Book'!J5</f>
        <v>-</v>
      </c>
      <c r="J2">
        <f>IF('Loan Book'!K5="","",IF('Loan Book'!K5&lt;1,'Loan Book'!K5*100,'Loan Book'!K5))</f>
        <v>30.670000000000009</v>
      </c>
      <c r="K2" s="427">
        <f>'Loan Book'!L5</f>
        <v>620855897.5380075</v>
      </c>
      <c r="L2" s="427">
        <f>'Loan Book'!M5</f>
        <v>620855897.5380075</v>
      </c>
      <c r="M2" s="427">
        <f>'Loan Book'!N5</f>
        <v>0</v>
      </c>
      <c r="N2" s="427">
        <f>'Loan Book'!O5</f>
        <v>607931248.68072712</v>
      </c>
      <c r="O2" s="427">
        <f>'Loan Book'!P5</f>
        <v>239124106.06684357</v>
      </c>
      <c r="P2" s="427">
        <f>'Loan Book'!Q5</f>
        <v>-847055354.74755347</v>
      </c>
      <c r="Q2" s="427">
        <f>'Loan Book'!R5</f>
        <v>1.7285346984863281E-5</v>
      </c>
      <c r="R2" s="427">
        <f>'Loan Book'!S5</f>
        <v>0</v>
      </c>
      <c r="S2" s="427">
        <f>'Loan Book'!T5</f>
        <v>0</v>
      </c>
      <c r="T2" s="427">
        <f>'Loan Book'!U5</f>
        <v>0</v>
      </c>
      <c r="U2" t="str">
        <f>'Loan Book'!AC5</f>
        <v>CORPORATE</v>
      </c>
      <c r="V2" t="str">
        <f>'Loan Book'!AE5</f>
        <v>HOSPITALITY</v>
      </c>
      <c r="W2" t="str">
        <f>IFERROR(INDEX('E-Banker master'!$B$2:$B$186,MATCH($A2,'E-Banker master'!$A$2:$A$186,0)),"")</f>
        <v>CHIKHO HOTEL</v>
      </c>
      <c r="X2">
        <f>IFERROR(INDEX('E-Banker master'!$C$2:$C$186,MATCH($A2,'E-Banker master'!$A$2:$A$186,0)),"")</f>
        <v>86</v>
      </c>
      <c r="Y2" t="str">
        <f>IFERROR(INDEX('E-Banker master'!$D$2:$D$186,MATCH($A2,'E-Banker master'!$A$2:$A$186,0)),"")</f>
        <v>1050102</v>
      </c>
      <c r="Z2" t="str">
        <f>IFERROR(INDEX('E-Banker master'!$E$2:$E$186,MATCH($A2,'E-Banker master'!$A$2:$A$186,0)),"")</f>
        <v>C</v>
      </c>
      <c r="AA2" t="str">
        <f>IFERROR(INDEX('E-Banker master'!$F$2:$F$186,MATCH($A2,'E-Banker master'!$A$2:$A$186,0)),"")</f>
        <v>M</v>
      </c>
      <c r="AB2">
        <f>IFERROR(INDEX('E-Banker master'!$G$2:$G$186,MATCH($A2,'E-Banker master'!$A$2:$A$186,0)),"")</f>
        <v>30.8</v>
      </c>
      <c r="AC2" s="427">
        <f>IFERROR(INDEX('E-Banker master'!$I$2:$I$186,MATCH($A2,'E-Banker master'!$A$2:$A$186,0)),"")</f>
        <v>620855897.53999996</v>
      </c>
      <c r="AD2" s="426">
        <f>IFERROR(INDEX('E-Banker master'!$J$2:$J$186,MATCH($A2,'E-Banker master'!$A$2:$A$186,0)),"")</f>
        <v>44652</v>
      </c>
      <c r="AE2" s="426">
        <f>IFERROR(INDEX('E-Banker master'!$K$2:$K$186,MATCH($A2,'E-Banker master'!$A$2:$A$186,0)),"")</f>
        <v>47026</v>
      </c>
      <c r="AF2">
        <f>IFERROR(INDEX('E-Banker master'!$L$2:$L$186,MATCH($A2,'E-Banker master'!$A$2:$A$186,0)),"")</f>
        <v>0</v>
      </c>
      <c r="AG2">
        <f>IFERROR(INDEX('E-Banker master'!$M$2:$M$186,MATCH($A2,'E-Banker master'!$A$2:$A$186,0)),"")</f>
        <v>0</v>
      </c>
      <c r="AH2" s="427">
        <f>IFERROR(INDEX('E-Banker master'!$N$2:$N$186,MATCH($A2,'E-Banker master'!$A$2:$A$186,0)),"")</f>
        <v>0</v>
      </c>
      <c r="AI2" s="427">
        <f>IFERROR(INDEX('E-Banker master'!$O$2:$O$186,MATCH($A2,'E-Banker master'!$A$2:$A$186,0)),"")</f>
        <v>0</v>
      </c>
      <c r="AJ2" s="427">
        <f>IFERROR(INDEX('E-Banker master'!$P$2:$P$186,MATCH($A2,'E-Banker master'!$A$2:$A$186,0)),"")</f>
        <v>0</v>
      </c>
      <c r="AK2" s="427">
        <f t="shared" ref="AK2:AK33" si="0">IF(OR(Q2="",AJ2=""),"",Q2-AJ2)</f>
        <v>1.7285346984863281E-5</v>
      </c>
      <c r="AL2">
        <v>1</v>
      </c>
      <c r="AM2" t="str">
        <f>HYPERLINK("#'Amortisation and Repayments'!C4","block 1")</f>
        <v>block 1</v>
      </c>
      <c r="AN2">
        <f>Mapping!X2</f>
        <v>0</v>
      </c>
      <c r="AO2" s="440">
        <f>'Loan Book'!AS5</f>
        <v>7950000</v>
      </c>
      <c r="AP2" s="440">
        <f>'Loan Book'!AT5</f>
        <v>9353400</v>
      </c>
      <c r="AQ2" s="440"/>
      <c r="AR2" s="441">
        <f>AD2</f>
        <v>44652</v>
      </c>
      <c r="AS2" s="442" t="s">
        <v>977</v>
      </c>
      <c r="AT2" s="442" t="s">
        <v>978</v>
      </c>
      <c r="AU2" s="443">
        <f t="shared" ref="AU2:AU33" si="1">IF(COUNT(AO2:AQ2)=0,"",SUM(AO2:AQ2))</f>
        <v>17303400</v>
      </c>
    </row>
    <row r="3" spans="1:47" x14ac:dyDescent="0.35">
      <c r="A3" t="str">
        <f>Mapping!J3</f>
        <v>000104430000002</v>
      </c>
      <c r="B3" t="str">
        <f>Mapping!K3</f>
        <v>High</v>
      </c>
      <c r="C3">
        <v>6</v>
      </c>
      <c r="D3" t="str">
        <f>'Loan Book'!E6</f>
        <v>Edge View Academy Limited</v>
      </c>
      <c r="E3" t="str">
        <f>'Loan Book'!F6</f>
        <v>Debt</v>
      </c>
      <c r="F3" s="426">
        <f>'Loan Book'!G6</f>
        <v>43935</v>
      </c>
      <c r="G3" s="426">
        <f>'Loan Book'!H6</f>
        <v>45747</v>
      </c>
      <c r="H3">
        <f>'Loan Book'!I6</f>
        <v>4.9643835616438352</v>
      </c>
      <c r="I3" t="str">
        <f>'Loan Book'!J6</f>
        <v>12 (Cap only)</v>
      </c>
      <c r="J3">
        <f>IF('Loan Book'!K6="","",IF('Loan Book'!K6&lt;1,'Loan Book'!K6*100,'Loan Book'!K6))</f>
        <v>32.890000000000008</v>
      </c>
      <c r="K3" s="427">
        <f>'Loan Book'!L6</f>
        <v>300000000</v>
      </c>
      <c r="L3" s="427">
        <f>'Loan Book'!M6</f>
        <v>300000000</v>
      </c>
      <c r="M3" s="427">
        <f>'Loan Book'!N6</f>
        <v>0</v>
      </c>
      <c r="N3" s="427">
        <f>'Loan Book'!O6</f>
        <v>331395845.48046201</v>
      </c>
      <c r="O3" s="427">
        <f>'Loan Book'!P6</f>
        <v>233945145.11675358</v>
      </c>
      <c r="P3" s="427">
        <f>'Loan Book'!Q6</f>
        <v>-192487000</v>
      </c>
      <c r="Q3" s="427">
        <f>'Loan Book'!R6</f>
        <v>372853990.59721565</v>
      </c>
      <c r="R3" s="427">
        <f>'Loan Book'!S6</f>
        <v>3382934.8473025262</v>
      </c>
      <c r="S3" s="427">
        <f>'Loan Book'!T6</f>
        <v>51222564.916308254</v>
      </c>
      <c r="T3" s="427">
        <f>'Loan Book'!U6</f>
        <v>54605499.76361078</v>
      </c>
      <c r="U3">
        <f>'Loan Book'!AC6</f>
        <v>0</v>
      </c>
      <c r="V3">
        <f>'Loan Book'!AE6</f>
        <v>0</v>
      </c>
      <c r="W3" t="str">
        <f>IFERROR(INDEX('E-Banker master'!$B$2:$B$186,MATCH($A3,'E-Banker master'!$A$2:$A$186,0)),"")</f>
        <v>Edge View Academy Limited</v>
      </c>
      <c r="X3">
        <f>IFERROR(INDEX('E-Banker master'!$C$2:$C$186,MATCH($A3,'E-Banker master'!$A$2:$A$186,0)),"")</f>
        <v>86</v>
      </c>
      <c r="Y3" t="str">
        <f>IFERROR(INDEX('E-Banker master'!$D$2:$D$186,MATCH($A3,'E-Banker master'!$A$2:$A$186,0)),"")</f>
        <v>1050102</v>
      </c>
      <c r="Z3" t="str">
        <f>IFERROR(INDEX('E-Banker master'!$E$2:$E$186,MATCH($A3,'E-Banker master'!$A$2:$A$186,0)),"")</f>
        <v>A</v>
      </c>
      <c r="AA3" t="str">
        <f>IFERROR(INDEX('E-Banker master'!$F$2:$F$186,MATCH($A3,'E-Banker master'!$A$2:$A$186,0)),"")</f>
        <v>M</v>
      </c>
      <c r="AB3">
        <f>IFERROR(INDEX('E-Banker master'!$G$2:$G$186,MATCH($A3,'E-Banker master'!$A$2:$A$186,0)),"")</f>
        <v>31.09</v>
      </c>
      <c r="AC3" s="427">
        <f>IFERROR(INDEX('E-Banker master'!$I$2:$I$186,MATCH($A3,'E-Banker master'!$A$2:$A$186,0)),"")</f>
        <v>300000000</v>
      </c>
      <c r="AD3" s="426">
        <f>IFERROR(INDEX('E-Banker master'!$J$2:$J$186,MATCH($A3,'E-Banker master'!$A$2:$A$186,0)),"")</f>
        <v>43894</v>
      </c>
      <c r="AE3" s="426">
        <f>IFERROR(INDEX('E-Banker master'!$K$2:$K$186,MATCH($A3,'E-Banker master'!$A$2:$A$186,0)),"")</f>
        <v>45720</v>
      </c>
      <c r="AF3">
        <f>IFERROR(INDEX('E-Banker master'!$L$2:$L$186,MATCH($A3,'E-Banker master'!$A$2:$A$186,0)),"")</f>
        <v>12</v>
      </c>
      <c r="AG3">
        <f>IFERROR(INDEX('E-Banker master'!$M$2:$M$186,MATCH($A3,'E-Banker master'!$A$2:$A$186,0)),"")</f>
        <v>0</v>
      </c>
      <c r="AH3" s="427">
        <f>IFERROR(INDEX('E-Banker master'!$N$2:$N$186,MATCH($A3,'E-Banker master'!$A$2:$A$186,0)),"")</f>
        <v>331395845.48000002</v>
      </c>
      <c r="AI3" s="427">
        <f>IFERROR(INDEX('E-Banker master'!$O$2:$O$186,MATCH($A3,'E-Banker master'!$A$2:$A$186,0)),"")</f>
        <v>207471430.41999999</v>
      </c>
      <c r="AJ3" s="427">
        <f>IFERROR(INDEX('E-Banker master'!$P$2:$P$186,MATCH($A3,'E-Banker master'!$A$2:$A$186,0)),"")</f>
        <v>378644731.35000002</v>
      </c>
      <c r="AK3" s="427">
        <f t="shared" si="0"/>
        <v>-5790740.7527843714</v>
      </c>
      <c r="AL3">
        <v>2</v>
      </c>
      <c r="AM3" t="str">
        <f>HYPERLINK("#'Amortisation and Repayments'!C41","block 2")</f>
        <v>block 2</v>
      </c>
      <c r="AN3">
        <f>Mapping!X3</f>
        <v>0</v>
      </c>
      <c r="AO3" s="440">
        <f>'Loan Book'!AS6</f>
        <v>4500000</v>
      </c>
      <c r="AP3" s="440">
        <f>'Loan Book'!AT6</f>
        <v>8500000</v>
      </c>
      <c r="AQ3" s="440"/>
      <c r="AR3" s="441">
        <f t="shared" ref="AR3:AR66" si="2">AD3</f>
        <v>43894</v>
      </c>
      <c r="AS3" s="442" t="s">
        <v>977</v>
      </c>
      <c r="AT3" s="442" t="s">
        <v>978</v>
      </c>
      <c r="AU3" s="443">
        <f t="shared" si="1"/>
        <v>13000000</v>
      </c>
    </row>
    <row r="4" spans="1:47" x14ac:dyDescent="0.35">
      <c r="A4" t="str">
        <f>Mapping!J4</f>
        <v>000104420000003</v>
      </c>
      <c r="B4" t="str">
        <f>Mapping!K4</f>
        <v>High</v>
      </c>
      <c r="C4">
        <v>7</v>
      </c>
      <c r="D4" t="str">
        <f>'Loan Book'!E7</f>
        <v>Micholess Creamery</v>
      </c>
      <c r="E4" t="str">
        <f>'Loan Book'!F7</f>
        <v>Debt</v>
      </c>
      <c r="F4" s="426">
        <f>'Loan Book'!G7</f>
        <v>44040</v>
      </c>
      <c r="G4" s="426">
        <f>'Loan Book'!H7</f>
        <v>44773</v>
      </c>
      <c r="H4">
        <f>'Loan Book'!I7</f>
        <v>2.0082191780821916</v>
      </c>
      <c r="I4" t="str">
        <f>'Loan Book'!J7</f>
        <v>6 (Cap+Int)</v>
      </c>
      <c r="J4">
        <f>IF('Loan Book'!K7="","",IF('Loan Book'!K7&lt;1,'Loan Book'!K7*100,'Loan Book'!K7))</f>
        <v>20.2</v>
      </c>
      <c r="K4" s="427">
        <f>'Loan Book'!L7</f>
        <v>20000000</v>
      </c>
      <c r="L4" s="427">
        <f>'Loan Book'!M7</f>
        <v>18240000</v>
      </c>
      <c r="M4" s="427">
        <f>'Loan Book'!N7</f>
        <v>1760000</v>
      </c>
      <c r="N4" s="427">
        <f>'Loan Book'!O7</f>
        <v>18240000</v>
      </c>
      <c r="O4" s="427">
        <f>'Loan Book'!P7</f>
        <v>1004624.6948225144</v>
      </c>
      <c r="P4" s="427">
        <f>'Loan Book'!Q7</f>
        <v>-9000000</v>
      </c>
      <c r="Q4" s="427">
        <f>'Loan Book'!R7</f>
        <v>0</v>
      </c>
      <c r="R4" s="427">
        <f>'Loan Book'!S7</f>
        <v>0</v>
      </c>
      <c r="S4" s="427">
        <f>'Loan Book'!T7</f>
        <v>0</v>
      </c>
      <c r="T4" s="427">
        <f>'Loan Book'!U7</f>
        <v>0</v>
      </c>
      <c r="U4">
        <f>'Loan Book'!AC7</f>
        <v>0</v>
      </c>
      <c r="V4">
        <f>'Loan Book'!AE7</f>
        <v>0</v>
      </c>
      <c r="W4" t="str">
        <f>IFERROR(INDEX('E-Banker master'!$B$2:$B$186,MATCH($A4,'E-Banker master'!$A$2:$A$186,0)),"")</f>
        <v>Micholess Creamery</v>
      </c>
      <c r="X4">
        <f>IFERROR(INDEX('E-Banker master'!$C$2:$C$186,MATCH($A4,'E-Banker master'!$A$2:$A$186,0)),"")</f>
        <v>84</v>
      </c>
      <c r="Y4" t="str">
        <f>IFERROR(INDEX('E-Banker master'!$D$2:$D$186,MATCH($A4,'E-Banker master'!$A$2:$A$186,0)),"")</f>
        <v>1050101</v>
      </c>
      <c r="Z4" t="str">
        <f>IFERROR(INDEX('E-Banker master'!$E$2:$E$186,MATCH($A4,'E-Banker master'!$A$2:$A$186,0)),"")</f>
        <v>A</v>
      </c>
      <c r="AA4" t="str">
        <f>IFERROR(INDEX('E-Banker master'!$F$2:$F$186,MATCH($A4,'E-Banker master'!$A$2:$A$186,0)),"")</f>
        <v>M</v>
      </c>
      <c r="AB4">
        <f>IFERROR(INDEX('E-Banker master'!$G$2:$G$186,MATCH($A4,'E-Banker master'!$A$2:$A$186,0)),"")</f>
        <v>20.2</v>
      </c>
      <c r="AC4" s="427">
        <f>IFERROR(INDEX('E-Banker master'!$I$2:$I$186,MATCH($A4,'E-Banker master'!$A$2:$A$186,0)),"")</f>
        <v>20000000</v>
      </c>
      <c r="AD4" s="426">
        <f>IFERROR(INDEX('E-Banker master'!$J$2:$J$186,MATCH($A4,'E-Banker master'!$A$2:$A$186,0)),"")</f>
        <v>44040</v>
      </c>
      <c r="AE4" s="426">
        <f>IFERROR(INDEX('E-Banker master'!$K$2:$K$186,MATCH($A4,'E-Banker master'!$A$2:$A$186,0)),"")</f>
        <v>44769</v>
      </c>
      <c r="AF4">
        <f>IFERROR(INDEX('E-Banker master'!$L$2:$L$186,MATCH($A4,'E-Banker master'!$A$2:$A$186,0)),"")</f>
        <v>6</v>
      </c>
      <c r="AG4">
        <f>IFERROR(INDEX('E-Banker master'!$M$2:$M$186,MATCH($A4,'E-Banker master'!$A$2:$A$186,0)),"")</f>
        <v>6</v>
      </c>
      <c r="AH4" s="427">
        <f>IFERROR(INDEX('E-Banker master'!$N$2:$N$186,MATCH($A4,'E-Banker master'!$A$2:$A$186,0)),"")</f>
        <v>18240000</v>
      </c>
      <c r="AI4" s="427">
        <f>IFERROR(INDEX('E-Banker master'!$O$2:$O$186,MATCH($A4,'E-Banker master'!$A$2:$A$186,0)),"")</f>
        <v>1004624.69</v>
      </c>
      <c r="AJ4" s="427">
        <f>IFERROR(INDEX('E-Banker master'!$P$2:$P$186,MATCH($A4,'E-Banker master'!$A$2:$A$186,0)),"")</f>
        <v>0</v>
      </c>
      <c r="AK4" s="427">
        <f t="shared" si="0"/>
        <v>0</v>
      </c>
      <c r="AL4">
        <v>3</v>
      </c>
      <c r="AM4" t="str">
        <f>HYPERLINK("#'Amortisation and Repayments'!C204","block 3")</f>
        <v>block 3</v>
      </c>
      <c r="AN4">
        <f>Mapping!X4</f>
        <v>0</v>
      </c>
      <c r="AO4" s="440">
        <f>'Loan Book'!AS7</f>
        <v>300000</v>
      </c>
      <c r="AP4" s="440">
        <f>'Loan Book'!AT7</f>
        <v>430000</v>
      </c>
      <c r="AQ4" s="440"/>
      <c r="AR4" s="441">
        <f t="shared" si="2"/>
        <v>44040</v>
      </c>
      <c r="AS4" s="442" t="s">
        <v>977</v>
      </c>
      <c r="AT4" s="442" t="s">
        <v>978</v>
      </c>
      <c r="AU4" s="443">
        <f t="shared" si="1"/>
        <v>730000</v>
      </c>
    </row>
    <row r="5" spans="1:47" x14ac:dyDescent="0.35">
      <c r="A5" t="str">
        <f>Mapping!J5</f>
        <v>000104430000004</v>
      </c>
      <c r="B5" t="str">
        <f>Mapping!K5</f>
        <v>High</v>
      </c>
      <c r="C5">
        <v>8</v>
      </c>
      <c r="D5" t="str">
        <f>'Loan Book'!E8</f>
        <v>COMSIV Limited</v>
      </c>
      <c r="E5" t="str">
        <f>'Loan Book'!F8</f>
        <v>Debt</v>
      </c>
      <c r="F5" s="426">
        <f>'Loan Book'!G8</f>
        <v>44552</v>
      </c>
      <c r="G5" s="426">
        <f>'Loan Book'!H8</f>
        <v>45291</v>
      </c>
      <c r="H5">
        <f>'Loan Book'!I8</f>
        <v>2.0246575342465754</v>
      </c>
      <c r="I5" t="str">
        <f>'Loan Book'!J8</f>
        <v>-</v>
      </c>
      <c r="J5">
        <f>IF('Loan Book'!K8="","",IF('Loan Book'!K8&lt;1,'Loan Book'!K8*100,'Loan Book'!K8))</f>
        <v>30.7</v>
      </c>
      <c r="K5" s="427">
        <f>'Loan Book'!L8</f>
        <v>309523514</v>
      </c>
      <c r="L5" s="427">
        <f>'Loan Book'!M8</f>
        <v>309523514</v>
      </c>
      <c r="M5" s="427">
        <f>'Loan Book'!N8</f>
        <v>0</v>
      </c>
      <c r="N5" s="427">
        <f>'Loan Book'!O8</f>
        <v>309523514</v>
      </c>
      <c r="O5" s="427">
        <f>'Loan Book'!P8</f>
        <v>32916948.489192281</v>
      </c>
      <c r="P5" s="427">
        <f>'Loan Book'!Q8</f>
        <v>-334121496</v>
      </c>
      <c r="Q5" s="427">
        <f>'Loan Book'!R8</f>
        <v>8318966.489192307</v>
      </c>
      <c r="R5" s="427">
        <f>'Loan Book'!S8</f>
        <v>0</v>
      </c>
      <c r="S5" s="427">
        <f>'Loan Book'!T8</f>
        <v>0</v>
      </c>
      <c r="T5" s="427">
        <f>'Loan Book'!U8</f>
        <v>0</v>
      </c>
      <c r="U5">
        <f>'Loan Book'!AC8</f>
        <v>0</v>
      </c>
      <c r="V5">
        <f>'Loan Book'!AE8</f>
        <v>0</v>
      </c>
      <c r="W5" t="str">
        <f>IFERROR(INDEX('E-Banker master'!$B$2:$B$186,MATCH($A5,'E-Banker master'!$A$2:$A$186,0)),"")</f>
        <v>COMSIV Limited</v>
      </c>
      <c r="X5">
        <f>IFERROR(INDEX('E-Banker master'!$C$2:$C$186,MATCH($A5,'E-Banker master'!$A$2:$A$186,0)),"")</f>
        <v>86</v>
      </c>
      <c r="Y5" t="str">
        <f>IFERROR(INDEX('E-Banker master'!$D$2:$D$186,MATCH($A5,'E-Banker master'!$A$2:$A$186,0)),"")</f>
        <v>1050102</v>
      </c>
      <c r="Z5" t="str">
        <f>IFERROR(INDEX('E-Banker master'!$E$2:$E$186,MATCH($A5,'E-Banker master'!$A$2:$A$186,0)),"")</f>
        <v>H</v>
      </c>
      <c r="AA5" t="str">
        <f>IFERROR(INDEX('E-Banker master'!$F$2:$F$186,MATCH($A5,'E-Banker master'!$A$2:$A$186,0)),"")</f>
        <v>M</v>
      </c>
      <c r="AB5">
        <f>IFERROR(INDEX('E-Banker master'!$G$2:$G$186,MATCH($A5,'E-Banker master'!$A$2:$A$186,0)),"")</f>
        <v>33.299999999999997</v>
      </c>
      <c r="AC5" s="427">
        <f>IFERROR(INDEX('E-Banker master'!$I$2:$I$186,MATCH($A5,'E-Banker master'!$A$2:$A$186,0)),"")</f>
        <v>309523514</v>
      </c>
      <c r="AD5" s="426">
        <f>IFERROR(INDEX('E-Banker master'!$J$2:$J$186,MATCH($A5,'E-Banker master'!$A$2:$A$186,0)),"")</f>
        <v>44525</v>
      </c>
      <c r="AE5" s="426">
        <f>IFERROR(INDEX('E-Banker master'!$K$2:$K$186,MATCH($A5,'E-Banker master'!$A$2:$A$186,0)),"")</f>
        <v>45255</v>
      </c>
      <c r="AF5">
        <f>IFERROR(INDEX('E-Banker master'!$L$2:$L$186,MATCH($A5,'E-Banker master'!$A$2:$A$186,0)),"")</f>
        <v>0</v>
      </c>
      <c r="AG5">
        <f>IFERROR(INDEX('E-Banker master'!$M$2:$M$186,MATCH($A5,'E-Banker master'!$A$2:$A$186,0)),"")</f>
        <v>0</v>
      </c>
      <c r="AH5" s="427">
        <f>IFERROR(INDEX('E-Banker master'!$N$2:$N$186,MATCH($A5,'E-Banker master'!$A$2:$A$186,0)),"")</f>
        <v>309523514</v>
      </c>
      <c r="AI5" s="427">
        <f>IFERROR(INDEX('E-Banker master'!$O$2:$O$186,MATCH($A5,'E-Banker master'!$A$2:$A$186,0)),"")</f>
        <v>32916948.489999998</v>
      </c>
      <c r="AJ5" s="427">
        <f>IFERROR(INDEX('E-Banker master'!$P$2:$P$186,MATCH($A5,'E-Banker master'!$A$2:$A$186,0)),"")</f>
        <v>8318966.4900000002</v>
      </c>
      <c r="AK5" s="427">
        <f t="shared" si="0"/>
        <v>-8.076932281255722E-4</v>
      </c>
      <c r="AL5">
        <v>4</v>
      </c>
      <c r="AM5" t="str">
        <f>HYPERLINK("#'Amortisation and Repayments'!C244","block 4")</f>
        <v>block 4</v>
      </c>
      <c r="AN5">
        <f>Mapping!X5</f>
        <v>0</v>
      </c>
      <c r="AO5" s="440">
        <f>'Loan Book'!AS8</f>
        <v>3863451.78</v>
      </c>
      <c r="AP5" s="440">
        <f>'Loan Book'!AT8</f>
        <v>0</v>
      </c>
      <c r="AQ5" s="440"/>
      <c r="AR5" s="441">
        <f t="shared" si="2"/>
        <v>44525</v>
      </c>
      <c r="AS5" s="442" t="s">
        <v>977</v>
      </c>
      <c r="AT5" s="442" t="s">
        <v>978</v>
      </c>
      <c r="AU5" s="443">
        <f t="shared" si="1"/>
        <v>3863451.78</v>
      </c>
    </row>
    <row r="6" spans="1:47" x14ac:dyDescent="0.35">
      <c r="A6" t="str">
        <f>Mapping!J6</f>
        <v>000104420000005</v>
      </c>
      <c r="B6" t="str">
        <f>Mapping!K6</f>
        <v>High</v>
      </c>
      <c r="C6">
        <v>9</v>
      </c>
      <c r="D6" t="str">
        <f>'Loan Book'!E9</f>
        <v>MUSECO</v>
      </c>
      <c r="E6" t="str">
        <f>'Loan Book'!F9</f>
        <v>Debt</v>
      </c>
      <c r="F6" s="426">
        <f>'Loan Book'!G9</f>
        <v>44035</v>
      </c>
      <c r="G6" s="426">
        <f>'Loan Book'!H9</f>
        <v>45869</v>
      </c>
      <c r="H6">
        <f>'Loan Book'!I9</f>
        <v>5.0246575342465754</v>
      </c>
      <c r="I6" t="str">
        <f>'Loan Book'!J9</f>
        <v>13 (Cap only)</v>
      </c>
      <c r="J6">
        <f>IF('Loan Book'!K9="","",IF('Loan Book'!K9&lt;1,'Loan Book'!K9*100,'Loan Book'!K9))</f>
        <v>32.150000000000006</v>
      </c>
      <c r="K6" s="427">
        <f>'Loan Book'!L9</f>
        <v>405097989.86827958</v>
      </c>
      <c r="L6" s="427">
        <f>'Loan Book'!M9</f>
        <v>405097989.86827958</v>
      </c>
      <c r="M6" s="427">
        <f>'Loan Book'!N9</f>
        <v>0</v>
      </c>
      <c r="N6" s="427">
        <f>'Loan Book'!O9</f>
        <v>405097989.86827958</v>
      </c>
      <c r="O6" s="427">
        <f>'Loan Book'!P9</f>
        <v>254910209.42318782</v>
      </c>
      <c r="P6" s="427">
        <f>'Loan Book'!Q9</f>
        <v>-275255167.25999999</v>
      </c>
      <c r="Q6" s="427">
        <f>'Loan Book'!R9</f>
        <v>384753032.03146744</v>
      </c>
      <c r="R6" s="427">
        <f>'Loan Book'!S9</f>
        <v>100223755.07265189</v>
      </c>
      <c r="S6" s="427">
        <f>'Loan Book'!T9</f>
        <v>51281864.974215329</v>
      </c>
      <c r="T6" s="427">
        <f>'Loan Book'!U9</f>
        <v>151505620.04686722</v>
      </c>
      <c r="U6">
        <f>'Loan Book'!AC9</f>
        <v>0</v>
      </c>
      <c r="V6">
        <f>'Loan Book'!AE9</f>
        <v>0</v>
      </c>
      <c r="W6" t="str">
        <f>IFERROR(INDEX('E-Banker master'!$B$2:$B$186,MATCH($A6,'E-Banker master'!$A$2:$A$186,0)),"")</f>
        <v>MUSECO</v>
      </c>
      <c r="X6">
        <f>IFERROR(INDEX('E-Banker master'!$C$2:$C$186,MATCH($A6,'E-Banker master'!$A$2:$A$186,0)),"")</f>
        <v>84</v>
      </c>
      <c r="Y6" t="str">
        <f>IFERROR(INDEX('E-Banker master'!$D$2:$D$186,MATCH($A6,'E-Banker master'!$A$2:$A$186,0)),"")</f>
        <v>1050101</v>
      </c>
      <c r="Z6" t="str">
        <f>IFERROR(INDEX('E-Banker master'!$E$2:$E$186,MATCH($A6,'E-Banker master'!$A$2:$A$186,0)),"")</f>
        <v>D</v>
      </c>
      <c r="AA6" t="str">
        <f>IFERROR(INDEX('E-Banker master'!$F$2:$F$186,MATCH($A6,'E-Banker master'!$A$2:$A$186,0)),"")</f>
        <v>P</v>
      </c>
      <c r="AB6">
        <f>IFERROR(INDEX('E-Banker master'!$G$2:$G$186,MATCH($A6,'E-Banker master'!$A$2:$A$186,0)),"")</f>
        <v>30.35</v>
      </c>
      <c r="AC6" s="427">
        <f>IFERROR(INDEX('E-Banker master'!$I$2:$I$186,MATCH($A6,'E-Banker master'!$A$2:$A$186,0)),"")</f>
        <v>370000000</v>
      </c>
      <c r="AD6" s="426">
        <f>IFERROR(INDEX('E-Banker master'!$J$2:$J$186,MATCH($A6,'E-Banker master'!$A$2:$A$186,0)),"")</f>
        <v>43964</v>
      </c>
      <c r="AE6" s="426">
        <f>IFERROR(INDEX('E-Banker master'!$K$2:$K$186,MATCH($A6,'E-Banker master'!$A$2:$A$186,0)),"")</f>
        <v>46225</v>
      </c>
      <c r="AF6">
        <f>IFERROR(INDEX('E-Banker master'!$L$2:$L$186,MATCH($A6,'E-Banker master'!$A$2:$A$186,0)),"")</f>
        <v>13</v>
      </c>
      <c r="AG6">
        <f>IFERROR(INDEX('E-Banker master'!$M$2:$M$186,MATCH($A6,'E-Banker master'!$A$2:$A$186,0)),"")</f>
        <v>0</v>
      </c>
      <c r="AH6" s="427">
        <f>IFERROR(INDEX('E-Banker master'!$N$2:$N$186,MATCH($A6,'E-Banker master'!$A$2:$A$186,0)),"")</f>
        <v>405097989.86000001</v>
      </c>
      <c r="AI6" s="427">
        <f>IFERROR(INDEX('E-Banker master'!$O$2:$O$186,MATCH($A6,'E-Banker master'!$A$2:$A$186,0)),"")</f>
        <v>237378159.63999999</v>
      </c>
      <c r="AJ6" s="427">
        <f>IFERROR(INDEX('E-Banker master'!$P$2:$P$186,MATCH($A6,'E-Banker master'!$A$2:$A$186,0)),"")</f>
        <v>399243507.06999999</v>
      </c>
      <c r="AK6" s="427">
        <f t="shared" si="0"/>
        <v>-14490475.038532555</v>
      </c>
      <c r="AL6">
        <v>5</v>
      </c>
      <c r="AM6" t="str">
        <f>HYPERLINK("#'Amortisation and Repayments'!C282","block 5")</f>
        <v>block 5</v>
      </c>
      <c r="AN6">
        <f>Mapping!X6</f>
        <v>0</v>
      </c>
      <c r="AO6" s="440">
        <f>'Loan Book'!AS9</f>
        <v>5550000</v>
      </c>
      <c r="AP6" s="440">
        <f>'Loan Book'!AT9</f>
        <v>6110500</v>
      </c>
      <c r="AQ6" s="440"/>
      <c r="AR6" s="441">
        <f t="shared" si="2"/>
        <v>43964</v>
      </c>
      <c r="AS6" s="442" t="s">
        <v>977</v>
      </c>
      <c r="AT6" s="442" t="s">
        <v>978</v>
      </c>
      <c r="AU6" s="443">
        <f t="shared" si="1"/>
        <v>11660500</v>
      </c>
    </row>
    <row r="7" spans="1:47" x14ac:dyDescent="0.35">
      <c r="A7" t="str">
        <f>Mapping!J7</f>
        <v>000104420000006</v>
      </c>
      <c r="B7" t="str">
        <f>Mapping!K7</f>
        <v>High</v>
      </c>
      <c r="C7">
        <v>10</v>
      </c>
      <c r="D7" t="str">
        <f>'Loan Book'!E10</f>
        <v>Nsanama Women Cooperatives</v>
      </c>
      <c r="E7" t="str">
        <f>'Loan Book'!F10</f>
        <v>Debt</v>
      </c>
      <c r="F7" s="426">
        <f>'Loan Book'!G10</f>
        <v>44076</v>
      </c>
      <c r="G7" s="426">
        <f>'Loan Book'!H10</f>
        <v>44804</v>
      </c>
      <c r="H7">
        <f>'Loan Book'!I10</f>
        <v>1.9945205479452055</v>
      </c>
      <c r="I7" t="str">
        <f>'Loan Book'!J10</f>
        <v>6 (Cap only)</v>
      </c>
      <c r="J7">
        <f>IF('Loan Book'!K10="","",IF('Loan Book'!K10&lt;1,'Loan Book'!K10*100,'Loan Book'!K10))</f>
        <v>23.119999999999997</v>
      </c>
      <c r="K7" s="427">
        <f>'Loan Book'!L10</f>
        <v>17000000</v>
      </c>
      <c r="L7" s="427">
        <f>'Loan Book'!M10</f>
        <v>12055000</v>
      </c>
      <c r="M7" s="427">
        <f>'Loan Book'!N10</f>
        <v>4945000</v>
      </c>
      <c r="N7" s="427">
        <f>'Loan Book'!O10</f>
        <v>12055000</v>
      </c>
      <c r="O7" s="427">
        <f>'Loan Book'!P10</f>
        <v>2792906.8916167882</v>
      </c>
      <c r="P7" s="427">
        <f>'Loan Book'!Q10</f>
        <v>-2000000</v>
      </c>
      <c r="Q7" s="427">
        <f>'Loan Book'!R10</f>
        <v>12847906.891616788</v>
      </c>
      <c r="R7" s="427">
        <f>'Loan Book'!S10</f>
        <v>12055000</v>
      </c>
      <c r="S7" s="427">
        <f>'Loan Book'!T10</f>
        <v>1496874.4816167881</v>
      </c>
      <c r="T7" s="427">
        <f>'Loan Book'!U10</f>
        <v>13551874.481616788</v>
      </c>
      <c r="U7">
        <f>'Loan Book'!AC10</f>
        <v>0</v>
      </c>
      <c r="V7">
        <f>'Loan Book'!AE10</f>
        <v>0</v>
      </c>
      <c r="W7" t="str">
        <f>IFERROR(INDEX('E-Banker master'!$B$2:$B$186,MATCH($A7,'E-Banker master'!$A$2:$A$186,0)),"")</f>
        <v>Nsanama Women Cooperatives</v>
      </c>
      <c r="X7">
        <f>IFERROR(INDEX('E-Banker master'!$C$2:$C$186,MATCH($A7,'E-Banker master'!$A$2:$A$186,0)),"")</f>
        <v>84</v>
      </c>
      <c r="Y7" t="str">
        <f>IFERROR(INDEX('E-Banker master'!$D$2:$D$186,MATCH($A7,'E-Banker master'!$A$2:$A$186,0)),"")</f>
        <v>1050101</v>
      </c>
      <c r="Z7" t="str">
        <f>IFERROR(INDEX('E-Banker master'!$E$2:$E$186,MATCH($A7,'E-Banker master'!$A$2:$A$186,0)),"")</f>
        <v>D</v>
      </c>
      <c r="AA7" t="str">
        <f>IFERROR(INDEX('E-Banker master'!$F$2:$F$186,MATCH($A7,'E-Banker master'!$A$2:$A$186,0)),"")</f>
        <v>P</v>
      </c>
      <c r="AB7">
        <f>IFERROR(INDEX('E-Banker master'!$G$2:$G$186,MATCH($A7,'E-Banker master'!$A$2:$A$186,0)),"")</f>
        <v>31.82</v>
      </c>
      <c r="AC7" s="427">
        <f>IFERROR(INDEX('E-Banker master'!$I$2:$I$186,MATCH($A7,'E-Banker master'!$A$2:$A$186,0)),"")</f>
        <v>17000000</v>
      </c>
      <c r="AD7" s="426">
        <f>IFERROR(INDEX('E-Banker master'!$J$2:$J$186,MATCH($A7,'E-Banker master'!$A$2:$A$186,0)),"")</f>
        <v>44076</v>
      </c>
      <c r="AE7" s="426">
        <f>IFERROR(INDEX('E-Banker master'!$K$2:$K$186,MATCH($A7,'E-Banker master'!$A$2:$A$186,0)),"")</f>
        <v>44805</v>
      </c>
      <c r="AF7">
        <f>IFERROR(INDEX('E-Banker master'!$L$2:$L$186,MATCH($A7,'E-Banker master'!$A$2:$A$186,0)),"")</f>
        <v>6</v>
      </c>
      <c r="AG7">
        <f>IFERROR(INDEX('E-Banker master'!$M$2:$M$186,MATCH($A7,'E-Banker master'!$A$2:$A$186,0)),"")</f>
        <v>0</v>
      </c>
      <c r="AH7" s="427">
        <f>IFERROR(INDEX('E-Banker master'!$N$2:$N$186,MATCH($A7,'E-Banker master'!$A$2:$A$186,0)),"")</f>
        <v>12055000</v>
      </c>
      <c r="AI7" s="427">
        <f>IFERROR(INDEX('E-Banker master'!$O$2:$O$186,MATCH($A7,'E-Banker master'!$A$2:$A$186,0)),"")</f>
        <v>2792906.89</v>
      </c>
      <c r="AJ7" s="427">
        <f>IFERROR(INDEX('E-Banker master'!$P$2:$P$186,MATCH($A7,'E-Banker master'!$A$2:$A$186,0)),"")</f>
        <v>13568451.130000001</v>
      </c>
      <c r="AK7" s="427">
        <f t="shared" si="0"/>
        <v>-720544.23838321306</v>
      </c>
      <c r="AL7">
        <v>6</v>
      </c>
      <c r="AM7" t="str">
        <f>HYPERLINK("#'Amortisation and Repayments'!C357","block 6")</f>
        <v>block 6</v>
      </c>
      <c r="AN7">
        <f>Mapping!X7</f>
        <v>0</v>
      </c>
      <c r="AO7" s="440">
        <f>'Loan Book'!AS10</f>
        <v>255000</v>
      </c>
      <c r="AP7" s="440">
        <f>'Loan Book'!AT10</f>
        <v>0</v>
      </c>
      <c r="AQ7" s="440"/>
      <c r="AR7" s="441">
        <f t="shared" si="2"/>
        <v>44076</v>
      </c>
      <c r="AS7" s="442" t="s">
        <v>977</v>
      </c>
      <c r="AT7" s="442" t="s">
        <v>978</v>
      </c>
      <c r="AU7" s="443">
        <f t="shared" si="1"/>
        <v>255000</v>
      </c>
    </row>
    <row r="8" spans="1:47" x14ac:dyDescent="0.35">
      <c r="A8" t="str">
        <f>Mapping!J8</f>
        <v>000104420000007</v>
      </c>
      <c r="B8" t="str">
        <f>Mapping!K8</f>
        <v>High</v>
      </c>
      <c r="C8">
        <v>11</v>
      </c>
      <c r="D8" t="str">
        <f>'Loan Book'!E11</f>
        <v>LENZIEMILL MILLING LIMITED</v>
      </c>
      <c r="E8" t="str">
        <f>'Loan Book'!F11</f>
        <v>Debt</v>
      </c>
      <c r="F8" s="426">
        <f>'Loan Book'!G11</f>
        <v>44134</v>
      </c>
      <c r="G8" s="426">
        <f>'Loan Book'!H11</f>
        <v>45869</v>
      </c>
      <c r="H8">
        <f>'Loan Book'!I11</f>
        <v>4.7534246575342465</v>
      </c>
      <c r="I8" t="str">
        <f>'Loan Book'!J11</f>
        <v>6 (Cap+Int)</v>
      </c>
      <c r="J8">
        <f>IF('Loan Book'!K11="","",IF('Loan Book'!K11&lt;1,'Loan Book'!K11*100,'Loan Book'!K11))</f>
        <v>29.400000000000006</v>
      </c>
      <c r="K8" s="427">
        <f>'Loan Book'!L11</f>
        <v>460000000</v>
      </c>
      <c r="L8" s="427">
        <f>'Loan Book'!M11</f>
        <v>297400000</v>
      </c>
      <c r="M8" s="427">
        <f>'Loan Book'!N11</f>
        <v>0</v>
      </c>
      <c r="N8" s="427">
        <f>'Loan Book'!O11</f>
        <v>297400000</v>
      </c>
      <c r="O8" s="427">
        <f>'Loan Book'!P11</f>
        <v>233052678.02064502</v>
      </c>
      <c r="P8" s="427">
        <f>'Loan Book'!Q11</f>
        <v>-363392876.34136182</v>
      </c>
      <c r="Q8" s="427">
        <f>'Loan Book'!R11</f>
        <v>167059801.6792832</v>
      </c>
      <c r="R8" s="427">
        <f>'Loan Book'!S11</f>
        <v>4685207.387788415</v>
      </c>
      <c r="S8" s="427">
        <f>'Loan Book'!T11</f>
        <v>4346078.9658916928</v>
      </c>
      <c r="T8" s="427">
        <f>'Loan Book'!U11</f>
        <v>9031286.3536801077</v>
      </c>
      <c r="U8">
        <f>'Loan Book'!AC11</f>
        <v>0</v>
      </c>
      <c r="V8">
        <f>'Loan Book'!AE11</f>
        <v>0</v>
      </c>
      <c r="W8" t="str">
        <f>IFERROR(INDEX('E-Banker master'!$B$2:$B$186,MATCH($A8,'E-Banker master'!$A$2:$A$186,0)),"")</f>
        <v>LENZIEMILL MILLING LIMITED</v>
      </c>
      <c r="X8">
        <f>IFERROR(INDEX('E-Banker master'!$C$2:$C$186,MATCH($A8,'E-Banker master'!$A$2:$A$186,0)),"")</f>
        <v>84</v>
      </c>
      <c r="Y8" t="str">
        <f>IFERROR(INDEX('E-Banker master'!$D$2:$D$186,MATCH($A8,'E-Banker master'!$A$2:$A$186,0)),"")</f>
        <v>1050101</v>
      </c>
      <c r="Z8" t="str">
        <f>IFERROR(INDEX('E-Banker master'!$E$2:$E$186,MATCH($A8,'E-Banker master'!$A$2:$A$186,0)),"")</f>
        <v>H</v>
      </c>
      <c r="AA8" t="str">
        <f>IFERROR(INDEX('E-Banker master'!$F$2:$F$186,MATCH($A8,'E-Banker master'!$A$2:$A$186,0)),"")</f>
        <v>P</v>
      </c>
      <c r="AB8">
        <f>IFERROR(INDEX('E-Banker master'!$G$2:$G$186,MATCH($A8,'E-Banker master'!$A$2:$A$186,0)),"")</f>
        <v>32</v>
      </c>
      <c r="AC8" s="427">
        <f>IFERROR(INDEX('E-Banker master'!$I$2:$I$186,MATCH($A8,'E-Banker master'!$A$2:$A$186,0)),"")</f>
        <v>460000000</v>
      </c>
      <c r="AD8" s="426">
        <f>IFERROR(INDEX('E-Banker master'!$J$2:$J$186,MATCH($A8,'E-Banker master'!$A$2:$A$186,0)),"")</f>
        <v>44075</v>
      </c>
      <c r="AE8" s="426">
        <f>IFERROR(INDEX('E-Banker master'!$K$2:$K$186,MATCH($A8,'E-Banker master'!$A$2:$A$186,0)),"")</f>
        <v>45901</v>
      </c>
      <c r="AF8">
        <f>IFERROR(INDEX('E-Banker master'!$L$2:$L$186,MATCH($A8,'E-Banker master'!$A$2:$A$186,0)),"")</f>
        <v>6</v>
      </c>
      <c r="AG8">
        <f>IFERROR(INDEX('E-Banker master'!$M$2:$M$186,MATCH($A8,'E-Banker master'!$A$2:$A$186,0)),"")</f>
        <v>0</v>
      </c>
      <c r="AH8" s="427">
        <f>IFERROR(INDEX('E-Banker master'!$N$2:$N$186,MATCH($A8,'E-Banker master'!$A$2:$A$186,0)),"")</f>
        <v>297400000</v>
      </c>
      <c r="AI8" s="427">
        <f>IFERROR(INDEX('E-Banker master'!$O$2:$O$186,MATCH($A8,'E-Banker master'!$A$2:$A$186,0)),"")</f>
        <v>219654186.91999999</v>
      </c>
      <c r="AJ8" s="427">
        <f>IFERROR(INDEX('E-Banker master'!$P$2:$P$186,MATCH($A8,'E-Banker master'!$A$2:$A$186,0)),"")</f>
        <v>167976520.65000001</v>
      </c>
      <c r="AK8" s="427">
        <f t="shared" si="0"/>
        <v>-916718.97071680427</v>
      </c>
      <c r="AL8">
        <v>7</v>
      </c>
      <c r="AM8" t="str">
        <f>HYPERLINK("#'Amortisation and Repayments'!C399","block 7")</f>
        <v>block 7</v>
      </c>
      <c r="AN8">
        <f>Mapping!X8</f>
        <v>0</v>
      </c>
      <c r="AO8" s="440">
        <f>'Loan Book'!AS11</f>
        <v>6900000</v>
      </c>
      <c r="AP8" s="440">
        <f>'Loan Book'!AT11</f>
        <v>6216000</v>
      </c>
      <c r="AQ8" s="440"/>
      <c r="AR8" s="441">
        <f t="shared" si="2"/>
        <v>44075</v>
      </c>
      <c r="AS8" s="442" t="s">
        <v>977</v>
      </c>
      <c r="AT8" s="442" t="s">
        <v>978</v>
      </c>
      <c r="AU8" s="443">
        <f t="shared" si="1"/>
        <v>13116000</v>
      </c>
    </row>
    <row r="9" spans="1:47" x14ac:dyDescent="0.35">
      <c r="A9" t="str">
        <f>Mapping!J9</f>
        <v>000104430000008</v>
      </c>
      <c r="B9" t="str">
        <f>Mapping!K9</f>
        <v>High</v>
      </c>
      <c r="C9">
        <v>12</v>
      </c>
      <c r="D9" t="str">
        <f>'Loan Book'!E12</f>
        <v>Corran Farming Limited</v>
      </c>
      <c r="E9" t="str">
        <f>'Loan Book'!F12</f>
        <v>Debt</v>
      </c>
      <c r="F9" s="426">
        <f>'Loan Book'!G12</f>
        <v>44187</v>
      </c>
      <c r="G9" s="426">
        <f>'Loan Book'!H12</f>
        <v>46022</v>
      </c>
      <c r="H9">
        <f>'Loan Book'!I12</f>
        <v>5.0273972602739727</v>
      </c>
      <c r="I9" t="str">
        <f>'Loan Book'!J12</f>
        <v>6 (Cap only)</v>
      </c>
      <c r="J9">
        <f>IF('Loan Book'!K12="","",IF('Loan Book'!K12&lt;1,'Loan Book'!K12*100,'Loan Book'!K12))</f>
        <v>29.300000000000004</v>
      </c>
      <c r="K9" s="427">
        <f>'Loan Book'!L12</f>
        <v>395623962</v>
      </c>
      <c r="L9" s="427">
        <f>'Loan Book'!M12</f>
        <v>395623962</v>
      </c>
      <c r="M9" s="427">
        <f>'Loan Book'!N12</f>
        <v>0</v>
      </c>
      <c r="N9" s="427">
        <f>'Loan Book'!O12</f>
        <v>395623962</v>
      </c>
      <c r="O9" s="427">
        <f>'Loan Book'!P12</f>
        <v>150308442.28069213</v>
      </c>
      <c r="P9" s="427">
        <f>'Loan Book'!Q12</f>
        <v>-545932404.27999997</v>
      </c>
      <c r="Q9" s="427">
        <f>'Loan Book'!R12</f>
        <v>6.9212913513183594E-4</v>
      </c>
      <c r="R9" s="427">
        <f>'Loan Book'!S12</f>
        <v>0</v>
      </c>
      <c r="S9" s="427">
        <f>'Loan Book'!T12</f>
        <v>0</v>
      </c>
      <c r="T9" s="427">
        <f>'Loan Book'!U12</f>
        <v>0</v>
      </c>
      <c r="U9">
        <f>'Loan Book'!AC12</f>
        <v>0</v>
      </c>
      <c r="V9">
        <f>'Loan Book'!AE12</f>
        <v>0</v>
      </c>
      <c r="W9" t="str">
        <f>IFERROR(INDEX('E-Banker master'!$B$2:$B$186,MATCH($A9,'E-Banker master'!$A$2:$A$186,0)),"")</f>
        <v>Corran Farming Limited</v>
      </c>
      <c r="X9">
        <f>IFERROR(INDEX('E-Banker master'!$C$2:$C$186,MATCH($A9,'E-Banker master'!$A$2:$A$186,0)),"")</f>
        <v>86</v>
      </c>
      <c r="Y9" t="str">
        <f>IFERROR(INDEX('E-Banker master'!$D$2:$D$186,MATCH($A9,'E-Banker master'!$A$2:$A$186,0)),"")</f>
        <v>1050102</v>
      </c>
      <c r="Z9" t="str">
        <f>IFERROR(INDEX('E-Banker master'!$E$2:$E$186,MATCH($A9,'E-Banker master'!$A$2:$A$186,0)),"")</f>
        <v>C</v>
      </c>
      <c r="AA9" t="str">
        <f>IFERROR(INDEX('E-Banker master'!$F$2:$F$186,MATCH($A9,'E-Banker master'!$A$2:$A$186,0)),"")</f>
        <v>M</v>
      </c>
      <c r="AB9">
        <f>IFERROR(INDEX('E-Banker master'!$G$2:$G$186,MATCH($A9,'E-Banker master'!$A$2:$A$186,0)),"")</f>
        <v>32.1</v>
      </c>
      <c r="AC9" s="427">
        <f>IFERROR(INDEX('E-Banker master'!$I$2:$I$186,MATCH($A9,'E-Banker master'!$A$2:$A$186,0)),"")</f>
        <v>395623962</v>
      </c>
      <c r="AD9" s="426">
        <f>IFERROR(INDEX('E-Banker master'!$J$2:$J$186,MATCH($A9,'E-Banker master'!$A$2:$A$186,0)),"")</f>
        <v>44501</v>
      </c>
      <c r="AE9" s="426">
        <f>IFERROR(INDEX('E-Banker master'!$K$2:$K$186,MATCH($A9,'E-Banker master'!$A$2:$A$186,0)),"")</f>
        <v>46012</v>
      </c>
      <c r="AF9">
        <f>IFERROR(INDEX('E-Banker master'!$L$2:$L$186,MATCH($A9,'E-Banker master'!$A$2:$A$186,0)),"")</f>
        <v>6</v>
      </c>
      <c r="AG9">
        <f>IFERROR(INDEX('E-Banker master'!$M$2:$M$186,MATCH($A9,'E-Banker master'!$A$2:$A$186,0)),"")</f>
        <v>0</v>
      </c>
      <c r="AH9" s="427">
        <f>IFERROR(INDEX('E-Banker master'!$N$2:$N$186,MATCH($A9,'E-Banker master'!$A$2:$A$186,0)),"")</f>
        <v>0</v>
      </c>
      <c r="AI9" s="427">
        <f>IFERROR(INDEX('E-Banker master'!$O$2:$O$186,MATCH($A9,'E-Banker master'!$A$2:$A$186,0)),"")</f>
        <v>0</v>
      </c>
      <c r="AJ9" s="427">
        <f>IFERROR(INDEX('E-Banker master'!$P$2:$P$186,MATCH($A9,'E-Banker master'!$A$2:$A$186,0)),"")</f>
        <v>0</v>
      </c>
      <c r="AK9" s="427">
        <f t="shared" si="0"/>
        <v>6.9212913513183594E-4</v>
      </c>
      <c r="AL9">
        <v>8</v>
      </c>
      <c r="AM9" t="str">
        <f>HYPERLINK("#'Amortisation and Repayments'!C489","block 8")</f>
        <v>block 8</v>
      </c>
      <c r="AN9">
        <f>Mapping!X9</f>
        <v>0</v>
      </c>
      <c r="AO9" s="440">
        <f>'Loan Book'!AS12</f>
        <v>6400000</v>
      </c>
      <c r="AP9" s="440">
        <f>'Loan Book'!AT12</f>
        <v>10000000</v>
      </c>
      <c r="AQ9" s="440"/>
      <c r="AR9" s="441">
        <f t="shared" si="2"/>
        <v>44501</v>
      </c>
      <c r="AS9" s="442" t="s">
        <v>977</v>
      </c>
      <c r="AT9" s="442" t="s">
        <v>978</v>
      </c>
      <c r="AU9" s="443">
        <f t="shared" si="1"/>
        <v>16400000</v>
      </c>
    </row>
    <row r="10" spans="1:47" x14ac:dyDescent="0.35">
      <c r="A10" t="str">
        <f>Mapping!J10</f>
        <v>000104420000009</v>
      </c>
      <c r="B10" t="str">
        <f>Mapping!K10</f>
        <v>High</v>
      </c>
      <c r="C10">
        <v>13</v>
      </c>
      <c r="D10" t="str">
        <f>'Loan Book'!E13</f>
        <v>Mach Milk Limited</v>
      </c>
      <c r="E10" t="str">
        <f>'Loan Book'!F13</f>
        <v>Debt</v>
      </c>
      <c r="F10" s="426">
        <f>'Loan Book'!G13</f>
        <v>44242</v>
      </c>
      <c r="G10" s="426">
        <f>'Loan Book'!H13</f>
        <v>45716</v>
      </c>
      <c r="H10">
        <f>'Loan Book'!I13</f>
        <v>4.0383561643835613</v>
      </c>
      <c r="I10" t="str">
        <f>'Loan Book'!J13</f>
        <v>12 (Cap+Int)</v>
      </c>
      <c r="J10">
        <f>IF('Loan Book'!K13="","",IF('Loan Book'!K13&lt;1,'Loan Book'!K13*100,'Loan Book'!K13))</f>
        <v>31.300000000000004</v>
      </c>
      <c r="K10" s="427">
        <f>'Loan Book'!L13</f>
        <v>81075926.780000001</v>
      </c>
      <c r="L10" s="427">
        <f>'Loan Book'!M13</f>
        <v>81075926.780000001</v>
      </c>
      <c r="M10" s="427">
        <f>'Loan Book'!N13</f>
        <v>0</v>
      </c>
      <c r="N10" s="427">
        <f>'Loan Book'!O13</f>
        <v>81075926.780000001</v>
      </c>
      <c r="O10" s="427">
        <f>'Loan Book'!P13</f>
        <v>59885873.104942687</v>
      </c>
      <c r="P10" s="427">
        <f>'Loan Book'!Q13</f>
        <v>-13800000</v>
      </c>
      <c r="Q10" s="427">
        <f>'Loan Book'!R13</f>
        <v>127161799.88494268</v>
      </c>
      <c r="R10" s="427">
        <f>'Loan Book'!S13</f>
        <v>56187334.014866672</v>
      </c>
      <c r="S10" s="427">
        <f>'Loan Book'!T13</f>
        <v>37621263.143175982</v>
      </c>
      <c r="T10" s="427">
        <f>'Loan Book'!U13</f>
        <v>93808597.158042654</v>
      </c>
      <c r="U10">
        <f>'Loan Book'!AC13</f>
        <v>0</v>
      </c>
      <c r="V10">
        <f>'Loan Book'!AE13</f>
        <v>0</v>
      </c>
      <c r="W10" t="str">
        <f>IFERROR(INDEX('E-Banker master'!$B$2:$B$186,MATCH($A10,'E-Banker master'!$A$2:$A$186,0)),"")</f>
        <v>Mach Milk Limited</v>
      </c>
      <c r="X10">
        <f>IFERROR(INDEX('E-Banker master'!$C$2:$C$186,MATCH($A10,'E-Banker master'!$A$2:$A$186,0)),"")</f>
        <v>84</v>
      </c>
      <c r="Y10" t="str">
        <f>IFERROR(INDEX('E-Banker master'!$D$2:$D$186,MATCH($A10,'E-Banker master'!$A$2:$A$186,0)),"")</f>
        <v>1050101</v>
      </c>
      <c r="Z10" t="str">
        <f>IFERROR(INDEX('E-Banker master'!$E$2:$E$186,MATCH($A10,'E-Banker master'!$A$2:$A$186,0)),"")</f>
        <v>D</v>
      </c>
      <c r="AA10" t="str">
        <f>IFERROR(INDEX('E-Banker master'!$F$2:$F$186,MATCH($A10,'E-Banker master'!$A$2:$A$186,0)),"")</f>
        <v>P</v>
      </c>
      <c r="AB10">
        <f>IFERROR(INDEX('E-Banker master'!$G$2:$G$186,MATCH($A10,'E-Banker master'!$A$2:$A$186,0)),"")</f>
        <v>33.9</v>
      </c>
      <c r="AC10" s="427">
        <f>IFERROR(INDEX('E-Banker master'!$I$2:$I$186,MATCH($A10,'E-Banker master'!$A$2:$A$186,0)),"")</f>
        <v>65023440</v>
      </c>
      <c r="AD10" s="426">
        <f>IFERROR(INDEX('E-Banker master'!$J$2:$J$186,MATCH($A10,'E-Banker master'!$A$2:$A$186,0)),"")</f>
        <v>44117</v>
      </c>
      <c r="AE10" s="426">
        <f>IFERROR(INDEX('E-Banker master'!$K$2:$K$186,MATCH($A10,'E-Banker master'!$A$2:$A$186,0)),"")</f>
        <v>45760</v>
      </c>
      <c r="AF10">
        <f>IFERROR(INDEX('E-Banker master'!$L$2:$L$186,MATCH($A10,'E-Banker master'!$A$2:$A$186,0)),"")</f>
        <v>6</v>
      </c>
      <c r="AG10">
        <f>IFERROR(INDEX('E-Banker master'!$M$2:$M$186,MATCH($A10,'E-Banker master'!$A$2:$A$186,0)),"")</f>
        <v>0</v>
      </c>
      <c r="AH10" s="427">
        <f>IFERROR(INDEX('E-Banker master'!$N$2:$N$186,MATCH($A10,'E-Banker master'!$A$2:$A$186,0)),"")</f>
        <v>81075926.780000001</v>
      </c>
      <c r="AI10" s="427">
        <f>IFERROR(INDEX('E-Banker master'!$O$2:$O$186,MATCH($A10,'E-Banker master'!$A$2:$A$186,0)),"")</f>
        <v>56575015.299999997</v>
      </c>
      <c r="AJ10" s="427">
        <f>IFERROR(INDEX('E-Banker master'!$P$2:$P$186,MATCH($A10,'E-Banker master'!$A$2:$A$186,0)),"")</f>
        <v>135070553.40000001</v>
      </c>
      <c r="AK10" s="427">
        <f t="shared" si="0"/>
        <v>-7908753.5150573254</v>
      </c>
      <c r="AL10">
        <v>9</v>
      </c>
      <c r="AM10" t="str">
        <f>HYPERLINK("#'Amortisation and Repayments'!C553","block 9")</f>
        <v>block 9</v>
      </c>
      <c r="AN10">
        <f>Mapping!X10</f>
        <v>0</v>
      </c>
      <c r="AO10" s="440">
        <f>'Loan Book'!AS13</f>
        <v>960440</v>
      </c>
      <c r="AP10" s="440">
        <f>'Loan Book'!AT13</f>
        <v>1562500</v>
      </c>
      <c r="AQ10" s="440"/>
      <c r="AR10" s="441">
        <f t="shared" si="2"/>
        <v>44117</v>
      </c>
      <c r="AS10" s="442" t="s">
        <v>977</v>
      </c>
      <c r="AT10" s="442" t="s">
        <v>978</v>
      </c>
      <c r="AU10" s="443">
        <f t="shared" si="1"/>
        <v>2522940</v>
      </c>
    </row>
    <row r="11" spans="1:47" x14ac:dyDescent="0.35">
      <c r="A11" t="str">
        <f>Mapping!J11</f>
        <v>000104420000010</v>
      </c>
      <c r="B11" t="str">
        <f>Mapping!K11</f>
        <v>High</v>
      </c>
      <c r="C11">
        <v>14</v>
      </c>
      <c r="D11" t="str">
        <f>'Loan Book'!E14</f>
        <v>Nature's Gift Limited</v>
      </c>
      <c r="E11" t="str">
        <f>'Loan Book'!F14</f>
        <v>Debt</v>
      </c>
      <c r="F11" s="426">
        <f>'Loan Book'!G14</f>
        <v>44307</v>
      </c>
      <c r="G11" s="426">
        <f>'Loan Book'!H14</f>
        <v>46295</v>
      </c>
      <c r="H11">
        <f>'Loan Book'!I14</f>
        <v>5.4465753424657537</v>
      </c>
      <c r="I11" t="str">
        <f>'Loan Book'!J14</f>
        <v>-</v>
      </c>
      <c r="J11">
        <f>IF('Loan Book'!K14="","",IF('Loan Book'!K14&lt;1,'Loan Book'!K14*100,'Loan Book'!K14))</f>
        <v>28.700000000000003</v>
      </c>
      <c r="K11" s="427">
        <f>'Loan Book'!L14</f>
        <v>80000000</v>
      </c>
      <c r="L11" s="427">
        <f>'Loan Book'!M14</f>
        <v>80000000</v>
      </c>
      <c r="M11" s="427">
        <f>'Loan Book'!N14</f>
        <v>0</v>
      </c>
      <c r="N11" s="427">
        <f>'Loan Book'!O14</f>
        <v>80000000</v>
      </c>
      <c r="O11" s="427">
        <f>'Loan Book'!P14</f>
        <v>49606668.696146496</v>
      </c>
      <c r="P11" s="427">
        <f>'Loan Book'!Q14</f>
        <v>-79619445.849999994</v>
      </c>
      <c r="Q11" s="427">
        <f>'Loan Book'!R14</f>
        <v>49987222.846146494</v>
      </c>
      <c r="R11" s="427">
        <f>'Loan Book'!S14</f>
        <v>0</v>
      </c>
      <c r="S11" s="427">
        <f>'Loan Book'!T14</f>
        <v>0</v>
      </c>
      <c r="T11" s="427">
        <f>'Loan Book'!U14</f>
        <v>0</v>
      </c>
      <c r="U11">
        <f>'Loan Book'!AC14</f>
        <v>0</v>
      </c>
      <c r="V11">
        <f>'Loan Book'!AE14</f>
        <v>0</v>
      </c>
      <c r="W11" t="str">
        <f>IFERROR(INDEX('E-Banker master'!$B$2:$B$186,MATCH($A11,'E-Banker master'!$A$2:$A$186,0)),"")</f>
        <v>Nature's Gift Limited</v>
      </c>
      <c r="X11">
        <f>IFERROR(INDEX('E-Banker master'!$C$2:$C$186,MATCH($A11,'E-Banker master'!$A$2:$A$186,0)),"")</f>
        <v>84</v>
      </c>
      <c r="Y11" t="str">
        <f>IFERROR(INDEX('E-Banker master'!$D$2:$D$186,MATCH($A11,'E-Banker master'!$A$2:$A$186,0)),"")</f>
        <v>1050101</v>
      </c>
      <c r="Z11" t="str">
        <f>IFERROR(INDEX('E-Banker master'!$E$2:$E$186,MATCH($A11,'E-Banker master'!$A$2:$A$186,0)),"")</f>
        <v>A</v>
      </c>
      <c r="AA11" t="str">
        <f>IFERROR(INDEX('E-Banker master'!$F$2:$F$186,MATCH($A11,'E-Banker master'!$A$2:$A$186,0)),"")</f>
        <v>M</v>
      </c>
      <c r="AB11">
        <f>IFERROR(INDEX('E-Banker master'!$G$2:$G$186,MATCH($A11,'E-Banker master'!$A$2:$A$186,0)),"")</f>
        <v>26.8</v>
      </c>
      <c r="AC11" s="427">
        <f>IFERROR(INDEX('E-Banker master'!$I$2:$I$186,MATCH($A11,'E-Banker master'!$A$2:$A$186,0)),"")</f>
        <v>80000000</v>
      </c>
      <c r="AD11" s="426">
        <f>IFERROR(INDEX('E-Banker master'!$J$2:$J$186,MATCH($A11,'E-Banker master'!$A$2:$A$186,0)),"")</f>
        <v>44307</v>
      </c>
      <c r="AE11" s="426">
        <f>IFERROR(INDEX('E-Banker master'!$K$2:$K$186,MATCH($A11,'E-Banker master'!$A$2:$A$186,0)),"")</f>
        <v>46133</v>
      </c>
      <c r="AF11">
        <f>IFERROR(INDEX('E-Banker master'!$L$2:$L$186,MATCH($A11,'E-Banker master'!$A$2:$A$186,0)),"")</f>
        <v>0</v>
      </c>
      <c r="AG11">
        <f>IFERROR(INDEX('E-Banker master'!$M$2:$M$186,MATCH($A11,'E-Banker master'!$A$2:$A$186,0)),"")</f>
        <v>0</v>
      </c>
      <c r="AH11" s="427">
        <f>IFERROR(INDEX('E-Banker master'!$N$2:$N$186,MATCH($A11,'E-Banker master'!$A$2:$A$186,0)),"")</f>
        <v>80000000</v>
      </c>
      <c r="AI11" s="427">
        <f>IFERROR(INDEX('E-Banker master'!$O$2:$O$186,MATCH($A11,'E-Banker master'!$A$2:$A$186,0)),"")</f>
        <v>46627490.100000001</v>
      </c>
      <c r="AJ11" s="427">
        <f>IFERROR(INDEX('E-Banker master'!$P$2:$P$186,MATCH($A11,'E-Banker master'!$A$2:$A$186,0)),"")</f>
        <v>50784761.799999997</v>
      </c>
      <c r="AK11" s="427">
        <f t="shared" si="0"/>
        <v>-797538.95385350287</v>
      </c>
      <c r="AL11">
        <v>10</v>
      </c>
      <c r="AM11" t="str">
        <f>HYPERLINK("#'Amortisation and Repayments'!C616","block 10")</f>
        <v>block 10</v>
      </c>
      <c r="AN11">
        <f>Mapping!X11</f>
        <v>0</v>
      </c>
      <c r="AO11" s="440">
        <f>'Loan Book'!AS14</f>
        <v>1650000</v>
      </c>
      <c r="AP11" s="440">
        <f>'Loan Book'!AT14</f>
        <v>3650000</v>
      </c>
      <c r="AQ11" s="440"/>
      <c r="AR11" s="441">
        <f t="shared" si="2"/>
        <v>44307</v>
      </c>
      <c r="AS11" s="442" t="s">
        <v>977</v>
      </c>
      <c r="AT11" s="442" t="s">
        <v>978</v>
      </c>
      <c r="AU11" s="443">
        <f t="shared" si="1"/>
        <v>5300000</v>
      </c>
    </row>
    <row r="12" spans="1:47" x14ac:dyDescent="0.35">
      <c r="A12" t="str">
        <f>Mapping!J12</f>
        <v>000104420000012</v>
      </c>
      <c r="B12" t="str">
        <f>Mapping!K12</f>
        <v>High</v>
      </c>
      <c r="C12">
        <v>15</v>
      </c>
      <c r="D12" t="str">
        <f>'Loan Book'!E15</f>
        <v>Nature's Gift Limited</v>
      </c>
      <c r="E12" t="str">
        <f>'Loan Book'!F15</f>
        <v>Debt</v>
      </c>
      <c r="F12" s="426">
        <f>'Loan Book'!G15</f>
        <v>44400</v>
      </c>
      <c r="G12" s="426">
        <f>'Loan Book'!H15</f>
        <v>46142</v>
      </c>
      <c r="H12">
        <f>'Loan Book'!I15</f>
        <v>4.7726027397260271</v>
      </c>
      <c r="I12">
        <f>'Loan Book'!J15</f>
        <v>0</v>
      </c>
      <c r="J12">
        <f>IF('Loan Book'!K15="","",IF('Loan Book'!K15&lt;1,'Loan Book'!K15*100,'Loan Book'!K15))</f>
        <v>28.700000000000003</v>
      </c>
      <c r="K12" s="427">
        <f>'Loan Book'!L15</f>
        <v>85000000</v>
      </c>
      <c r="L12" s="427">
        <f>'Loan Book'!M15</f>
        <v>85000000</v>
      </c>
      <c r="M12" s="427">
        <f>'Loan Book'!N15</f>
        <v>0</v>
      </c>
      <c r="N12" s="427">
        <f>'Loan Book'!O15</f>
        <v>85000000</v>
      </c>
      <c r="O12" s="427">
        <f>'Loan Book'!P15</f>
        <v>48641493.10318052</v>
      </c>
      <c r="P12" s="427">
        <f>'Loan Book'!Q15</f>
        <v>-91262042.879999995</v>
      </c>
      <c r="Q12" s="427">
        <f>'Loan Book'!R15</f>
        <v>42379450.223180532</v>
      </c>
      <c r="R12" s="427">
        <f>'Loan Book'!S15</f>
        <v>0</v>
      </c>
      <c r="S12" s="427">
        <f>'Loan Book'!T15</f>
        <v>0</v>
      </c>
      <c r="T12" s="427">
        <f>'Loan Book'!U15</f>
        <v>0</v>
      </c>
      <c r="U12">
        <f>'Loan Book'!AC15</f>
        <v>0</v>
      </c>
      <c r="V12">
        <f>'Loan Book'!AE15</f>
        <v>0</v>
      </c>
      <c r="W12" t="str">
        <f>IFERROR(INDEX('E-Banker master'!$B$2:$B$186,MATCH($A12,'E-Banker master'!$A$2:$A$186,0)),"")</f>
        <v>Nature's Gift Limited</v>
      </c>
      <c r="X12">
        <f>IFERROR(INDEX('E-Banker master'!$C$2:$C$186,MATCH($A12,'E-Banker master'!$A$2:$A$186,0)),"")</f>
        <v>84</v>
      </c>
      <c r="Y12" t="str">
        <f>IFERROR(INDEX('E-Banker master'!$D$2:$D$186,MATCH($A12,'E-Banker master'!$A$2:$A$186,0)),"")</f>
        <v>1050101</v>
      </c>
      <c r="Z12" t="str">
        <f>IFERROR(INDEX('E-Banker master'!$E$2:$E$186,MATCH($A12,'E-Banker master'!$A$2:$A$186,0)),"")</f>
        <v>A</v>
      </c>
      <c r="AA12" t="str">
        <f>IFERROR(INDEX('E-Banker master'!$F$2:$F$186,MATCH($A12,'E-Banker master'!$A$2:$A$186,0)),"")</f>
        <v>M</v>
      </c>
      <c r="AB12">
        <f>IFERROR(INDEX('E-Banker master'!$G$2:$G$186,MATCH($A12,'E-Banker master'!$A$2:$A$186,0)),"")</f>
        <v>26.5</v>
      </c>
      <c r="AC12" s="427">
        <f>IFERROR(INDEX('E-Banker master'!$I$2:$I$186,MATCH($A12,'E-Banker master'!$A$2:$A$186,0)),"")</f>
        <v>85000000</v>
      </c>
      <c r="AD12" s="426">
        <f>IFERROR(INDEX('E-Banker master'!$J$2:$J$186,MATCH($A12,'E-Banker master'!$A$2:$A$186,0)),"")</f>
        <v>44400</v>
      </c>
      <c r="AE12" s="426">
        <f>IFERROR(INDEX('E-Banker master'!$K$2:$K$186,MATCH($A12,'E-Banker master'!$A$2:$A$186,0)),"")</f>
        <v>46226</v>
      </c>
      <c r="AF12">
        <f>IFERROR(INDEX('E-Banker master'!$L$2:$L$186,MATCH($A12,'E-Banker master'!$A$2:$A$186,0)),"")</f>
        <v>0</v>
      </c>
      <c r="AG12">
        <f>IFERROR(INDEX('E-Banker master'!$M$2:$M$186,MATCH($A12,'E-Banker master'!$A$2:$A$186,0)),"")</f>
        <v>0</v>
      </c>
      <c r="AH12" s="427">
        <f>IFERROR(INDEX('E-Banker master'!$N$2:$N$186,MATCH($A12,'E-Banker master'!$A$2:$A$186,0)),"")</f>
        <v>85000000</v>
      </c>
      <c r="AI12" s="427">
        <f>IFERROR(INDEX('E-Banker master'!$O$2:$O$186,MATCH($A12,'E-Banker master'!$A$2:$A$186,0)),"")</f>
        <v>45506488.990000002</v>
      </c>
      <c r="AJ12" s="427">
        <f>IFERROR(INDEX('E-Banker master'!$P$2:$P$186,MATCH($A12,'E-Banker master'!$A$2:$A$186,0)),"")</f>
        <v>42742352.289999999</v>
      </c>
      <c r="AK12" s="427">
        <f t="shared" si="0"/>
        <v>-362902.06681946665</v>
      </c>
      <c r="AL12">
        <v>12</v>
      </c>
      <c r="AM12" t="str">
        <f>HYPERLINK("#'Amortisation and Repayments'!C756","block 12")</f>
        <v>block 12</v>
      </c>
      <c r="AN12">
        <f>Mapping!X12</f>
        <v>0</v>
      </c>
      <c r="AO12" s="440">
        <f>'Loan Book'!AS15</f>
        <v>0</v>
      </c>
      <c r="AP12" s="440">
        <f>'Loan Book'!AT15</f>
        <v>0</v>
      </c>
      <c r="AQ12" s="440"/>
      <c r="AR12" s="441">
        <f t="shared" si="2"/>
        <v>44400</v>
      </c>
      <c r="AS12" s="442"/>
      <c r="AT12" s="442"/>
      <c r="AU12" s="443">
        <f t="shared" si="1"/>
        <v>0</v>
      </c>
    </row>
    <row r="13" spans="1:47" x14ac:dyDescent="0.35">
      <c r="A13" t="str">
        <f>Mapping!J13</f>
        <v>000104420000011</v>
      </c>
      <c r="B13" t="str">
        <f>Mapping!K13</f>
        <v>High</v>
      </c>
      <c r="C13">
        <v>16</v>
      </c>
      <c r="D13" t="str">
        <f>'Loan Book'!E16</f>
        <v>Kajikhomele Foundation Ltd</v>
      </c>
      <c r="E13" t="str">
        <f>'Loan Book'!F16</f>
        <v>Debt</v>
      </c>
      <c r="F13" s="426">
        <f>'Loan Book'!G16</f>
        <v>44336</v>
      </c>
      <c r="G13" s="426">
        <f>'Loan Book'!H16</f>
        <v>45796</v>
      </c>
      <c r="H13">
        <f>'Loan Book'!I16</f>
        <v>4</v>
      </c>
      <c r="I13" t="str">
        <f>'Loan Book'!J16</f>
        <v>12 (Cap+Int)</v>
      </c>
      <c r="J13">
        <f>IF('Loan Book'!K16="","",IF('Loan Book'!K16&lt;1,'Loan Book'!K16*100,'Loan Book'!K16))</f>
        <v>29.700000000000003</v>
      </c>
      <c r="K13" s="427">
        <f>'Loan Book'!L16</f>
        <v>96552500</v>
      </c>
      <c r="L13" s="427">
        <f>'Loan Book'!M16</f>
        <v>96552500</v>
      </c>
      <c r="M13" s="427">
        <f>'Loan Book'!N16</f>
        <v>0</v>
      </c>
      <c r="N13" s="427">
        <f>'Loan Book'!O16</f>
        <v>96552500</v>
      </c>
      <c r="O13" s="427">
        <f>'Loan Book'!P16</f>
        <v>79960563.859000817</v>
      </c>
      <c r="P13" s="427">
        <f>'Loan Book'!Q16</f>
        <v>-23143102</v>
      </c>
      <c r="Q13" s="427">
        <f>'Loan Book'!R16</f>
        <v>153369961.8590008</v>
      </c>
      <c r="R13" s="427">
        <f>'Loan Book'!S16</f>
        <v>58731536.681867853</v>
      </c>
      <c r="S13" s="427">
        <f>'Loan Book'!T16</f>
        <v>27464466.88263014</v>
      </c>
      <c r="T13" s="427">
        <f>'Loan Book'!U16</f>
        <v>86196003.564497992</v>
      </c>
      <c r="U13">
        <f>'Loan Book'!AC16</f>
        <v>0</v>
      </c>
      <c r="V13">
        <f>'Loan Book'!AE16</f>
        <v>0</v>
      </c>
      <c r="W13" t="str">
        <f>IFERROR(INDEX('E-Banker master'!$B$2:$B$186,MATCH($A13,'E-Banker master'!$A$2:$A$186,0)),"")</f>
        <v>Kajikhomele Foundation Ltd</v>
      </c>
      <c r="X13">
        <f>IFERROR(INDEX('E-Banker master'!$C$2:$C$186,MATCH($A13,'E-Banker master'!$A$2:$A$186,0)),"")</f>
        <v>84</v>
      </c>
      <c r="Y13" t="str">
        <f>IFERROR(INDEX('E-Banker master'!$D$2:$D$186,MATCH($A13,'E-Banker master'!$A$2:$A$186,0)),"")</f>
        <v>1050101</v>
      </c>
      <c r="Z13" t="str">
        <f>IFERROR(INDEX('E-Banker master'!$E$2:$E$186,MATCH($A13,'E-Banker master'!$A$2:$A$186,0)),"")</f>
        <v>D</v>
      </c>
      <c r="AA13" t="str">
        <f>IFERROR(INDEX('E-Banker master'!$F$2:$F$186,MATCH($A13,'E-Banker master'!$A$2:$A$186,0)),"")</f>
        <v>P</v>
      </c>
      <c r="AB13">
        <f>IFERROR(INDEX('E-Banker master'!$G$2:$G$186,MATCH($A13,'E-Banker master'!$A$2:$A$186,0)),"")</f>
        <v>32.299999999999997</v>
      </c>
      <c r="AC13" s="427">
        <f>IFERROR(INDEX('E-Banker master'!$I$2:$I$186,MATCH($A13,'E-Banker master'!$A$2:$A$186,0)),"")</f>
        <v>96552500</v>
      </c>
      <c r="AD13" s="426">
        <f>IFERROR(INDEX('E-Banker master'!$J$2:$J$186,MATCH($A13,'E-Banker master'!$A$2:$A$186,0)),"")</f>
        <v>44266</v>
      </c>
      <c r="AE13" s="426">
        <f>IFERROR(INDEX('E-Banker master'!$K$2:$K$186,MATCH($A13,'E-Banker master'!$A$2:$A$186,0)),"")</f>
        <v>45727</v>
      </c>
      <c r="AF13">
        <f>IFERROR(INDEX('E-Banker master'!$L$2:$L$186,MATCH($A13,'E-Banker master'!$A$2:$A$186,0)),"")</f>
        <v>12</v>
      </c>
      <c r="AG13">
        <f>IFERROR(INDEX('E-Banker master'!$M$2:$M$186,MATCH($A13,'E-Banker master'!$A$2:$A$186,0)),"")</f>
        <v>12</v>
      </c>
      <c r="AH13" s="427">
        <f>IFERROR(INDEX('E-Banker master'!$N$2:$N$186,MATCH($A13,'E-Banker master'!$A$2:$A$186,0)),"")</f>
        <v>96552500</v>
      </c>
      <c r="AI13" s="427">
        <f>IFERROR(INDEX('E-Banker master'!$O$2:$O$186,MATCH($A13,'E-Banker master'!$A$2:$A$186,0)),"")</f>
        <v>75812661.709999993</v>
      </c>
      <c r="AJ13" s="427">
        <f>IFERROR(INDEX('E-Banker master'!$P$2:$P$186,MATCH($A13,'E-Banker master'!$A$2:$A$186,0)),"")</f>
        <v>162085543.34</v>
      </c>
      <c r="AK13" s="427">
        <f t="shared" si="0"/>
        <v>-8715581.4809992015</v>
      </c>
      <c r="AL13">
        <v>11</v>
      </c>
      <c r="AM13" t="str">
        <f>HYPERLINK("#'Amortisation and Repayments'!C692","block 11")</f>
        <v>block 11</v>
      </c>
      <c r="AN13">
        <f>Mapping!X13</f>
        <v>0</v>
      </c>
      <c r="AO13" s="440">
        <f>'Loan Book'!AS16</f>
        <v>1448288</v>
      </c>
      <c r="AP13" s="440">
        <f>'Loan Book'!AT16</f>
        <v>2605500</v>
      </c>
      <c r="AQ13" s="440"/>
      <c r="AR13" s="441">
        <f t="shared" si="2"/>
        <v>44266</v>
      </c>
      <c r="AS13" s="442" t="s">
        <v>977</v>
      </c>
      <c r="AT13" s="442" t="s">
        <v>978</v>
      </c>
      <c r="AU13" s="443">
        <f t="shared" si="1"/>
        <v>4053788</v>
      </c>
    </row>
    <row r="14" spans="1:47" x14ac:dyDescent="0.35">
      <c r="A14" t="str">
        <f>Mapping!J14</f>
        <v>000104450000012</v>
      </c>
      <c r="B14" t="str">
        <f>Mapping!K14</f>
        <v>High</v>
      </c>
      <c r="C14">
        <v>17</v>
      </c>
      <c r="D14" t="str">
        <f>'Loan Book'!E17</f>
        <v>Maluso Cooperative Union (MCU)</v>
      </c>
      <c r="E14" t="str">
        <f>'Loan Book'!F17</f>
        <v>Debt</v>
      </c>
      <c r="F14" s="426">
        <f>'Loan Book'!G17</f>
        <v>44553</v>
      </c>
      <c r="G14" s="426">
        <f>'Loan Book'!H17</f>
        <v>45291</v>
      </c>
      <c r="H14">
        <f>'Loan Book'!I17</f>
        <v>2.021917808219178</v>
      </c>
      <c r="I14" t="str">
        <f>'Loan Book'!J17</f>
        <v>3 (Cap+Int)</v>
      </c>
      <c r="J14">
        <f>IF('Loan Book'!K17="","",IF('Loan Book'!K17&lt;1,'Loan Book'!K17*100,'Loan Book'!K17))</f>
        <v>10</v>
      </c>
      <c r="K14" s="427">
        <f>'Loan Book'!L17</f>
        <v>11511500</v>
      </c>
      <c r="L14" s="427">
        <f>'Loan Book'!M17</f>
        <v>11511500</v>
      </c>
      <c r="M14" s="427">
        <f>'Loan Book'!N17</f>
        <v>0</v>
      </c>
      <c r="N14" s="427">
        <f>'Loan Book'!O17</f>
        <v>11511500</v>
      </c>
      <c r="O14" s="427">
        <f>'Loan Book'!P17</f>
        <v>1430309.6282004518</v>
      </c>
      <c r="P14" s="427">
        <f>'Loan Book'!Q17</f>
        <v>-900000</v>
      </c>
      <c r="Q14" s="427">
        <f>'Loan Book'!R17</f>
        <v>0</v>
      </c>
      <c r="R14" s="427">
        <f>'Loan Book'!S17</f>
        <v>0</v>
      </c>
      <c r="S14" s="427">
        <f>'Loan Book'!T17</f>
        <v>0</v>
      </c>
      <c r="T14" s="427">
        <f>'Loan Book'!U17</f>
        <v>0</v>
      </c>
      <c r="U14">
        <f>'Loan Book'!AC17</f>
        <v>0</v>
      </c>
      <c r="V14">
        <f>'Loan Book'!AE17</f>
        <v>0</v>
      </c>
      <c r="W14" t="str">
        <f>IFERROR(INDEX('E-Banker master'!$B$2:$B$186,MATCH($A14,'E-Banker master'!$A$2:$A$186,0)),"")</f>
        <v>Maluso Cooperative Union</v>
      </c>
      <c r="X14">
        <f>IFERROR(INDEX('E-Banker master'!$C$2:$C$186,MATCH($A14,'E-Banker master'!$A$2:$A$186,0)),"")</f>
        <v>90</v>
      </c>
      <c r="Y14" t="str">
        <f>IFERROR(INDEX('E-Banker master'!$D$2:$D$186,MATCH($A14,'E-Banker master'!$A$2:$A$186,0)),"")</f>
        <v>1050201</v>
      </c>
      <c r="Z14" t="str">
        <f>IFERROR(INDEX('E-Banker master'!$E$2:$E$186,MATCH($A14,'E-Banker master'!$A$2:$A$186,0)),"")</f>
        <v>A</v>
      </c>
      <c r="AA14" t="str">
        <f>IFERROR(INDEX('E-Banker master'!$F$2:$F$186,MATCH($A14,'E-Banker master'!$A$2:$A$186,0)),"")</f>
        <v>S</v>
      </c>
      <c r="AB14">
        <f>IFERROR(INDEX('E-Banker master'!$G$2:$G$186,MATCH($A14,'E-Banker master'!$A$2:$A$186,0)),"")</f>
        <v>10</v>
      </c>
      <c r="AC14" s="427">
        <f>IFERROR(INDEX('E-Banker master'!$I$2:$I$186,MATCH($A14,'E-Banker master'!$A$2:$A$186,0)),"")</f>
        <v>11511500</v>
      </c>
      <c r="AD14" s="426">
        <f>IFERROR(INDEX('E-Banker master'!$J$2:$J$186,MATCH($A14,'E-Banker master'!$A$2:$A$186,0)),"")</f>
        <v>44553</v>
      </c>
      <c r="AE14" s="426">
        <f>IFERROR(INDEX('E-Banker master'!$K$2:$K$186,MATCH($A14,'E-Banker master'!$A$2:$A$186,0)),"")</f>
        <v>45282</v>
      </c>
      <c r="AF14">
        <f>IFERROR(INDEX('E-Banker master'!$L$2:$L$186,MATCH($A14,'E-Banker master'!$A$2:$A$186,0)),"")</f>
        <v>3</v>
      </c>
      <c r="AG14">
        <f>IFERROR(INDEX('E-Banker master'!$M$2:$M$186,MATCH($A14,'E-Banker master'!$A$2:$A$186,0)),"")</f>
        <v>3</v>
      </c>
      <c r="AH14" s="427">
        <f>IFERROR(INDEX('E-Banker master'!$N$2:$N$186,MATCH($A14,'E-Banker master'!$A$2:$A$186,0)),"")</f>
        <v>11511500</v>
      </c>
      <c r="AI14" s="427">
        <f>IFERROR(INDEX('E-Banker master'!$O$2:$O$186,MATCH($A14,'E-Banker master'!$A$2:$A$186,0)),"")</f>
        <v>1430309.63</v>
      </c>
      <c r="AJ14" s="427">
        <f>IFERROR(INDEX('E-Banker master'!$P$2:$P$186,MATCH($A14,'E-Banker master'!$A$2:$A$186,0)),"")</f>
        <v>0</v>
      </c>
      <c r="AK14" s="427">
        <f t="shared" si="0"/>
        <v>0</v>
      </c>
      <c r="AL14">
        <v>18</v>
      </c>
      <c r="AM14" t="str">
        <f>HYPERLINK("#'Amortisation and Repayments'!C1044","block 18")</f>
        <v>block 18</v>
      </c>
      <c r="AN14">
        <f>Mapping!X14</f>
        <v>0</v>
      </c>
      <c r="AO14" s="440">
        <f>'Loan Book'!AS17</f>
        <v>115115</v>
      </c>
      <c r="AP14" s="440">
        <f>'Loan Book'!AT17</f>
        <v>272696.76</v>
      </c>
      <c r="AQ14" s="440"/>
      <c r="AR14" s="441">
        <f t="shared" si="2"/>
        <v>44553</v>
      </c>
      <c r="AS14" s="442" t="s">
        <v>977</v>
      </c>
      <c r="AT14" s="442" t="s">
        <v>978</v>
      </c>
      <c r="AU14" s="443">
        <f t="shared" si="1"/>
        <v>387811.76</v>
      </c>
    </row>
    <row r="15" spans="1:47" x14ac:dyDescent="0.35">
      <c r="A15" t="str">
        <f>Mapping!J15</f>
        <v>000104450000013</v>
      </c>
      <c r="B15" t="str">
        <f>Mapping!K15</f>
        <v>High</v>
      </c>
      <c r="C15">
        <v>18</v>
      </c>
      <c r="D15" t="str">
        <f>'Loan Book'!E18</f>
        <v>Ndagha Sustainable Food Ltd</v>
      </c>
      <c r="E15" t="str">
        <f>'Loan Book'!F18</f>
        <v>Debt</v>
      </c>
      <c r="F15" s="426">
        <f>'Loan Book'!G18</f>
        <v>44554</v>
      </c>
      <c r="G15" s="426">
        <f>'Loan Book'!H18</f>
        <v>45291</v>
      </c>
      <c r="H15">
        <f>'Loan Book'!I18</f>
        <v>2.0191780821917811</v>
      </c>
      <c r="I15">
        <f>'Loan Book'!J18</f>
        <v>0</v>
      </c>
      <c r="J15">
        <f>IF('Loan Book'!K18="","",IF('Loan Book'!K18&lt;1,'Loan Book'!K18*100,'Loan Book'!K18))</f>
        <v>10</v>
      </c>
      <c r="K15" s="427">
        <f>'Loan Book'!L18</f>
        <v>10000000</v>
      </c>
      <c r="L15" s="427">
        <f>'Loan Book'!M18</f>
        <v>10000000</v>
      </c>
      <c r="M15" s="427">
        <f>'Loan Book'!N18</f>
        <v>0</v>
      </c>
      <c r="N15" s="427">
        <f>'Loan Book'!O18</f>
        <v>10000000</v>
      </c>
      <c r="O15" s="427">
        <f>'Loan Book'!P18</f>
        <v>1096700.12922314</v>
      </c>
      <c r="P15" s="427">
        <f>'Loan Book'!Q18</f>
        <v>-11096700.130000001</v>
      </c>
      <c r="Q15" s="427">
        <f>'Loan Book'!R18</f>
        <v>-7.7685900032520294E-4</v>
      </c>
      <c r="R15" s="427">
        <f>'Loan Book'!S18</f>
        <v>0</v>
      </c>
      <c r="S15" s="427">
        <f>'Loan Book'!T18</f>
        <v>0</v>
      </c>
      <c r="T15" s="427">
        <f>'Loan Book'!U18</f>
        <v>0</v>
      </c>
      <c r="U15">
        <f>'Loan Book'!AC18</f>
        <v>0</v>
      </c>
      <c r="V15">
        <f>'Loan Book'!AE18</f>
        <v>0</v>
      </c>
      <c r="W15" t="str">
        <f>IFERROR(INDEX('E-Banker master'!$B$2:$B$186,MATCH($A15,'E-Banker master'!$A$2:$A$186,0)),"")</f>
        <v>Ndagha Sustainable Foods Limited</v>
      </c>
      <c r="X15">
        <f>IFERROR(INDEX('E-Banker master'!$C$2:$C$186,MATCH($A15,'E-Banker master'!$A$2:$A$186,0)),"")</f>
        <v>90</v>
      </c>
      <c r="Y15" t="str">
        <f>IFERROR(INDEX('E-Banker master'!$D$2:$D$186,MATCH($A15,'E-Banker master'!$A$2:$A$186,0)),"")</f>
        <v>1050201</v>
      </c>
      <c r="Z15" t="str">
        <f>IFERROR(INDEX('E-Banker master'!$E$2:$E$186,MATCH($A15,'E-Banker master'!$A$2:$A$186,0)),"")</f>
        <v>C</v>
      </c>
      <c r="AA15" t="str">
        <f>IFERROR(INDEX('E-Banker master'!$F$2:$F$186,MATCH($A15,'E-Banker master'!$A$2:$A$186,0)),"")</f>
        <v>S</v>
      </c>
      <c r="AB15">
        <f>IFERROR(INDEX('E-Banker master'!$G$2:$G$186,MATCH($A15,'E-Banker master'!$A$2:$A$186,0)),"")</f>
        <v>10</v>
      </c>
      <c r="AC15" s="427">
        <f>IFERROR(INDEX('E-Banker master'!$I$2:$I$186,MATCH($A15,'E-Banker master'!$A$2:$A$186,0)),"")</f>
        <v>10000000</v>
      </c>
      <c r="AD15" s="426">
        <f>IFERROR(INDEX('E-Banker master'!$J$2:$J$186,MATCH($A15,'E-Banker master'!$A$2:$A$186,0)),"")</f>
        <v>44554</v>
      </c>
      <c r="AE15" s="426">
        <f>IFERROR(INDEX('E-Banker master'!$K$2:$K$186,MATCH($A15,'E-Banker master'!$A$2:$A$186,0)),"")</f>
        <v>45283</v>
      </c>
      <c r="AF15">
        <f>IFERROR(INDEX('E-Banker master'!$L$2:$L$186,MATCH($A15,'E-Banker master'!$A$2:$A$186,0)),"")</f>
        <v>0</v>
      </c>
      <c r="AG15">
        <f>IFERROR(INDEX('E-Banker master'!$M$2:$M$186,MATCH($A15,'E-Banker master'!$A$2:$A$186,0)),"")</f>
        <v>0</v>
      </c>
      <c r="AH15" s="427">
        <f>IFERROR(INDEX('E-Banker master'!$N$2:$N$186,MATCH($A15,'E-Banker master'!$A$2:$A$186,0)),"")</f>
        <v>0</v>
      </c>
      <c r="AI15" s="427">
        <f>IFERROR(INDEX('E-Banker master'!$O$2:$O$186,MATCH($A15,'E-Banker master'!$A$2:$A$186,0)),"")</f>
        <v>0</v>
      </c>
      <c r="AJ15" s="427">
        <f>IFERROR(INDEX('E-Banker master'!$P$2:$P$186,MATCH($A15,'E-Banker master'!$A$2:$A$186,0)),"")</f>
        <v>0</v>
      </c>
      <c r="AK15" s="427">
        <f t="shared" si="0"/>
        <v>-7.7685900032520294E-4</v>
      </c>
      <c r="AL15">
        <v>13</v>
      </c>
      <c r="AM15" t="str">
        <f>HYPERLINK("#'Amortisation and Repayments'!C830","block 13")</f>
        <v>block 13</v>
      </c>
      <c r="AN15">
        <f>Mapping!X15</f>
        <v>0</v>
      </c>
      <c r="AO15" s="440">
        <f>'Loan Book'!AS18</f>
        <v>100000</v>
      </c>
      <c r="AP15" s="440">
        <f>'Loan Book'!AT18</f>
        <v>210000</v>
      </c>
      <c r="AQ15" s="440"/>
      <c r="AR15" s="441">
        <f t="shared" si="2"/>
        <v>44554</v>
      </c>
      <c r="AS15" s="442" t="s">
        <v>977</v>
      </c>
      <c r="AT15" s="442" t="s">
        <v>978</v>
      </c>
      <c r="AU15" s="443">
        <f t="shared" si="1"/>
        <v>310000</v>
      </c>
    </row>
    <row r="16" spans="1:47" x14ac:dyDescent="0.35">
      <c r="A16" t="str">
        <f>Mapping!J16</f>
        <v>000104460000014</v>
      </c>
      <c r="B16" t="str">
        <f>Mapping!K16</f>
        <v>High</v>
      </c>
      <c r="C16">
        <v>19</v>
      </c>
      <c r="D16" t="str">
        <f>'Loan Book'!E19</f>
        <v>Ecogen Ltd</v>
      </c>
      <c r="E16" t="str">
        <f>'Loan Book'!F19</f>
        <v>Debt</v>
      </c>
      <c r="F16" s="426">
        <f>'Loan Book'!G19</f>
        <v>44551</v>
      </c>
      <c r="G16" s="426">
        <f>'Loan Book'!H19</f>
        <v>45291</v>
      </c>
      <c r="H16">
        <f>'Loan Book'!I19</f>
        <v>2.0273972602739732</v>
      </c>
      <c r="I16" t="str">
        <f>'Loan Book'!J19</f>
        <v>6 (Cap+Int)</v>
      </c>
      <c r="J16">
        <f>IF('Loan Book'!K19="","",IF('Loan Book'!K19&lt;1,'Loan Book'!K19*100,'Loan Book'!K19))</f>
        <v>10</v>
      </c>
      <c r="K16" s="427">
        <f>'Loan Book'!L19</f>
        <v>20000000</v>
      </c>
      <c r="L16" s="427">
        <f>'Loan Book'!M19</f>
        <v>20000000</v>
      </c>
      <c r="M16" s="427">
        <f>'Loan Book'!N19</f>
        <v>0</v>
      </c>
      <c r="N16" s="427">
        <f>'Loan Book'!O19</f>
        <v>20000000</v>
      </c>
      <c r="O16" s="427">
        <f>'Loan Book'!P19</f>
        <v>2784623.4287879192</v>
      </c>
      <c r="P16" s="427">
        <f>'Loan Book'!Q19</f>
        <v>-22784623.449999999</v>
      </c>
      <c r="Q16" s="427">
        <f>'Loan Book'!R19</f>
        <v>0</v>
      </c>
      <c r="R16" s="427">
        <f>'Loan Book'!S19</f>
        <v>0</v>
      </c>
      <c r="S16" s="427">
        <f>'Loan Book'!T19</f>
        <v>0</v>
      </c>
      <c r="T16" s="427">
        <f>'Loan Book'!U19</f>
        <v>0</v>
      </c>
      <c r="U16">
        <f>'Loan Book'!AC19</f>
        <v>0</v>
      </c>
      <c r="V16">
        <f>'Loan Book'!AE19</f>
        <v>0</v>
      </c>
      <c r="W16" t="str">
        <f>IFERROR(INDEX('E-Banker master'!$B$2:$B$186,MATCH($A16,'E-Banker master'!$A$2:$A$186,0)),"")</f>
        <v>Ecogen Limited</v>
      </c>
      <c r="X16">
        <f>IFERROR(INDEX('E-Banker master'!$C$2:$C$186,MATCH($A16,'E-Banker master'!$A$2:$A$186,0)),"")</f>
        <v>92</v>
      </c>
      <c r="Y16" t="str">
        <f>IFERROR(INDEX('E-Banker master'!$D$2:$D$186,MATCH($A16,'E-Banker master'!$A$2:$A$186,0)),"")</f>
        <v>1050202</v>
      </c>
      <c r="Z16" t="str">
        <f>IFERROR(INDEX('E-Banker master'!$E$2:$E$186,MATCH($A16,'E-Banker master'!$A$2:$A$186,0)),"")</f>
        <v>C</v>
      </c>
      <c r="AA16" t="str">
        <f>IFERROR(INDEX('E-Banker master'!$F$2:$F$186,MATCH($A16,'E-Banker master'!$A$2:$A$186,0)),"")</f>
        <v>S</v>
      </c>
      <c r="AB16">
        <f>IFERROR(INDEX('E-Banker master'!$G$2:$G$186,MATCH($A16,'E-Banker master'!$A$2:$A$186,0)),"")</f>
        <v>10</v>
      </c>
      <c r="AC16" s="427">
        <f>IFERROR(INDEX('E-Banker master'!$I$2:$I$186,MATCH($A16,'E-Banker master'!$A$2:$A$186,0)),"")</f>
        <v>20000000</v>
      </c>
      <c r="AD16" s="426">
        <f>IFERROR(INDEX('E-Banker master'!$J$2:$J$186,MATCH($A16,'E-Banker master'!$A$2:$A$186,0)),"")</f>
        <v>44561</v>
      </c>
      <c r="AE16" s="426">
        <f>IFERROR(INDEX('E-Banker master'!$K$2:$K$186,MATCH($A16,'E-Banker master'!$A$2:$A$186,0)),"")</f>
        <v>45290</v>
      </c>
      <c r="AF16">
        <f>IFERROR(INDEX('E-Banker master'!$L$2:$L$186,MATCH($A16,'E-Banker master'!$A$2:$A$186,0)),"")</f>
        <v>6</v>
      </c>
      <c r="AG16">
        <f>IFERROR(INDEX('E-Banker master'!$M$2:$M$186,MATCH($A16,'E-Banker master'!$A$2:$A$186,0)),"")</f>
        <v>6</v>
      </c>
      <c r="AH16" s="427">
        <f>IFERROR(INDEX('E-Banker master'!$N$2:$N$186,MATCH($A16,'E-Banker master'!$A$2:$A$186,0)),"")</f>
        <v>0</v>
      </c>
      <c r="AI16" s="427">
        <f>IFERROR(INDEX('E-Banker master'!$O$2:$O$186,MATCH($A16,'E-Banker master'!$A$2:$A$186,0)),"")</f>
        <v>0</v>
      </c>
      <c r="AJ16" s="427">
        <f>IFERROR(INDEX('E-Banker master'!$P$2:$P$186,MATCH($A16,'E-Banker master'!$A$2:$A$186,0)),"")</f>
        <v>0</v>
      </c>
      <c r="AK16" s="427">
        <f t="shared" si="0"/>
        <v>0</v>
      </c>
      <c r="AL16">
        <v>14</v>
      </c>
      <c r="AM16" t="str">
        <f>HYPERLINK("#'Amortisation and Repayments'!C871","block 14")</f>
        <v>block 14</v>
      </c>
      <c r="AN16">
        <f>Mapping!X16</f>
        <v>0</v>
      </c>
      <c r="AO16" s="440">
        <f>'Loan Book'!AS19</f>
        <v>200000</v>
      </c>
      <c r="AP16" s="440">
        <f>'Loan Book'!AT19</f>
        <v>378320</v>
      </c>
      <c r="AQ16" s="440"/>
      <c r="AR16" s="441">
        <f t="shared" si="2"/>
        <v>44561</v>
      </c>
      <c r="AS16" s="442" t="s">
        <v>977</v>
      </c>
      <c r="AT16" s="442" t="s">
        <v>978</v>
      </c>
      <c r="AU16" s="443">
        <f t="shared" si="1"/>
        <v>578320</v>
      </c>
    </row>
    <row r="17" spans="1:47" x14ac:dyDescent="0.35">
      <c r="A17" t="str">
        <f>Mapping!J17</f>
        <v>000104450000015</v>
      </c>
      <c r="B17" t="str">
        <f>Mapping!K17</f>
        <v>High</v>
      </c>
      <c r="C17">
        <v>20</v>
      </c>
      <c r="D17" t="str">
        <f>'Loan Book'!E20</f>
        <v>Zaithwa Farms</v>
      </c>
      <c r="E17" t="str">
        <f>'Loan Book'!F20</f>
        <v>Debt</v>
      </c>
      <c r="F17" s="426">
        <f>'Loan Book'!G20</f>
        <v>44551</v>
      </c>
      <c r="G17" s="426">
        <f>'Loan Book'!H20</f>
        <v>45275</v>
      </c>
      <c r="H17">
        <f>'Loan Book'!I20</f>
        <v>1.9835616438356165</v>
      </c>
      <c r="I17">
        <f>'Loan Book'!J20</f>
        <v>0</v>
      </c>
      <c r="J17">
        <f>IF('Loan Book'!K20="","",IF('Loan Book'!K20&lt;1,'Loan Book'!K20*100,'Loan Book'!K20))</f>
        <v>10</v>
      </c>
      <c r="K17" s="427">
        <f>'Loan Book'!L20</f>
        <v>10000000</v>
      </c>
      <c r="L17" s="427">
        <f>'Loan Book'!M20</f>
        <v>10000000</v>
      </c>
      <c r="M17" s="427">
        <f>'Loan Book'!N20</f>
        <v>0</v>
      </c>
      <c r="N17" s="427">
        <f>'Loan Book'!O20</f>
        <v>10000000</v>
      </c>
      <c r="O17" s="427">
        <f>'Loan Book'!P20</f>
        <v>1104919.3073053316</v>
      </c>
      <c r="P17" s="427">
        <f>'Loan Book'!Q20</f>
        <v>0</v>
      </c>
      <c r="Q17" s="427">
        <f>'Loan Book'!R20</f>
        <v>11104919.307305332</v>
      </c>
      <c r="R17" s="427">
        <f>'Loan Book'!S20</f>
        <v>10000000</v>
      </c>
      <c r="S17" s="427">
        <f>'Loan Book'!T20</f>
        <v>1074782.3210039616</v>
      </c>
      <c r="T17" s="427">
        <f>'Loan Book'!U20</f>
        <v>11074782.321003962</v>
      </c>
      <c r="U17">
        <f>'Loan Book'!AC20</f>
        <v>0</v>
      </c>
      <c r="V17">
        <f>'Loan Book'!AE20</f>
        <v>0</v>
      </c>
      <c r="W17" t="str">
        <f>IFERROR(INDEX('E-Banker master'!$B$2:$B$186,MATCH($A17,'E-Banker master'!$A$2:$A$186,0)),"")</f>
        <v>Zaithwa Farms</v>
      </c>
      <c r="X17">
        <f>IFERROR(INDEX('E-Banker master'!$C$2:$C$186,MATCH($A17,'E-Banker master'!$A$2:$A$186,0)),"")</f>
        <v>90</v>
      </c>
      <c r="Y17" t="str">
        <f>IFERROR(INDEX('E-Banker master'!$D$2:$D$186,MATCH($A17,'E-Banker master'!$A$2:$A$186,0)),"")</f>
        <v>1050201</v>
      </c>
      <c r="Z17" t="str">
        <f>IFERROR(INDEX('E-Banker master'!$E$2:$E$186,MATCH($A17,'E-Banker master'!$A$2:$A$186,0)),"")</f>
        <v>D</v>
      </c>
      <c r="AA17" t="str">
        <f>IFERROR(INDEX('E-Banker master'!$F$2:$F$186,MATCH($A17,'E-Banker master'!$A$2:$A$186,0)),"")</f>
        <v>S</v>
      </c>
      <c r="AB17">
        <f>IFERROR(INDEX('E-Banker master'!$G$2:$G$186,MATCH($A17,'E-Banker master'!$A$2:$A$186,0)),"")</f>
        <v>10</v>
      </c>
      <c r="AC17" s="427">
        <f>IFERROR(INDEX('E-Banker master'!$I$2:$I$186,MATCH($A17,'E-Banker master'!$A$2:$A$186,0)),"")</f>
        <v>10000000</v>
      </c>
      <c r="AD17" s="426">
        <f>IFERROR(INDEX('E-Banker master'!$J$2:$J$186,MATCH($A17,'E-Banker master'!$A$2:$A$186,0)),"")</f>
        <v>44551</v>
      </c>
      <c r="AE17" s="426">
        <f>IFERROR(INDEX('E-Banker master'!$K$2:$K$186,MATCH($A17,'E-Banker master'!$A$2:$A$186,0)),"")</f>
        <v>45280</v>
      </c>
      <c r="AF17">
        <f>IFERROR(INDEX('E-Banker master'!$L$2:$L$186,MATCH($A17,'E-Banker master'!$A$2:$A$186,0)),"")</f>
        <v>0</v>
      </c>
      <c r="AG17">
        <f>IFERROR(INDEX('E-Banker master'!$M$2:$M$186,MATCH($A17,'E-Banker master'!$A$2:$A$186,0)),"")</f>
        <v>0</v>
      </c>
      <c r="AH17" s="427">
        <f>IFERROR(INDEX('E-Banker master'!$N$2:$N$186,MATCH($A17,'E-Banker master'!$A$2:$A$186,0)),"")</f>
        <v>10000000</v>
      </c>
      <c r="AI17" s="427">
        <f>IFERROR(INDEX('E-Banker master'!$O$2:$O$186,MATCH($A17,'E-Banker master'!$A$2:$A$186,0)),"")</f>
        <v>1104919.31</v>
      </c>
      <c r="AJ17" s="427">
        <f>IFERROR(INDEX('E-Banker master'!$P$2:$P$186,MATCH($A17,'E-Banker master'!$A$2:$A$186,0)),"")</f>
        <v>11387182.140000001</v>
      </c>
      <c r="AK17" s="427">
        <f t="shared" si="0"/>
        <v>-282262.83269466832</v>
      </c>
      <c r="AL17">
        <v>15</v>
      </c>
      <c r="AM17" t="str">
        <f>HYPERLINK("#'Amortisation and Repayments'!C911","block 15")</f>
        <v>block 15</v>
      </c>
      <c r="AN17">
        <f>Mapping!X17</f>
        <v>0</v>
      </c>
      <c r="AO17" s="440">
        <f>'Loan Book'!AS20</f>
        <v>100000</v>
      </c>
      <c r="AP17" s="440">
        <f>'Loan Book'!AT20</f>
        <v>210000</v>
      </c>
      <c r="AQ17" s="440"/>
      <c r="AR17" s="441">
        <f t="shared" si="2"/>
        <v>44551</v>
      </c>
      <c r="AS17" s="442" t="s">
        <v>977</v>
      </c>
      <c r="AT17" s="442" t="s">
        <v>978</v>
      </c>
      <c r="AU17" s="443">
        <f t="shared" si="1"/>
        <v>310000</v>
      </c>
    </row>
    <row r="18" spans="1:47" x14ac:dyDescent="0.35">
      <c r="A18" t="str">
        <f>Mapping!J18</f>
        <v>000104450000016</v>
      </c>
      <c r="B18" t="str">
        <f>Mapping!K18</f>
        <v>High</v>
      </c>
      <c r="C18">
        <v>21</v>
      </c>
      <c r="D18" t="str">
        <f>'Loan Book'!E21</f>
        <v>Beualaland Food Processors</v>
      </c>
      <c r="E18" t="str">
        <f>'Loan Book'!F21</f>
        <v>Debt</v>
      </c>
      <c r="F18" s="426">
        <f>'Loan Book'!G21</f>
        <v>44208</v>
      </c>
      <c r="G18" s="426">
        <f>'Loan Book'!H21</f>
        <v>45657</v>
      </c>
      <c r="H18">
        <f>'Loan Book'!I21</f>
        <v>3</v>
      </c>
      <c r="I18" t="str">
        <f>'Loan Book'!J21</f>
        <v>3 (Cap+Int)</v>
      </c>
      <c r="J18">
        <f>IF('Loan Book'!K21="","",IF('Loan Book'!K21&lt;1,'Loan Book'!K21*100,'Loan Book'!K21))</f>
        <v>10</v>
      </c>
      <c r="K18" s="427">
        <f>'Loan Book'!L21</f>
        <v>23616000</v>
      </c>
      <c r="L18" s="427">
        <f>'Loan Book'!M21</f>
        <v>23616000</v>
      </c>
      <c r="M18" s="427">
        <f>'Loan Book'!N21</f>
        <v>0</v>
      </c>
      <c r="N18" s="427">
        <f>'Loan Book'!O21</f>
        <v>23616000</v>
      </c>
      <c r="O18" s="427">
        <f>'Loan Book'!P21</f>
        <v>3183921.9848211119</v>
      </c>
      <c r="P18" s="427">
        <f>'Loan Book'!Q21</f>
        <v>-26799921.98</v>
      </c>
      <c r="Q18" s="427">
        <f>'Loan Book'!R21</f>
        <v>4.8211105167865753E-3</v>
      </c>
      <c r="R18" s="427">
        <f>'Loan Book'!S21</f>
        <v>0</v>
      </c>
      <c r="S18" s="427">
        <f>'Loan Book'!T21</f>
        <v>0</v>
      </c>
      <c r="T18" s="427">
        <f>'Loan Book'!U21</f>
        <v>0</v>
      </c>
      <c r="U18">
        <f>'Loan Book'!AC21</f>
        <v>0</v>
      </c>
      <c r="V18">
        <f>'Loan Book'!AE21</f>
        <v>0</v>
      </c>
      <c r="W18" t="str">
        <f>IFERROR(INDEX('E-Banker master'!$B$2:$B$186,MATCH($A18,'E-Banker master'!$A$2:$A$186,0)),"")</f>
        <v>Beaulaland Food Processors</v>
      </c>
      <c r="X18">
        <f>IFERROR(INDEX('E-Banker master'!$C$2:$C$186,MATCH($A18,'E-Banker master'!$A$2:$A$186,0)),"")</f>
        <v>90</v>
      </c>
      <c r="Y18" t="str">
        <f>IFERROR(INDEX('E-Banker master'!$D$2:$D$186,MATCH($A18,'E-Banker master'!$A$2:$A$186,0)),"")</f>
        <v>1050201</v>
      </c>
      <c r="Z18" t="str">
        <f>IFERROR(INDEX('E-Banker master'!$E$2:$E$186,MATCH($A18,'E-Banker master'!$A$2:$A$186,0)),"")</f>
        <v>C</v>
      </c>
      <c r="AA18" t="str">
        <f>IFERROR(INDEX('E-Banker master'!$F$2:$F$186,MATCH($A18,'E-Banker master'!$A$2:$A$186,0)),"")</f>
        <v>S</v>
      </c>
      <c r="AB18">
        <f>IFERROR(INDEX('E-Banker master'!$G$2:$G$186,MATCH($A18,'E-Banker master'!$A$2:$A$186,0)),"")</f>
        <v>10</v>
      </c>
      <c r="AC18" s="427">
        <f>IFERROR(INDEX('E-Banker master'!$I$2:$I$186,MATCH($A18,'E-Banker master'!$A$2:$A$186,0)),"")</f>
        <v>23616000</v>
      </c>
      <c r="AD18" s="426">
        <f>IFERROR(INDEX('E-Banker master'!$J$2:$J$186,MATCH($A18,'E-Banker master'!$A$2:$A$186,0)),"")</f>
        <v>44208</v>
      </c>
      <c r="AE18" s="426">
        <f>IFERROR(INDEX('E-Banker master'!$K$2:$K$186,MATCH($A18,'E-Banker master'!$A$2:$A$186,0)),"")</f>
        <v>45302</v>
      </c>
      <c r="AF18">
        <f>IFERROR(INDEX('E-Banker master'!$L$2:$L$186,MATCH($A18,'E-Banker master'!$A$2:$A$186,0)),"")</f>
        <v>3</v>
      </c>
      <c r="AG18">
        <f>IFERROR(INDEX('E-Banker master'!$M$2:$M$186,MATCH($A18,'E-Banker master'!$A$2:$A$186,0)),"")</f>
        <v>3</v>
      </c>
      <c r="AH18" s="427">
        <f>IFERROR(INDEX('E-Banker master'!$N$2:$N$186,MATCH($A18,'E-Banker master'!$A$2:$A$186,0)),"")</f>
        <v>0</v>
      </c>
      <c r="AI18" s="427">
        <f>IFERROR(INDEX('E-Banker master'!$O$2:$O$186,MATCH($A18,'E-Banker master'!$A$2:$A$186,0)),"")</f>
        <v>0</v>
      </c>
      <c r="AJ18" s="427">
        <f>IFERROR(INDEX('E-Banker master'!$P$2:$P$186,MATCH($A18,'E-Banker master'!$A$2:$A$186,0)),"")</f>
        <v>0</v>
      </c>
      <c r="AK18" s="427">
        <f t="shared" si="0"/>
        <v>4.8211105167865753E-3</v>
      </c>
      <c r="AL18">
        <v>16</v>
      </c>
      <c r="AM18" t="str">
        <f>HYPERLINK("#'Amortisation and Repayments'!C951","block 16")</f>
        <v>block 16</v>
      </c>
      <c r="AN18">
        <f>Mapping!X18</f>
        <v>0</v>
      </c>
      <c r="AO18" s="440">
        <f>'Loan Book'!AS21</f>
        <v>236160</v>
      </c>
      <c r="AP18" s="440">
        <f>'Loan Book'!AT21</f>
        <v>427856</v>
      </c>
      <c r="AQ18" s="440"/>
      <c r="AR18" s="441">
        <f t="shared" si="2"/>
        <v>44208</v>
      </c>
      <c r="AS18" s="442" t="s">
        <v>977</v>
      </c>
      <c r="AT18" s="442" t="s">
        <v>978</v>
      </c>
      <c r="AU18" s="443">
        <f t="shared" si="1"/>
        <v>664016</v>
      </c>
    </row>
    <row r="19" spans="1:47" x14ac:dyDescent="0.35">
      <c r="A19" t="str">
        <f>Mapping!J19</f>
        <v>000104460000017</v>
      </c>
      <c r="B19" t="str">
        <f>Mapping!K19</f>
        <v>High</v>
      </c>
      <c r="C19">
        <v>22</v>
      </c>
      <c r="D19" t="str">
        <f>'Loan Book'!E22</f>
        <v>Steel Base Furnitures</v>
      </c>
      <c r="E19" t="str">
        <f>'Loan Book'!F22</f>
        <v>Debt</v>
      </c>
      <c r="F19" s="426">
        <f>'Loan Book'!G22</f>
        <v>44220</v>
      </c>
      <c r="G19" s="426">
        <f>'Loan Book'!H22</f>
        <v>45657</v>
      </c>
      <c r="H19">
        <f>'Loan Book'!I22</f>
        <v>2</v>
      </c>
      <c r="I19" t="str">
        <f>'Loan Book'!J22</f>
        <v>3 (Cap+Int)</v>
      </c>
      <c r="J19">
        <f>IF('Loan Book'!K22="","",IF('Loan Book'!K22&lt;1,'Loan Book'!K22*100,'Loan Book'!K22))</f>
        <v>10</v>
      </c>
      <c r="K19" s="427">
        <f>'Loan Book'!L22</f>
        <v>14677500</v>
      </c>
      <c r="L19" s="427">
        <f>'Loan Book'!M22</f>
        <v>14677500</v>
      </c>
      <c r="M19" s="427">
        <f>'Loan Book'!N22</f>
        <v>0</v>
      </c>
      <c r="N19" s="427">
        <f>'Loan Book'!O22</f>
        <v>14677500</v>
      </c>
      <c r="O19" s="427">
        <f>'Loan Book'!P22</f>
        <v>2537771.4422342125</v>
      </c>
      <c r="P19" s="427">
        <f>'Loan Book'!Q22</f>
        <v>-17215271.442234211</v>
      </c>
      <c r="Q19" s="427">
        <f>'Loan Book'!R22</f>
        <v>0</v>
      </c>
      <c r="R19" s="427">
        <f>'Loan Book'!S22</f>
        <v>0</v>
      </c>
      <c r="S19" s="427">
        <f>'Loan Book'!T22</f>
        <v>0</v>
      </c>
      <c r="T19" s="427">
        <f>'Loan Book'!U22</f>
        <v>0</v>
      </c>
      <c r="U19">
        <f>'Loan Book'!AC22</f>
        <v>0</v>
      </c>
      <c r="V19">
        <f>'Loan Book'!AE22</f>
        <v>0</v>
      </c>
      <c r="W19" t="str">
        <f>IFERROR(INDEX('E-Banker master'!$B$2:$B$186,MATCH($A19,'E-Banker master'!$A$2:$A$186,0)),"")</f>
        <v>Steel Base Furnitures</v>
      </c>
      <c r="X19">
        <f>IFERROR(INDEX('E-Banker master'!$C$2:$C$186,MATCH($A19,'E-Banker master'!$A$2:$A$186,0)),"")</f>
        <v>92</v>
      </c>
      <c r="Y19" t="str">
        <f>IFERROR(INDEX('E-Banker master'!$D$2:$D$186,MATCH($A19,'E-Banker master'!$A$2:$A$186,0)),"")</f>
        <v>1050202</v>
      </c>
      <c r="Z19" t="str">
        <f>IFERROR(INDEX('E-Banker master'!$E$2:$E$186,MATCH($A19,'E-Banker master'!$A$2:$A$186,0)),"")</f>
        <v>H</v>
      </c>
      <c r="AA19" t="str">
        <f>IFERROR(INDEX('E-Banker master'!$F$2:$F$186,MATCH($A19,'E-Banker master'!$A$2:$A$186,0)),"")</f>
        <v>S</v>
      </c>
      <c r="AB19">
        <f>IFERROR(INDEX('E-Banker master'!$G$2:$G$186,MATCH($A19,'E-Banker master'!$A$2:$A$186,0)),"")</f>
        <v>10</v>
      </c>
      <c r="AC19" s="427">
        <f>IFERROR(INDEX('E-Banker master'!$I$2:$I$186,MATCH($A19,'E-Banker master'!$A$2:$A$186,0)),"")</f>
        <v>14677500</v>
      </c>
      <c r="AD19" s="426">
        <f>IFERROR(INDEX('E-Banker master'!$J$2:$J$186,MATCH($A19,'E-Banker master'!$A$2:$A$186,0)),"")</f>
        <v>44220</v>
      </c>
      <c r="AE19" s="426">
        <f>IFERROR(INDEX('E-Banker master'!$K$2:$K$186,MATCH($A19,'E-Banker master'!$A$2:$A$186,0)),"")</f>
        <v>44949</v>
      </c>
      <c r="AF19">
        <f>IFERROR(INDEX('E-Banker master'!$L$2:$L$186,MATCH($A19,'E-Banker master'!$A$2:$A$186,0)),"")</f>
        <v>3</v>
      </c>
      <c r="AG19">
        <f>IFERROR(INDEX('E-Banker master'!$M$2:$M$186,MATCH($A19,'E-Banker master'!$A$2:$A$186,0)),"")</f>
        <v>3</v>
      </c>
      <c r="AH19" s="427">
        <f>IFERROR(INDEX('E-Banker master'!$N$2:$N$186,MATCH($A19,'E-Banker master'!$A$2:$A$186,0)),"")</f>
        <v>14677500</v>
      </c>
      <c r="AI19" s="427">
        <f>IFERROR(INDEX('E-Banker master'!$O$2:$O$186,MATCH($A19,'E-Banker master'!$A$2:$A$186,0)),"")</f>
        <v>2537771.44</v>
      </c>
      <c r="AJ19" s="427">
        <f>IFERROR(INDEX('E-Banker master'!$P$2:$P$186,MATCH($A19,'E-Banker master'!$A$2:$A$186,0)),"")</f>
        <v>349021.15</v>
      </c>
      <c r="AK19" s="427">
        <f t="shared" si="0"/>
        <v>-349021.15</v>
      </c>
      <c r="AL19">
        <v>17</v>
      </c>
      <c r="AM19" t="str">
        <f>HYPERLINK("#'Amortisation and Repayments'!C1004","block 17")</f>
        <v>block 17</v>
      </c>
      <c r="AN19">
        <f>Mapping!X19</f>
        <v>0</v>
      </c>
      <c r="AO19" s="440">
        <f>'Loan Book'!AS22</f>
        <v>146775</v>
      </c>
      <c r="AP19" s="440">
        <f>'Loan Book'!AT22</f>
        <v>234840</v>
      </c>
      <c r="AQ19" s="440"/>
      <c r="AR19" s="441">
        <f t="shared" si="2"/>
        <v>44220</v>
      </c>
      <c r="AS19" s="442" t="s">
        <v>977</v>
      </c>
      <c r="AT19" s="442" t="s">
        <v>978</v>
      </c>
      <c r="AU19" s="443">
        <f t="shared" si="1"/>
        <v>381615</v>
      </c>
    </row>
    <row r="20" spans="1:47" x14ac:dyDescent="0.35">
      <c r="A20" t="str">
        <f>Mapping!J20</f>
        <v>000104450000018</v>
      </c>
      <c r="B20" t="str">
        <f>Mapping!K20</f>
        <v>High</v>
      </c>
      <c r="C20">
        <v>23</v>
      </c>
      <c r="D20" t="str">
        <f>'Loan Book'!E23</f>
        <v>Muddy Boots</v>
      </c>
      <c r="E20" t="str">
        <f>'Loan Book'!F23</f>
        <v>Debt</v>
      </c>
      <c r="F20" s="426">
        <f>'Loan Book'!G23</f>
        <v>44595</v>
      </c>
      <c r="G20" s="426">
        <f>'Loan Book'!H23</f>
        <v>45322</v>
      </c>
      <c r="H20">
        <f>'Loan Book'!I23</f>
        <v>2</v>
      </c>
      <c r="I20">
        <f>'Loan Book'!J23</f>
        <v>0</v>
      </c>
      <c r="J20">
        <f>IF('Loan Book'!K23="","",IF('Loan Book'!K23&lt;1,'Loan Book'!K23*100,'Loan Book'!K23))</f>
        <v>10</v>
      </c>
      <c r="K20" s="427">
        <f>'Loan Book'!L23</f>
        <v>13000000</v>
      </c>
      <c r="L20" s="427">
        <f>'Loan Book'!M23</f>
        <v>13000000</v>
      </c>
      <c r="M20" s="427">
        <f>'Loan Book'!N23</f>
        <v>0</v>
      </c>
      <c r="N20" s="427">
        <f>'Loan Book'!O23</f>
        <v>13000000</v>
      </c>
      <c r="O20" s="427">
        <f>'Loan Book'!P23</f>
        <v>1294527.168774443</v>
      </c>
      <c r="P20" s="427">
        <f>'Loan Book'!Q23</f>
        <v>-14294527.17</v>
      </c>
      <c r="Q20" s="427">
        <f>'Loan Book'!R23</f>
        <v>-1.2255571782588959E-3</v>
      </c>
      <c r="R20" s="427">
        <f>'Loan Book'!S23</f>
        <v>0</v>
      </c>
      <c r="S20" s="427">
        <f>'Loan Book'!T23</f>
        <v>0</v>
      </c>
      <c r="T20" s="427">
        <f>'Loan Book'!U23</f>
        <v>0</v>
      </c>
      <c r="U20">
        <f>'Loan Book'!AC23</f>
        <v>0</v>
      </c>
      <c r="V20">
        <f>'Loan Book'!AE23</f>
        <v>0</v>
      </c>
      <c r="W20" t="str">
        <f>IFERROR(INDEX('E-Banker master'!$B$2:$B$186,MATCH($A20,'E-Banker master'!$A$2:$A$186,0)),"")</f>
        <v>Muddy Boots</v>
      </c>
      <c r="X20">
        <f>IFERROR(INDEX('E-Banker master'!$C$2:$C$186,MATCH($A20,'E-Banker master'!$A$2:$A$186,0)),"")</f>
        <v>90</v>
      </c>
      <c r="Y20" t="str">
        <f>IFERROR(INDEX('E-Banker master'!$D$2:$D$186,MATCH($A20,'E-Banker master'!$A$2:$A$186,0)),"")</f>
        <v>1050201</v>
      </c>
      <c r="Z20" t="str">
        <f>IFERROR(INDEX('E-Banker master'!$E$2:$E$186,MATCH($A20,'E-Banker master'!$A$2:$A$186,0)),"")</f>
        <v>C</v>
      </c>
      <c r="AA20" t="str">
        <f>IFERROR(INDEX('E-Banker master'!$F$2:$F$186,MATCH($A20,'E-Banker master'!$A$2:$A$186,0)),"")</f>
        <v>S</v>
      </c>
      <c r="AB20">
        <f>IFERROR(INDEX('E-Banker master'!$G$2:$G$186,MATCH($A20,'E-Banker master'!$A$2:$A$186,0)),"")</f>
        <v>10</v>
      </c>
      <c r="AC20" s="427">
        <f>IFERROR(INDEX('E-Banker master'!$I$2:$I$186,MATCH($A20,'E-Banker master'!$A$2:$A$186,0)),"")</f>
        <v>13000000</v>
      </c>
      <c r="AD20" s="426">
        <f>IFERROR(INDEX('E-Banker master'!$J$2:$J$186,MATCH($A20,'E-Banker master'!$A$2:$A$186,0)),"")</f>
        <v>44230</v>
      </c>
      <c r="AE20" s="426">
        <f>IFERROR(INDEX('E-Banker master'!$K$2:$K$186,MATCH($A20,'E-Banker master'!$A$2:$A$186,0)),"")</f>
        <v>44959</v>
      </c>
      <c r="AF20">
        <f>IFERROR(INDEX('E-Banker master'!$L$2:$L$186,MATCH($A20,'E-Banker master'!$A$2:$A$186,0)),"")</f>
        <v>0</v>
      </c>
      <c r="AG20">
        <f>IFERROR(INDEX('E-Banker master'!$M$2:$M$186,MATCH($A20,'E-Banker master'!$A$2:$A$186,0)),"")</f>
        <v>0</v>
      </c>
      <c r="AH20" s="427">
        <f>IFERROR(INDEX('E-Banker master'!$N$2:$N$186,MATCH($A20,'E-Banker master'!$A$2:$A$186,0)),"")</f>
        <v>0</v>
      </c>
      <c r="AI20" s="427">
        <f>IFERROR(INDEX('E-Banker master'!$O$2:$O$186,MATCH($A20,'E-Banker master'!$A$2:$A$186,0)),"")</f>
        <v>0</v>
      </c>
      <c r="AJ20" s="427">
        <f>IFERROR(INDEX('E-Banker master'!$P$2:$P$186,MATCH($A20,'E-Banker master'!$A$2:$A$186,0)),"")</f>
        <v>0</v>
      </c>
      <c r="AK20" s="427">
        <f t="shared" si="0"/>
        <v>-1.2255571782588959E-3</v>
      </c>
      <c r="AL20">
        <v>19</v>
      </c>
      <c r="AM20" t="str">
        <f>HYPERLINK("#'Amortisation and Repayments'!C1083","block 19")</f>
        <v>block 19</v>
      </c>
      <c r="AN20">
        <f>Mapping!X20</f>
        <v>0</v>
      </c>
      <c r="AO20" s="440">
        <f>'Loan Book'!AS23</f>
        <v>130000</v>
      </c>
      <c r="AP20" s="440">
        <f>'Loan Book'!AT23</f>
        <v>300570</v>
      </c>
      <c r="AQ20" s="440"/>
      <c r="AR20" s="441">
        <f t="shared" si="2"/>
        <v>44230</v>
      </c>
      <c r="AS20" s="442" t="s">
        <v>977</v>
      </c>
      <c r="AT20" s="442" t="s">
        <v>978</v>
      </c>
      <c r="AU20" s="443">
        <f t="shared" si="1"/>
        <v>430570</v>
      </c>
    </row>
    <row r="21" spans="1:47" x14ac:dyDescent="0.35">
      <c r="A21" t="str">
        <f>Mapping!J21</f>
        <v>000104460000019</v>
      </c>
      <c r="B21" t="str">
        <f>Mapping!K21</f>
        <v>High</v>
      </c>
      <c r="C21">
        <v>24</v>
      </c>
      <c r="D21" t="str">
        <f>'Loan Book'!E24</f>
        <v>Zanzi Entertainment Ltd</v>
      </c>
      <c r="E21" t="str">
        <f>'Loan Book'!F24</f>
        <v>Debt</v>
      </c>
      <c r="F21" s="426">
        <f>'Loan Book'!G24</f>
        <v>44603</v>
      </c>
      <c r="G21" s="426">
        <f>'Loan Book'!H24</f>
        <v>45350</v>
      </c>
      <c r="H21">
        <f>'Loan Book'!I24</f>
        <v>2</v>
      </c>
      <c r="I21" t="str">
        <f>'Loan Book'!J24</f>
        <v>3 (Cap+Int)</v>
      </c>
      <c r="J21">
        <f>IF('Loan Book'!K24="","",IF('Loan Book'!K24&lt;1,'Loan Book'!K24*100,'Loan Book'!K24))</f>
        <v>10</v>
      </c>
      <c r="K21" s="427">
        <f>'Loan Book'!L24</f>
        <v>24000000</v>
      </c>
      <c r="L21" s="427">
        <f>'Loan Book'!M24</f>
        <v>24000000</v>
      </c>
      <c r="M21" s="427">
        <f>'Loan Book'!N24</f>
        <v>0</v>
      </c>
      <c r="N21" s="427">
        <f>'Loan Book'!O24</f>
        <v>24000000</v>
      </c>
      <c r="O21" s="427">
        <f>'Loan Book'!P24</f>
        <v>2249744.4148153965</v>
      </c>
      <c r="P21" s="427">
        <f>'Loan Book'!Q24</f>
        <v>-26249744.409999996</v>
      </c>
      <c r="Q21" s="427">
        <f>'Loan Book'!R24</f>
        <v>4.8153996467590332E-3</v>
      </c>
      <c r="R21" s="427">
        <f>'Loan Book'!S24</f>
        <v>0</v>
      </c>
      <c r="S21" s="427">
        <f>'Loan Book'!T24</f>
        <v>0</v>
      </c>
      <c r="T21" s="427">
        <f>'Loan Book'!U24</f>
        <v>0</v>
      </c>
      <c r="U21">
        <f>'Loan Book'!AC24</f>
        <v>0</v>
      </c>
      <c r="V21">
        <f>'Loan Book'!AE24</f>
        <v>0</v>
      </c>
      <c r="W21" t="str">
        <f>IFERROR(INDEX('E-Banker master'!$B$2:$B$186,MATCH($A21,'E-Banker master'!$A$2:$A$186,0)),"")</f>
        <v>Zanzi Entertainment Ltd</v>
      </c>
      <c r="X21">
        <f>IFERROR(INDEX('E-Banker master'!$C$2:$C$186,MATCH($A21,'E-Banker master'!$A$2:$A$186,0)),"")</f>
        <v>92</v>
      </c>
      <c r="Y21" t="str">
        <f>IFERROR(INDEX('E-Banker master'!$D$2:$D$186,MATCH($A21,'E-Banker master'!$A$2:$A$186,0)),"")</f>
        <v>1050202</v>
      </c>
      <c r="Z21" t="str">
        <f>IFERROR(INDEX('E-Banker master'!$E$2:$E$186,MATCH($A21,'E-Banker master'!$A$2:$A$186,0)),"")</f>
        <v>C</v>
      </c>
      <c r="AA21" t="str">
        <f>IFERROR(INDEX('E-Banker master'!$F$2:$F$186,MATCH($A21,'E-Banker master'!$A$2:$A$186,0)),"")</f>
        <v>S</v>
      </c>
      <c r="AB21">
        <f>IFERROR(INDEX('E-Banker master'!$G$2:$G$186,MATCH($A21,'E-Banker master'!$A$2:$A$186,0)),"")</f>
        <v>10</v>
      </c>
      <c r="AC21" s="427">
        <f>IFERROR(INDEX('E-Banker master'!$I$2:$I$186,MATCH($A21,'E-Banker master'!$A$2:$A$186,0)),"")</f>
        <v>24000000</v>
      </c>
      <c r="AD21" s="426">
        <f>IFERROR(INDEX('E-Banker master'!$J$2:$J$186,MATCH($A21,'E-Banker master'!$A$2:$A$186,0)),"")</f>
        <v>44603</v>
      </c>
      <c r="AE21" s="426">
        <f>IFERROR(INDEX('E-Banker master'!$K$2:$K$186,MATCH($A21,'E-Banker master'!$A$2:$A$186,0)),"")</f>
        <v>45332</v>
      </c>
      <c r="AF21">
        <f>IFERROR(INDEX('E-Banker master'!$L$2:$L$186,MATCH($A21,'E-Banker master'!$A$2:$A$186,0)),"")</f>
        <v>3</v>
      </c>
      <c r="AG21">
        <f>IFERROR(INDEX('E-Banker master'!$M$2:$M$186,MATCH($A21,'E-Banker master'!$A$2:$A$186,0)),"")</f>
        <v>3</v>
      </c>
      <c r="AH21" s="427">
        <f>IFERROR(INDEX('E-Banker master'!$N$2:$N$186,MATCH($A21,'E-Banker master'!$A$2:$A$186,0)),"")</f>
        <v>0</v>
      </c>
      <c r="AI21" s="427">
        <f>IFERROR(INDEX('E-Banker master'!$O$2:$O$186,MATCH($A21,'E-Banker master'!$A$2:$A$186,0)),"")</f>
        <v>0</v>
      </c>
      <c r="AJ21" s="427">
        <f>IFERROR(INDEX('E-Banker master'!$P$2:$P$186,MATCH($A21,'E-Banker master'!$A$2:$A$186,0)),"")</f>
        <v>0</v>
      </c>
      <c r="AK21" s="427">
        <f t="shared" si="0"/>
        <v>4.8153996467590332E-3</v>
      </c>
      <c r="AL21">
        <v>20</v>
      </c>
      <c r="AM21" t="str">
        <f>HYPERLINK("#'Amortisation and Repayments'!C1124","block 20")</f>
        <v>block 20</v>
      </c>
      <c r="AN21">
        <f>Mapping!X21</f>
        <v>0</v>
      </c>
      <c r="AO21" s="440">
        <f>'Loan Book'!AS24</f>
        <v>240000</v>
      </c>
      <c r="AP21" s="440">
        <f>'Loan Book'!AT24</f>
        <v>434000</v>
      </c>
      <c r="AQ21" s="440"/>
      <c r="AR21" s="441">
        <f t="shared" si="2"/>
        <v>44603</v>
      </c>
      <c r="AS21" s="442" t="s">
        <v>977</v>
      </c>
      <c r="AT21" s="442" t="s">
        <v>978</v>
      </c>
      <c r="AU21" s="443">
        <f t="shared" si="1"/>
        <v>674000</v>
      </c>
    </row>
    <row r="22" spans="1:47" x14ac:dyDescent="0.35">
      <c r="A22" t="str">
        <f>Mapping!J22</f>
        <v>000104450000020</v>
      </c>
      <c r="B22" t="str">
        <f>Mapping!K22</f>
        <v>High</v>
      </c>
      <c r="C22">
        <v>25</v>
      </c>
      <c r="D22" t="str">
        <f>'Loan Book'!E25</f>
        <v>Kayola Processors</v>
      </c>
      <c r="E22" t="str">
        <f>'Loan Book'!F25</f>
        <v>Debt</v>
      </c>
      <c r="F22" s="426">
        <f>'Loan Book'!G25</f>
        <v>44609</v>
      </c>
      <c r="G22" s="426">
        <f>'Loan Book'!H25</f>
        <v>45350</v>
      </c>
      <c r="H22">
        <f>'Loan Book'!I25</f>
        <v>2</v>
      </c>
      <c r="I22" t="str">
        <f>'Loan Book'!J25</f>
        <v>3 (Cap+Int)</v>
      </c>
      <c r="J22">
        <f>IF('Loan Book'!K25="","",IF('Loan Book'!K25&lt;1,'Loan Book'!K25*100,'Loan Book'!K25))</f>
        <v>10</v>
      </c>
      <c r="K22" s="427">
        <f>'Loan Book'!L25</f>
        <v>20400000</v>
      </c>
      <c r="L22" s="427">
        <f>'Loan Book'!M25</f>
        <v>20400000</v>
      </c>
      <c r="M22" s="427">
        <f>'Loan Book'!N25</f>
        <v>0</v>
      </c>
      <c r="N22" s="427">
        <f>'Loan Book'!O25</f>
        <v>20400000</v>
      </c>
      <c r="O22" s="427">
        <f>'Loan Book'!P25</f>
        <v>3206277.2705432144</v>
      </c>
      <c r="P22" s="427">
        <f>'Loan Book'!Q25</f>
        <v>-16712706.879999999</v>
      </c>
      <c r="Q22" s="427">
        <f>'Loan Book'!R25</f>
        <v>6893570.390543215</v>
      </c>
      <c r="R22" s="427">
        <f>'Loan Book'!S25</f>
        <v>1158963.1545516991</v>
      </c>
      <c r="S22" s="427">
        <f>'Loan Book'!T25</f>
        <v>1001365.8407404094</v>
      </c>
      <c r="T22" s="427">
        <f>'Loan Book'!U25</f>
        <v>2160328.9952921085</v>
      </c>
      <c r="U22">
        <f>'Loan Book'!AC25</f>
        <v>0</v>
      </c>
      <c r="V22">
        <f>'Loan Book'!AE25</f>
        <v>0</v>
      </c>
      <c r="W22" t="str">
        <f>IFERROR(INDEX('E-Banker master'!$B$2:$B$186,MATCH($A22,'E-Banker master'!$A$2:$A$186,0)),"")</f>
        <v>Kayola Processors</v>
      </c>
      <c r="X22">
        <f>IFERROR(INDEX('E-Banker master'!$C$2:$C$186,MATCH($A22,'E-Banker master'!$A$2:$A$186,0)),"")</f>
        <v>90</v>
      </c>
      <c r="Y22" t="str">
        <f>IFERROR(INDEX('E-Banker master'!$D$2:$D$186,MATCH($A22,'E-Banker master'!$A$2:$A$186,0)),"")</f>
        <v>1050201</v>
      </c>
      <c r="Z22" t="str">
        <f>IFERROR(INDEX('E-Banker master'!$E$2:$E$186,MATCH($A22,'E-Banker master'!$A$2:$A$186,0)),"")</f>
        <v>H</v>
      </c>
      <c r="AA22" t="str">
        <f>IFERROR(INDEX('E-Banker master'!$F$2:$F$186,MATCH($A22,'E-Banker master'!$A$2:$A$186,0)),"")</f>
        <v>S</v>
      </c>
      <c r="AB22">
        <f>IFERROR(INDEX('E-Banker master'!$G$2:$G$186,MATCH($A22,'E-Banker master'!$A$2:$A$186,0)),"")</f>
        <v>10</v>
      </c>
      <c r="AC22" s="427">
        <f>IFERROR(INDEX('E-Banker master'!$I$2:$I$186,MATCH($A22,'E-Banker master'!$A$2:$A$186,0)),"")</f>
        <v>12543063.039999999</v>
      </c>
      <c r="AD22" s="426">
        <f>IFERROR(INDEX('E-Banker master'!$J$2:$J$186,MATCH($A22,'E-Banker master'!$A$2:$A$186,0)),"")</f>
        <v>45352</v>
      </c>
      <c r="AE22" s="426">
        <f>IFERROR(INDEX('E-Banker master'!$K$2:$K$186,MATCH($A22,'E-Banker master'!$A$2:$A$186,0)),"")</f>
        <v>45716</v>
      </c>
      <c r="AF22">
        <f>IFERROR(INDEX('E-Banker master'!$L$2:$L$186,MATCH($A22,'E-Banker master'!$A$2:$A$186,0)),"")</f>
        <v>3</v>
      </c>
      <c r="AG22">
        <f>IFERROR(INDEX('E-Banker master'!$M$2:$M$186,MATCH($A22,'E-Banker master'!$A$2:$A$186,0)),"")</f>
        <v>3</v>
      </c>
      <c r="AH22" s="427">
        <f>IFERROR(INDEX('E-Banker master'!$N$2:$N$186,MATCH($A22,'E-Banker master'!$A$2:$A$186,0)),"")</f>
        <v>12543065</v>
      </c>
      <c r="AI22" s="427">
        <f>IFERROR(INDEX('E-Banker master'!$O$2:$O$186,MATCH($A22,'E-Banker master'!$A$2:$A$186,0)),"")</f>
        <v>470669.82</v>
      </c>
      <c r="AJ22" s="427">
        <f>IFERROR(INDEX('E-Banker master'!$P$2:$P$186,MATCH($A22,'E-Banker master'!$A$2:$A$186,0)),"")</f>
        <v>6954076.1699999999</v>
      </c>
      <c r="AK22" s="427">
        <f t="shared" si="0"/>
        <v>-60505.779456784949</v>
      </c>
      <c r="AL22">
        <v>21</v>
      </c>
      <c r="AM22" t="str">
        <f>HYPERLINK("#'Amortisation and Repayments'!C1164","block 21")</f>
        <v>block 21</v>
      </c>
      <c r="AN22">
        <f>Mapping!X22</f>
        <v>0</v>
      </c>
      <c r="AO22" s="440">
        <f>'Loan Book'!AS25</f>
        <v>204000</v>
      </c>
      <c r="AP22" s="440">
        <f>'Loan Book'!AT25</f>
        <v>376000</v>
      </c>
      <c r="AQ22" s="440"/>
      <c r="AR22" s="441">
        <f t="shared" si="2"/>
        <v>45352</v>
      </c>
      <c r="AS22" s="442" t="s">
        <v>977</v>
      </c>
      <c r="AT22" s="442" t="s">
        <v>978</v>
      </c>
      <c r="AU22" s="443">
        <f t="shared" si="1"/>
        <v>580000</v>
      </c>
    </row>
    <row r="23" spans="1:47" x14ac:dyDescent="0.35">
      <c r="A23" t="str">
        <f>Mapping!J23</f>
        <v>000104430000021</v>
      </c>
      <c r="B23" t="str">
        <f>Mapping!K23</f>
        <v>High</v>
      </c>
      <c r="C23">
        <v>26</v>
      </c>
      <c r="D23" t="str">
        <f>'Loan Book'!E26</f>
        <v>Malawi Fertilizer Co</v>
      </c>
      <c r="E23" t="str">
        <f>'Loan Book'!F26</f>
        <v>Debt</v>
      </c>
      <c r="F23" s="426">
        <f>'Loan Book'!G26</f>
        <v>44631</v>
      </c>
      <c r="G23" s="426">
        <f>'Loan Book'!H26</f>
        <v>46823</v>
      </c>
      <c r="H23">
        <f>'Loan Book'!I26</f>
        <v>6</v>
      </c>
      <c r="I23" t="str">
        <f>'Loan Book'!J26</f>
        <v>9(Cap+Int)</v>
      </c>
      <c r="J23">
        <f>IF('Loan Book'!K26="","",IF('Loan Book'!K26&lt;1,'Loan Book'!K26*100,'Loan Book'!K26))</f>
        <v>9.36</v>
      </c>
      <c r="K23" s="427">
        <f>'Loan Book'!L26</f>
        <v>881153952.30199993</v>
      </c>
      <c r="L23" s="427">
        <f>'Loan Book'!M26</f>
        <v>552338180.32000005</v>
      </c>
      <c r="M23" s="427">
        <f>'Loan Book'!N26</f>
        <v>0</v>
      </c>
      <c r="N23" s="427">
        <f>'Loan Book'!O26</f>
        <v>552338180.32000005</v>
      </c>
      <c r="O23" s="427">
        <f>'Loan Book'!P26</f>
        <v>89551327.118593633</v>
      </c>
      <c r="P23" s="427">
        <f>'Loan Book'!Q26</f>
        <v>-641889507.44000006</v>
      </c>
      <c r="Q23" s="427">
        <f>'Loan Book'!R26</f>
        <v>-1.4064311981201172E-3</v>
      </c>
      <c r="R23" s="427">
        <f>'Loan Book'!S26</f>
        <v>0</v>
      </c>
      <c r="S23" s="427">
        <f>'Loan Book'!T26</f>
        <v>0</v>
      </c>
      <c r="T23" s="427">
        <f>'Loan Book'!U26</f>
        <v>0</v>
      </c>
      <c r="U23">
        <f>'Loan Book'!AC26</f>
        <v>0</v>
      </c>
      <c r="V23">
        <f>'Loan Book'!AE26</f>
        <v>0</v>
      </c>
      <c r="W23" t="str">
        <f>IFERROR(INDEX('E-Banker master'!$B$2:$B$186,MATCH($A23,'E-Banker master'!$A$2:$A$186,0)),"")</f>
        <v>Malawi Fertilizer Company</v>
      </c>
      <c r="X23">
        <f>IFERROR(INDEX('E-Banker master'!$C$2:$C$186,MATCH($A23,'E-Banker master'!$A$2:$A$186,0)),"")</f>
        <v>86</v>
      </c>
      <c r="Y23" t="str">
        <f>IFERROR(INDEX('E-Banker master'!$D$2:$D$186,MATCH($A23,'E-Banker master'!$A$2:$A$186,0)),"")</f>
        <v>1050102</v>
      </c>
      <c r="Z23" t="str">
        <f>IFERROR(INDEX('E-Banker master'!$E$2:$E$186,MATCH($A23,'E-Banker master'!$A$2:$A$186,0)),"")</f>
        <v>C</v>
      </c>
      <c r="AA23" t="str">
        <f>IFERROR(INDEX('E-Banker master'!$F$2:$F$186,MATCH($A23,'E-Banker master'!$A$2:$A$186,0)),"")</f>
        <v>M</v>
      </c>
      <c r="AB23">
        <f>IFERROR(INDEX('E-Banker master'!$G$2:$G$186,MATCH($A23,'E-Banker master'!$A$2:$A$186,0)),"")</f>
        <v>9.4600000000000009</v>
      </c>
      <c r="AC23" s="427">
        <f>IFERROR(INDEX('E-Banker master'!$I$2:$I$186,MATCH($A23,'E-Banker master'!$A$2:$A$186,0)),"")</f>
        <v>881153952.35000002</v>
      </c>
      <c r="AD23" s="426">
        <f>IFERROR(INDEX('E-Banker master'!$J$2:$J$186,MATCH($A23,'E-Banker master'!$A$2:$A$186,0)),"")</f>
        <v>44631</v>
      </c>
      <c r="AE23" s="426">
        <f>IFERROR(INDEX('E-Banker master'!$K$2:$K$186,MATCH($A23,'E-Banker master'!$A$2:$A$186,0)),"")</f>
        <v>46822</v>
      </c>
      <c r="AF23">
        <f>IFERROR(INDEX('E-Banker master'!$L$2:$L$186,MATCH($A23,'E-Banker master'!$A$2:$A$186,0)),"")</f>
        <v>9</v>
      </c>
      <c r="AG23">
        <f>IFERROR(INDEX('E-Banker master'!$M$2:$M$186,MATCH($A23,'E-Banker master'!$A$2:$A$186,0)),"")</f>
        <v>9</v>
      </c>
      <c r="AH23" s="427">
        <f>IFERROR(INDEX('E-Banker master'!$N$2:$N$186,MATCH($A23,'E-Banker master'!$A$2:$A$186,0)),"")</f>
        <v>0</v>
      </c>
      <c r="AI23" s="427">
        <f>IFERROR(INDEX('E-Banker master'!$O$2:$O$186,MATCH($A23,'E-Banker master'!$A$2:$A$186,0)),"")</f>
        <v>0</v>
      </c>
      <c r="AJ23" s="427">
        <f>IFERROR(INDEX('E-Banker master'!$P$2:$P$186,MATCH($A23,'E-Banker master'!$A$2:$A$186,0)),"")</f>
        <v>0</v>
      </c>
      <c r="AK23" s="427">
        <f t="shared" si="0"/>
        <v>-1.4064311981201172E-3</v>
      </c>
      <c r="AN23">
        <f>Mapping!X23</f>
        <v>0</v>
      </c>
      <c r="AO23" s="440">
        <f>'Loan Book'!AS26</f>
        <v>5171331.4800000004</v>
      </c>
      <c r="AP23" s="440">
        <f>'Loan Book'!AT26</f>
        <v>11163703.74</v>
      </c>
      <c r="AQ23" s="440"/>
      <c r="AR23" s="441">
        <f t="shared" si="2"/>
        <v>44631</v>
      </c>
      <c r="AS23" s="442" t="s">
        <v>977</v>
      </c>
      <c r="AT23" s="442" t="s">
        <v>978</v>
      </c>
      <c r="AU23" s="443">
        <f t="shared" si="1"/>
        <v>16335035.220000001</v>
      </c>
    </row>
    <row r="24" spans="1:47" x14ac:dyDescent="0.35">
      <c r="A24" t="str">
        <f>Mapping!J24</f>
        <v>000104450000022</v>
      </c>
      <c r="B24" t="str">
        <f>Mapping!K24</f>
        <v>High</v>
      </c>
      <c r="C24">
        <v>27</v>
      </c>
      <c r="D24" t="str">
        <f>'Loan Book'!E27</f>
        <v>Mwachisosa Women Producers &amp; Marketing Co</v>
      </c>
      <c r="E24" t="str">
        <f>'Loan Book'!F27</f>
        <v>Debt</v>
      </c>
      <c r="F24" s="426">
        <f>'Loan Book'!G27</f>
        <v>44644</v>
      </c>
      <c r="G24" s="426">
        <f>'Loan Book'!H27</f>
        <v>45382</v>
      </c>
      <c r="H24">
        <f>'Loan Book'!I27</f>
        <v>2</v>
      </c>
      <c r="I24" t="str">
        <f>'Loan Book'!J27</f>
        <v>3 (Cap+Int)</v>
      </c>
      <c r="J24">
        <f>IF('Loan Book'!K27="","",IF('Loan Book'!K27&lt;1,'Loan Book'!K27*100,'Loan Book'!K27))</f>
        <v>10</v>
      </c>
      <c r="K24" s="427">
        <f>'Loan Book'!L27</f>
        <v>12500000</v>
      </c>
      <c r="L24" s="427">
        <f>'Loan Book'!M27</f>
        <v>12500000</v>
      </c>
      <c r="M24" s="427">
        <f>'Loan Book'!N27</f>
        <v>0</v>
      </c>
      <c r="N24" s="427">
        <f>'Loan Book'!O27</f>
        <v>12500000</v>
      </c>
      <c r="O24" s="427">
        <f>'Loan Book'!P27</f>
        <v>2385285.7872122526</v>
      </c>
      <c r="P24" s="427">
        <f>'Loan Book'!Q27</f>
        <v>-4880000</v>
      </c>
      <c r="Q24" s="427">
        <f>'Loan Book'!R27</f>
        <v>10005285.787212253</v>
      </c>
      <c r="R24" s="427">
        <f>'Loan Book'!S27</f>
        <v>4699943.0863796901</v>
      </c>
      <c r="S24" s="427">
        <f>'Loan Book'!T27</f>
        <v>645451.94747699238</v>
      </c>
      <c r="T24" s="427">
        <f>'Loan Book'!U27</f>
        <v>5345395.0338566825</v>
      </c>
      <c r="U24">
        <f>'Loan Book'!AC27</f>
        <v>0</v>
      </c>
      <c r="V24">
        <f>'Loan Book'!AE27</f>
        <v>0</v>
      </c>
      <c r="W24" t="str">
        <f>IFERROR(INDEX('E-Banker master'!$B$2:$B$186,MATCH($A24,'E-Banker master'!$A$2:$A$186,0)),"")</f>
        <v>Mwachisosa Women Producers &amp; Marketing Co</v>
      </c>
      <c r="X24">
        <f>IFERROR(INDEX('E-Banker master'!$C$2:$C$186,MATCH($A24,'E-Banker master'!$A$2:$A$186,0)),"")</f>
        <v>90</v>
      </c>
      <c r="Y24" t="str">
        <f>IFERROR(INDEX('E-Banker master'!$D$2:$D$186,MATCH($A24,'E-Banker master'!$A$2:$A$186,0)),"")</f>
        <v>1050201</v>
      </c>
      <c r="Z24" t="str">
        <f>IFERROR(INDEX('E-Banker master'!$E$2:$E$186,MATCH($A24,'E-Banker master'!$A$2:$A$186,0)),"")</f>
        <v>H</v>
      </c>
      <c r="AA24" t="str">
        <f>IFERROR(INDEX('E-Banker master'!$F$2:$F$186,MATCH($A24,'E-Banker master'!$A$2:$A$186,0)),"")</f>
        <v>S</v>
      </c>
      <c r="AB24">
        <f>IFERROR(INDEX('E-Banker master'!$G$2:$G$186,MATCH($A24,'E-Banker master'!$A$2:$A$186,0)),"")</f>
        <v>10</v>
      </c>
      <c r="AC24" s="427">
        <f>IFERROR(INDEX('E-Banker master'!$I$2:$I$186,MATCH($A24,'E-Banker master'!$A$2:$A$186,0)),"")</f>
        <v>13270993.890000001</v>
      </c>
      <c r="AD24" s="426">
        <f>IFERROR(INDEX('E-Banker master'!$J$2:$J$186,MATCH($A24,'E-Banker master'!$A$2:$A$186,0)),"")</f>
        <v>45230</v>
      </c>
      <c r="AE24" s="426">
        <f>IFERROR(INDEX('E-Banker master'!$K$2:$K$186,MATCH($A24,'E-Banker master'!$A$2:$A$186,0)),"")</f>
        <v>45717</v>
      </c>
      <c r="AF24">
        <f>IFERROR(INDEX('E-Banker master'!$L$2:$L$186,MATCH($A24,'E-Banker master'!$A$2:$A$186,0)),"")</f>
        <v>3</v>
      </c>
      <c r="AG24">
        <f>IFERROR(INDEX('E-Banker master'!$M$2:$M$186,MATCH($A24,'E-Banker master'!$A$2:$A$186,0)),"")</f>
        <v>3</v>
      </c>
      <c r="AH24" s="427">
        <f>IFERROR(INDEX('E-Banker master'!$N$2:$N$186,MATCH($A24,'E-Banker master'!$A$2:$A$186,0)),"")</f>
        <v>12500000</v>
      </c>
      <c r="AI24" s="427">
        <f>IFERROR(INDEX('E-Banker master'!$O$2:$O$186,MATCH($A24,'E-Banker master'!$A$2:$A$186,0)),"")</f>
        <v>2243037.37</v>
      </c>
      <c r="AJ24" s="427">
        <f>IFERROR(INDEX('E-Banker master'!$P$2:$P$186,MATCH($A24,'E-Banker master'!$A$2:$A$186,0)),"")</f>
        <v>10117945.74</v>
      </c>
      <c r="AK24" s="427">
        <f t="shared" si="0"/>
        <v>-112659.95278774761</v>
      </c>
      <c r="AL24">
        <v>22</v>
      </c>
      <c r="AM24" t="str">
        <f>HYPERLINK("#'Amortisation and Repayments'!C1237","block 22")</f>
        <v>block 22</v>
      </c>
      <c r="AN24">
        <f>Mapping!X24</f>
        <v>0</v>
      </c>
      <c r="AO24" s="440">
        <f>'Loan Book'!AS27</f>
        <v>125000</v>
      </c>
      <c r="AP24" s="440">
        <f>'Loan Book'!AT27</f>
        <v>250000</v>
      </c>
      <c r="AQ24" s="440"/>
      <c r="AR24" s="441">
        <f t="shared" si="2"/>
        <v>45230</v>
      </c>
      <c r="AS24" s="442" t="s">
        <v>977</v>
      </c>
      <c r="AT24" s="442" t="s">
        <v>978</v>
      </c>
      <c r="AU24" s="443">
        <f t="shared" si="1"/>
        <v>375000</v>
      </c>
    </row>
    <row r="25" spans="1:47" x14ac:dyDescent="0.35">
      <c r="A25" t="str">
        <f>Mapping!J25</f>
        <v>000104450000023</v>
      </c>
      <c r="B25" t="str">
        <f>Mapping!K25</f>
        <v>High</v>
      </c>
      <c r="C25">
        <v>28</v>
      </c>
      <c r="D25" t="str">
        <f>'Loan Book'!E28</f>
        <v>Natures Gift</v>
      </c>
      <c r="E25" t="str">
        <f>'Loan Book'!F28</f>
        <v>Debt</v>
      </c>
      <c r="F25" s="426">
        <f>'Loan Book'!G28</f>
        <v>44673</v>
      </c>
      <c r="G25" s="426">
        <f>'Loan Book'!H28</f>
        <v>45747</v>
      </c>
      <c r="H25">
        <f>'Loan Book'!I28</f>
        <v>3</v>
      </c>
      <c r="I25">
        <f>'Loan Book'!J28</f>
        <v>0</v>
      </c>
      <c r="J25">
        <f>IF('Loan Book'!K28="","",IF('Loan Book'!K28&lt;1,'Loan Book'!K28*100,'Loan Book'!K28))</f>
        <v>10</v>
      </c>
      <c r="K25" s="427">
        <f>'Loan Book'!L28</f>
        <v>24600000</v>
      </c>
      <c r="L25" s="427">
        <f>'Loan Book'!M28</f>
        <v>24600000</v>
      </c>
      <c r="M25" s="427">
        <f>'Loan Book'!N28</f>
        <v>0</v>
      </c>
      <c r="N25" s="427">
        <f>'Loan Book'!O28</f>
        <v>24600000</v>
      </c>
      <c r="O25" s="427">
        <f>'Loan Book'!P28</f>
        <v>3900598.2373384968</v>
      </c>
      <c r="P25" s="427">
        <f>'Loan Book'!Q28</f>
        <v>-19111204.66</v>
      </c>
      <c r="Q25" s="427">
        <f>'Loan Book'!R28</f>
        <v>9389393.5773384981</v>
      </c>
      <c r="R25" s="427">
        <f>'Loan Book'!S28</f>
        <v>0</v>
      </c>
      <c r="S25" s="427">
        <f>'Loan Book'!T28</f>
        <v>0</v>
      </c>
      <c r="T25" s="427">
        <f>'Loan Book'!U28</f>
        <v>0</v>
      </c>
      <c r="U25">
        <f>'Loan Book'!AC28</f>
        <v>0</v>
      </c>
      <c r="V25">
        <f>'Loan Book'!AE28</f>
        <v>0</v>
      </c>
      <c r="W25" t="str">
        <f>IFERROR(INDEX('E-Banker master'!$B$2:$B$186,MATCH($A25,'E-Banker master'!$A$2:$A$186,0)),"")</f>
        <v>Nature's Gift Limited</v>
      </c>
      <c r="X25">
        <f>IFERROR(INDEX('E-Banker master'!$C$2:$C$186,MATCH($A25,'E-Banker master'!$A$2:$A$186,0)),"")</f>
        <v>90</v>
      </c>
      <c r="Y25" t="str">
        <f>IFERROR(INDEX('E-Banker master'!$D$2:$D$186,MATCH($A25,'E-Banker master'!$A$2:$A$186,0)),"")</f>
        <v>1050201</v>
      </c>
      <c r="Z25" t="str">
        <f>IFERROR(INDEX('E-Banker master'!$E$2:$E$186,MATCH($A25,'E-Banker master'!$A$2:$A$186,0)),"")</f>
        <v>H</v>
      </c>
      <c r="AA25" t="str">
        <f>IFERROR(INDEX('E-Banker master'!$F$2:$F$186,MATCH($A25,'E-Banker master'!$A$2:$A$186,0)),"")</f>
        <v>S</v>
      </c>
      <c r="AB25">
        <f>IFERROR(INDEX('E-Banker master'!$G$2:$G$186,MATCH($A25,'E-Banker master'!$A$2:$A$186,0)),"")</f>
        <v>10</v>
      </c>
      <c r="AC25" s="427">
        <f>IFERROR(INDEX('E-Banker master'!$I$2:$I$186,MATCH($A25,'E-Banker master'!$A$2:$A$186,0)),"")</f>
        <v>24600000</v>
      </c>
      <c r="AD25" s="426">
        <f>IFERROR(INDEX('E-Banker master'!$J$2:$J$186,MATCH($A25,'E-Banker master'!$A$2:$A$186,0)),"")</f>
        <v>44673</v>
      </c>
      <c r="AE25" s="426">
        <f>IFERROR(INDEX('E-Banker master'!$K$2:$K$186,MATCH($A25,'E-Banker master'!$A$2:$A$186,0)),"")</f>
        <v>45768</v>
      </c>
      <c r="AF25">
        <f>IFERROR(INDEX('E-Banker master'!$L$2:$L$186,MATCH($A25,'E-Banker master'!$A$2:$A$186,0)),"")</f>
        <v>0</v>
      </c>
      <c r="AG25">
        <f>IFERROR(INDEX('E-Banker master'!$M$2:$M$186,MATCH($A25,'E-Banker master'!$A$2:$A$186,0)),"")</f>
        <v>0</v>
      </c>
      <c r="AH25" s="427">
        <f>IFERROR(INDEX('E-Banker master'!$N$2:$N$186,MATCH($A25,'E-Banker master'!$A$2:$A$186,0)),"")</f>
        <v>24600000</v>
      </c>
      <c r="AI25" s="427">
        <f>IFERROR(INDEX('E-Banker master'!$O$2:$O$186,MATCH($A25,'E-Banker master'!$A$2:$A$186,0)),"")</f>
        <v>3747686.47</v>
      </c>
      <c r="AJ25" s="427">
        <f>IFERROR(INDEX('E-Banker master'!$P$2:$P$186,MATCH($A25,'E-Banker master'!$A$2:$A$186,0)),"")</f>
        <v>9471253.0399999991</v>
      </c>
      <c r="AK25" s="427">
        <f t="shared" si="0"/>
        <v>-81859.46266150102</v>
      </c>
      <c r="AN25">
        <f>Mapping!X25</f>
        <v>0</v>
      </c>
      <c r="AO25" s="440">
        <f>'Loan Book'!AS28</f>
        <v>369000</v>
      </c>
      <c r="AP25" s="440">
        <f>'Loan Book'!AT28</f>
        <v>443600</v>
      </c>
      <c r="AQ25" s="440"/>
      <c r="AR25" s="441">
        <f t="shared" si="2"/>
        <v>44673</v>
      </c>
      <c r="AS25" s="442" t="s">
        <v>977</v>
      </c>
      <c r="AT25" s="442" t="s">
        <v>978</v>
      </c>
      <c r="AU25" s="443">
        <f t="shared" si="1"/>
        <v>812600</v>
      </c>
    </row>
    <row r="26" spans="1:47" x14ac:dyDescent="0.35">
      <c r="A26" t="str">
        <f>Mapping!J26</f>
        <v>000104460000024</v>
      </c>
      <c r="B26" t="str">
        <f>Mapping!K26</f>
        <v>High</v>
      </c>
      <c r="C26">
        <v>29</v>
      </c>
      <c r="D26" t="str">
        <f>'Loan Book'!E29</f>
        <v>Allied Bricks and Blocks Limited</v>
      </c>
      <c r="E26" t="str">
        <f>'Loan Book'!F29</f>
        <v>Debt</v>
      </c>
      <c r="F26" s="426">
        <f>'Loan Book'!G29</f>
        <v>44715</v>
      </c>
      <c r="G26" s="426">
        <f>'Loan Book'!H29</f>
        <v>45808</v>
      </c>
      <c r="H26">
        <f>'Loan Book'!I29</f>
        <v>2</v>
      </c>
      <c r="I26" t="str">
        <f>'Loan Book'!J29</f>
        <v>3 (Cap+Int)</v>
      </c>
      <c r="J26">
        <f>IF('Loan Book'!K29="","",IF('Loan Book'!K29&lt;1,'Loan Book'!K29*100,'Loan Book'!K29))</f>
        <v>10</v>
      </c>
      <c r="K26" s="427">
        <f>'Loan Book'!L29</f>
        <v>12000000</v>
      </c>
      <c r="L26" s="427">
        <f>'Loan Book'!M29</f>
        <v>12000000</v>
      </c>
      <c r="M26" s="427">
        <f>'Loan Book'!N29</f>
        <v>0</v>
      </c>
      <c r="N26" s="427">
        <f>'Loan Book'!O29</f>
        <v>12000000</v>
      </c>
      <c r="O26" s="427">
        <f>'Loan Book'!P29</f>
        <v>1688417.4666984004</v>
      </c>
      <c r="P26" s="427">
        <f>'Loan Book'!Q29</f>
        <v>-13688417.469999999</v>
      </c>
      <c r="Q26" s="427">
        <f>'Loan Book'!R29</f>
        <v>-3.3015981316566467E-3</v>
      </c>
      <c r="R26" s="427">
        <f>'Loan Book'!S29</f>
        <v>0</v>
      </c>
      <c r="S26" s="427">
        <f>'Loan Book'!T29</f>
        <v>0</v>
      </c>
      <c r="T26" s="427">
        <f>'Loan Book'!U29</f>
        <v>0</v>
      </c>
      <c r="U26">
        <f>'Loan Book'!AC29</f>
        <v>0</v>
      </c>
      <c r="V26">
        <f>'Loan Book'!AE29</f>
        <v>0</v>
      </c>
      <c r="W26" t="str">
        <f>IFERROR(INDEX('E-Banker master'!$B$2:$B$186,MATCH($A26,'E-Banker master'!$A$2:$A$186,0)),"")</f>
        <v>Allied Bricks and Blocks Limited</v>
      </c>
      <c r="X26">
        <f>IFERROR(INDEX('E-Banker master'!$C$2:$C$186,MATCH($A26,'E-Banker master'!$A$2:$A$186,0)),"")</f>
        <v>92</v>
      </c>
      <c r="Y26" t="str">
        <f>IFERROR(INDEX('E-Banker master'!$D$2:$D$186,MATCH($A26,'E-Banker master'!$A$2:$A$186,0)),"")</f>
        <v>1050202</v>
      </c>
      <c r="Z26" t="str">
        <f>IFERROR(INDEX('E-Banker master'!$E$2:$E$186,MATCH($A26,'E-Banker master'!$A$2:$A$186,0)),"")</f>
        <v>D</v>
      </c>
      <c r="AA26" t="str">
        <f>IFERROR(INDEX('E-Banker master'!$F$2:$F$186,MATCH($A26,'E-Banker master'!$A$2:$A$186,0)),"")</f>
        <v>S</v>
      </c>
      <c r="AB26">
        <f>IFERROR(INDEX('E-Banker master'!$G$2:$G$186,MATCH($A26,'E-Banker master'!$A$2:$A$186,0)),"")</f>
        <v>10</v>
      </c>
      <c r="AC26" s="427">
        <f>IFERROR(INDEX('E-Banker master'!$I$2:$I$186,MATCH($A26,'E-Banker master'!$A$2:$A$186,0)),"")</f>
        <v>12000000</v>
      </c>
      <c r="AD26" s="426">
        <f>IFERROR(INDEX('E-Banker master'!$J$2:$J$186,MATCH($A26,'E-Banker master'!$A$2:$A$186,0)),"")</f>
        <v>44715</v>
      </c>
      <c r="AE26" s="426">
        <f>IFERROR(INDEX('E-Banker master'!$K$2:$K$186,MATCH($A26,'E-Banker master'!$A$2:$A$186,0)),"")</f>
        <v>45445</v>
      </c>
      <c r="AF26">
        <f>IFERROR(INDEX('E-Banker master'!$L$2:$L$186,MATCH($A26,'E-Banker master'!$A$2:$A$186,0)),"")</f>
        <v>3</v>
      </c>
      <c r="AG26">
        <f>IFERROR(INDEX('E-Banker master'!$M$2:$M$186,MATCH($A26,'E-Banker master'!$A$2:$A$186,0)),"")</f>
        <v>3</v>
      </c>
      <c r="AH26" s="427">
        <f>IFERROR(INDEX('E-Banker master'!$N$2:$N$186,MATCH($A26,'E-Banker master'!$A$2:$A$186,0)),"")</f>
        <v>12000000</v>
      </c>
      <c r="AI26" s="427">
        <f>IFERROR(INDEX('E-Banker master'!$O$2:$O$186,MATCH($A26,'E-Banker master'!$A$2:$A$186,0)),"")</f>
        <v>1605046.86</v>
      </c>
      <c r="AJ26" s="427">
        <f>IFERROR(INDEX('E-Banker master'!$P$2:$P$186,MATCH($A26,'E-Banker master'!$A$2:$A$186,0)),"")</f>
        <v>-29678.33</v>
      </c>
      <c r="AK26" s="427">
        <f t="shared" si="0"/>
        <v>29678.32669840187</v>
      </c>
      <c r="AL26">
        <v>23</v>
      </c>
      <c r="AM26" t="str">
        <f>HYPERLINK("#'Amortisation and Repayments'!C1438","block 23")</f>
        <v>block 23</v>
      </c>
      <c r="AN26">
        <f>Mapping!X26</f>
        <v>0</v>
      </c>
      <c r="AO26" s="440">
        <f>'Loan Book'!AS29</f>
        <v>120000</v>
      </c>
      <c r="AP26" s="440">
        <f>'Loan Book'!AT29</f>
        <v>242000</v>
      </c>
      <c r="AQ26" s="440"/>
      <c r="AR26" s="441">
        <f t="shared" si="2"/>
        <v>44715</v>
      </c>
      <c r="AS26" s="442" t="s">
        <v>977</v>
      </c>
      <c r="AT26" s="442" t="s">
        <v>978</v>
      </c>
      <c r="AU26" s="443">
        <f t="shared" si="1"/>
        <v>362000</v>
      </c>
    </row>
    <row r="27" spans="1:47" x14ac:dyDescent="0.35">
      <c r="A27" t="str">
        <f>Mapping!J27</f>
        <v>000104450000025</v>
      </c>
      <c r="B27" t="str">
        <f>Mapping!K27</f>
        <v>High</v>
      </c>
      <c r="C27">
        <v>30</v>
      </c>
      <c r="D27" t="str">
        <f>'Loan Book'!E30</f>
        <v>Lapani Farms</v>
      </c>
      <c r="E27" t="str">
        <f>'Loan Book'!F30</f>
        <v>Debt</v>
      </c>
      <c r="F27" s="426">
        <f>'Loan Book'!G30</f>
        <v>44715</v>
      </c>
      <c r="G27" s="426">
        <f>'Loan Book'!H30</f>
        <v>45443</v>
      </c>
      <c r="H27">
        <f>'Loan Book'!I30</f>
        <v>2</v>
      </c>
      <c r="I27" t="str">
        <f>'Loan Book'!J30</f>
        <v>3 (Cap+Int)</v>
      </c>
      <c r="J27">
        <f>IF('Loan Book'!K30="","",IF('Loan Book'!K30&lt;1,'Loan Book'!K30*100,'Loan Book'!K30))</f>
        <v>10</v>
      </c>
      <c r="K27" s="427">
        <f>'Loan Book'!L30</f>
        <v>10900000</v>
      </c>
      <c r="L27" s="427">
        <f>'Loan Book'!M30</f>
        <v>10900000</v>
      </c>
      <c r="M27" s="427">
        <f>'Loan Book'!N30</f>
        <v>0</v>
      </c>
      <c r="N27" s="427">
        <f>'Loan Book'!O30</f>
        <v>10900000</v>
      </c>
      <c r="O27" s="427">
        <f>'Loan Book'!P30</f>
        <v>1320716.846146784</v>
      </c>
      <c r="P27" s="427">
        <f>'Loan Book'!Q30</f>
        <v>-12216000</v>
      </c>
      <c r="Q27" s="427">
        <f>'Loan Book'!R30</f>
        <v>0</v>
      </c>
      <c r="R27" s="427">
        <f>'Loan Book'!S30</f>
        <v>0</v>
      </c>
      <c r="S27" s="427">
        <f>'Loan Book'!T30</f>
        <v>0</v>
      </c>
      <c r="T27" s="427">
        <f>'Loan Book'!U30</f>
        <v>0</v>
      </c>
      <c r="U27">
        <f>'Loan Book'!AC30</f>
        <v>0</v>
      </c>
      <c r="V27">
        <f>'Loan Book'!AE30</f>
        <v>0</v>
      </c>
      <c r="W27" t="str">
        <f>IFERROR(INDEX('E-Banker master'!$B$2:$B$186,MATCH($A27,'E-Banker master'!$A$2:$A$186,0)),"")</f>
        <v>Lapani Farms</v>
      </c>
      <c r="X27">
        <f>IFERROR(INDEX('E-Banker master'!$C$2:$C$186,MATCH($A27,'E-Banker master'!$A$2:$A$186,0)),"")</f>
        <v>90</v>
      </c>
      <c r="Y27" t="str">
        <f>IFERROR(INDEX('E-Banker master'!$D$2:$D$186,MATCH($A27,'E-Banker master'!$A$2:$A$186,0)),"")</f>
        <v>1050201</v>
      </c>
      <c r="Z27" t="str">
        <f>IFERROR(INDEX('E-Banker master'!$E$2:$E$186,MATCH($A27,'E-Banker master'!$A$2:$A$186,0)),"")</f>
        <v>C</v>
      </c>
      <c r="AA27" t="str">
        <f>IFERROR(INDEX('E-Banker master'!$F$2:$F$186,MATCH($A27,'E-Banker master'!$A$2:$A$186,0)),"")</f>
        <v>S</v>
      </c>
      <c r="AB27">
        <f>IFERROR(INDEX('E-Banker master'!$G$2:$G$186,MATCH($A27,'E-Banker master'!$A$2:$A$186,0)),"")</f>
        <v>10</v>
      </c>
      <c r="AC27" s="427">
        <f>IFERROR(INDEX('E-Banker master'!$I$2:$I$186,MATCH($A27,'E-Banker master'!$A$2:$A$186,0)),"")</f>
        <v>10900000</v>
      </c>
      <c r="AD27" s="426">
        <f>IFERROR(INDEX('E-Banker master'!$J$2:$J$186,MATCH($A27,'E-Banker master'!$A$2:$A$186,0)),"")</f>
        <v>44715</v>
      </c>
      <c r="AE27" s="426">
        <f>IFERROR(INDEX('E-Banker master'!$K$2:$K$186,MATCH($A27,'E-Banker master'!$A$2:$A$186,0)),"")</f>
        <v>45445</v>
      </c>
      <c r="AF27">
        <f>IFERROR(INDEX('E-Banker master'!$L$2:$L$186,MATCH($A27,'E-Banker master'!$A$2:$A$186,0)),"")</f>
        <v>3</v>
      </c>
      <c r="AG27">
        <f>IFERROR(INDEX('E-Banker master'!$M$2:$M$186,MATCH($A27,'E-Banker master'!$A$2:$A$186,0)),"")</f>
        <v>3</v>
      </c>
      <c r="AH27" s="427">
        <f>IFERROR(INDEX('E-Banker master'!$N$2:$N$186,MATCH($A27,'E-Banker master'!$A$2:$A$186,0)),"")</f>
        <v>0</v>
      </c>
      <c r="AI27" s="427">
        <f>IFERROR(INDEX('E-Banker master'!$O$2:$O$186,MATCH($A27,'E-Banker master'!$A$2:$A$186,0)),"")</f>
        <v>0</v>
      </c>
      <c r="AJ27" s="427">
        <f>IFERROR(INDEX('E-Banker master'!$P$2:$P$186,MATCH($A27,'E-Banker master'!$A$2:$A$186,0)),"")</f>
        <v>0</v>
      </c>
      <c r="AK27" s="427">
        <f t="shared" si="0"/>
        <v>0</v>
      </c>
      <c r="AL27">
        <v>24</v>
      </c>
      <c r="AM27" t="str">
        <f>HYPERLINK("#'Amortisation and Repayments'!C1504","block 24")</f>
        <v>block 24</v>
      </c>
      <c r="AN27">
        <f>Mapping!X27</f>
        <v>0</v>
      </c>
      <c r="AO27" s="440">
        <f>'Loan Book'!AS30</f>
        <v>109000</v>
      </c>
      <c r="AP27" s="440">
        <f>'Loan Book'!AT30</f>
        <v>224400</v>
      </c>
      <c r="AQ27" s="440"/>
      <c r="AR27" s="441">
        <f t="shared" si="2"/>
        <v>44715</v>
      </c>
      <c r="AS27" s="442" t="s">
        <v>977</v>
      </c>
      <c r="AT27" s="442" t="s">
        <v>978</v>
      </c>
      <c r="AU27" s="443">
        <f t="shared" si="1"/>
        <v>333400</v>
      </c>
    </row>
    <row r="28" spans="1:47" x14ac:dyDescent="0.35">
      <c r="A28" t="str">
        <f>Mapping!J28</f>
        <v>000104450000026</v>
      </c>
      <c r="B28" t="str">
        <f>Mapping!K28</f>
        <v>High</v>
      </c>
      <c r="C28">
        <v>31</v>
      </c>
      <c r="D28" t="str">
        <f>'Loan Book'!E31</f>
        <v>Mawindo Enterprise</v>
      </c>
      <c r="E28" t="str">
        <f>'Loan Book'!F31</f>
        <v>Debt</v>
      </c>
      <c r="F28" s="426">
        <f>'Loan Book'!G31</f>
        <v>44715</v>
      </c>
      <c r="G28" s="426">
        <f>'Loan Book'!H31</f>
        <v>45443</v>
      </c>
      <c r="H28">
        <f>'Loan Book'!I31</f>
        <v>2</v>
      </c>
      <c r="I28" t="str">
        <f>'Loan Book'!J31</f>
        <v>3 (Cap+Int)</v>
      </c>
      <c r="J28">
        <f>IF('Loan Book'!K31="","",IF('Loan Book'!K31&lt;1,'Loan Book'!K31*100,'Loan Book'!K31))</f>
        <v>10</v>
      </c>
      <c r="K28" s="427">
        <f>'Loan Book'!L31</f>
        <v>20000000</v>
      </c>
      <c r="L28" s="427">
        <f>'Loan Book'!M31</f>
        <v>20000000</v>
      </c>
      <c r="M28" s="427">
        <f>'Loan Book'!N31</f>
        <v>0</v>
      </c>
      <c r="N28" s="427">
        <f>'Loan Book'!O31</f>
        <v>20000000</v>
      </c>
      <c r="O28" s="427">
        <f>'Loan Book'!P31</f>
        <v>2396932.7637247662</v>
      </c>
      <c r="P28" s="427">
        <f>'Loan Book'!Q31</f>
        <v>-22423352.73</v>
      </c>
      <c r="Q28" s="427">
        <f>'Loan Book'!R31</f>
        <v>0</v>
      </c>
      <c r="R28" s="427">
        <f>'Loan Book'!S31</f>
        <v>0</v>
      </c>
      <c r="S28" s="427">
        <f>'Loan Book'!T31</f>
        <v>0</v>
      </c>
      <c r="T28" s="427">
        <f>'Loan Book'!U31</f>
        <v>0</v>
      </c>
      <c r="U28">
        <f>'Loan Book'!AC31</f>
        <v>0</v>
      </c>
      <c r="V28">
        <f>'Loan Book'!AE31</f>
        <v>0</v>
      </c>
      <c r="W28" t="str">
        <f>IFERROR(INDEX('E-Banker master'!$B$2:$B$186,MATCH($A28,'E-Banker master'!$A$2:$A$186,0)),"")</f>
        <v>Mawindo Enterprise</v>
      </c>
      <c r="X28">
        <f>IFERROR(INDEX('E-Banker master'!$C$2:$C$186,MATCH($A28,'E-Banker master'!$A$2:$A$186,0)),"")</f>
        <v>90</v>
      </c>
      <c r="Y28" t="str">
        <f>IFERROR(INDEX('E-Banker master'!$D$2:$D$186,MATCH($A28,'E-Banker master'!$A$2:$A$186,0)),"")</f>
        <v>1050201</v>
      </c>
      <c r="Z28" t="str">
        <f>IFERROR(INDEX('E-Banker master'!$E$2:$E$186,MATCH($A28,'E-Banker master'!$A$2:$A$186,0)),"")</f>
        <v>C</v>
      </c>
      <c r="AA28" t="str">
        <f>IFERROR(INDEX('E-Banker master'!$F$2:$F$186,MATCH($A28,'E-Banker master'!$A$2:$A$186,0)),"")</f>
        <v>S</v>
      </c>
      <c r="AB28">
        <f>IFERROR(INDEX('E-Banker master'!$G$2:$G$186,MATCH($A28,'E-Banker master'!$A$2:$A$186,0)),"")</f>
        <v>10</v>
      </c>
      <c r="AC28" s="427">
        <f>IFERROR(INDEX('E-Banker master'!$I$2:$I$186,MATCH($A28,'E-Banker master'!$A$2:$A$186,0)),"")</f>
        <v>20000000</v>
      </c>
      <c r="AD28" s="426">
        <f>IFERROR(INDEX('E-Banker master'!$J$2:$J$186,MATCH($A28,'E-Banker master'!$A$2:$A$186,0)),"")</f>
        <v>44715</v>
      </c>
      <c r="AE28" s="426">
        <f>IFERROR(INDEX('E-Banker master'!$K$2:$K$186,MATCH($A28,'E-Banker master'!$A$2:$A$186,0)),"")</f>
        <v>45445</v>
      </c>
      <c r="AF28">
        <f>IFERROR(INDEX('E-Banker master'!$L$2:$L$186,MATCH($A28,'E-Banker master'!$A$2:$A$186,0)),"")</f>
        <v>3</v>
      </c>
      <c r="AG28">
        <f>IFERROR(INDEX('E-Banker master'!$M$2:$M$186,MATCH($A28,'E-Banker master'!$A$2:$A$186,0)),"")</f>
        <v>3</v>
      </c>
      <c r="AH28" s="427">
        <f>IFERROR(INDEX('E-Banker master'!$N$2:$N$186,MATCH($A28,'E-Banker master'!$A$2:$A$186,0)),"")</f>
        <v>0</v>
      </c>
      <c r="AI28" s="427">
        <f>IFERROR(INDEX('E-Banker master'!$O$2:$O$186,MATCH($A28,'E-Banker master'!$A$2:$A$186,0)),"")</f>
        <v>0</v>
      </c>
      <c r="AJ28" s="427">
        <f>IFERROR(INDEX('E-Banker master'!$P$2:$P$186,MATCH($A28,'E-Banker master'!$A$2:$A$186,0)),"")</f>
        <v>0</v>
      </c>
      <c r="AK28" s="427">
        <f t="shared" si="0"/>
        <v>0</v>
      </c>
      <c r="AL28">
        <v>25</v>
      </c>
      <c r="AM28" t="str">
        <f>HYPERLINK("#'Amortisation and Repayments'!C1544","block 25")</f>
        <v>block 25</v>
      </c>
      <c r="AN28">
        <f>Mapping!X28</f>
        <v>0</v>
      </c>
      <c r="AO28" s="440">
        <f>'Loan Book'!AS31</f>
        <v>200000</v>
      </c>
      <c r="AP28" s="440">
        <f>'Loan Book'!AT31</f>
        <v>370000</v>
      </c>
      <c r="AQ28" s="440"/>
      <c r="AR28" s="441">
        <f t="shared" si="2"/>
        <v>44715</v>
      </c>
      <c r="AS28" s="442" t="s">
        <v>977</v>
      </c>
      <c r="AT28" s="442" t="s">
        <v>978</v>
      </c>
      <c r="AU28" s="443">
        <f t="shared" si="1"/>
        <v>570000</v>
      </c>
    </row>
    <row r="29" spans="1:47" x14ac:dyDescent="0.35">
      <c r="A29" t="str">
        <f>Mapping!J29</f>
        <v>000104450000027</v>
      </c>
      <c r="B29" t="str">
        <f>Mapping!K29</f>
        <v>High</v>
      </c>
      <c r="C29">
        <v>32</v>
      </c>
      <c r="D29" t="str">
        <f>'Loan Book'!E32</f>
        <v>L J Traders &amp; Suppliers</v>
      </c>
      <c r="E29" t="str">
        <f>'Loan Book'!F32</f>
        <v>Debt</v>
      </c>
      <c r="F29" s="426">
        <f>'Loan Book'!G32</f>
        <v>44715</v>
      </c>
      <c r="G29" s="426">
        <f>'Loan Book'!H32</f>
        <v>45443</v>
      </c>
      <c r="H29">
        <f>'Loan Book'!I32</f>
        <v>2</v>
      </c>
      <c r="I29" t="str">
        <f>'Loan Book'!J32</f>
        <v>3 (Cap+Int)</v>
      </c>
      <c r="J29">
        <f>IF('Loan Book'!K32="","",IF('Loan Book'!K32&lt;1,'Loan Book'!K32*100,'Loan Book'!K32))</f>
        <v>10</v>
      </c>
      <c r="K29" s="427">
        <f>'Loan Book'!L32</f>
        <v>10000000</v>
      </c>
      <c r="L29" s="427">
        <f>'Loan Book'!M32</f>
        <v>10000000</v>
      </c>
      <c r="M29" s="427">
        <f>'Loan Book'!N32</f>
        <v>0</v>
      </c>
      <c r="N29" s="427">
        <f>'Loan Book'!O32</f>
        <v>10000000</v>
      </c>
      <c r="O29" s="427">
        <f>'Loan Book'!P32</f>
        <v>1211666.831327325</v>
      </c>
      <c r="P29" s="427">
        <f>'Loan Book'!Q32</f>
        <v>-11232000</v>
      </c>
      <c r="Q29" s="427">
        <f>'Loan Book'!R32</f>
        <v>0</v>
      </c>
      <c r="R29" s="427">
        <f>'Loan Book'!S32</f>
        <v>0</v>
      </c>
      <c r="S29" s="427">
        <f>'Loan Book'!T32</f>
        <v>0</v>
      </c>
      <c r="T29" s="427">
        <f>'Loan Book'!U32</f>
        <v>0</v>
      </c>
      <c r="U29">
        <f>'Loan Book'!AC32</f>
        <v>0</v>
      </c>
      <c r="V29">
        <f>'Loan Book'!AE32</f>
        <v>0</v>
      </c>
      <c r="W29" t="str">
        <f>IFERROR(INDEX('E-Banker master'!$B$2:$B$186,MATCH($A29,'E-Banker master'!$A$2:$A$186,0)),"")</f>
        <v>L. J Traders &amp; Suppliers</v>
      </c>
      <c r="X29">
        <f>IFERROR(INDEX('E-Banker master'!$C$2:$C$186,MATCH($A29,'E-Banker master'!$A$2:$A$186,0)),"")</f>
        <v>90</v>
      </c>
      <c r="Y29" t="str">
        <f>IFERROR(INDEX('E-Banker master'!$D$2:$D$186,MATCH($A29,'E-Banker master'!$A$2:$A$186,0)),"")</f>
        <v>1050201</v>
      </c>
      <c r="Z29" t="str">
        <f>IFERROR(INDEX('E-Banker master'!$E$2:$E$186,MATCH($A29,'E-Banker master'!$A$2:$A$186,0)),"")</f>
        <v>C</v>
      </c>
      <c r="AA29" t="str">
        <f>IFERROR(INDEX('E-Banker master'!$F$2:$F$186,MATCH($A29,'E-Banker master'!$A$2:$A$186,0)),"")</f>
        <v>S</v>
      </c>
      <c r="AB29">
        <f>IFERROR(INDEX('E-Banker master'!$G$2:$G$186,MATCH($A29,'E-Banker master'!$A$2:$A$186,0)),"")</f>
        <v>10</v>
      </c>
      <c r="AC29" s="427">
        <f>IFERROR(INDEX('E-Banker master'!$I$2:$I$186,MATCH($A29,'E-Banker master'!$A$2:$A$186,0)),"")</f>
        <v>10000000</v>
      </c>
      <c r="AD29" s="426">
        <f>IFERROR(INDEX('E-Banker master'!$J$2:$J$186,MATCH($A29,'E-Banker master'!$A$2:$A$186,0)),"")</f>
        <v>44715</v>
      </c>
      <c r="AE29" s="426">
        <f>IFERROR(INDEX('E-Banker master'!$K$2:$K$186,MATCH($A29,'E-Banker master'!$A$2:$A$186,0)),"")</f>
        <v>45445</v>
      </c>
      <c r="AF29">
        <f>IFERROR(INDEX('E-Banker master'!$L$2:$L$186,MATCH($A29,'E-Banker master'!$A$2:$A$186,0)),"")</f>
        <v>3</v>
      </c>
      <c r="AG29">
        <f>IFERROR(INDEX('E-Banker master'!$M$2:$M$186,MATCH($A29,'E-Banker master'!$A$2:$A$186,0)),"")</f>
        <v>3</v>
      </c>
      <c r="AH29" s="427">
        <f>IFERROR(INDEX('E-Banker master'!$N$2:$N$186,MATCH($A29,'E-Banker master'!$A$2:$A$186,0)),"")</f>
        <v>0</v>
      </c>
      <c r="AI29" s="427">
        <f>IFERROR(INDEX('E-Banker master'!$O$2:$O$186,MATCH($A29,'E-Banker master'!$A$2:$A$186,0)),"")</f>
        <v>0</v>
      </c>
      <c r="AJ29" s="427">
        <f>IFERROR(INDEX('E-Banker master'!$P$2:$P$186,MATCH($A29,'E-Banker master'!$A$2:$A$186,0)),"")</f>
        <v>0</v>
      </c>
      <c r="AK29" s="427">
        <f t="shared" si="0"/>
        <v>0</v>
      </c>
      <c r="AL29">
        <v>26</v>
      </c>
      <c r="AM29" t="str">
        <f>HYPERLINK("#'Amortisation and Repayments'!C1584","block 26")</f>
        <v>block 26</v>
      </c>
      <c r="AN29">
        <f>Mapping!X29</f>
        <v>0</v>
      </c>
      <c r="AO29" s="440">
        <f>'Loan Book'!AS32</f>
        <v>100000</v>
      </c>
      <c r="AP29" s="440">
        <f>'Loan Book'!AT32</f>
        <v>212100</v>
      </c>
      <c r="AQ29" s="440"/>
      <c r="AR29" s="441">
        <f t="shared" si="2"/>
        <v>44715</v>
      </c>
      <c r="AS29" s="442" t="s">
        <v>977</v>
      </c>
      <c r="AT29" s="442" t="s">
        <v>978</v>
      </c>
      <c r="AU29" s="443">
        <f t="shared" si="1"/>
        <v>312100</v>
      </c>
    </row>
    <row r="30" spans="1:47" x14ac:dyDescent="0.35">
      <c r="A30" t="str">
        <f>Mapping!J30</f>
        <v>000104450000028</v>
      </c>
      <c r="B30" t="str">
        <f>Mapping!K30</f>
        <v>High</v>
      </c>
      <c r="C30">
        <v>33</v>
      </c>
      <c r="D30" t="str">
        <f>'Loan Book'!E33</f>
        <v>Chikwendeni General Dealers</v>
      </c>
      <c r="E30" t="str">
        <f>'Loan Book'!F33</f>
        <v>Debt</v>
      </c>
      <c r="F30" s="426">
        <f>'Loan Book'!G33</f>
        <v>44715</v>
      </c>
      <c r="G30" s="426">
        <f>'Loan Book'!H33</f>
        <v>45443</v>
      </c>
      <c r="H30">
        <f>'Loan Book'!I33</f>
        <v>2</v>
      </c>
      <c r="I30" t="str">
        <f>'Loan Book'!J33</f>
        <v>3 (Cap+Int)</v>
      </c>
      <c r="J30">
        <f>IF('Loan Book'!K33="","",IF('Loan Book'!K33&lt;1,'Loan Book'!K33*100,'Loan Book'!K33))</f>
        <v>10</v>
      </c>
      <c r="K30" s="427">
        <f>'Loan Book'!L33</f>
        <v>24000000</v>
      </c>
      <c r="L30" s="427">
        <f>'Loan Book'!M33</f>
        <v>24000000</v>
      </c>
      <c r="M30" s="427">
        <f>'Loan Book'!N33</f>
        <v>0</v>
      </c>
      <c r="N30" s="427">
        <f>'Loan Book'!O33</f>
        <v>24000000</v>
      </c>
      <c r="O30" s="427">
        <f>'Loan Book'!P33</f>
        <v>2750896.9401133619</v>
      </c>
      <c r="P30" s="427">
        <f>'Loan Book'!Q33</f>
        <v>-26750896.940000001</v>
      </c>
      <c r="Q30" s="427">
        <f>'Loan Book'!R33</f>
        <v>1.1336058378219604E-4</v>
      </c>
      <c r="R30" s="427">
        <f>'Loan Book'!S33</f>
        <v>0</v>
      </c>
      <c r="S30" s="427">
        <f>'Loan Book'!T33</f>
        <v>0</v>
      </c>
      <c r="T30" s="427">
        <f>'Loan Book'!U33</f>
        <v>0</v>
      </c>
      <c r="U30">
        <f>'Loan Book'!AC33</f>
        <v>0</v>
      </c>
      <c r="V30">
        <f>'Loan Book'!AE33</f>
        <v>0</v>
      </c>
      <c r="W30" t="str">
        <f>IFERROR(INDEX('E-Banker master'!$B$2:$B$186,MATCH($A30,'E-Banker master'!$A$2:$A$186,0)),"")</f>
        <v>Chikwendeni General Dealers</v>
      </c>
      <c r="X30">
        <f>IFERROR(INDEX('E-Banker master'!$C$2:$C$186,MATCH($A30,'E-Banker master'!$A$2:$A$186,0)),"")</f>
        <v>90</v>
      </c>
      <c r="Y30" t="str">
        <f>IFERROR(INDEX('E-Banker master'!$D$2:$D$186,MATCH($A30,'E-Banker master'!$A$2:$A$186,0)),"")</f>
        <v>1050201</v>
      </c>
      <c r="Z30" t="str">
        <f>IFERROR(INDEX('E-Banker master'!$E$2:$E$186,MATCH($A30,'E-Banker master'!$A$2:$A$186,0)),"")</f>
        <v>C</v>
      </c>
      <c r="AA30" t="str">
        <f>IFERROR(INDEX('E-Banker master'!$F$2:$F$186,MATCH($A30,'E-Banker master'!$A$2:$A$186,0)),"")</f>
        <v>S</v>
      </c>
      <c r="AB30">
        <f>IFERROR(INDEX('E-Banker master'!$G$2:$G$186,MATCH($A30,'E-Banker master'!$A$2:$A$186,0)),"")</f>
        <v>10</v>
      </c>
      <c r="AC30" s="427">
        <f>IFERROR(INDEX('E-Banker master'!$I$2:$I$186,MATCH($A30,'E-Banker master'!$A$2:$A$186,0)),"")</f>
        <v>24000000</v>
      </c>
      <c r="AD30" s="426">
        <f>IFERROR(INDEX('E-Banker master'!$J$2:$J$186,MATCH($A30,'E-Banker master'!$A$2:$A$186,0)),"")</f>
        <v>44715</v>
      </c>
      <c r="AE30" s="426">
        <f>IFERROR(INDEX('E-Banker master'!$K$2:$K$186,MATCH($A30,'E-Banker master'!$A$2:$A$186,0)),"")</f>
        <v>45445</v>
      </c>
      <c r="AF30">
        <f>IFERROR(INDEX('E-Banker master'!$L$2:$L$186,MATCH($A30,'E-Banker master'!$A$2:$A$186,0)),"")</f>
        <v>3</v>
      </c>
      <c r="AG30">
        <f>IFERROR(INDEX('E-Banker master'!$M$2:$M$186,MATCH($A30,'E-Banker master'!$A$2:$A$186,0)),"")</f>
        <v>3</v>
      </c>
      <c r="AH30" s="427">
        <f>IFERROR(INDEX('E-Banker master'!$N$2:$N$186,MATCH($A30,'E-Banker master'!$A$2:$A$186,0)),"")</f>
        <v>0</v>
      </c>
      <c r="AI30" s="427">
        <f>IFERROR(INDEX('E-Banker master'!$O$2:$O$186,MATCH($A30,'E-Banker master'!$A$2:$A$186,0)),"")</f>
        <v>0</v>
      </c>
      <c r="AJ30" s="427">
        <f>IFERROR(INDEX('E-Banker master'!$P$2:$P$186,MATCH($A30,'E-Banker master'!$A$2:$A$186,0)),"")</f>
        <v>0</v>
      </c>
      <c r="AK30" s="427">
        <f t="shared" si="0"/>
        <v>1.1336058378219604E-4</v>
      </c>
      <c r="AL30">
        <v>27</v>
      </c>
      <c r="AM30" t="str">
        <f>HYPERLINK("#'Amortisation and Repayments'!C1624","block 27")</f>
        <v>block 27</v>
      </c>
      <c r="AN30">
        <f>Mapping!X30</f>
        <v>0</v>
      </c>
      <c r="AO30" s="440">
        <f>'Loan Book'!AS33</f>
        <v>240000</v>
      </c>
      <c r="AP30" s="440">
        <f>'Loan Book'!AT33</f>
        <v>434000</v>
      </c>
      <c r="AQ30" s="440"/>
      <c r="AR30" s="441">
        <f t="shared" si="2"/>
        <v>44715</v>
      </c>
      <c r="AS30" s="442" t="s">
        <v>977</v>
      </c>
      <c r="AT30" s="442" t="s">
        <v>978</v>
      </c>
      <c r="AU30" s="443">
        <f t="shared" si="1"/>
        <v>674000</v>
      </c>
    </row>
    <row r="31" spans="1:47" x14ac:dyDescent="0.35">
      <c r="A31" t="str">
        <f>Mapping!J31</f>
        <v>000104460000029</v>
      </c>
      <c r="B31" t="str">
        <f>Mapping!K31</f>
        <v>High</v>
      </c>
      <c r="C31">
        <v>34</v>
      </c>
      <c r="D31" t="str">
        <f>'Loan Book'!E34</f>
        <v>Agwenda Investment Ltd</v>
      </c>
      <c r="E31" t="str">
        <f>'Loan Book'!F34</f>
        <v>Debt</v>
      </c>
      <c r="F31" s="426">
        <f>'Loan Book'!G34</f>
        <v>44726</v>
      </c>
      <c r="G31" s="426">
        <f>'Loan Book'!H34</f>
        <v>45443</v>
      </c>
      <c r="H31">
        <f>'Loan Book'!I34</f>
        <v>2</v>
      </c>
      <c r="I31" t="str">
        <f>'Loan Book'!J34</f>
        <v>3 (Cap+Int)</v>
      </c>
      <c r="J31">
        <f>IF('Loan Book'!K34="","",IF('Loan Book'!K34&lt;1,'Loan Book'!K34*100,'Loan Book'!K34))</f>
        <v>10</v>
      </c>
      <c r="K31" s="427">
        <f>'Loan Book'!L34</f>
        <v>24000000</v>
      </c>
      <c r="L31" s="427">
        <f>'Loan Book'!M34</f>
        <v>24000000</v>
      </c>
      <c r="M31" s="427">
        <f>'Loan Book'!N34</f>
        <v>0</v>
      </c>
      <c r="N31" s="427">
        <f>'Loan Book'!O34</f>
        <v>24000000</v>
      </c>
      <c r="O31" s="427">
        <f>'Loan Book'!P34</f>
        <v>2944391.6410552948</v>
      </c>
      <c r="P31" s="427">
        <f>'Loan Book'!Q34</f>
        <v>-26946037.719999999</v>
      </c>
      <c r="Q31" s="427">
        <f>'Loan Book'!R34</f>
        <v>0</v>
      </c>
      <c r="R31" s="427">
        <f>'Loan Book'!S34</f>
        <v>0</v>
      </c>
      <c r="S31" s="427">
        <f>'Loan Book'!T34</f>
        <v>0</v>
      </c>
      <c r="T31" s="427">
        <f>'Loan Book'!U34</f>
        <v>0</v>
      </c>
      <c r="U31">
        <f>'Loan Book'!AC34</f>
        <v>0</v>
      </c>
      <c r="V31">
        <f>'Loan Book'!AE34</f>
        <v>0</v>
      </c>
      <c r="W31" t="str">
        <f>IFERROR(INDEX('E-Banker master'!$B$2:$B$186,MATCH($A31,'E-Banker master'!$A$2:$A$186,0)),"")</f>
        <v>Angwenda Investments Limited</v>
      </c>
      <c r="X31">
        <f>IFERROR(INDEX('E-Banker master'!$C$2:$C$186,MATCH($A31,'E-Banker master'!$A$2:$A$186,0)),"")</f>
        <v>92</v>
      </c>
      <c r="Y31" t="str">
        <f>IFERROR(INDEX('E-Banker master'!$D$2:$D$186,MATCH($A31,'E-Banker master'!$A$2:$A$186,0)),"")</f>
        <v>1050202</v>
      </c>
      <c r="Z31" t="str">
        <f>IFERROR(INDEX('E-Banker master'!$E$2:$E$186,MATCH($A31,'E-Banker master'!$A$2:$A$186,0)),"")</f>
        <v>C</v>
      </c>
      <c r="AA31" t="str">
        <f>IFERROR(INDEX('E-Banker master'!$F$2:$F$186,MATCH($A31,'E-Banker master'!$A$2:$A$186,0)),"")</f>
        <v>S</v>
      </c>
      <c r="AB31">
        <f>IFERROR(INDEX('E-Banker master'!$G$2:$G$186,MATCH($A31,'E-Banker master'!$A$2:$A$186,0)),"")</f>
        <v>10</v>
      </c>
      <c r="AC31" s="427">
        <f>IFERROR(INDEX('E-Banker master'!$I$2:$I$186,MATCH($A31,'E-Banker master'!$A$2:$A$186,0)),"")</f>
        <v>24000000</v>
      </c>
      <c r="AD31" s="426">
        <f>IFERROR(INDEX('E-Banker master'!$J$2:$J$186,MATCH($A31,'E-Banker master'!$A$2:$A$186,0)),"")</f>
        <v>44726</v>
      </c>
      <c r="AE31" s="426">
        <f>IFERROR(INDEX('E-Banker master'!$K$2:$K$186,MATCH($A31,'E-Banker master'!$A$2:$A$186,0)),"")</f>
        <v>45456</v>
      </c>
      <c r="AF31">
        <f>IFERROR(INDEX('E-Banker master'!$L$2:$L$186,MATCH($A31,'E-Banker master'!$A$2:$A$186,0)),"")</f>
        <v>3</v>
      </c>
      <c r="AG31">
        <f>IFERROR(INDEX('E-Banker master'!$M$2:$M$186,MATCH($A31,'E-Banker master'!$A$2:$A$186,0)),"")</f>
        <v>3</v>
      </c>
      <c r="AH31" s="427">
        <f>IFERROR(INDEX('E-Banker master'!$N$2:$N$186,MATCH($A31,'E-Banker master'!$A$2:$A$186,0)),"")</f>
        <v>0</v>
      </c>
      <c r="AI31" s="427">
        <f>IFERROR(INDEX('E-Banker master'!$O$2:$O$186,MATCH($A31,'E-Banker master'!$A$2:$A$186,0)),"")</f>
        <v>0</v>
      </c>
      <c r="AJ31" s="427">
        <f>IFERROR(INDEX('E-Banker master'!$P$2:$P$186,MATCH($A31,'E-Banker master'!$A$2:$A$186,0)),"")</f>
        <v>0</v>
      </c>
      <c r="AK31" s="427">
        <f t="shared" si="0"/>
        <v>0</v>
      </c>
      <c r="AL31">
        <v>28</v>
      </c>
      <c r="AM31" t="str">
        <f>HYPERLINK("#'Amortisation and Repayments'!C1664","block 28")</f>
        <v>block 28</v>
      </c>
      <c r="AN31">
        <f>Mapping!X31</f>
        <v>0</v>
      </c>
      <c r="AO31" s="440">
        <f>'Loan Book'!AS34</f>
        <v>240000</v>
      </c>
      <c r="AP31" s="440">
        <f>'Loan Book'!AT34</f>
        <v>434000</v>
      </c>
      <c r="AQ31" s="440"/>
      <c r="AR31" s="441">
        <f t="shared" si="2"/>
        <v>44726</v>
      </c>
      <c r="AS31" s="442" t="s">
        <v>977</v>
      </c>
      <c r="AT31" s="442" t="s">
        <v>978</v>
      </c>
      <c r="AU31" s="443">
        <f t="shared" si="1"/>
        <v>674000</v>
      </c>
    </row>
    <row r="32" spans="1:47" x14ac:dyDescent="0.35">
      <c r="A32" t="str">
        <f>Mapping!J32</f>
        <v>000104450000030</v>
      </c>
      <c r="B32" t="str">
        <f>Mapping!K32</f>
        <v>High</v>
      </c>
      <c r="C32">
        <v>35</v>
      </c>
      <c r="D32" t="str">
        <f>'Loan Book'!E35</f>
        <v>Perisha Agro and packaging Enterprise</v>
      </c>
      <c r="E32" t="str">
        <f>'Loan Book'!F35</f>
        <v>Debt</v>
      </c>
      <c r="F32" s="426">
        <f>'Loan Book'!G35</f>
        <v>44728</v>
      </c>
      <c r="G32" s="426">
        <f>'Loan Book'!H35</f>
        <v>45565</v>
      </c>
      <c r="H32">
        <f>'Loan Book'!I35</f>
        <v>2</v>
      </c>
      <c r="I32" t="str">
        <f>'Loan Book'!J35</f>
        <v>3 (Cap+Int)</v>
      </c>
      <c r="J32">
        <f>IF('Loan Book'!K35="","",IF('Loan Book'!K35&lt;1,'Loan Book'!K35*100,'Loan Book'!K35))</f>
        <v>10</v>
      </c>
      <c r="K32" s="427">
        <f>'Loan Book'!L35</f>
        <v>12000000</v>
      </c>
      <c r="L32" s="427">
        <f>'Loan Book'!M35</f>
        <v>12000000</v>
      </c>
      <c r="M32" s="427">
        <f>'Loan Book'!N35</f>
        <v>0</v>
      </c>
      <c r="N32" s="427">
        <f>'Loan Book'!O35</f>
        <v>12000000</v>
      </c>
      <c r="O32" s="427">
        <f>'Loan Book'!P35</f>
        <v>1865934.9096200508</v>
      </c>
      <c r="P32" s="427">
        <f>'Loan Book'!Q35</f>
        <v>-13868000</v>
      </c>
      <c r="Q32" s="427">
        <f>'Loan Book'!R35</f>
        <v>0</v>
      </c>
      <c r="R32" s="427">
        <f>'Loan Book'!S35</f>
        <v>0</v>
      </c>
      <c r="S32" s="427">
        <f>'Loan Book'!T35</f>
        <v>0</v>
      </c>
      <c r="T32" s="427">
        <f>'Loan Book'!U35</f>
        <v>0</v>
      </c>
      <c r="U32">
        <f>'Loan Book'!AC35</f>
        <v>0</v>
      </c>
      <c r="V32">
        <f>'Loan Book'!AE35</f>
        <v>0</v>
      </c>
      <c r="W32" t="str">
        <f>IFERROR(INDEX('E-Banker master'!$B$2:$B$186,MATCH($A32,'E-Banker master'!$A$2:$A$186,0)),"")</f>
        <v>Perisha Agro and packaging Enterprise</v>
      </c>
      <c r="X32">
        <f>IFERROR(INDEX('E-Banker master'!$C$2:$C$186,MATCH($A32,'E-Banker master'!$A$2:$A$186,0)),"")</f>
        <v>90</v>
      </c>
      <c r="Y32" t="str">
        <f>IFERROR(INDEX('E-Banker master'!$D$2:$D$186,MATCH($A32,'E-Banker master'!$A$2:$A$186,0)),"")</f>
        <v>1050201</v>
      </c>
      <c r="Z32" t="str">
        <f>IFERROR(INDEX('E-Banker master'!$E$2:$E$186,MATCH($A32,'E-Banker master'!$A$2:$A$186,0)),"")</f>
        <v>H</v>
      </c>
      <c r="AA32" t="str">
        <f>IFERROR(INDEX('E-Banker master'!$F$2:$F$186,MATCH($A32,'E-Banker master'!$A$2:$A$186,0)),"")</f>
        <v>S</v>
      </c>
      <c r="AB32">
        <f>IFERROR(INDEX('E-Banker master'!$G$2:$G$186,MATCH($A32,'E-Banker master'!$A$2:$A$186,0)),"")</f>
        <v>10</v>
      </c>
      <c r="AC32" s="427">
        <f>IFERROR(INDEX('E-Banker master'!$I$2:$I$186,MATCH($A32,'E-Banker master'!$A$2:$A$186,0)),"")</f>
        <v>12000000</v>
      </c>
      <c r="AD32" s="426">
        <f>IFERROR(INDEX('E-Banker master'!$J$2:$J$186,MATCH($A32,'E-Banker master'!$A$2:$A$186,0)),"")</f>
        <v>44728</v>
      </c>
      <c r="AE32" s="426">
        <f>IFERROR(INDEX('E-Banker master'!$K$2:$K$186,MATCH($A32,'E-Banker master'!$A$2:$A$186,0)),"")</f>
        <v>45565</v>
      </c>
      <c r="AF32">
        <f>IFERROR(INDEX('E-Banker master'!$L$2:$L$186,MATCH($A32,'E-Banker master'!$A$2:$A$186,0)),"")</f>
        <v>3</v>
      </c>
      <c r="AG32">
        <f>IFERROR(INDEX('E-Banker master'!$M$2:$M$186,MATCH($A32,'E-Banker master'!$A$2:$A$186,0)),"")</f>
        <v>3</v>
      </c>
      <c r="AH32" s="427">
        <f>IFERROR(INDEX('E-Banker master'!$N$2:$N$186,MATCH($A32,'E-Banker master'!$A$2:$A$186,0)),"")</f>
        <v>12000000</v>
      </c>
      <c r="AI32" s="427">
        <f>IFERROR(INDEX('E-Banker master'!$O$2:$O$186,MATCH($A32,'E-Banker master'!$A$2:$A$186,0)),"")</f>
        <v>1849609.36</v>
      </c>
      <c r="AJ32" s="427">
        <f>IFERROR(INDEX('E-Banker master'!$P$2:$P$186,MATCH($A32,'E-Banker master'!$A$2:$A$186,0)),"")</f>
        <v>1358.4</v>
      </c>
      <c r="AK32" s="427">
        <f t="shared" si="0"/>
        <v>-1358.4</v>
      </c>
      <c r="AL32">
        <v>29</v>
      </c>
      <c r="AM32" t="str">
        <f>HYPERLINK("#'Amortisation and Repayments'!C1705","block 29")</f>
        <v>block 29</v>
      </c>
      <c r="AN32">
        <f>Mapping!X32</f>
        <v>0</v>
      </c>
      <c r="AO32" s="440">
        <f>'Loan Book'!AS35</f>
        <v>120000</v>
      </c>
      <c r="AP32" s="440">
        <f>'Loan Book'!AT35</f>
        <v>242000</v>
      </c>
      <c r="AQ32" s="440"/>
      <c r="AR32" s="441">
        <f t="shared" si="2"/>
        <v>44728</v>
      </c>
      <c r="AS32" s="442" t="s">
        <v>977</v>
      </c>
      <c r="AT32" s="442" t="s">
        <v>978</v>
      </c>
      <c r="AU32" s="443">
        <f t="shared" si="1"/>
        <v>362000</v>
      </c>
    </row>
    <row r="33" spans="1:47" x14ac:dyDescent="0.35">
      <c r="A33" t="str">
        <f>Mapping!J33</f>
        <v>000104460000031</v>
      </c>
      <c r="B33" t="str">
        <f>Mapping!K33</f>
        <v>High</v>
      </c>
      <c r="C33">
        <v>36</v>
      </c>
      <c r="D33" t="str">
        <f>'Loan Book'!E36</f>
        <v>Pamela Investments</v>
      </c>
      <c r="E33" t="str">
        <f>'Loan Book'!F36</f>
        <v>Debt</v>
      </c>
      <c r="F33" s="426">
        <f>'Loan Book'!G36</f>
        <v>44728</v>
      </c>
      <c r="G33" s="426">
        <f>'Loan Book'!H36</f>
        <v>45443</v>
      </c>
      <c r="H33">
        <f>'Loan Book'!I36</f>
        <v>2</v>
      </c>
      <c r="I33" t="str">
        <f>'Loan Book'!J36</f>
        <v>3 (Cap+Int)</v>
      </c>
      <c r="J33">
        <f>IF('Loan Book'!K36="","",IF('Loan Book'!K36&lt;1,'Loan Book'!K36*100,'Loan Book'!K36))</f>
        <v>10</v>
      </c>
      <c r="K33" s="427">
        <f>'Loan Book'!L36</f>
        <v>10000000</v>
      </c>
      <c r="L33" s="427">
        <f>'Loan Book'!M36</f>
        <v>10000000</v>
      </c>
      <c r="M33" s="427">
        <f>'Loan Book'!N36</f>
        <v>0</v>
      </c>
      <c r="N33" s="427">
        <f>'Loan Book'!O36</f>
        <v>10000000</v>
      </c>
      <c r="O33" s="427">
        <f>'Loan Book'!P36</f>
        <v>874211.36981536716</v>
      </c>
      <c r="P33" s="427">
        <f>'Loan Book'!Q36</f>
        <v>-10874211.369999999</v>
      </c>
      <c r="Q33" s="427">
        <f>'Loan Book'!R36</f>
        <v>-1.8463283777236938E-4</v>
      </c>
      <c r="R33" s="427">
        <f>'Loan Book'!S36</f>
        <v>0</v>
      </c>
      <c r="S33" s="427">
        <f>'Loan Book'!T36</f>
        <v>0</v>
      </c>
      <c r="T33" s="427">
        <f>'Loan Book'!U36</f>
        <v>0</v>
      </c>
      <c r="U33">
        <f>'Loan Book'!AC36</f>
        <v>0</v>
      </c>
      <c r="V33">
        <f>'Loan Book'!AE36</f>
        <v>0</v>
      </c>
      <c r="W33" t="str">
        <f>IFERROR(INDEX('E-Banker master'!$B$2:$B$186,MATCH($A33,'E-Banker master'!$A$2:$A$186,0)),"")</f>
        <v>Pamela Investments</v>
      </c>
      <c r="X33">
        <f>IFERROR(INDEX('E-Banker master'!$C$2:$C$186,MATCH($A33,'E-Banker master'!$A$2:$A$186,0)),"")</f>
        <v>92</v>
      </c>
      <c r="Y33" t="str">
        <f>IFERROR(INDEX('E-Banker master'!$D$2:$D$186,MATCH($A33,'E-Banker master'!$A$2:$A$186,0)),"")</f>
        <v>1050202</v>
      </c>
      <c r="Z33" t="str">
        <f>IFERROR(INDEX('E-Banker master'!$E$2:$E$186,MATCH($A33,'E-Banker master'!$A$2:$A$186,0)),"")</f>
        <v>C</v>
      </c>
      <c r="AA33" t="str">
        <f>IFERROR(INDEX('E-Banker master'!$F$2:$F$186,MATCH($A33,'E-Banker master'!$A$2:$A$186,0)),"")</f>
        <v>S</v>
      </c>
      <c r="AB33">
        <f>IFERROR(INDEX('E-Banker master'!$G$2:$G$186,MATCH($A33,'E-Banker master'!$A$2:$A$186,0)),"")</f>
        <v>10</v>
      </c>
      <c r="AC33" s="427">
        <f>IFERROR(INDEX('E-Banker master'!$I$2:$I$186,MATCH($A33,'E-Banker master'!$A$2:$A$186,0)),"")</f>
        <v>10000000</v>
      </c>
      <c r="AD33" s="426">
        <f>IFERROR(INDEX('E-Banker master'!$J$2:$J$186,MATCH($A33,'E-Banker master'!$A$2:$A$186,0)),"")</f>
        <v>44728</v>
      </c>
      <c r="AE33" s="426">
        <f>IFERROR(INDEX('E-Banker master'!$K$2:$K$186,MATCH($A33,'E-Banker master'!$A$2:$A$186,0)),"")</f>
        <v>45458</v>
      </c>
      <c r="AF33">
        <f>IFERROR(INDEX('E-Banker master'!$L$2:$L$186,MATCH($A33,'E-Banker master'!$A$2:$A$186,0)),"")</f>
        <v>3</v>
      </c>
      <c r="AG33">
        <f>IFERROR(INDEX('E-Banker master'!$M$2:$M$186,MATCH($A33,'E-Banker master'!$A$2:$A$186,0)),"")</f>
        <v>3</v>
      </c>
      <c r="AH33" s="427">
        <f>IFERROR(INDEX('E-Banker master'!$N$2:$N$186,MATCH($A33,'E-Banker master'!$A$2:$A$186,0)),"")</f>
        <v>0</v>
      </c>
      <c r="AI33" s="427">
        <f>IFERROR(INDEX('E-Banker master'!$O$2:$O$186,MATCH($A33,'E-Banker master'!$A$2:$A$186,0)),"")</f>
        <v>0</v>
      </c>
      <c r="AJ33" s="427">
        <f>IFERROR(INDEX('E-Banker master'!$P$2:$P$186,MATCH($A33,'E-Banker master'!$A$2:$A$186,0)),"")</f>
        <v>0</v>
      </c>
      <c r="AK33" s="427">
        <f t="shared" si="0"/>
        <v>-1.8463283777236938E-4</v>
      </c>
      <c r="AL33">
        <v>30</v>
      </c>
      <c r="AM33" t="str">
        <f>HYPERLINK("#'Amortisation and Repayments'!C1749","block 30")</f>
        <v>block 30</v>
      </c>
      <c r="AN33">
        <f>Mapping!X33</f>
        <v>0</v>
      </c>
      <c r="AO33" s="440">
        <f>'Loan Book'!AS36</f>
        <v>100000</v>
      </c>
      <c r="AP33" s="440">
        <f>'Loan Book'!AT36</f>
        <v>210000</v>
      </c>
      <c r="AQ33" s="440"/>
      <c r="AR33" s="441">
        <f t="shared" si="2"/>
        <v>44728</v>
      </c>
      <c r="AS33" s="442" t="s">
        <v>977</v>
      </c>
      <c r="AT33" s="442" t="s">
        <v>978</v>
      </c>
      <c r="AU33" s="443">
        <f t="shared" si="1"/>
        <v>310000</v>
      </c>
    </row>
    <row r="34" spans="1:47" x14ac:dyDescent="0.35">
      <c r="A34" t="str">
        <f>Mapping!J34</f>
        <v>000104420000032</v>
      </c>
      <c r="B34" t="str">
        <f>Mapping!K34</f>
        <v>High</v>
      </c>
      <c r="C34">
        <v>37</v>
      </c>
      <c r="D34" t="str">
        <f>'Loan Book'!E37</f>
        <v>African Honey products Industries</v>
      </c>
      <c r="E34" t="str">
        <f>'Loan Book'!F37</f>
        <v>Debt</v>
      </c>
      <c r="F34" s="426">
        <f>'Loan Book'!G37</f>
        <v>44740</v>
      </c>
      <c r="G34" s="426">
        <f>'Loan Book'!H37</f>
        <v>46568</v>
      </c>
      <c r="H34">
        <f>'Loan Book'!I37</f>
        <v>5</v>
      </c>
      <c r="I34" t="str">
        <f>'Loan Book'!J37</f>
        <v>9 (Cap only)</v>
      </c>
      <c r="J34">
        <f>IF('Loan Book'!K37="","",IF('Loan Book'!K37&lt;1,'Loan Book'!K37*100,'Loan Book'!K37))</f>
        <v>30.700000000000006</v>
      </c>
      <c r="K34" s="427">
        <f>'Loan Book'!L37</f>
        <v>104979420</v>
      </c>
      <c r="L34" s="427">
        <f>'Loan Book'!M37</f>
        <v>104979420</v>
      </c>
      <c r="M34" s="427">
        <f>'Loan Book'!N37</f>
        <v>0</v>
      </c>
      <c r="N34" s="427">
        <f>'Loan Book'!O37</f>
        <v>104979420</v>
      </c>
      <c r="O34" s="427">
        <f>'Loan Book'!P37</f>
        <v>69336574.478976637</v>
      </c>
      <c r="P34" s="427">
        <f>'Loan Book'!Q37</f>
        <v>-67295487</v>
      </c>
      <c r="Q34" s="427">
        <f>'Loan Book'!R37</f>
        <v>107020507.47897664</v>
      </c>
      <c r="R34" s="427">
        <f>'Loan Book'!S37</f>
        <v>8484612.3025194518</v>
      </c>
      <c r="S34" s="427">
        <f>'Loan Book'!T37</f>
        <v>5748292.9050472379</v>
      </c>
      <c r="T34" s="427">
        <f>'Loan Book'!U37</f>
        <v>14232905.20756669</v>
      </c>
      <c r="U34">
        <f>'Loan Book'!AC37</f>
        <v>0</v>
      </c>
      <c r="V34">
        <f>'Loan Book'!AE37</f>
        <v>0</v>
      </c>
      <c r="W34" t="str">
        <f>IFERROR(INDEX('E-Banker master'!$B$2:$B$186,MATCH($A34,'E-Banker master'!$A$2:$A$186,0)),"")</f>
        <v>African Honey products Industries</v>
      </c>
      <c r="X34">
        <f>IFERROR(INDEX('E-Banker master'!$C$2:$C$186,MATCH($A34,'E-Banker master'!$A$2:$A$186,0)),"")</f>
        <v>84</v>
      </c>
      <c r="Y34" t="str">
        <f>IFERROR(INDEX('E-Banker master'!$D$2:$D$186,MATCH($A34,'E-Banker master'!$A$2:$A$186,0)),"")</f>
        <v>1050101</v>
      </c>
      <c r="Z34" t="str">
        <f>IFERROR(INDEX('E-Banker master'!$E$2:$E$186,MATCH($A34,'E-Banker master'!$A$2:$A$186,0)),"")</f>
        <v>A</v>
      </c>
      <c r="AA34" t="str">
        <f>IFERROR(INDEX('E-Banker master'!$F$2:$F$186,MATCH($A34,'E-Banker master'!$A$2:$A$186,0)),"")</f>
        <v>M</v>
      </c>
      <c r="AB34">
        <f>IFERROR(INDEX('E-Banker master'!$G$2:$G$186,MATCH($A34,'E-Banker master'!$A$2:$A$186,0)),"")</f>
        <v>29.2</v>
      </c>
      <c r="AC34" s="427">
        <f>IFERROR(INDEX('E-Banker master'!$I$2:$I$186,MATCH($A34,'E-Banker master'!$A$2:$A$186,0)),"")</f>
        <v>104979420</v>
      </c>
      <c r="AD34" s="426">
        <f>IFERROR(INDEX('E-Banker master'!$J$2:$J$186,MATCH($A34,'E-Banker master'!$A$2:$A$186,0)),"")</f>
        <v>44699</v>
      </c>
      <c r="AE34" s="426">
        <f>IFERROR(INDEX('E-Banker master'!$K$2:$K$186,MATCH($A34,'E-Banker master'!$A$2:$A$186,0)),"")</f>
        <v>46525</v>
      </c>
      <c r="AF34">
        <f>IFERROR(INDEX('E-Banker master'!$L$2:$L$186,MATCH($A34,'E-Banker master'!$A$2:$A$186,0)),"")</f>
        <v>0</v>
      </c>
      <c r="AG34">
        <f>IFERROR(INDEX('E-Banker master'!$M$2:$M$186,MATCH($A34,'E-Banker master'!$A$2:$A$186,0)),"")</f>
        <v>0</v>
      </c>
      <c r="AH34" s="427">
        <f>IFERROR(INDEX('E-Banker master'!$N$2:$N$186,MATCH($A34,'E-Banker master'!$A$2:$A$186,0)),"")</f>
        <v>104979420</v>
      </c>
      <c r="AI34" s="427">
        <f>IFERROR(INDEX('E-Banker master'!$O$2:$O$186,MATCH($A34,'E-Banker master'!$A$2:$A$186,0)),"")</f>
        <v>61336125.579999998</v>
      </c>
      <c r="AJ34" s="427">
        <f>IFERROR(INDEX('E-Banker master'!$P$2:$P$186,MATCH($A34,'E-Banker master'!$A$2:$A$186,0)),"")</f>
        <v>108314465.95999999</v>
      </c>
      <c r="AK34" s="427">
        <f t="shared" ref="AK34:AK65" si="3">IF(OR(Q34="",AJ34=""),"",Q34-AJ34)</f>
        <v>-1293958.4810233563</v>
      </c>
      <c r="AL34">
        <v>31</v>
      </c>
      <c r="AM34" t="str">
        <f>HYPERLINK("#'Amortisation and Repayments'!C1790","block 31")</f>
        <v>block 31</v>
      </c>
      <c r="AN34">
        <f>Mapping!X34</f>
        <v>0</v>
      </c>
      <c r="AO34" s="440">
        <f>'Loan Book'!AS37</f>
        <v>1551420</v>
      </c>
      <c r="AP34" s="440">
        <f>'Loan Book'!AT37</f>
        <v>3557725</v>
      </c>
      <c r="AQ34" s="440"/>
      <c r="AR34" s="441">
        <f t="shared" si="2"/>
        <v>44699</v>
      </c>
      <c r="AS34" s="442" t="s">
        <v>977</v>
      </c>
      <c r="AT34" s="442" t="s">
        <v>978</v>
      </c>
      <c r="AU34" s="443">
        <f t="shared" ref="AU34:AU65" si="4">IF(COUNT(AO34:AQ34)=0,"",SUM(AO34:AQ34))</f>
        <v>5109145</v>
      </c>
    </row>
    <row r="35" spans="1:47" x14ac:dyDescent="0.35">
      <c r="A35" t="str">
        <f>Mapping!J35</f>
        <v>000104450000033</v>
      </c>
      <c r="B35" t="str">
        <f>Mapping!K35</f>
        <v>High</v>
      </c>
      <c r="C35">
        <v>38</v>
      </c>
      <c r="D35" t="str">
        <f>'Loan Book'!E38</f>
        <v>Mtengo Wa Kumunda</v>
      </c>
      <c r="E35" t="str">
        <f>'Loan Book'!F38</f>
        <v>Debt</v>
      </c>
      <c r="F35" s="426">
        <f>'Loan Book'!G38</f>
        <v>44747</v>
      </c>
      <c r="G35" s="426">
        <f>'Loan Book'!H38</f>
        <v>45504</v>
      </c>
      <c r="H35">
        <f>'Loan Book'!I38</f>
        <v>2</v>
      </c>
      <c r="I35" t="str">
        <f>'Loan Book'!J38</f>
        <v>3 (Cap+Int)</v>
      </c>
      <c r="J35">
        <f>IF('Loan Book'!K38="","",IF('Loan Book'!K38&lt;1,'Loan Book'!K38*100,'Loan Book'!K38))</f>
        <v>10</v>
      </c>
      <c r="K35" s="427">
        <f>'Loan Book'!L38</f>
        <v>12000000</v>
      </c>
      <c r="L35" s="427">
        <f>'Loan Book'!M38</f>
        <v>12000000</v>
      </c>
      <c r="M35" s="427">
        <f>'Loan Book'!N38</f>
        <v>0</v>
      </c>
      <c r="N35" s="427">
        <f>'Loan Book'!O38</f>
        <v>12000000</v>
      </c>
      <c r="O35" s="427">
        <f>'Loan Book'!P38</f>
        <v>1482649.5304037563</v>
      </c>
      <c r="P35" s="427">
        <f>'Loan Book'!Q38</f>
        <v>-13482732.6</v>
      </c>
      <c r="Q35" s="427">
        <f>'Loan Book'!R38</f>
        <v>0</v>
      </c>
      <c r="R35" s="427">
        <f>'Loan Book'!S38</f>
        <v>0</v>
      </c>
      <c r="S35" s="427">
        <f>'Loan Book'!T38</f>
        <v>0</v>
      </c>
      <c r="T35" s="427">
        <f>'Loan Book'!U38</f>
        <v>0</v>
      </c>
      <c r="U35">
        <f>'Loan Book'!AC38</f>
        <v>0</v>
      </c>
      <c r="V35">
        <f>'Loan Book'!AE38</f>
        <v>0</v>
      </c>
      <c r="W35" t="str">
        <f>IFERROR(INDEX('E-Banker master'!$B$2:$B$186,MATCH($A35,'E-Banker master'!$A$2:$A$186,0)),"")</f>
        <v>Mtengo wa Kumunda</v>
      </c>
      <c r="X35">
        <f>IFERROR(INDEX('E-Banker master'!$C$2:$C$186,MATCH($A35,'E-Banker master'!$A$2:$A$186,0)),"")</f>
        <v>90</v>
      </c>
      <c r="Y35" t="str">
        <f>IFERROR(INDEX('E-Banker master'!$D$2:$D$186,MATCH($A35,'E-Banker master'!$A$2:$A$186,0)),"")</f>
        <v>1050201</v>
      </c>
      <c r="Z35" t="str">
        <f>IFERROR(INDEX('E-Banker master'!$E$2:$E$186,MATCH($A35,'E-Banker master'!$A$2:$A$186,0)),"")</f>
        <v>D</v>
      </c>
      <c r="AA35" t="str">
        <f>IFERROR(INDEX('E-Banker master'!$F$2:$F$186,MATCH($A35,'E-Banker master'!$A$2:$A$186,0)),"")</f>
        <v>S</v>
      </c>
      <c r="AB35">
        <f>IFERROR(INDEX('E-Banker master'!$G$2:$G$186,MATCH($A35,'E-Banker master'!$A$2:$A$186,0)),"")</f>
        <v>10</v>
      </c>
      <c r="AC35" s="427">
        <f>IFERROR(INDEX('E-Banker master'!$I$2:$I$186,MATCH($A35,'E-Banker master'!$A$2:$A$186,0)),"")</f>
        <v>12000000</v>
      </c>
      <c r="AD35" s="426">
        <f>IFERROR(INDEX('E-Banker master'!$J$2:$J$186,MATCH($A35,'E-Banker master'!$A$2:$A$186,0)),"")</f>
        <v>44747</v>
      </c>
      <c r="AE35" s="426">
        <f>IFERROR(INDEX('E-Banker master'!$K$2:$K$186,MATCH($A35,'E-Banker master'!$A$2:$A$186,0)),"")</f>
        <v>45477</v>
      </c>
      <c r="AF35">
        <f>IFERROR(INDEX('E-Banker master'!$L$2:$L$186,MATCH($A35,'E-Banker master'!$A$2:$A$186,0)),"")</f>
        <v>3</v>
      </c>
      <c r="AG35">
        <f>IFERROR(INDEX('E-Banker master'!$M$2:$M$186,MATCH($A35,'E-Banker master'!$A$2:$A$186,0)),"")</f>
        <v>3</v>
      </c>
      <c r="AH35" s="427">
        <f>IFERROR(INDEX('E-Banker master'!$N$2:$N$186,MATCH($A35,'E-Banker master'!$A$2:$A$186,0)),"")</f>
        <v>12000000</v>
      </c>
      <c r="AI35" s="427">
        <f>IFERROR(INDEX('E-Banker master'!$O$2:$O$186,MATCH($A35,'E-Banker master'!$A$2:$A$186,0)),"")</f>
        <v>1482649.53</v>
      </c>
      <c r="AJ35" s="427">
        <f>IFERROR(INDEX('E-Banker master'!$P$2:$P$186,MATCH($A35,'E-Banker master'!$A$2:$A$186,0)),"")</f>
        <v>-83.07</v>
      </c>
      <c r="AK35" s="427">
        <f t="shared" si="3"/>
        <v>83.07</v>
      </c>
      <c r="AN35">
        <f>Mapping!X35</f>
        <v>0</v>
      </c>
      <c r="AO35" s="440">
        <f>'Loan Book'!AS38</f>
        <v>120000</v>
      </c>
      <c r="AP35" s="440">
        <f>'Loan Book'!AT38</f>
        <v>244420</v>
      </c>
      <c r="AQ35" s="440"/>
      <c r="AR35" s="441">
        <f t="shared" si="2"/>
        <v>44747</v>
      </c>
      <c r="AS35" s="442" t="s">
        <v>977</v>
      </c>
      <c r="AT35" s="442" t="s">
        <v>978</v>
      </c>
      <c r="AU35" s="443">
        <f t="shared" si="4"/>
        <v>364420</v>
      </c>
    </row>
    <row r="36" spans="1:47" x14ac:dyDescent="0.35">
      <c r="A36" t="str">
        <f>Mapping!J36</f>
        <v>000104450000034</v>
      </c>
      <c r="B36" t="str">
        <f>Mapping!K36</f>
        <v>High</v>
      </c>
      <c r="C36">
        <v>39</v>
      </c>
      <c r="D36" t="str">
        <f>'Loan Book'!E39</f>
        <v>MMM Investments</v>
      </c>
      <c r="E36" t="str">
        <f>'Loan Book'!F39</f>
        <v>Debt</v>
      </c>
      <c r="F36" s="426">
        <f>'Loan Book'!G39</f>
        <v>44749</v>
      </c>
      <c r="G36" s="426">
        <f>'Loan Book'!H39</f>
        <v>45138</v>
      </c>
      <c r="H36">
        <f>'Loan Book'!I39</f>
        <v>1</v>
      </c>
      <c r="I36" t="str">
        <f>'Loan Book'!J39</f>
        <v>3 (Cap+Int)</v>
      </c>
      <c r="J36">
        <f>IF('Loan Book'!K39="","",IF('Loan Book'!K39&lt;1,'Loan Book'!K39*100,'Loan Book'!K39))</f>
        <v>10</v>
      </c>
      <c r="K36" s="427">
        <f>'Loan Book'!L39</f>
        <v>10000000</v>
      </c>
      <c r="L36" s="427">
        <f>'Loan Book'!M39</f>
        <v>10000000</v>
      </c>
      <c r="M36" s="427">
        <f>'Loan Book'!N39</f>
        <v>0</v>
      </c>
      <c r="N36" s="427">
        <f>'Loan Book'!O39</f>
        <v>10000000</v>
      </c>
      <c r="O36" s="427">
        <f>'Loan Book'!P39</f>
        <v>781375.07196254015</v>
      </c>
      <c r="P36" s="427">
        <f>'Loan Book'!Q39</f>
        <v>-10519237.35</v>
      </c>
      <c r="Q36" s="427">
        <f>'Loan Book'!R39</f>
        <v>262137.72196254134</v>
      </c>
      <c r="R36" s="427">
        <f>'Loan Book'!S39</f>
        <v>262137.7219625469</v>
      </c>
      <c r="S36" s="427">
        <f>'Loan Book'!T39</f>
        <v>0</v>
      </c>
      <c r="T36" s="427">
        <f>'Loan Book'!U39</f>
        <v>262137.7219625469</v>
      </c>
      <c r="U36">
        <f>'Loan Book'!AC39</f>
        <v>0</v>
      </c>
      <c r="V36">
        <f>'Loan Book'!AE39</f>
        <v>0</v>
      </c>
      <c r="W36" t="str">
        <f>IFERROR(INDEX('E-Banker master'!$B$2:$B$186,MATCH($A36,'E-Banker master'!$A$2:$A$186,0)),"")</f>
        <v>MMM Investments</v>
      </c>
      <c r="X36">
        <f>IFERROR(INDEX('E-Banker master'!$C$2:$C$186,MATCH($A36,'E-Banker master'!$A$2:$A$186,0)),"")</f>
        <v>90</v>
      </c>
      <c r="Y36" t="str">
        <f>IFERROR(INDEX('E-Banker master'!$D$2:$D$186,MATCH($A36,'E-Banker master'!$A$2:$A$186,0)),"")</f>
        <v>1050201</v>
      </c>
      <c r="Z36" t="str">
        <f>IFERROR(INDEX('E-Banker master'!$E$2:$E$186,MATCH($A36,'E-Banker master'!$A$2:$A$186,0)),"")</f>
        <v>H</v>
      </c>
      <c r="AA36" t="str">
        <f>IFERROR(INDEX('E-Banker master'!$F$2:$F$186,MATCH($A36,'E-Banker master'!$A$2:$A$186,0)),"")</f>
        <v>S</v>
      </c>
      <c r="AB36">
        <f>IFERROR(INDEX('E-Banker master'!$G$2:$G$186,MATCH($A36,'E-Banker master'!$A$2:$A$186,0)),"")</f>
        <v>10</v>
      </c>
      <c r="AC36" s="427">
        <f>IFERROR(INDEX('E-Banker master'!$I$2:$I$186,MATCH($A36,'E-Banker master'!$A$2:$A$186,0)),"")</f>
        <v>10000000</v>
      </c>
      <c r="AD36" s="426">
        <f>IFERROR(INDEX('E-Banker master'!$J$2:$J$186,MATCH($A36,'E-Banker master'!$A$2:$A$186,0)),"")</f>
        <v>44749</v>
      </c>
      <c r="AE36" s="426">
        <f>IFERROR(INDEX('E-Banker master'!$K$2:$K$186,MATCH($A36,'E-Banker master'!$A$2:$A$186,0)),"")</f>
        <v>45113</v>
      </c>
      <c r="AF36">
        <f>IFERROR(INDEX('E-Banker master'!$L$2:$L$186,MATCH($A36,'E-Banker master'!$A$2:$A$186,0)),"")</f>
        <v>3</v>
      </c>
      <c r="AG36">
        <f>IFERROR(INDEX('E-Banker master'!$M$2:$M$186,MATCH($A36,'E-Banker master'!$A$2:$A$186,0)),"")</f>
        <v>3</v>
      </c>
      <c r="AH36" s="427">
        <f>IFERROR(INDEX('E-Banker master'!$N$2:$N$186,MATCH($A36,'E-Banker master'!$A$2:$A$186,0)),"")</f>
        <v>10000000</v>
      </c>
      <c r="AI36" s="427">
        <f>IFERROR(INDEX('E-Banker master'!$O$2:$O$186,MATCH($A36,'E-Banker master'!$A$2:$A$186,0)),"")</f>
        <v>781375.07</v>
      </c>
      <c r="AJ36" s="427">
        <f>IFERROR(INDEX('E-Banker master'!$P$2:$P$186,MATCH($A36,'E-Banker master'!$A$2:$A$186,0)),"")</f>
        <v>268800.7</v>
      </c>
      <c r="AK36" s="427">
        <f t="shared" si="3"/>
        <v>-6662.9780374586699</v>
      </c>
      <c r="AL36">
        <v>32</v>
      </c>
      <c r="AM36" t="str">
        <f>HYPERLINK("#'Amortisation and Repayments'!C1868","block 32")</f>
        <v>block 32</v>
      </c>
      <c r="AN36">
        <f>Mapping!X36</f>
        <v>0</v>
      </c>
      <c r="AO36" s="440">
        <f>'Loan Book'!AS39</f>
        <v>100000</v>
      </c>
      <c r="AP36" s="440">
        <f>'Loan Book'!AT39</f>
        <v>210000</v>
      </c>
      <c r="AQ36" s="440"/>
      <c r="AR36" s="441">
        <f t="shared" si="2"/>
        <v>44749</v>
      </c>
      <c r="AS36" s="442" t="s">
        <v>977</v>
      </c>
      <c r="AT36" s="442" t="s">
        <v>978</v>
      </c>
      <c r="AU36" s="443">
        <f t="shared" si="4"/>
        <v>310000</v>
      </c>
    </row>
    <row r="37" spans="1:47" x14ac:dyDescent="0.35">
      <c r="A37" t="str">
        <f>Mapping!J37</f>
        <v>000104450000035</v>
      </c>
      <c r="B37" t="str">
        <f>Mapping!K37</f>
        <v>High</v>
      </c>
      <c r="C37">
        <v>40</v>
      </c>
      <c r="D37" t="str">
        <f>'Loan Book'!E40</f>
        <v>Sekuru Enterprise</v>
      </c>
      <c r="E37" t="str">
        <f>'Loan Book'!F40</f>
        <v>Debt</v>
      </c>
      <c r="F37" s="426">
        <f>'Loan Book'!G40</f>
        <v>44749</v>
      </c>
      <c r="G37" s="426">
        <f>'Loan Book'!H40</f>
        <v>45504</v>
      </c>
      <c r="H37">
        <f>'Loan Book'!I40</f>
        <v>2</v>
      </c>
      <c r="I37" t="str">
        <f>'Loan Book'!J40</f>
        <v>3 (Cap+Int)</v>
      </c>
      <c r="J37">
        <f>IF('Loan Book'!K40="","",IF('Loan Book'!K40&lt;1,'Loan Book'!K40*100,'Loan Book'!K40))</f>
        <v>10</v>
      </c>
      <c r="K37" s="427">
        <f>'Loan Book'!L40</f>
        <v>10000000</v>
      </c>
      <c r="L37" s="427">
        <f>'Loan Book'!M40</f>
        <v>10000000</v>
      </c>
      <c r="M37" s="427">
        <f>'Loan Book'!N40</f>
        <v>0</v>
      </c>
      <c r="N37" s="427">
        <f>'Loan Book'!O40</f>
        <v>10000000</v>
      </c>
      <c r="O37" s="427">
        <f>'Loan Book'!P40</f>
        <v>1279939.7353225581</v>
      </c>
      <c r="P37" s="427">
        <f>'Loan Book'!Q40</f>
        <v>-11280000</v>
      </c>
      <c r="Q37" s="427">
        <f>'Loan Book'!R40</f>
        <v>0</v>
      </c>
      <c r="R37" s="427">
        <f>'Loan Book'!S40</f>
        <v>0</v>
      </c>
      <c r="S37" s="427">
        <f>'Loan Book'!T40</f>
        <v>0</v>
      </c>
      <c r="T37" s="427">
        <f>'Loan Book'!U40</f>
        <v>0</v>
      </c>
      <c r="U37">
        <f>'Loan Book'!AC40</f>
        <v>0</v>
      </c>
      <c r="V37">
        <f>'Loan Book'!AE40</f>
        <v>0</v>
      </c>
      <c r="W37" t="str">
        <f>IFERROR(INDEX('E-Banker master'!$B$2:$B$186,MATCH($A37,'E-Banker master'!$A$2:$A$186,0)),"")</f>
        <v>Sekuru Enterprise</v>
      </c>
      <c r="X37">
        <f>IFERROR(INDEX('E-Banker master'!$C$2:$C$186,MATCH($A37,'E-Banker master'!$A$2:$A$186,0)),"")</f>
        <v>90</v>
      </c>
      <c r="Y37" t="str">
        <f>IFERROR(INDEX('E-Banker master'!$D$2:$D$186,MATCH($A37,'E-Banker master'!$A$2:$A$186,0)),"")</f>
        <v>1050201</v>
      </c>
      <c r="Z37" t="str">
        <f>IFERROR(INDEX('E-Banker master'!$E$2:$E$186,MATCH($A37,'E-Banker master'!$A$2:$A$186,0)),"")</f>
        <v>C</v>
      </c>
      <c r="AA37" t="str">
        <f>IFERROR(INDEX('E-Banker master'!$F$2:$F$186,MATCH($A37,'E-Banker master'!$A$2:$A$186,0)),"")</f>
        <v>S</v>
      </c>
      <c r="AB37">
        <f>IFERROR(INDEX('E-Banker master'!$G$2:$G$186,MATCH($A37,'E-Banker master'!$A$2:$A$186,0)),"")</f>
        <v>10</v>
      </c>
      <c r="AC37" s="427">
        <f>IFERROR(INDEX('E-Banker master'!$I$2:$I$186,MATCH($A37,'E-Banker master'!$A$2:$A$186,0)),"")</f>
        <v>10000000</v>
      </c>
      <c r="AD37" s="426">
        <f>IFERROR(INDEX('E-Banker master'!$J$2:$J$186,MATCH($A37,'E-Banker master'!$A$2:$A$186,0)),"")</f>
        <v>44749</v>
      </c>
      <c r="AE37" s="426">
        <f>IFERROR(INDEX('E-Banker master'!$K$2:$K$186,MATCH($A37,'E-Banker master'!$A$2:$A$186,0)),"")</f>
        <v>45479</v>
      </c>
      <c r="AF37">
        <f>IFERROR(INDEX('E-Banker master'!$L$2:$L$186,MATCH($A37,'E-Banker master'!$A$2:$A$186,0)),"")</f>
        <v>3</v>
      </c>
      <c r="AG37">
        <f>IFERROR(INDEX('E-Banker master'!$M$2:$M$186,MATCH($A37,'E-Banker master'!$A$2:$A$186,0)),"")</f>
        <v>3</v>
      </c>
      <c r="AH37" s="427">
        <f>IFERROR(INDEX('E-Banker master'!$N$2:$N$186,MATCH($A37,'E-Banker master'!$A$2:$A$186,0)),"")</f>
        <v>0</v>
      </c>
      <c r="AI37" s="427">
        <f>IFERROR(INDEX('E-Banker master'!$O$2:$O$186,MATCH($A37,'E-Banker master'!$A$2:$A$186,0)),"")</f>
        <v>0</v>
      </c>
      <c r="AJ37" s="427">
        <f>IFERROR(INDEX('E-Banker master'!$P$2:$P$186,MATCH($A37,'E-Banker master'!$A$2:$A$186,0)),"")</f>
        <v>0</v>
      </c>
      <c r="AK37" s="427">
        <f t="shared" si="3"/>
        <v>0</v>
      </c>
      <c r="AL37">
        <v>33</v>
      </c>
      <c r="AM37" t="str">
        <f>HYPERLINK("#'Amortisation and Repayments'!C1915","block 33")</f>
        <v>block 33</v>
      </c>
      <c r="AN37">
        <f>Mapping!X37</f>
        <v>0</v>
      </c>
      <c r="AO37" s="440">
        <f>'Loan Book'!AS40</f>
        <v>100000</v>
      </c>
      <c r="AP37" s="440">
        <f>'Loan Book'!AT40</f>
        <v>212100</v>
      </c>
      <c r="AQ37" s="440"/>
      <c r="AR37" s="441">
        <f t="shared" si="2"/>
        <v>44749</v>
      </c>
      <c r="AS37" s="442" t="s">
        <v>977</v>
      </c>
      <c r="AT37" s="442" t="s">
        <v>978</v>
      </c>
      <c r="AU37" s="443">
        <f t="shared" si="4"/>
        <v>312100</v>
      </c>
    </row>
    <row r="38" spans="1:47" x14ac:dyDescent="0.35">
      <c r="A38" t="str">
        <f>Mapping!J38</f>
        <v>000104450000036</v>
      </c>
      <c r="B38" t="str">
        <f>Mapping!K38</f>
        <v>High</v>
      </c>
      <c r="C38">
        <v>41</v>
      </c>
      <c r="D38" t="str">
        <f>'Loan Book'!E41</f>
        <v>Agribusiness Solutions Ltd</v>
      </c>
      <c r="E38" t="str">
        <f>'Loan Book'!F41</f>
        <v>Debt</v>
      </c>
      <c r="F38" s="426">
        <f>'Loan Book'!G41</f>
        <v>44755</v>
      </c>
      <c r="G38" s="426">
        <f>'Loan Book'!H41</f>
        <v>45504</v>
      </c>
      <c r="H38">
        <f>'Loan Book'!I41</f>
        <v>2</v>
      </c>
      <c r="I38" t="str">
        <f>'Loan Book'!J41</f>
        <v>3 (Cap+Int)</v>
      </c>
      <c r="J38">
        <f>IF('Loan Book'!K41="","",IF('Loan Book'!K41&lt;1,'Loan Book'!K41*100,'Loan Book'!K41))</f>
        <v>10</v>
      </c>
      <c r="K38" s="427">
        <f>'Loan Book'!L41</f>
        <v>24000000</v>
      </c>
      <c r="L38" s="427">
        <f>'Loan Book'!M41</f>
        <v>24000000</v>
      </c>
      <c r="M38" s="427">
        <f>'Loan Book'!N41</f>
        <v>0</v>
      </c>
      <c r="N38" s="427">
        <f>'Loan Book'!O41</f>
        <v>24000000</v>
      </c>
      <c r="O38" s="427">
        <f>'Loan Book'!P41</f>
        <v>3064926.6470308965</v>
      </c>
      <c r="P38" s="427">
        <f>'Loan Book'!Q41</f>
        <v>-27072314.59</v>
      </c>
      <c r="Q38" s="427">
        <f>'Loan Book'!R41</f>
        <v>0</v>
      </c>
      <c r="R38" s="427">
        <f>'Loan Book'!S41</f>
        <v>0</v>
      </c>
      <c r="S38" s="427">
        <f>'Loan Book'!T41</f>
        <v>0</v>
      </c>
      <c r="T38" s="427">
        <f>'Loan Book'!U41</f>
        <v>0</v>
      </c>
      <c r="U38">
        <f>'Loan Book'!AC41</f>
        <v>0</v>
      </c>
      <c r="V38">
        <f>'Loan Book'!AE41</f>
        <v>0</v>
      </c>
      <c r="W38" t="str">
        <f>IFERROR(INDEX('E-Banker master'!$B$2:$B$186,MATCH($A38,'E-Banker master'!$A$2:$A$186,0)),"")</f>
        <v>Agribusiness Solutions Limited</v>
      </c>
      <c r="X38">
        <f>IFERROR(INDEX('E-Banker master'!$C$2:$C$186,MATCH($A38,'E-Banker master'!$A$2:$A$186,0)),"")</f>
        <v>90</v>
      </c>
      <c r="Y38" t="str">
        <f>IFERROR(INDEX('E-Banker master'!$D$2:$D$186,MATCH($A38,'E-Banker master'!$A$2:$A$186,0)),"")</f>
        <v>1050201</v>
      </c>
      <c r="Z38" t="str">
        <f>IFERROR(INDEX('E-Banker master'!$E$2:$E$186,MATCH($A38,'E-Banker master'!$A$2:$A$186,0)),"")</f>
        <v>C</v>
      </c>
      <c r="AA38" t="str">
        <f>IFERROR(INDEX('E-Banker master'!$F$2:$F$186,MATCH($A38,'E-Banker master'!$A$2:$A$186,0)),"")</f>
        <v>S</v>
      </c>
      <c r="AB38">
        <f>IFERROR(INDEX('E-Banker master'!$G$2:$G$186,MATCH($A38,'E-Banker master'!$A$2:$A$186,0)),"")</f>
        <v>10</v>
      </c>
      <c r="AC38" s="427">
        <f>IFERROR(INDEX('E-Banker master'!$I$2:$I$186,MATCH($A38,'E-Banker master'!$A$2:$A$186,0)),"")</f>
        <v>24000000</v>
      </c>
      <c r="AD38" s="426">
        <f>IFERROR(INDEX('E-Banker master'!$J$2:$J$186,MATCH($A38,'E-Banker master'!$A$2:$A$186,0)),"")</f>
        <v>44755</v>
      </c>
      <c r="AE38" s="426">
        <f>IFERROR(INDEX('E-Banker master'!$K$2:$K$186,MATCH($A38,'E-Banker master'!$A$2:$A$186,0)),"")</f>
        <v>45485</v>
      </c>
      <c r="AF38">
        <f>IFERROR(INDEX('E-Banker master'!$L$2:$L$186,MATCH($A38,'E-Banker master'!$A$2:$A$186,0)),"")</f>
        <v>3</v>
      </c>
      <c r="AG38">
        <f>IFERROR(INDEX('E-Banker master'!$M$2:$M$186,MATCH($A38,'E-Banker master'!$A$2:$A$186,0)),"")</f>
        <v>3</v>
      </c>
      <c r="AH38" s="427">
        <f>IFERROR(INDEX('E-Banker master'!$N$2:$N$186,MATCH($A38,'E-Banker master'!$A$2:$A$186,0)),"")</f>
        <v>0</v>
      </c>
      <c r="AI38" s="427">
        <f>IFERROR(INDEX('E-Banker master'!$O$2:$O$186,MATCH($A38,'E-Banker master'!$A$2:$A$186,0)),"")</f>
        <v>0</v>
      </c>
      <c r="AJ38" s="427">
        <f>IFERROR(INDEX('E-Banker master'!$P$2:$P$186,MATCH($A38,'E-Banker master'!$A$2:$A$186,0)),"")</f>
        <v>0</v>
      </c>
      <c r="AK38" s="427">
        <f t="shared" si="3"/>
        <v>0</v>
      </c>
      <c r="AL38">
        <v>55</v>
      </c>
      <c r="AM38" t="str">
        <f>HYPERLINK("#'Amortisation and Repayments'!C2982","block 55")</f>
        <v>block 55</v>
      </c>
      <c r="AN38">
        <f>Mapping!X38</f>
        <v>0</v>
      </c>
      <c r="AO38" s="440">
        <f>'Loan Book'!AS41</f>
        <v>240000</v>
      </c>
      <c r="AP38" s="440">
        <f>'Loan Book'!AT41</f>
        <v>438340</v>
      </c>
      <c r="AQ38" s="440"/>
      <c r="AR38" s="441">
        <f t="shared" si="2"/>
        <v>44755</v>
      </c>
      <c r="AS38" s="442" t="s">
        <v>977</v>
      </c>
      <c r="AT38" s="442" t="s">
        <v>978</v>
      </c>
      <c r="AU38" s="443">
        <f t="shared" si="4"/>
        <v>678340</v>
      </c>
    </row>
    <row r="39" spans="1:47" x14ac:dyDescent="0.35">
      <c r="A39">
        <f>Mapping!J39</f>
        <v>0</v>
      </c>
      <c r="B39" t="str">
        <f>Mapping!K39</f>
        <v>Not matched</v>
      </c>
      <c r="C39">
        <v>42</v>
      </c>
      <c r="D39" t="str">
        <f>'Loan Book'!E42</f>
        <v>Favoured Farms</v>
      </c>
      <c r="E39" t="str">
        <f>'Loan Book'!F42</f>
        <v>Debt</v>
      </c>
      <c r="F39" s="426">
        <f>'Loan Book'!G42</f>
        <v>44755</v>
      </c>
      <c r="G39" s="426">
        <f>'Loan Book'!H42</f>
        <v>45504</v>
      </c>
      <c r="H39">
        <f>'Loan Book'!I42</f>
        <v>2</v>
      </c>
      <c r="I39" t="str">
        <f>'Loan Book'!J42</f>
        <v>3 (Cap+Int)</v>
      </c>
      <c r="J39">
        <f>IF('Loan Book'!K42="","",IF('Loan Book'!K42&lt;1,'Loan Book'!K42*100,'Loan Book'!K42))</f>
        <v>10</v>
      </c>
      <c r="K39" s="427">
        <f>'Loan Book'!L42</f>
        <v>10000000</v>
      </c>
      <c r="L39" s="427">
        <f>'Loan Book'!M42</f>
        <v>10000000</v>
      </c>
      <c r="M39" s="427">
        <f>'Loan Book'!N42</f>
        <v>0</v>
      </c>
      <c r="N39" s="427">
        <f>'Loan Book'!O42</f>
        <v>10000000</v>
      </c>
      <c r="O39" s="427">
        <f>'Loan Book'!P42</f>
        <v>1216843.8640655582</v>
      </c>
      <c r="P39" s="427">
        <f>'Loan Book'!Q42</f>
        <v>-11215200</v>
      </c>
      <c r="Q39" s="427">
        <f>'Loan Book'!R42</f>
        <v>0</v>
      </c>
      <c r="R39" s="427">
        <f>'Loan Book'!S42</f>
        <v>0</v>
      </c>
      <c r="S39" s="427">
        <f>'Loan Book'!T42</f>
        <v>0</v>
      </c>
      <c r="T39" s="427">
        <f>'Loan Book'!U42</f>
        <v>0</v>
      </c>
      <c r="U39">
        <f>'Loan Book'!AC42</f>
        <v>0</v>
      </c>
      <c r="V39">
        <f>'Loan Book'!AE42</f>
        <v>0</v>
      </c>
      <c r="W39" t="str">
        <f>IFERROR(INDEX('E-Banker master'!$B$2:$B$186,MATCH($A39,'E-Banker master'!$A$2:$A$186,0)),"")</f>
        <v/>
      </c>
      <c r="X39" t="str">
        <f>IFERROR(INDEX('E-Banker master'!$C$2:$C$186,MATCH($A39,'E-Banker master'!$A$2:$A$186,0)),"")</f>
        <v/>
      </c>
      <c r="Y39" t="str">
        <f>IFERROR(INDEX('E-Banker master'!$D$2:$D$186,MATCH($A39,'E-Banker master'!$A$2:$A$186,0)),"")</f>
        <v/>
      </c>
      <c r="Z39" t="str">
        <f>IFERROR(INDEX('E-Banker master'!$E$2:$E$186,MATCH($A39,'E-Banker master'!$A$2:$A$186,0)),"")</f>
        <v/>
      </c>
      <c r="AA39" t="str">
        <f>IFERROR(INDEX('E-Banker master'!$F$2:$F$186,MATCH($A39,'E-Banker master'!$A$2:$A$186,0)),"")</f>
        <v/>
      </c>
      <c r="AB39" t="str">
        <f>IFERROR(INDEX('E-Banker master'!$G$2:$G$186,MATCH($A39,'E-Banker master'!$A$2:$A$186,0)),"")</f>
        <v/>
      </c>
      <c r="AC39" s="427" t="str">
        <f>IFERROR(INDEX('E-Banker master'!$I$2:$I$186,MATCH($A39,'E-Banker master'!$A$2:$A$186,0)),"")</f>
        <v/>
      </c>
      <c r="AD39" s="426" t="str">
        <f>IFERROR(INDEX('E-Banker master'!$J$2:$J$186,MATCH($A39,'E-Banker master'!$A$2:$A$186,0)),"")</f>
        <v/>
      </c>
      <c r="AE39" s="426" t="str">
        <f>IFERROR(INDEX('E-Banker master'!$K$2:$K$186,MATCH($A39,'E-Banker master'!$A$2:$A$186,0)),"")</f>
        <v/>
      </c>
      <c r="AF39" t="str">
        <f>IFERROR(INDEX('E-Banker master'!$L$2:$L$186,MATCH($A39,'E-Banker master'!$A$2:$A$186,0)),"")</f>
        <v/>
      </c>
      <c r="AG39" t="str">
        <f>IFERROR(INDEX('E-Banker master'!$M$2:$M$186,MATCH($A39,'E-Banker master'!$A$2:$A$186,0)),"")</f>
        <v/>
      </c>
      <c r="AH39" s="427" t="str">
        <f>IFERROR(INDEX('E-Banker master'!$N$2:$N$186,MATCH($A39,'E-Banker master'!$A$2:$A$186,0)),"")</f>
        <v/>
      </c>
      <c r="AI39" s="427" t="str">
        <f>IFERROR(INDEX('E-Banker master'!$O$2:$O$186,MATCH($A39,'E-Banker master'!$A$2:$A$186,0)),"")</f>
        <v/>
      </c>
      <c r="AJ39" s="427" t="str">
        <f>IFERROR(INDEX('E-Banker master'!$P$2:$P$186,MATCH($A39,'E-Banker master'!$A$2:$A$186,0)),"")</f>
        <v/>
      </c>
      <c r="AK39" s="427" t="str">
        <f t="shared" si="3"/>
        <v/>
      </c>
      <c r="AL39">
        <v>35</v>
      </c>
      <c r="AM39" t="str">
        <f>HYPERLINK("#'Amortisation and Repayments'!C2002","block 35")</f>
        <v>block 35</v>
      </c>
      <c r="AN39">
        <f>Mapping!X39</f>
        <v>0</v>
      </c>
      <c r="AO39" s="440">
        <f>'Loan Book'!AS42</f>
        <v>100000</v>
      </c>
      <c r="AP39" s="440">
        <f>'Loan Book'!AT42</f>
        <v>212100</v>
      </c>
      <c r="AQ39" s="440"/>
      <c r="AR39" s="441" t="str">
        <f t="shared" si="2"/>
        <v/>
      </c>
      <c r="AS39" s="442" t="s">
        <v>977</v>
      </c>
      <c r="AT39" s="442" t="s">
        <v>978</v>
      </c>
      <c r="AU39" s="443">
        <f t="shared" si="4"/>
        <v>312100</v>
      </c>
    </row>
    <row r="40" spans="1:47" x14ac:dyDescent="0.35">
      <c r="A40" t="str">
        <f>Mapping!J40</f>
        <v>000104450000038</v>
      </c>
      <c r="B40" t="str">
        <f>Mapping!K40</f>
        <v>High</v>
      </c>
      <c r="C40">
        <v>43</v>
      </c>
      <c r="D40" t="str">
        <f>'Loan Book'!E43</f>
        <v>Tac-Maz Investment</v>
      </c>
      <c r="E40" t="str">
        <f>'Loan Book'!F43</f>
        <v>Debt</v>
      </c>
      <c r="F40" s="426">
        <f>'Loan Book'!G43</f>
        <v>44755</v>
      </c>
      <c r="G40" s="426">
        <f>'Loan Book'!H43</f>
        <v>45504</v>
      </c>
      <c r="H40">
        <f>'Loan Book'!I43</f>
        <v>2</v>
      </c>
      <c r="I40" t="str">
        <f>'Loan Book'!J43</f>
        <v>3 (Cap+Int)</v>
      </c>
      <c r="J40">
        <f>IF('Loan Book'!K43="","",IF('Loan Book'!K43&lt;1,'Loan Book'!K43*100,'Loan Book'!K43))</f>
        <v>10</v>
      </c>
      <c r="K40" s="427">
        <f>'Loan Book'!L43</f>
        <v>10000000</v>
      </c>
      <c r="L40" s="427">
        <f>'Loan Book'!M43</f>
        <v>10000000</v>
      </c>
      <c r="M40" s="427">
        <f>'Loan Book'!N43</f>
        <v>0</v>
      </c>
      <c r="N40" s="427">
        <f>'Loan Book'!O43</f>
        <v>10000000</v>
      </c>
      <c r="O40" s="427">
        <f>'Loan Book'!P43</f>
        <v>1872113.3792676916</v>
      </c>
      <c r="P40" s="427">
        <f>'Loan Book'!Q43</f>
        <v>-6019000</v>
      </c>
      <c r="Q40" s="427">
        <f>'Loan Book'!R43</f>
        <v>5853113.3792676926</v>
      </c>
      <c r="R40" s="427">
        <f>'Loan Book'!S43</f>
        <v>2608863.4673535563</v>
      </c>
      <c r="S40" s="427">
        <f>'Loan Book'!T43</f>
        <v>547331.25092026964</v>
      </c>
      <c r="T40" s="427">
        <f>'Loan Book'!U43</f>
        <v>3156194.7182738259</v>
      </c>
      <c r="U40">
        <f>'Loan Book'!AC43</f>
        <v>0</v>
      </c>
      <c r="V40">
        <f>'Loan Book'!AE43</f>
        <v>0</v>
      </c>
      <c r="W40" t="str">
        <f>IFERROR(INDEX('E-Banker master'!$B$2:$B$186,MATCH($A40,'E-Banker master'!$A$2:$A$186,0)),"")</f>
        <v>Tac-Maz Investment</v>
      </c>
      <c r="X40">
        <f>IFERROR(INDEX('E-Banker master'!$C$2:$C$186,MATCH($A40,'E-Banker master'!$A$2:$A$186,0)),"")</f>
        <v>90</v>
      </c>
      <c r="Y40" t="str">
        <f>IFERROR(INDEX('E-Banker master'!$D$2:$D$186,MATCH($A40,'E-Banker master'!$A$2:$A$186,0)),"")</f>
        <v>1050201</v>
      </c>
      <c r="Z40" t="str">
        <f>IFERROR(INDEX('E-Banker master'!$E$2:$E$186,MATCH($A40,'E-Banker master'!$A$2:$A$186,0)),"")</f>
        <v>H</v>
      </c>
      <c r="AA40" t="str">
        <f>IFERROR(INDEX('E-Banker master'!$F$2:$F$186,MATCH($A40,'E-Banker master'!$A$2:$A$186,0)),"")</f>
        <v>S</v>
      </c>
      <c r="AB40">
        <f>IFERROR(INDEX('E-Banker master'!$G$2:$G$186,MATCH($A40,'E-Banker master'!$A$2:$A$186,0)),"")</f>
        <v>10</v>
      </c>
      <c r="AC40" s="427">
        <f>IFERROR(INDEX('E-Banker master'!$I$2:$I$186,MATCH($A40,'E-Banker master'!$A$2:$A$186,0)),"")</f>
        <v>10000000</v>
      </c>
      <c r="AD40" s="426">
        <f>IFERROR(INDEX('E-Banker master'!$J$2:$J$186,MATCH($A40,'E-Banker master'!$A$2:$A$186,0)),"")</f>
        <v>44755</v>
      </c>
      <c r="AE40" s="426">
        <f>IFERROR(INDEX('E-Banker master'!$K$2:$K$186,MATCH($A40,'E-Banker master'!$A$2:$A$186,0)),"")</f>
        <v>45485</v>
      </c>
      <c r="AF40">
        <f>IFERROR(INDEX('E-Banker master'!$L$2:$L$186,MATCH($A40,'E-Banker master'!$A$2:$A$186,0)),"")</f>
        <v>3</v>
      </c>
      <c r="AG40">
        <f>IFERROR(INDEX('E-Banker master'!$M$2:$M$186,MATCH($A40,'E-Banker master'!$A$2:$A$186,0)),"")</f>
        <v>3</v>
      </c>
      <c r="AH40" s="427">
        <f>IFERROR(INDEX('E-Banker master'!$N$2:$N$186,MATCH($A40,'E-Banker master'!$A$2:$A$186,0)),"")</f>
        <v>10000000</v>
      </c>
      <c r="AI40" s="427">
        <f>IFERROR(INDEX('E-Banker master'!$O$2:$O$186,MATCH($A40,'E-Banker master'!$A$2:$A$186,0)),"")</f>
        <v>1771854.1</v>
      </c>
      <c r="AJ40" s="427">
        <f>IFERROR(INDEX('E-Banker master'!$P$2:$P$186,MATCH($A40,'E-Banker master'!$A$2:$A$186,0)),"")</f>
        <v>5917617.5</v>
      </c>
      <c r="AK40" s="427">
        <f t="shared" si="3"/>
        <v>-64504.120732307434</v>
      </c>
      <c r="AL40">
        <v>36</v>
      </c>
      <c r="AM40" t="str">
        <f>HYPERLINK("#'Amortisation and Repayments'!C2043","block 36")</f>
        <v>block 36</v>
      </c>
      <c r="AN40">
        <f>Mapping!X40</f>
        <v>0</v>
      </c>
      <c r="AO40" s="440">
        <f>'Loan Book'!AS43</f>
        <v>100000</v>
      </c>
      <c r="AP40" s="440">
        <f>'Loan Book'!AT43</f>
        <v>212100</v>
      </c>
      <c r="AQ40" s="440"/>
      <c r="AR40" s="441">
        <f t="shared" si="2"/>
        <v>44755</v>
      </c>
      <c r="AS40" s="442" t="s">
        <v>977</v>
      </c>
      <c r="AT40" s="442" t="s">
        <v>978</v>
      </c>
      <c r="AU40" s="443">
        <f t="shared" si="4"/>
        <v>312100</v>
      </c>
    </row>
    <row r="41" spans="1:47" x14ac:dyDescent="0.35">
      <c r="A41" t="str">
        <f>Mapping!J41</f>
        <v>000104450000039</v>
      </c>
      <c r="B41" t="str">
        <f>Mapping!K41</f>
        <v>High</v>
      </c>
      <c r="C41">
        <v>44</v>
      </c>
      <c r="D41" t="str">
        <f>'Loan Book'!E44</f>
        <v>G &amp; S Home Mart &amp; Agrodealer</v>
      </c>
      <c r="E41" t="str">
        <f>'Loan Book'!F44</f>
        <v>Debt</v>
      </c>
      <c r="F41" s="426">
        <f>'Loan Book'!G44</f>
        <v>44755</v>
      </c>
      <c r="G41" s="426">
        <f>'Loan Book'!H44</f>
        <v>45504</v>
      </c>
      <c r="H41">
        <f>'Loan Book'!I44</f>
        <v>2</v>
      </c>
      <c r="I41" t="str">
        <f>'Loan Book'!J44</f>
        <v>3 (Cap+Int)</v>
      </c>
      <c r="J41">
        <f>IF('Loan Book'!K44="","",IF('Loan Book'!K44&lt;1,'Loan Book'!K44*100,'Loan Book'!K44))</f>
        <v>10</v>
      </c>
      <c r="K41" s="427">
        <f>'Loan Book'!L44</f>
        <v>10000000</v>
      </c>
      <c r="L41" s="427">
        <f>'Loan Book'!M44</f>
        <v>7000000</v>
      </c>
      <c r="M41" s="427">
        <f>'Loan Book'!N44</f>
        <v>3000000</v>
      </c>
      <c r="N41" s="427">
        <f>'Loan Book'!O44</f>
        <v>7000000</v>
      </c>
      <c r="O41" s="427">
        <f>'Loan Book'!P44</f>
        <v>893936.93871734489</v>
      </c>
      <c r="P41" s="427">
        <f>'Loan Book'!Q44</f>
        <v>-7895000</v>
      </c>
      <c r="Q41" s="427">
        <f>'Loan Book'!R44</f>
        <v>0</v>
      </c>
      <c r="R41" s="427">
        <f>'Loan Book'!S44</f>
        <v>0</v>
      </c>
      <c r="S41" s="427">
        <f>'Loan Book'!T44</f>
        <v>0</v>
      </c>
      <c r="T41" s="427">
        <f>'Loan Book'!U44</f>
        <v>0</v>
      </c>
      <c r="U41">
        <f>'Loan Book'!AC44</f>
        <v>0</v>
      </c>
      <c r="V41">
        <f>'Loan Book'!AE44</f>
        <v>0</v>
      </c>
      <c r="W41" t="str">
        <f>IFERROR(INDEX('E-Banker master'!$B$2:$B$186,MATCH($A41,'E-Banker master'!$A$2:$A$186,0)),"")</f>
        <v>G&amp;S HomeMart and Agrodealer</v>
      </c>
      <c r="X41">
        <f>IFERROR(INDEX('E-Banker master'!$C$2:$C$186,MATCH($A41,'E-Banker master'!$A$2:$A$186,0)),"")</f>
        <v>90</v>
      </c>
      <c r="Y41" t="str">
        <f>IFERROR(INDEX('E-Banker master'!$D$2:$D$186,MATCH($A41,'E-Banker master'!$A$2:$A$186,0)),"")</f>
        <v>1050201</v>
      </c>
      <c r="Z41" t="str">
        <f>IFERROR(INDEX('E-Banker master'!$E$2:$E$186,MATCH($A41,'E-Banker master'!$A$2:$A$186,0)),"")</f>
        <v>C</v>
      </c>
      <c r="AA41" t="str">
        <f>IFERROR(INDEX('E-Banker master'!$F$2:$F$186,MATCH($A41,'E-Banker master'!$A$2:$A$186,0)),"")</f>
        <v>S</v>
      </c>
      <c r="AB41">
        <f>IFERROR(INDEX('E-Banker master'!$G$2:$G$186,MATCH($A41,'E-Banker master'!$A$2:$A$186,0)),"")</f>
        <v>10</v>
      </c>
      <c r="AC41" s="427">
        <f>IFERROR(INDEX('E-Banker master'!$I$2:$I$186,MATCH($A41,'E-Banker master'!$A$2:$A$186,0)),"")</f>
        <v>10000000</v>
      </c>
      <c r="AD41" s="426">
        <f>IFERROR(INDEX('E-Banker master'!$J$2:$J$186,MATCH($A41,'E-Banker master'!$A$2:$A$186,0)),"")</f>
        <v>44755</v>
      </c>
      <c r="AE41" s="426">
        <f>IFERROR(INDEX('E-Banker master'!$K$2:$K$186,MATCH($A41,'E-Banker master'!$A$2:$A$186,0)),"")</f>
        <v>45485</v>
      </c>
      <c r="AF41">
        <f>IFERROR(INDEX('E-Banker master'!$L$2:$L$186,MATCH($A41,'E-Banker master'!$A$2:$A$186,0)),"")</f>
        <v>3</v>
      </c>
      <c r="AG41">
        <f>IFERROR(INDEX('E-Banker master'!$M$2:$M$186,MATCH($A41,'E-Banker master'!$A$2:$A$186,0)),"")</f>
        <v>3</v>
      </c>
      <c r="AH41" s="427">
        <f>IFERROR(INDEX('E-Banker master'!$N$2:$N$186,MATCH($A41,'E-Banker master'!$A$2:$A$186,0)),"")</f>
        <v>0</v>
      </c>
      <c r="AI41" s="427">
        <f>IFERROR(INDEX('E-Banker master'!$O$2:$O$186,MATCH($A41,'E-Banker master'!$A$2:$A$186,0)),"")</f>
        <v>0</v>
      </c>
      <c r="AJ41" s="427">
        <f>IFERROR(INDEX('E-Banker master'!$P$2:$P$186,MATCH($A41,'E-Banker master'!$A$2:$A$186,0)),"")</f>
        <v>0</v>
      </c>
      <c r="AK41" s="427">
        <f t="shared" si="3"/>
        <v>0</v>
      </c>
      <c r="AL41">
        <v>37</v>
      </c>
      <c r="AM41" t="str">
        <f>HYPERLINK("#'Amortisation and Repayments'!C2091","block 37")</f>
        <v>block 37</v>
      </c>
      <c r="AN41">
        <f>Mapping!X41</f>
        <v>0</v>
      </c>
      <c r="AO41" s="440">
        <f>'Loan Book'!AS44</f>
        <v>70000</v>
      </c>
      <c r="AP41" s="440">
        <f>'Loan Book'!AT44</f>
        <v>163620</v>
      </c>
      <c r="AQ41" s="440"/>
      <c r="AR41" s="441">
        <f t="shared" si="2"/>
        <v>44755</v>
      </c>
      <c r="AS41" s="442" t="s">
        <v>977</v>
      </c>
      <c r="AT41" s="442" t="s">
        <v>978</v>
      </c>
      <c r="AU41" s="443">
        <f t="shared" si="4"/>
        <v>233620</v>
      </c>
    </row>
    <row r="42" spans="1:47" x14ac:dyDescent="0.35">
      <c r="A42" t="str">
        <f>Mapping!J42</f>
        <v>000104420000040</v>
      </c>
      <c r="B42" t="str">
        <f>Mapping!K42</f>
        <v>High</v>
      </c>
      <c r="C42">
        <v>45</v>
      </c>
      <c r="D42" t="str">
        <f>'Loan Book'!E45</f>
        <v>Ziweto Enterprise</v>
      </c>
      <c r="E42" t="str">
        <f>'Loan Book'!F45</f>
        <v>Debt</v>
      </c>
      <c r="F42" s="426">
        <f>'Loan Book'!G45</f>
        <v>44761</v>
      </c>
      <c r="G42" s="426">
        <f>'Loan Book'!H45</f>
        <v>46234</v>
      </c>
      <c r="H42">
        <f>'Loan Book'!I45</f>
        <v>4</v>
      </c>
      <c r="I42" t="str">
        <f>'Loan Book'!J45</f>
        <v>12 (Cap only)</v>
      </c>
      <c r="J42">
        <f>IF('Loan Book'!K45="","",IF('Loan Book'!K45&lt;1,'Loan Book'!K45*100,'Loan Book'!K45))</f>
        <v>29.950000000000003</v>
      </c>
      <c r="K42" s="427">
        <f>'Loan Book'!L45</f>
        <v>152910000</v>
      </c>
      <c r="L42" s="427">
        <f>'Loan Book'!M45</f>
        <v>152910000</v>
      </c>
      <c r="M42" s="427">
        <f>'Loan Book'!N45</f>
        <v>0</v>
      </c>
      <c r="N42" s="427">
        <f>'Loan Book'!O45</f>
        <v>152910000</v>
      </c>
      <c r="O42" s="427">
        <f>'Loan Book'!P45</f>
        <v>44727786.45139908</v>
      </c>
      <c r="P42" s="427">
        <f>'Loan Book'!Q45</f>
        <v>-197637786.45000002</v>
      </c>
      <c r="Q42" s="427">
        <f>'Loan Book'!R45</f>
        <v>1.3990700244903564E-3</v>
      </c>
      <c r="R42" s="427">
        <f>'Loan Book'!S45</f>
        <v>0</v>
      </c>
      <c r="S42" s="427">
        <f>'Loan Book'!T45</f>
        <v>0</v>
      </c>
      <c r="T42" s="427">
        <f>'Loan Book'!U45</f>
        <v>0</v>
      </c>
      <c r="U42">
        <f>'Loan Book'!AC45</f>
        <v>0</v>
      </c>
      <c r="V42">
        <f>'Loan Book'!AE45</f>
        <v>0</v>
      </c>
      <c r="W42" t="str">
        <f>IFERROR(INDEX('E-Banker master'!$B$2:$B$186,MATCH($A42,'E-Banker master'!$A$2:$A$186,0)),"")</f>
        <v>Ziweto Enterprise</v>
      </c>
      <c r="X42">
        <f>IFERROR(INDEX('E-Banker master'!$C$2:$C$186,MATCH($A42,'E-Banker master'!$A$2:$A$186,0)),"")</f>
        <v>84</v>
      </c>
      <c r="Y42" t="str">
        <f>IFERROR(INDEX('E-Banker master'!$D$2:$D$186,MATCH($A42,'E-Banker master'!$A$2:$A$186,0)),"")</f>
        <v>1050101</v>
      </c>
      <c r="Z42" t="str">
        <f>IFERROR(INDEX('E-Banker master'!$E$2:$E$186,MATCH($A42,'E-Banker master'!$A$2:$A$186,0)),"")</f>
        <v>C</v>
      </c>
      <c r="AA42" t="str">
        <f>IFERROR(INDEX('E-Banker master'!$F$2:$F$186,MATCH($A42,'E-Banker master'!$A$2:$A$186,0)),"")</f>
        <v>M</v>
      </c>
      <c r="AB42">
        <f>IFERROR(INDEX('E-Banker master'!$G$2:$G$186,MATCH($A42,'E-Banker master'!$A$2:$A$186,0)),"")</f>
        <v>30.95</v>
      </c>
      <c r="AC42" s="427">
        <f>IFERROR(INDEX('E-Banker master'!$I$2:$I$186,MATCH($A42,'E-Banker master'!$A$2:$A$186,0)),"")</f>
        <v>152910000</v>
      </c>
      <c r="AD42" s="426">
        <f>IFERROR(INDEX('E-Banker master'!$J$2:$J$186,MATCH($A42,'E-Banker master'!$A$2:$A$186,0)),"")</f>
        <v>44761</v>
      </c>
      <c r="AE42" s="426">
        <f>IFERROR(INDEX('E-Banker master'!$K$2:$K$186,MATCH($A42,'E-Banker master'!$A$2:$A$186,0)),"")</f>
        <v>46221</v>
      </c>
      <c r="AF42">
        <f>IFERROR(INDEX('E-Banker master'!$L$2:$L$186,MATCH($A42,'E-Banker master'!$A$2:$A$186,0)),"")</f>
        <v>12</v>
      </c>
      <c r="AG42">
        <f>IFERROR(INDEX('E-Banker master'!$M$2:$M$186,MATCH($A42,'E-Banker master'!$A$2:$A$186,0)),"")</f>
        <v>0</v>
      </c>
      <c r="AH42" s="427">
        <f>IFERROR(INDEX('E-Banker master'!$N$2:$N$186,MATCH($A42,'E-Banker master'!$A$2:$A$186,0)),"")</f>
        <v>0</v>
      </c>
      <c r="AI42" s="427">
        <f>IFERROR(INDEX('E-Banker master'!$O$2:$O$186,MATCH($A42,'E-Banker master'!$A$2:$A$186,0)),"")</f>
        <v>0</v>
      </c>
      <c r="AJ42" s="427">
        <f>IFERROR(INDEX('E-Banker master'!$P$2:$P$186,MATCH($A42,'E-Banker master'!$A$2:$A$186,0)),"")</f>
        <v>0</v>
      </c>
      <c r="AK42" s="427">
        <f t="shared" si="3"/>
        <v>1.3990700244903564E-3</v>
      </c>
      <c r="AL42">
        <v>38</v>
      </c>
      <c r="AM42" t="str">
        <f>HYPERLINK("#'Amortisation and Repayments'!C2133","block 38")</f>
        <v>block 38</v>
      </c>
      <c r="AN42">
        <f>Mapping!X42</f>
        <v>0</v>
      </c>
      <c r="AO42" s="440">
        <f>'Loan Book'!AS45</f>
        <v>2370000</v>
      </c>
      <c r="AP42" s="440">
        <f>'Loan Book'!AT45</f>
        <v>1540000</v>
      </c>
      <c r="AQ42" s="440"/>
      <c r="AR42" s="441">
        <f t="shared" si="2"/>
        <v>44761</v>
      </c>
      <c r="AS42" s="442" t="s">
        <v>977</v>
      </c>
      <c r="AT42" s="442" t="s">
        <v>978</v>
      </c>
      <c r="AU42" s="443">
        <f t="shared" si="4"/>
        <v>3910000</v>
      </c>
    </row>
    <row r="43" spans="1:47" x14ac:dyDescent="0.35">
      <c r="A43" t="str">
        <f>Mapping!J43</f>
        <v>000104450000041</v>
      </c>
      <c r="B43" t="str">
        <f>Mapping!K43</f>
        <v>High</v>
      </c>
      <c r="C43">
        <v>46</v>
      </c>
      <c r="D43" t="str">
        <f>'Loan Book'!E46</f>
        <v>Kadava Investment Limited</v>
      </c>
      <c r="E43" t="str">
        <f>'Loan Book'!F46</f>
        <v>Debt</v>
      </c>
      <c r="F43" s="426">
        <f>'Loan Book'!G46</f>
        <v>44775</v>
      </c>
      <c r="G43" s="426">
        <f>'Loan Book'!H46</f>
        <v>45535</v>
      </c>
      <c r="H43">
        <f>'Loan Book'!I46</f>
        <v>2</v>
      </c>
      <c r="I43" t="str">
        <f>'Loan Book'!J46</f>
        <v>3 (Cap+Int)</v>
      </c>
      <c r="J43">
        <f>IF('Loan Book'!K46="","",IF('Loan Book'!K46&lt;1,'Loan Book'!K46*100,'Loan Book'!K46))</f>
        <v>10</v>
      </c>
      <c r="K43" s="427">
        <f>'Loan Book'!L46</f>
        <v>12000000</v>
      </c>
      <c r="L43" s="427">
        <f>'Loan Book'!M46</f>
        <v>12000000</v>
      </c>
      <c r="M43" s="427">
        <f>'Loan Book'!N46</f>
        <v>0</v>
      </c>
      <c r="N43" s="427">
        <f>'Loan Book'!O46</f>
        <v>12000000</v>
      </c>
      <c r="O43" s="427">
        <f>'Loan Book'!P46</f>
        <v>1548865.3182512373</v>
      </c>
      <c r="P43" s="427">
        <f>'Loan Book'!Q46</f>
        <v>-9441000</v>
      </c>
      <c r="Q43" s="427">
        <f>'Loan Book'!R46</f>
        <v>4107865.3182512373</v>
      </c>
      <c r="R43" s="427">
        <f>'Loan Book'!S46</f>
        <v>3760659.9423872773</v>
      </c>
      <c r="S43" s="427">
        <f>'Loan Book'!T46</f>
        <v>347205.37586396188</v>
      </c>
      <c r="T43" s="427">
        <f>'Loan Book'!U46</f>
        <v>4107865.3182512391</v>
      </c>
      <c r="U43">
        <f>'Loan Book'!AC46</f>
        <v>0</v>
      </c>
      <c r="V43">
        <f>'Loan Book'!AE46</f>
        <v>0</v>
      </c>
      <c r="W43" t="str">
        <f>IFERROR(INDEX('E-Banker master'!$B$2:$B$186,MATCH($A43,'E-Banker master'!$A$2:$A$186,0)),"")</f>
        <v>Kadava Investment Limited</v>
      </c>
      <c r="X43">
        <f>IFERROR(INDEX('E-Banker master'!$C$2:$C$186,MATCH($A43,'E-Banker master'!$A$2:$A$186,0)),"")</f>
        <v>90</v>
      </c>
      <c r="Y43" t="str">
        <f>IFERROR(INDEX('E-Banker master'!$D$2:$D$186,MATCH($A43,'E-Banker master'!$A$2:$A$186,0)),"")</f>
        <v>1050201</v>
      </c>
      <c r="Z43" t="str">
        <f>IFERROR(INDEX('E-Banker master'!$E$2:$E$186,MATCH($A43,'E-Banker master'!$A$2:$A$186,0)),"")</f>
        <v>H</v>
      </c>
      <c r="AA43" t="str">
        <f>IFERROR(INDEX('E-Banker master'!$F$2:$F$186,MATCH($A43,'E-Banker master'!$A$2:$A$186,0)),"")</f>
        <v>S</v>
      </c>
      <c r="AB43">
        <f>IFERROR(INDEX('E-Banker master'!$G$2:$G$186,MATCH($A43,'E-Banker master'!$A$2:$A$186,0)),"")</f>
        <v>10</v>
      </c>
      <c r="AC43" s="427">
        <f>IFERROR(INDEX('E-Banker master'!$I$2:$I$186,MATCH($A43,'E-Banker master'!$A$2:$A$186,0)),"")</f>
        <v>12000000</v>
      </c>
      <c r="AD43" s="426">
        <f>IFERROR(INDEX('E-Banker master'!$J$2:$J$186,MATCH($A43,'E-Banker master'!$A$2:$A$186,0)),"")</f>
        <v>44775</v>
      </c>
      <c r="AE43" s="426">
        <f>IFERROR(INDEX('E-Banker master'!$K$2:$K$186,MATCH($A43,'E-Banker master'!$A$2:$A$186,0)),"")</f>
        <v>45505</v>
      </c>
      <c r="AF43">
        <f>IFERROR(INDEX('E-Banker master'!$L$2:$L$186,MATCH($A43,'E-Banker master'!$A$2:$A$186,0)),"")</f>
        <v>0</v>
      </c>
      <c r="AG43">
        <f>IFERROR(INDEX('E-Banker master'!$M$2:$M$186,MATCH($A43,'E-Banker master'!$A$2:$A$186,0)),"")</f>
        <v>0</v>
      </c>
      <c r="AH43" s="427">
        <f>IFERROR(INDEX('E-Banker master'!$N$2:$N$186,MATCH($A43,'E-Banker master'!$A$2:$A$186,0)),"")</f>
        <v>12000000</v>
      </c>
      <c r="AI43" s="427">
        <f>IFERROR(INDEX('E-Banker master'!$O$2:$O$186,MATCH($A43,'E-Banker master'!$A$2:$A$186,0)),"")</f>
        <v>1543533.22</v>
      </c>
      <c r="AJ43" s="427">
        <f>IFERROR(INDEX('E-Banker master'!$P$2:$P$186,MATCH($A43,'E-Banker master'!$A$2:$A$186,0)),"")</f>
        <v>4496798.6900000004</v>
      </c>
      <c r="AK43" s="427">
        <f t="shared" si="3"/>
        <v>-388933.37174876314</v>
      </c>
      <c r="AN43">
        <f>Mapping!X43</f>
        <v>0</v>
      </c>
      <c r="AO43" s="440">
        <f>'Loan Book'!AS46</f>
        <v>120000</v>
      </c>
      <c r="AP43" s="440">
        <f>'Loan Book'!AT46</f>
        <v>244420</v>
      </c>
      <c r="AQ43" s="440"/>
      <c r="AR43" s="441">
        <f t="shared" si="2"/>
        <v>44775</v>
      </c>
      <c r="AS43" s="442" t="s">
        <v>977</v>
      </c>
      <c r="AT43" s="442" t="s">
        <v>978</v>
      </c>
      <c r="AU43" s="443">
        <f t="shared" si="4"/>
        <v>364420</v>
      </c>
    </row>
    <row r="44" spans="1:47" x14ac:dyDescent="0.35">
      <c r="A44" t="str">
        <f>Mapping!J44</f>
        <v>000104450000042</v>
      </c>
      <c r="B44" t="str">
        <f>Mapping!K44</f>
        <v>High</v>
      </c>
      <c r="C44">
        <v>47</v>
      </c>
      <c r="D44" t="str">
        <f>'Loan Book'!E47</f>
        <v>Zikometso Smallholder Farmers Association</v>
      </c>
      <c r="E44" t="str">
        <f>'Loan Book'!F47</f>
        <v>Debt</v>
      </c>
      <c r="F44" s="426">
        <f>'Loan Book'!G47</f>
        <v>44775</v>
      </c>
      <c r="G44" s="426">
        <f>'Loan Book'!H47</f>
        <v>45535</v>
      </c>
      <c r="H44">
        <f>'Loan Book'!I47</f>
        <v>2</v>
      </c>
      <c r="I44" t="str">
        <f>'Loan Book'!J47</f>
        <v>3 (Cap+Int)</v>
      </c>
      <c r="J44">
        <f>IF('Loan Book'!K47="","",IF('Loan Book'!K47&lt;1,'Loan Book'!K47*100,'Loan Book'!K47))</f>
        <v>10</v>
      </c>
      <c r="K44" s="427">
        <f>'Loan Book'!L47</f>
        <v>24000000</v>
      </c>
      <c r="L44" s="427">
        <f>'Loan Book'!M47</f>
        <v>11423340</v>
      </c>
      <c r="M44" s="427">
        <f>'Loan Book'!N47</f>
        <v>12576660</v>
      </c>
      <c r="N44" s="427">
        <f>'Loan Book'!O47</f>
        <v>11423340</v>
      </c>
      <c r="O44" s="427">
        <f>'Loan Book'!P47</f>
        <v>1494531.5367076113</v>
      </c>
      <c r="P44" s="427">
        <f>'Loan Book'!Q47</f>
        <v>-12917874</v>
      </c>
      <c r="Q44" s="427">
        <f>'Loan Book'!R47</f>
        <v>-3.2923882454634068E-3</v>
      </c>
      <c r="R44" s="427">
        <f>'Loan Book'!S47</f>
        <v>0</v>
      </c>
      <c r="S44" s="427">
        <f>'Loan Book'!T47</f>
        <v>0</v>
      </c>
      <c r="T44" s="427">
        <f>'Loan Book'!U47</f>
        <v>0</v>
      </c>
      <c r="U44">
        <f>'Loan Book'!AC47</f>
        <v>0</v>
      </c>
      <c r="V44">
        <f>'Loan Book'!AE47</f>
        <v>0</v>
      </c>
      <c r="W44" t="str">
        <f>IFERROR(INDEX('E-Banker master'!$B$2:$B$186,MATCH($A44,'E-Banker master'!$A$2:$A$186,0)),"")</f>
        <v>Zikometso Smallholder Farmers Association</v>
      </c>
      <c r="X44">
        <f>IFERROR(INDEX('E-Banker master'!$C$2:$C$186,MATCH($A44,'E-Banker master'!$A$2:$A$186,0)),"")</f>
        <v>90</v>
      </c>
      <c r="Y44" t="str">
        <f>IFERROR(INDEX('E-Banker master'!$D$2:$D$186,MATCH($A44,'E-Banker master'!$A$2:$A$186,0)),"")</f>
        <v>1050201</v>
      </c>
      <c r="Z44" t="str">
        <f>IFERROR(INDEX('E-Banker master'!$E$2:$E$186,MATCH($A44,'E-Banker master'!$A$2:$A$186,0)),"")</f>
        <v>H</v>
      </c>
      <c r="AA44" t="str">
        <f>IFERROR(INDEX('E-Banker master'!$F$2:$F$186,MATCH($A44,'E-Banker master'!$A$2:$A$186,0)),"")</f>
        <v>S</v>
      </c>
      <c r="AB44">
        <f>IFERROR(INDEX('E-Banker master'!$G$2:$G$186,MATCH($A44,'E-Banker master'!$A$2:$A$186,0)),"")</f>
        <v>10</v>
      </c>
      <c r="AC44" s="427">
        <f>IFERROR(INDEX('E-Banker master'!$I$2:$I$186,MATCH($A44,'E-Banker master'!$A$2:$A$186,0)),"")</f>
        <v>24000000</v>
      </c>
      <c r="AD44" s="426">
        <f>IFERROR(INDEX('E-Banker master'!$J$2:$J$186,MATCH($A44,'E-Banker master'!$A$2:$A$186,0)),"")</f>
        <v>44775</v>
      </c>
      <c r="AE44" s="426">
        <f>IFERROR(INDEX('E-Banker master'!$K$2:$K$186,MATCH($A44,'E-Banker master'!$A$2:$A$186,0)),"")</f>
        <v>45505</v>
      </c>
      <c r="AF44">
        <f>IFERROR(INDEX('E-Banker master'!$L$2:$L$186,MATCH($A44,'E-Banker master'!$A$2:$A$186,0)),"")</f>
        <v>3</v>
      </c>
      <c r="AG44">
        <f>IFERROR(INDEX('E-Banker master'!$M$2:$M$186,MATCH($A44,'E-Banker master'!$A$2:$A$186,0)),"")</f>
        <v>3</v>
      </c>
      <c r="AH44" s="427">
        <f>IFERROR(INDEX('E-Banker master'!$N$2:$N$186,MATCH($A44,'E-Banker master'!$A$2:$A$186,0)),"")</f>
        <v>11423340</v>
      </c>
      <c r="AI44" s="427">
        <f>IFERROR(INDEX('E-Banker master'!$O$2:$O$186,MATCH($A44,'E-Banker master'!$A$2:$A$186,0)),"")</f>
        <v>1489447.76</v>
      </c>
      <c r="AJ44" s="427">
        <f>IFERROR(INDEX('E-Banker master'!$P$2:$P$186,MATCH($A44,'E-Banker master'!$A$2:$A$186,0)),"")</f>
        <v>8338.1200000000008</v>
      </c>
      <c r="AK44" s="427">
        <f t="shared" si="3"/>
        <v>-8338.1232923882471</v>
      </c>
      <c r="AL44">
        <v>41</v>
      </c>
      <c r="AM44" t="str">
        <f>HYPERLINK("#'Amortisation and Repayments'!C2279","block 41")</f>
        <v>block 41</v>
      </c>
      <c r="AN44">
        <f>Mapping!X44</f>
        <v>0</v>
      </c>
      <c r="AO44" s="440">
        <f>'Loan Book'!AS47</f>
        <v>240000</v>
      </c>
      <c r="AP44" s="440">
        <f>'Loan Book'!AT47</f>
        <v>438340</v>
      </c>
      <c r="AQ44" s="440"/>
      <c r="AR44" s="441">
        <f t="shared" si="2"/>
        <v>44775</v>
      </c>
      <c r="AS44" s="442" t="s">
        <v>977</v>
      </c>
      <c r="AT44" s="442" t="s">
        <v>978</v>
      </c>
      <c r="AU44" s="443">
        <f t="shared" si="4"/>
        <v>678340</v>
      </c>
    </row>
    <row r="45" spans="1:47" x14ac:dyDescent="0.35">
      <c r="A45" t="str">
        <f>Mapping!J45</f>
        <v>000104420000043</v>
      </c>
      <c r="B45" t="str">
        <f>Mapping!K45</f>
        <v>High</v>
      </c>
      <c r="C45">
        <v>48</v>
      </c>
      <c r="D45" t="str">
        <f>'Loan Book'!E48</f>
        <v>The Food Empire Limited</v>
      </c>
      <c r="E45" t="str">
        <f>'Loan Book'!F48</f>
        <v>Debt</v>
      </c>
      <c r="F45" s="426">
        <f>'Loan Book'!G48</f>
        <v>44785</v>
      </c>
      <c r="G45" s="426">
        <f>'Loan Book'!H48</f>
        <v>46265</v>
      </c>
      <c r="H45">
        <f>'Loan Book'!I48</f>
        <v>4</v>
      </c>
      <c r="I45" t="str">
        <f>'Loan Book'!J48</f>
        <v>6 ( Cap only)</v>
      </c>
      <c r="J45">
        <f>IF('Loan Book'!K48="","",IF('Loan Book'!K48&lt;1,'Loan Book'!K48*100,'Loan Book'!K48))</f>
        <v>31.100000000000005</v>
      </c>
      <c r="K45" s="427">
        <f>'Loan Book'!L48</f>
        <v>154724500</v>
      </c>
      <c r="L45" s="427">
        <f>'Loan Book'!M48</f>
        <v>154724500</v>
      </c>
      <c r="M45" s="427">
        <f>'Loan Book'!N48</f>
        <v>0</v>
      </c>
      <c r="N45" s="427">
        <f>'Loan Book'!O48</f>
        <v>154724500</v>
      </c>
      <c r="O45" s="427">
        <f>'Loan Book'!P48</f>
        <v>89061033.006696254</v>
      </c>
      <c r="P45" s="427">
        <f>'Loan Book'!Q48</f>
        <v>-142910868.18999997</v>
      </c>
      <c r="Q45" s="427">
        <f>'Loan Book'!R48</f>
        <v>100874664.81669629</v>
      </c>
      <c r="R45" s="427">
        <f>'Loan Book'!S48</f>
        <v>0</v>
      </c>
      <c r="S45" s="427">
        <f>'Loan Book'!T48</f>
        <v>0</v>
      </c>
      <c r="T45" s="427">
        <f>'Loan Book'!U48</f>
        <v>0</v>
      </c>
      <c r="U45">
        <f>'Loan Book'!AC48</f>
        <v>0</v>
      </c>
      <c r="V45">
        <f>'Loan Book'!AE48</f>
        <v>0</v>
      </c>
      <c r="W45" t="str">
        <f>IFERROR(INDEX('E-Banker master'!$B$2:$B$186,MATCH($A45,'E-Banker master'!$A$2:$A$186,0)),"")</f>
        <v>The Food Empire Limited</v>
      </c>
      <c r="X45">
        <f>IFERROR(INDEX('E-Banker master'!$C$2:$C$186,MATCH($A45,'E-Banker master'!$A$2:$A$186,0)),"")</f>
        <v>84</v>
      </c>
      <c r="Y45" t="str">
        <f>IFERROR(INDEX('E-Banker master'!$D$2:$D$186,MATCH($A45,'E-Banker master'!$A$2:$A$186,0)),"")</f>
        <v>1050101</v>
      </c>
      <c r="Z45" t="str">
        <f>IFERROR(INDEX('E-Banker master'!$E$2:$E$186,MATCH($A45,'E-Banker master'!$A$2:$A$186,0)),"")</f>
        <v>F</v>
      </c>
      <c r="AA45" t="str">
        <f>IFERROR(INDEX('E-Banker master'!$F$2:$F$186,MATCH($A45,'E-Banker master'!$A$2:$A$186,0)),"")</f>
        <v>P</v>
      </c>
      <c r="AB45">
        <f>IFERROR(INDEX('E-Banker master'!$G$2:$G$186,MATCH($A45,'E-Banker master'!$A$2:$A$186,0)),"")</f>
        <v>0</v>
      </c>
      <c r="AC45" s="427">
        <f>IFERROR(INDEX('E-Banker master'!$I$2:$I$186,MATCH($A45,'E-Banker master'!$A$2:$A$186,0)),"")</f>
        <v>154724500</v>
      </c>
      <c r="AD45" s="426">
        <f>IFERROR(INDEX('E-Banker master'!$J$2:$J$186,MATCH($A45,'E-Banker master'!$A$2:$A$186,0)),"")</f>
        <v>44746</v>
      </c>
      <c r="AE45" s="426">
        <f>IFERROR(INDEX('E-Banker master'!$K$2:$K$186,MATCH($A45,'E-Banker master'!$A$2:$A$186,0)),"")</f>
        <v>46207</v>
      </c>
      <c r="AF45">
        <f>IFERROR(INDEX('E-Banker master'!$L$2:$L$186,MATCH($A45,'E-Banker master'!$A$2:$A$186,0)),"")</f>
        <v>0</v>
      </c>
      <c r="AG45">
        <f>IFERROR(INDEX('E-Banker master'!$M$2:$M$186,MATCH($A45,'E-Banker master'!$A$2:$A$186,0)),"")</f>
        <v>0</v>
      </c>
      <c r="AH45" s="427">
        <f>IFERROR(INDEX('E-Banker master'!$N$2:$N$186,MATCH($A45,'E-Banker master'!$A$2:$A$186,0)),"")</f>
        <v>154724500</v>
      </c>
      <c r="AI45" s="427">
        <f>IFERROR(INDEX('E-Banker master'!$O$2:$O$186,MATCH($A45,'E-Banker master'!$A$2:$A$186,0)),"")</f>
        <v>79996060.140000001</v>
      </c>
      <c r="AJ45" s="427">
        <f>IFERROR(INDEX('E-Banker master'!$P$2:$P$186,MATCH($A45,'E-Banker master'!$A$2:$A$186,0)),"")</f>
        <v>101427841.37</v>
      </c>
      <c r="AK45" s="427">
        <f t="shared" si="3"/>
        <v>-553176.55330371857</v>
      </c>
      <c r="AL45">
        <v>42</v>
      </c>
      <c r="AM45" t="str">
        <f>HYPERLINK("#'Amortisation and Repayments'!C2318","block 42")</f>
        <v>block 42</v>
      </c>
      <c r="AN45">
        <f>Mapping!X45</f>
        <v>0</v>
      </c>
      <c r="AO45" s="440">
        <f>'Loan Book'!AS48</f>
        <v>2250000</v>
      </c>
      <c r="AP45" s="440">
        <f>'Loan Book'!AT48</f>
        <v>2474500</v>
      </c>
      <c r="AQ45" s="440"/>
      <c r="AR45" s="441">
        <f t="shared" si="2"/>
        <v>44746</v>
      </c>
      <c r="AS45" s="442" t="s">
        <v>977</v>
      </c>
      <c r="AT45" s="442" t="s">
        <v>978</v>
      </c>
      <c r="AU45" s="443">
        <f t="shared" si="4"/>
        <v>4724500</v>
      </c>
    </row>
    <row r="46" spans="1:47" x14ac:dyDescent="0.35">
      <c r="A46" t="str">
        <f>Mapping!J46</f>
        <v>000104420000044</v>
      </c>
      <c r="B46" t="str">
        <f>Mapping!K46</f>
        <v>High</v>
      </c>
      <c r="C46">
        <v>49</v>
      </c>
      <c r="D46" t="str">
        <f>'Loan Book'!E49</f>
        <v>Global Seeds Ltd</v>
      </c>
      <c r="E46" t="str">
        <f>'Loan Book'!F49</f>
        <v>Debt</v>
      </c>
      <c r="F46" s="426">
        <f>'Loan Book'!G49</f>
        <v>44803</v>
      </c>
      <c r="G46" s="426">
        <f>'Loan Book'!H49</f>
        <v>45900</v>
      </c>
      <c r="H46">
        <f>'Loan Book'!I49</f>
        <v>3</v>
      </c>
      <c r="I46">
        <f>'Loan Book'!J49</f>
        <v>0</v>
      </c>
      <c r="J46">
        <f>IF('Loan Book'!K49="","",IF('Loan Book'!K49&lt;1,'Loan Book'!K49*100,'Loan Book'!K49))</f>
        <v>29.800000000000004</v>
      </c>
      <c r="K46" s="427">
        <f>'Loan Book'!L49</f>
        <v>103225546</v>
      </c>
      <c r="L46" s="427">
        <f>'Loan Book'!M49</f>
        <v>103225546</v>
      </c>
      <c r="M46" s="427">
        <f>'Loan Book'!N49</f>
        <v>0</v>
      </c>
      <c r="N46" s="427">
        <f>'Loan Book'!O49</f>
        <v>103225546</v>
      </c>
      <c r="O46" s="427">
        <f>'Loan Book'!P49</f>
        <v>38887896.09305682</v>
      </c>
      <c r="P46" s="427">
        <f>'Loan Book'!Q49</f>
        <v>-142113442.09</v>
      </c>
      <c r="Q46" s="427">
        <f>'Loan Book'!R49</f>
        <v>3.0568242073059082E-3</v>
      </c>
      <c r="R46" s="427">
        <f>'Loan Book'!S49</f>
        <v>0</v>
      </c>
      <c r="S46" s="427">
        <f>'Loan Book'!T49</f>
        <v>0</v>
      </c>
      <c r="T46" s="427">
        <f>'Loan Book'!U49</f>
        <v>0</v>
      </c>
      <c r="U46">
        <f>'Loan Book'!AC49</f>
        <v>0</v>
      </c>
      <c r="V46">
        <f>'Loan Book'!AE49</f>
        <v>0</v>
      </c>
      <c r="W46" t="str">
        <f>IFERROR(INDEX('E-Banker master'!$B$2:$B$186,MATCH($A46,'E-Banker master'!$A$2:$A$186,0)),"")</f>
        <v>Global Seeds Limited FInES</v>
      </c>
      <c r="X46">
        <f>IFERROR(INDEX('E-Banker master'!$C$2:$C$186,MATCH($A46,'E-Banker master'!$A$2:$A$186,0)),"")</f>
        <v>84</v>
      </c>
      <c r="Y46" t="str">
        <f>IFERROR(INDEX('E-Banker master'!$D$2:$D$186,MATCH($A46,'E-Banker master'!$A$2:$A$186,0)),"")</f>
        <v>1050101</v>
      </c>
      <c r="Z46" t="str">
        <f>IFERROR(INDEX('E-Banker master'!$E$2:$E$186,MATCH($A46,'E-Banker master'!$A$2:$A$186,0)),"")</f>
        <v>C</v>
      </c>
      <c r="AA46" t="str">
        <f>IFERROR(INDEX('E-Banker master'!$F$2:$F$186,MATCH($A46,'E-Banker master'!$A$2:$A$186,0)),"")</f>
        <v>M</v>
      </c>
      <c r="AB46">
        <f>IFERROR(INDEX('E-Banker master'!$G$2:$G$186,MATCH($A46,'E-Banker master'!$A$2:$A$186,0)),"")</f>
        <v>33.700000000000003</v>
      </c>
      <c r="AC46" s="427">
        <f>IFERROR(INDEX('E-Banker master'!$I$2:$I$186,MATCH($A46,'E-Banker master'!$A$2:$A$186,0)),"")</f>
        <v>103225546</v>
      </c>
      <c r="AD46" s="426">
        <f>IFERROR(INDEX('E-Banker master'!$J$2:$J$186,MATCH($A46,'E-Banker master'!$A$2:$A$186,0)),"")</f>
        <v>44803</v>
      </c>
      <c r="AE46" s="426">
        <f>IFERROR(INDEX('E-Banker master'!$K$2:$K$186,MATCH($A46,'E-Banker master'!$A$2:$A$186,0)),"")</f>
        <v>45898</v>
      </c>
      <c r="AF46">
        <f>IFERROR(INDEX('E-Banker master'!$L$2:$L$186,MATCH($A46,'E-Banker master'!$A$2:$A$186,0)),"")</f>
        <v>0</v>
      </c>
      <c r="AG46">
        <f>IFERROR(INDEX('E-Banker master'!$M$2:$M$186,MATCH($A46,'E-Banker master'!$A$2:$A$186,0)),"")</f>
        <v>0</v>
      </c>
      <c r="AH46" s="427">
        <f>IFERROR(INDEX('E-Banker master'!$N$2:$N$186,MATCH($A46,'E-Banker master'!$A$2:$A$186,0)),"")</f>
        <v>0</v>
      </c>
      <c r="AI46" s="427">
        <f>IFERROR(INDEX('E-Banker master'!$O$2:$O$186,MATCH($A46,'E-Banker master'!$A$2:$A$186,0)),"")</f>
        <v>0</v>
      </c>
      <c r="AJ46" s="427">
        <f>IFERROR(INDEX('E-Banker master'!$P$2:$P$186,MATCH($A46,'E-Banker master'!$A$2:$A$186,0)),"")</f>
        <v>0</v>
      </c>
      <c r="AK46" s="427">
        <f t="shared" si="3"/>
        <v>3.0568242073059082E-3</v>
      </c>
      <c r="AL46">
        <v>43</v>
      </c>
      <c r="AM46" t="str">
        <f>HYPERLINK("#'Amortisation and Repayments'!C2384","block 43")</f>
        <v>block 43</v>
      </c>
      <c r="AN46">
        <f>Mapping!X46</f>
        <v>0</v>
      </c>
      <c r="AO46" s="440">
        <f>'Loan Book'!AS49</f>
        <v>1524750</v>
      </c>
      <c r="AP46" s="440">
        <f>'Loan Book'!AT49</f>
        <v>1700796</v>
      </c>
      <c r="AQ46" s="440"/>
      <c r="AR46" s="441">
        <f t="shared" si="2"/>
        <v>44803</v>
      </c>
      <c r="AS46" s="442" t="s">
        <v>977</v>
      </c>
      <c r="AT46" s="442" t="s">
        <v>978</v>
      </c>
      <c r="AU46" s="443">
        <f t="shared" si="4"/>
        <v>3225546</v>
      </c>
    </row>
    <row r="47" spans="1:47" x14ac:dyDescent="0.35">
      <c r="A47" t="str">
        <f>Mapping!J47</f>
        <v>000104450000045</v>
      </c>
      <c r="B47" t="str">
        <f>Mapping!K47</f>
        <v>High</v>
      </c>
      <c r="C47">
        <v>50</v>
      </c>
      <c r="D47" t="str">
        <f>'Loan Book'!E50</f>
        <v>Walusiya Investment</v>
      </c>
      <c r="E47" t="str">
        <f>'Loan Book'!F50</f>
        <v>Debt</v>
      </c>
      <c r="F47" s="426">
        <f>'Loan Book'!G50</f>
        <v>44844</v>
      </c>
      <c r="G47" s="426">
        <f>'Loan Book'!H50</f>
        <v>45575</v>
      </c>
      <c r="H47">
        <f>'Loan Book'!I50</f>
        <v>2</v>
      </c>
      <c r="I47" t="str">
        <f>'Loan Book'!J50</f>
        <v>3 (Cap+Int)</v>
      </c>
      <c r="J47">
        <f>IF('Loan Book'!K50="","",IF('Loan Book'!K50&lt;1,'Loan Book'!K50*100,'Loan Book'!K50))</f>
        <v>10</v>
      </c>
      <c r="K47" s="427">
        <f>'Loan Book'!L50</f>
        <v>10000000</v>
      </c>
      <c r="L47" s="427">
        <f>'Loan Book'!M50</f>
        <v>10000000</v>
      </c>
      <c r="M47" s="427">
        <f>'Loan Book'!N50</f>
        <v>0</v>
      </c>
      <c r="N47" s="427">
        <f>'Loan Book'!O50</f>
        <v>10000000</v>
      </c>
      <c r="O47" s="427">
        <f>'Loan Book'!P50</f>
        <v>1284189.5721939777</v>
      </c>
      <c r="P47" s="427">
        <f>'Loan Book'!Q50</f>
        <v>-2140000</v>
      </c>
      <c r="Q47" s="427">
        <f>'Loan Book'!R50</f>
        <v>9144189.5721939784</v>
      </c>
      <c r="R47" s="427">
        <f>'Loan Book'!S50</f>
        <v>8947194.2439202163</v>
      </c>
      <c r="S47" s="427">
        <f>'Loan Book'!T50</f>
        <v>196995.32827376574</v>
      </c>
      <c r="T47" s="427">
        <f>'Loan Book'!U50</f>
        <v>9144189.5721939821</v>
      </c>
      <c r="U47">
        <f>'Loan Book'!AC50</f>
        <v>0</v>
      </c>
      <c r="V47">
        <f>'Loan Book'!AE50</f>
        <v>0</v>
      </c>
      <c r="W47" t="str">
        <f>IFERROR(INDEX('E-Banker master'!$B$2:$B$186,MATCH($A47,'E-Banker master'!$A$2:$A$186,0)),"")</f>
        <v>Walusiya Investment</v>
      </c>
      <c r="X47">
        <f>IFERROR(INDEX('E-Banker master'!$C$2:$C$186,MATCH($A47,'E-Banker master'!$A$2:$A$186,0)),"")</f>
        <v>90</v>
      </c>
      <c r="Y47" t="str">
        <f>IFERROR(INDEX('E-Banker master'!$D$2:$D$186,MATCH($A47,'E-Banker master'!$A$2:$A$186,0)),"")</f>
        <v>1050201</v>
      </c>
      <c r="Z47" t="str">
        <f>IFERROR(INDEX('E-Banker master'!$E$2:$E$186,MATCH($A47,'E-Banker master'!$A$2:$A$186,0)),"")</f>
        <v>H</v>
      </c>
      <c r="AA47" t="str">
        <f>IFERROR(INDEX('E-Banker master'!$F$2:$F$186,MATCH($A47,'E-Banker master'!$A$2:$A$186,0)),"")</f>
        <v>S</v>
      </c>
      <c r="AB47">
        <f>IFERROR(INDEX('E-Banker master'!$G$2:$G$186,MATCH($A47,'E-Banker master'!$A$2:$A$186,0)),"")</f>
        <v>10</v>
      </c>
      <c r="AC47" s="427">
        <f>IFERROR(INDEX('E-Banker master'!$I$2:$I$186,MATCH($A47,'E-Banker master'!$A$2:$A$186,0)),"")</f>
        <v>10000000</v>
      </c>
      <c r="AD47" s="426">
        <f>IFERROR(INDEX('E-Banker master'!$J$2:$J$186,MATCH($A47,'E-Banker master'!$A$2:$A$186,0)),"")</f>
        <v>44844</v>
      </c>
      <c r="AE47" s="426">
        <f>IFERROR(INDEX('E-Banker master'!$K$2:$K$186,MATCH($A47,'E-Banker master'!$A$2:$A$186,0)),"")</f>
        <v>45574</v>
      </c>
      <c r="AF47">
        <f>IFERROR(INDEX('E-Banker master'!$L$2:$L$186,MATCH($A47,'E-Banker master'!$A$2:$A$186,0)),"")</f>
        <v>3</v>
      </c>
      <c r="AG47">
        <f>IFERROR(INDEX('E-Banker master'!$M$2:$M$186,MATCH($A47,'E-Banker master'!$A$2:$A$186,0)),"")</f>
        <v>3</v>
      </c>
      <c r="AH47" s="427">
        <f>IFERROR(INDEX('E-Banker master'!$N$2:$N$186,MATCH($A47,'E-Banker master'!$A$2:$A$186,0)),"")</f>
        <v>10000000</v>
      </c>
      <c r="AI47" s="427">
        <f>IFERROR(INDEX('E-Banker master'!$O$2:$O$186,MATCH($A47,'E-Banker master'!$A$2:$A$186,0)),"")</f>
        <v>1270903.74</v>
      </c>
      <c r="AJ47" s="427">
        <f>IFERROR(INDEX('E-Banker master'!$P$2:$P$186,MATCH($A47,'E-Banker master'!$A$2:$A$186,0)),"")</f>
        <v>9371307</v>
      </c>
      <c r="AK47" s="427">
        <f t="shared" si="3"/>
        <v>-227117.42780602165</v>
      </c>
      <c r="AL47">
        <v>44</v>
      </c>
      <c r="AM47" t="str">
        <f>HYPERLINK("#'Amortisation and Repayments'!C2437","block 44")</f>
        <v>block 44</v>
      </c>
      <c r="AN47">
        <f>Mapping!X47</f>
        <v>0</v>
      </c>
      <c r="AO47" s="440">
        <f>'Loan Book'!AS50</f>
        <v>100000</v>
      </c>
      <c r="AP47" s="440">
        <f>'Loan Book'!AT50</f>
        <v>212100</v>
      </c>
      <c r="AQ47" s="440"/>
      <c r="AR47" s="441">
        <f t="shared" si="2"/>
        <v>44844</v>
      </c>
      <c r="AS47" s="442" t="s">
        <v>977</v>
      </c>
      <c r="AT47" s="442" t="s">
        <v>978</v>
      </c>
      <c r="AU47" s="443">
        <f t="shared" si="4"/>
        <v>312100</v>
      </c>
    </row>
    <row r="48" spans="1:47" x14ac:dyDescent="0.35">
      <c r="A48" t="str">
        <f>Mapping!J48</f>
        <v>000104450000046</v>
      </c>
      <c r="B48" t="str">
        <f>Mapping!K48</f>
        <v>High</v>
      </c>
      <c r="C48">
        <v>51</v>
      </c>
      <c r="D48" t="str">
        <f>'Loan Book'!E51</f>
        <v>G&amp;T General Dealers</v>
      </c>
      <c r="E48" t="str">
        <f>'Loan Book'!F51</f>
        <v>Debt</v>
      </c>
      <c r="F48" s="426">
        <f>'Loan Book'!G51</f>
        <v>44844</v>
      </c>
      <c r="G48" s="426">
        <f>'Loan Book'!H51</f>
        <v>45575</v>
      </c>
      <c r="H48">
        <f>'Loan Book'!I51</f>
        <v>2</v>
      </c>
      <c r="I48" t="str">
        <f>'Loan Book'!J51</f>
        <v>3 (Cap+Int)</v>
      </c>
      <c r="J48">
        <f>IF('Loan Book'!K51="","",IF('Loan Book'!K51&lt;1,'Loan Book'!K51*100,'Loan Book'!K51))</f>
        <v>10</v>
      </c>
      <c r="K48" s="427">
        <f>'Loan Book'!L51</f>
        <v>12000000</v>
      </c>
      <c r="L48" s="427">
        <f>'Loan Book'!M51</f>
        <v>12000000</v>
      </c>
      <c r="M48" s="427">
        <f>'Loan Book'!N51</f>
        <v>0</v>
      </c>
      <c r="N48" s="427">
        <f>'Loan Book'!O51</f>
        <v>12000000</v>
      </c>
      <c r="O48" s="427">
        <f>'Loan Book'!P51</f>
        <v>1541027.4866327734</v>
      </c>
      <c r="P48" s="427">
        <f>'Loan Book'!Q51</f>
        <v>-6500000</v>
      </c>
      <c r="Q48" s="427">
        <f>'Loan Book'!R51</f>
        <v>7041027.4866327737</v>
      </c>
      <c r="R48" s="427">
        <f>'Loan Book'!S51</f>
        <v>6162160.5980409058</v>
      </c>
      <c r="S48" s="427">
        <f>'Loan Book'!T51</f>
        <v>878866.88859187346</v>
      </c>
      <c r="T48" s="427">
        <f>'Loan Book'!U51</f>
        <v>7041027.4866327792</v>
      </c>
      <c r="U48">
        <f>'Loan Book'!AC51</f>
        <v>0</v>
      </c>
      <c r="V48">
        <f>'Loan Book'!AE51</f>
        <v>0</v>
      </c>
      <c r="W48" t="str">
        <f>IFERROR(INDEX('E-Banker master'!$B$2:$B$186,MATCH($A48,'E-Banker master'!$A$2:$A$186,0)),"")</f>
        <v>G&amp;T General Dealers</v>
      </c>
      <c r="X48">
        <f>IFERROR(INDEX('E-Banker master'!$C$2:$C$186,MATCH($A48,'E-Banker master'!$A$2:$A$186,0)),"")</f>
        <v>90</v>
      </c>
      <c r="Y48" t="str">
        <f>IFERROR(INDEX('E-Banker master'!$D$2:$D$186,MATCH($A48,'E-Banker master'!$A$2:$A$186,0)),"")</f>
        <v>1050201</v>
      </c>
      <c r="Z48" t="str">
        <f>IFERROR(INDEX('E-Banker master'!$E$2:$E$186,MATCH($A48,'E-Banker master'!$A$2:$A$186,0)),"")</f>
        <v>H</v>
      </c>
      <c r="AA48" t="str">
        <f>IFERROR(INDEX('E-Banker master'!$F$2:$F$186,MATCH($A48,'E-Banker master'!$A$2:$A$186,0)),"")</f>
        <v>S</v>
      </c>
      <c r="AB48">
        <f>IFERROR(INDEX('E-Banker master'!$G$2:$G$186,MATCH($A48,'E-Banker master'!$A$2:$A$186,0)),"")</f>
        <v>10</v>
      </c>
      <c r="AC48" s="427">
        <f>IFERROR(INDEX('E-Banker master'!$I$2:$I$186,MATCH($A48,'E-Banker master'!$A$2:$A$186,0)),"")</f>
        <v>12000000</v>
      </c>
      <c r="AD48" s="426">
        <f>IFERROR(INDEX('E-Banker master'!$J$2:$J$186,MATCH($A48,'E-Banker master'!$A$2:$A$186,0)),"")</f>
        <v>44844</v>
      </c>
      <c r="AE48" s="426">
        <f>IFERROR(INDEX('E-Banker master'!$K$2:$K$186,MATCH($A48,'E-Banker master'!$A$2:$A$186,0)),"")</f>
        <v>45574</v>
      </c>
      <c r="AF48">
        <f>IFERROR(INDEX('E-Banker master'!$L$2:$L$186,MATCH($A48,'E-Banker master'!$A$2:$A$186,0)),"")</f>
        <v>3</v>
      </c>
      <c r="AG48">
        <f>IFERROR(INDEX('E-Banker master'!$M$2:$M$186,MATCH($A48,'E-Banker master'!$A$2:$A$186,0)),"")</f>
        <v>3</v>
      </c>
      <c r="AH48" s="427">
        <f>IFERROR(INDEX('E-Banker master'!$N$2:$N$186,MATCH($A48,'E-Banker master'!$A$2:$A$186,0)),"")</f>
        <v>12000000</v>
      </c>
      <c r="AI48" s="427">
        <f>IFERROR(INDEX('E-Banker master'!$O$2:$O$186,MATCH($A48,'E-Banker master'!$A$2:$A$186,0)),"")</f>
        <v>1509229.2</v>
      </c>
      <c r="AJ48" s="427">
        <f>IFERROR(INDEX('E-Banker master'!$P$2:$P$186,MATCH($A48,'E-Banker master'!$A$2:$A$186,0)),"")</f>
        <v>7207695.9500000002</v>
      </c>
      <c r="AK48" s="427">
        <f t="shared" si="3"/>
        <v>-166668.46336722653</v>
      </c>
      <c r="AL48">
        <v>45</v>
      </c>
      <c r="AM48" t="str">
        <f>HYPERLINK("#'Amortisation and Repayments'!C2478","block 45")</f>
        <v>block 45</v>
      </c>
      <c r="AN48">
        <f>Mapping!X48</f>
        <v>0</v>
      </c>
      <c r="AO48" s="440">
        <f>'Loan Book'!AS51</f>
        <v>120000</v>
      </c>
      <c r="AP48" s="440">
        <f>'Loan Book'!AT51</f>
        <v>244420</v>
      </c>
      <c r="AQ48" s="440"/>
      <c r="AR48" s="441">
        <f t="shared" si="2"/>
        <v>44844</v>
      </c>
      <c r="AS48" s="442" t="s">
        <v>977</v>
      </c>
      <c r="AT48" s="442" t="s">
        <v>978</v>
      </c>
      <c r="AU48" s="443">
        <f t="shared" si="4"/>
        <v>364420</v>
      </c>
    </row>
    <row r="49" spans="1:47" x14ac:dyDescent="0.35">
      <c r="A49" t="str">
        <f>Mapping!J49</f>
        <v>000104450000047</v>
      </c>
      <c r="B49" t="str">
        <f>Mapping!K49</f>
        <v>High</v>
      </c>
      <c r="C49">
        <v>52</v>
      </c>
      <c r="D49" t="str">
        <f>'Loan Book'!E52</f>
        <v>Rose Harris Investment</v>
      </c>
      <c r="E49" t="str">
        <f>'Loan Book'!F52</f>
        <v>Debt</v>
      </c>
      <c r="F49" s="426">
        <f>'Loan Book'!G52</f>
        <v>44852</v>
      </c>
      <c r="G49" s="426">
        <f>'Loan Book'!H52</f>
        <v>45583</v>
      </c>
      <c r="H49">
        <f>'Loan Book'!I52</f>
        <v>2</v>
      </c>
      <c r="I49" t="str">
        <f>'Loan Book'!J52</f>
        <v>3 (Cap+Int)</v>
      </c>
      <c r="J49">
        <f>IF('Loan Book'!K52="","",IF('Loan Book'!K52&lt;1,'Loan Book'!K52*100,'Loan Book'!K52))</f>
        <v>10</v>
      </c>
      <c r="K49" s="427">
        <f>'Loan Book'!L52</f>
        <v>24000000</v>
      </c>
      <c r="L49" s="427">
        <f>'Loan Book'!M52</f>
        <v>24000000</v>
      </c>
      <c r="M49" s="427">
        <f>'Loan Book'!N52</f>
        <v>0</v>
      </c>
      <c r="N49" s="427">
        <f>'Loan Book'!O52</f>
        <v>24000000</v>
      </c>
      <c r="O49" s="427">
        <f>'Loan Book'!P52</f>
        <v>2453483.5998252528</v>
      </c>
      <c r="P49" s="427">
        <f>'Loan Book'!Q52</f>
        <v>-26454000</v>
      </c>
      <c r="Q49" s="427">
        <f>'Loan Book'!R52</f>
        <v>0</v>
      </c>
      <c r="R49" s="427">
        <f>'Loan Book'!S52</f>
        <v>0</v>
      </c>
      <c r="S49" s="427">
        <f>'Loan Book'!T52</f>
        <v>0</v>
      </c>
      <c r="T49" s="427">
        <f>'Loan Book'!U52</f>
        <v>0</v>
      </c>
      <c r="U49">
        <f>'Loan Book'!AC52</f>
        <v>0</v>
      </c>
      <c r="V49">
        <f>'Loan Book'!AE52</f>
        <v>0</v>
      </c>
      <c r="W49" t="str">
        <f>IFERROR(INDEX('E-Banker master'!$B$2:$B$186,MATCH($A49,'E-Banker master'!$A$2:$A$186,0)),"")</f>
        <v>Rose Harris Investment</v>
      </c>
      <c r="X49">
        <f>IFERROR(INDEX('E-Banker master'!$C$2:$C$186,MATCH($A49,'E-Banker master'!$A$2:$A$186,0)),"")</f>
        <v>90</v>
      </c>
      <c r="Y49" t="str">
        <f>IFERROR(INDEX('E-Banker master'!$D$2:$D$186,MATCH($A49,'E-Banker master'!$A$2:$A$186,0)),"")</f>
        <v>1050201</v>
      </c>
      <c r="Z49" t="str">
        <f>IFERROR(INDEX('E-Banker master'!$E$2:$E$186,MATCH($A49,'E-Banker master'!$A$2:$A$186,0)),"")</f>
        <v>C</v>
      </c>
      <c r="AA49" t="str">
        <f>IFERROR(INDEX('E-Banker master'!$F$2:$F$186,MATCH($A49,'E-Banker master'!$A$2:$A$186,0)),"")</f>
        <v>S</v>
      </c>
      <c r="AB49">
        <f>IFERROR(INDEX('E-Banker master'!$G$2:$G$186,MATCH($A49,'E-Banker master'!$A$2:$A$186,0)),"")</f>
        <v>10</v>
      </c>
      <c r="AC49" s="427">
        <f>IFERROR(INDEX('E-Banker master'!$I$2:$I$186,MATCH($A49,'E-Banker master'!$A$2:$A$186,0)),"")</f>
        <v>24000000</v>
      </c>
      <c r="AD49" s="426">
        <f>IFERROR(INDEX('E-Banker master'!$J$2:$J$186,MATCH($A49,'E-Banker master'!$A$2:$A$186,0)),"")</f>
        <v>44852</v>
      </c>
      <c r="AE49" s="426">
        <f>IFERROR(INDEX('E-Banker master'!$K$2:$K$186,MATCH($A49,'E-Banker master'!$A$2:$A$186,0)),"")</f>
        <v>45582</v>
      </c>
      <c r="AF49">
        <f>IFERROR(INDEX('E-Banker master'!$L$2:$L$186,MATCH($A49,'E-Banker master'!$A$2:$A$186,0)),"")</f>
        <v>3</v>
      </c>
      <c r="AG49">
        <f>IFERROR(INDEX('E-Banker master'!$M$2:$M$186,MATCH($A49,'E-Banker master'!$A$2:$A$186,0)),"")</f>
        <v>3</v>
      </c>
      <c r="AH49" s="427">
        <f>IFERROR(INDEX('E-Banker master'!$N$2:$N$186,MATCH($A49,'E-Banker master'!$A$2:$A$186,0)),"")</f>
        <v>0</v>
      </c>
      <c r="AI49" s="427">
        <f>IFERROR(INDEX('E-Banker master'!$O$2:$O$186,MATCH($A49,'E-Banker master'!$A$2:$A$186,0)),"")</f>
        <v>0</v>
      </c>
      <c r="AJ49" s="427">
        <f>IFERROR(INDEX('E-Banker master'!$P$2:$P$186,MATCH($A49,'E-Banker master'!$A$2:$A$186,0)),"")</f>
        <v>0</v>
      </c>
      <c r="AK49" s="427">
        <f t="shared" si="3"/>
        <v>0</v>
      </c>
      <c r="AL49">
        <v>46</v>
      </c>
      <c r="AM49" t="str">
        <f>HYPERLINK("#'Amortisation and Repayments'!C2519","block 46")</f>
        <v>block 46</v>
      </c>
      <c r="AN49">
        <f>Mapping!X49</f>
        <v>0</v>
      </c>
      <c r="AO49" s="440">
        <f>'Loan Book'!AS52</f>
        <v>240000</v>
      </c>
      <c r="AP49" s="440">
        <f>'Loan Book'!AT52</f>
        <v>438340</v>
      </c>
      <c r="AQ49" s="440"/>
      <c r="AR49" s="441">
        <f t="shared" si="2"/>
        <v>44852</v>
      </c>
      <c r="AS49" s="442" t="s">
        <v>977</v>
      </c>
      <c r="AT49" s="442" t="s">
        <v>978</v>
      </c>
      <c r="AU49" s="443">
        <f t="shared" si="4"/>
        <v>678340</v>
      </c>
    </row>
    <row r="50" spans="1:47" x14ac:dyDescent="0.35">
      <c r="A50" t="str">
        <f>Mapping!J50</f>
        <v>000104450000048</v>
      </c>
      <c r="B50" t="str">
        <f>Mapping!K50</f>
        <v>High</v>
      </c>
      <c r="C50">
        <v>53</v>
      </c>
      <c r="D50" t="str">
        <f>'Loan Book'!E53</f>
        <v>Kaning'a General Dealer</v>
      </c>
      <c r="E50" t="str">
        <f>'Loan Book'!F53</f>
        <v>Debt</v>
      </c>
      <c r="F50" s="426">
        <f>'Loan Book'!G53</f>
        <v>44861</v>
      </c>
      <c r="G50" s="426">
        <f>'Loan Book'!H53</f>
        <v>45592</v>
      </c>
      <c r="H50">
        <f>'Loan Book'!I53</f>
        <v>2</v>
      </c>
      <c r="I50" t="str">
        <f>'Loan Book'!J53</f>
        <v>3 (Cap+Int)</v>
      </c>
      <c r="J50">
        <f>IF('Loan Book'!K53="","",IF('Loan Book'!K53&lt;1,'Loan Book'!K53*100,'Loan Book'!K53))</f>
        <v>10</v>
      </c>
      <c r="K50" s="427">
        <f>'Loan Book'!L53</f>
        <v>24000000</v>
      </c>
      <c r="L50" s="427">
        <f>'Loan Book'!M53</f>
        <v>24000000</v>
      </c>
      <c r="M50" s="427">
        <f>'Loan Book'!N53</f>
        <v>0</v>
      </c>
      <c r="N50" s="427">
        <f>'Loan Book'!O53</f>
        <v>24000000</v>
      </c>
      <c r="O50" s="427">
        <f>'Loan Book'!P53</f>
        <v>2959020.5172138321</v>
      </c>
      <c r="P50" s="427">
        <f>'Loan Book'!Q53</f>
        <v>-26989000</v>
      </c>
      <c r="Q50" s="427">
        <f>'Loan Book'!R53</f>
        <v>0</v>
      </c>
      <c r="R50" s="427">
        <f>'Loan Book'!S53</f>
        <v>0</v>
      </c>
      <c r="S50" s="427">
        <f>'Loan Book'!T53</f>
        <v>0</v>
      </c>
      <c r="T50" s="427">
        <f>'Loan Book'!U53</f>
        <v>0</v>
      </c>
      <c r="U50">
        <f>'Loan Book'!AC53</f>
        <v>0</v>
      </c>
      <c r="V50">
        <f>'Loan Book'!AE53</f>
        <v>0</v>
      </c>
      <c r="W50" t="str">
        <f>IFERROR(INDEX('E-Banker master'!$B$2:$B$186,MATCH($A50,'E-Banker master'!$A$2:$A$186,0)),"")</f>
        <v>KANING'A GENERAL DEALER</v>
      </c>
      <c r="X50">
        <f>IFERROR(INDEX('E-Banker master'!$C$2:$C$186,MATCH($A50,'E-Banker master'!$A$2:$A$186,0)),"")</f>
        <v>90</v>
      </c>
      <c r="Y50" t="str">
        <f>IFERROR(INDEX('E-Banker master'!$D$2:$D$186,MATCH($A50,'E-Banker master'!$A$2:$A$186,0)),"")</f>
        <v>1050201</v>
      </c>
      <c r="Z50" t="str">
        <f>IFERROR(INDEX('E-Banker master'!$E$2:$E$186,MATCH($A50,'E-Banker master'!$A$2:$A$186,0)),"")</f>
        <v>H</v>
      </c>
      <c r="AA50" t="str">
        <f>IFERROR(INDEX('E-Banker master'!$F$2:$F$186,MATCH($A50,'E-Banker master'!$A$2:$A$186,0)),"")</f>
        <v>S</v>
      </c>
      <c r="AB50">
        <f>IFERROR(INDEX('E-Banker master'!$G$2:$G$186,MATCH($A50,'E-Banker master'!$A$2:$A$186,0)),"")</f>
        <v>10</v>
      </c>
      <c r="AC50" s="427">
        <f>IFERROR(INDEX('E-Banker master'!$I$2:$I$186,MATCH($A50,'E-Banker master'!$A$2:$A$186,0)),"")</f>
        <v>24000000</v>
      </c>
      <c r="AD50" s="426">
        <f>IFERROR(INDEX('E-Banker master'!$J$2:$J$186,MATCH($A50,'E-Banker master'!$A$2:$A$186,0)),"")</f>
        <v>44861</v>
      </c>
      <c r="AE50" s="426">
        <f>IFERROR(INDEX('E-Banker master'!$K$2:$K$186,MATCH($A50,'E-Banker master'!$A$2:$A$186,0)),"")</f>
        <v>45591</v>
      </c>
      <c r="AF50">
        <f>IFERROR(INDEX('E-Banker master'!$L$2:$L$186,MATCH($A50,'E-Banker master'!$A$2:$A$186,0)),"")</f>
        <v>3</v>
      </c>
      <c r="AG50">
        <f>IFERROR(INDEX('E-Banker master'!$M$2:$M$186,MATCH($A50,'E-Banker master'!$A$2:$A$186,0)),"")</f>
        <v>3</v>
      </c>
      <c r="AH50" s="427">
        <f>IFERROR(INDEX('E-Banker master'!$N$2:$N$186,MATCH($A50,'E-Banker master'!$A$2:$A$186,0)),"")</f>
        <v>24000000</v>
      </c>
      <c r="AI50" s="427">
        <f>IFERROR(INDEX('E-Banker master'!$O$2:$O$186,MATCH($A50,'E-Banker master'!$A$2:$A$186,0)),"")</f>
        <v>2895712.86</v>
      </c>
      <c r="AJ50" s="427">
        <f>IFERROR(INDEX('E-Banker master'!$P$2:$P$186,MATCH($A50,'E-Banker master'!$A$2:$A$186,0)),"")</f>
        <v>1685.92</v>
      </c>
      <c r="AK50" s="427">
        <f t="shared" si="3"/>
        <v>-1685.92</v>
      </c>
      <c r="AL50">
        <v>47</v>
      </c>
      <c r="AM50" t="str">
        <f>HYPERLINK("#'Amortisation and Repayments'!C2561","block 47")</f>
        <v>block 47</v>
      </c>
      <c r="AN50">
        <f>Mapping!X50</f>
        <v>0</v>
      </c>
      <c r="AO50" s="440">
        <f>'Loan Book'!AS53</f>
        <v>240000</v>
      </c>
      <c r="AP50" s="440">
        <f>'Loan Book'!AT53</f>
        <v>438340</v>
      </c>
      <c r="AQ50" s="440"/>
      <c r="AR50" s="441">
        <f t="shared" si="2"/>
        <v>44861</v>
      </c>
      <c r="AS50" s="442" t="s">
        <v>977</v>
      </c>
      <c r="AT50" s="442" t="s">
        <v>978</v>
      </c>
      <c r="AU50" s="443">
        <f t="shared" si="4"/>
        <v>678340</v>
      </c>
    </row>
    <row r="51" spans="1:47" x14ac:dyDescent="0.35">
      <c r="A51" t="str">
        <f>Mapping!J51</f>
        <v>000104450000049</v>
      </c>
      <c r="B51" t="str">
        <f>Mapping!K51</f>
        <v>High</v>
      </c>
      <c r="C51">
        <v>54</v>
      </c>
      <c r="D51" t="str">
        <f>'Loan Book'!E54</f>
        <v>Uchi Conservation Limited</v>
      </c>
      <c r="E51" t="str">
        <f>'Loan Book'!F54</f>
        <v>Debt</v>
      </c>
      <c r="F51" s="426">
        <f>'Loan Book'!G54</f>
        <v>44867</v>
      </c>
      <c r="G51" s="426">
        <f>'Loan Book'!H54</f>
        <v>45598</v>
      </c>
      <c r="H51">
        <f>'Loan Book'!I54</f>
        <v>2</v>
      </c>
      <c r="I51" t="str">
        <f>'Loan Book'!J54</f>
        <v>6 (Cap+Int)</v>
      </c>
      <c r="J51">
        <f>IF('Loan Book'!K54="","",IF('Loan Book'!K54&lt;1,'Loan Book'!K54*100,'Loan Book'!K54))</f>
        <v>10</v>
      </c>
      <c r="K51" s="427">
        <f>'Loan Book'!L54</f>
        <v>10000000</v>
      </c>
      <c r="L51" s="427">
        <f>'Loan Book'!M54</f>
        <v>10000000</v>
      </c>
      <c r="M51" s="427">
        <f>'Loan Book'!N54</f>
        <v>0</v>
      </c>
      <c r="N51" s="427">
        <f>'Loan Book'!O54</f>
        <v>10000000</v>
      </c>
      <c r="O51" s="427">
        <f>'Loan Book'!P54</f>
        <v>1303763.1565395948</v>
      </c>
      <c r="P51" s="427">
        <f>'Loan Book'!Q54</f>
        <v>-4605000</v>
      </c>
      <c r="Q51" s="427">
        <f>'Loan Book'!R54</f>
        <v>6698763.1565395948</v>
      </c>
      <c r="R51" s="427">
        <f>'Loan Book'!S54</f>
        <v>6074397.6028188877</v>
      </c>
      <c r="S51" s="427">
        <f>'Loan Book'!T54</f>
        <v>90329.499081039801</v>
      </c>
      <c r="T51" s="427">
        <f>'Loan Book'!U54</f>
        <v>6164727.1018999275</v>
      </c>
      <c r="U51">
        <f>'Loan Book'!AC54</f>
        <v>0</v>
      </c>
      <c r="V51">
        <f>'Loan Book'!AE54</f>
        <v>0</v>
      </c>
      <c r="W51" t="str">
        <f>IFERROR(INDEX('E-Banker master'!$B$2:$B$186,MATCH($A51,'E-Banker master'!$A$2:$A$186,0)),"")</f>
        <v>Uchi Conservation Limited</v>
      </c>
      <c r="X51">
        <f>IFERROR(INDEX('E-Banker master'!$C$2:$C$186,MATCH($A51,'E-Banker master'!$A$2:$A$186,0)),"")</f>
        <v>90</v>
      </c>
      <c r="Y51" t="str">
        <f>IFERROR(INDEX('E-Banker master'!$D$2:$D$186,MATCH($A51,'E-Banker master'!$A$2:$A$186,0)),"")</f>
        <v>1050201</v>
      </c>
      <c r="Z51" t="str">
        <f>IFERROR(INDEX('E-Banker master'!$E$2:$E$186,MATCH($A51,'E-Banker master'!$A$2:$A$186,0)),"")</f>
        <v>D</v>
      </c>
      <c r="AA51" t="str">
        <f>IFERROR(INDEX('E-Banker master'!$F$2:$F$186,MATCH($A51,'E-Banker master'!$A$2:$A$186,0)),"")</f>
        <v>S</v>
      </c>
      <c r="AB51">
        <f>IFERROR(INDEX('E-Banker master'!$G$2:$G$186,MATCH($A51,'E-Banker master'!$A$2:$A$186,0)),"")</f>
        <v>10</v>
      </c>
      <c r="AC51" s="427">
        <f>IFERROR(INDEX('E-Banker master'!$I$2:$I$186,MATCH($A51,'E-Banker master'!$A$2:$A$186,0)),"")</f>
        <v>10000000</v>
      </c>
      <c r="AD51" s="426">
        <f>IFERROR(INDEX('E-Banker master'!$J$2:$J$186,MATCH($A51,'E-Banker master'!$A$2:$A$186,0)),"")</f>
        <v>44867</v>
      </c>
      <c r="AE51" s="426">
        <f>IFERROR(INDEX('E-Banker master'!$K$2:$K$186,MATCH($A51,'E-Banker master'!$A$2:$A$186,0)),"")</f>
        <v>45597</v>
      </c>
      <c r="AF51">
        <f>IFERROR(INDEX('E-Banker master'!$L$2:$L$186,MATCH($A51,'E-Banker master'!$A$2:$A$186,0)),"")</f>
        <v>6</v>
      </c>
      <c r="AG51">
        <f>IFERROR(INDEX('E-Banker master'!$M$2:$M$186,MATCH($A51,'E-Banker master'!$A$2:$A$186,0)),"")</f>
        <v>6</v>
      </c>
      <c r="AH51" s="427">
        <f>IFERROR(INDEX('E-Banker master'!$N$2:$N$186,MATCH($A51,'E-Banker master'!$A$2:$A$186,0)),"")</f>
        <v>10000000</v>
      </c>
      <c r="AI51" s="427">
        <f>IFERROR(INDEX('E-Banker master'!$O$2:$O$186,MATCH($A51,'E-Banker master'!$A$2:$A$186,0)),"")</f>
        <v>1264076.73</v>
      </c>
      <c r="AJ51" s="427">
        <f>IFERROR(INDEX('E-Banker master'!$P$2:$P$186,MATCH($A51,'E-Banker master'!$A$2:$A$186,0)),"")</f>
        <v>6882460.2000000002</v>
      </c>
      <c r="AK51" s="427">
        <f t="shared" si="3"/>
        <v>-183697.04346040543</v>
      </c>
      <c r="AL51">
        <v>48</v>
      </c>
      <c r="AM51" t="str">
        <f>HYPERLINK("#'Amortisation and Repayments'!C2605","block 48")</f>
        <v>block 48</v>
      </c>
      <c r="AN51">
        <f>Mapping!X51</f>
        <v>0</v>
      </c>
      <c r="AO51" s="440">
        <f>'Loan Book'!AS54</f>
        <v>100000</v>
      </c>
      <c r="AP51" s="440">
        <f>'Loan Book'!AT54</f>
        <v>212100</v>
      </c>
      <c r="AQ51" s="440"/>
      <c r="AR51" s="441">
        <f t="shared" si="2"/>
        <v>44867</v>
      </c>
      <c r="AS51" s="442" t="s">
        <v>977</v>
      </c>
      <c r="AT51" s="442" t="s">
        <v>978</v>
      </c>
      <c r="AU51" s="443">
        <f t="shared" si="4"/>
        <v>312100</v>
      </c>
    </row>
    <row r="52" spans="1:47" x14ac:dyDescent="0.35">
      <c r="A52" t="str">
        <f>Mapping!J52</f>
        <v>000104450000050</v>
      </c>
      <c r="B52" t="str">
        <f>Mapping!K52</f>
        <v>High</v>
      </c>
      <c r="C52">
        <v>55</v>
      </c>
      <c r="D52" t="str">
        <f>'Loan Book'!E55</f>
        <v>Greendom Farming</v>
      </c>
      <c r="E52" t="str">
        <f>'Loan Book'!F55</f>
        <v>Debt</v>
      </c>
      <c r="F52" s="426">
        <f>'Loan Book'!G55</f>
        <v>44874</v>
      </c>
      <c r="G52" s="426">
        <f>'Loan Book'!H55</f>
        <v>45605</v>
      </c>
      <c r="H52">
        <f>'Loan Book'!I55</f>
        <v>2</v>
      </c>
      <c r="I52" t="str">
        <f>'Loan Book'!J55</f>
        <v>3 (Cap+Int)</v>
      </c>
      <c r="J52">
        <f>IF('Loan Book'!K55="","",IF('Loan Book'!K55&lt;1,'Loan Book'!K55*100,'Loan Book'!K55))</f>
        <v>10</v>
      </c>
      <c r="K52" s="427">
        <f>'Loan Book'!L55</f>
        <v>10000000</v>
      </c>
      <c r="L52" s="427">
        <f>'Loan Book'!M55</f>
        <v>10000000</v>
      </c>
      <c r="M52" s="427">
        <f>'Loan Book'!N55</f>
        <v>0</v>
      </c>
      <c r="N52" s="427">
        <f>'Loan Book'!O55</f>
        <v>10000000</v>
      </c>
      <c r="O52" s="427">
        <f>'Loan Book'!P55</f>
        <v>1281959.2595718964</v>
      </c>
      <c r="P52" s="427">
        <f>'Loan Book'!Q55</f>
        <v>-10212484.42</v>
      </c>
      <c r="Q52" s="427">
        <f>'Loan Book'!R55</f>
        <v>1069474.8395718969</v>
      </c>
      <c r="R52" s="427">
        <f>'Loan Book'!S55</f>
        <v>505705.74030078377</v>
      </c>
      <c r="S52" s="427">
        <f>'Loan Book'!T55</f>
        <v>30763.15</v>
      </c>
      <c r="T52" s="427">
        <f>'Loan Book'!U55</f>
        <v>536468.89030078379</v>
      </c>
      <c r="U52">
        <f>'Loan Book'!AC55</f>
        <v>0</v>
      </c>
      <c r="V52">
        <f>'Loan Book'!AE55</f>
        <v>0</v>
      </c>
      <c r="W52" t="str">
        <f>IFERROR(INDEX('E-Banker master'!$B$2:$B$186,MATCH($A52,'E-Banker master'!$A$2:$A$186,0)),"")</f>
        <v>Greendom Farming</v>
      </c>
      <c r="X52">
        <f>IFERROR(INDEX('E-Banker master'!$C$2:$C$186,MATCH($A52,'E-Banker master'!$A$2:$A$186,0)),"")</f>
        <v>90</v>
      </c>
      <c r="Y52" t="str">
        <f>IFERROR(INDEX('E-Banker master'!$D$2:$D$186,MATCH($A52,'E-Banker master'!$A$2:$A$186,0)),"")</f>
        <v>1050201</v>
      </c>
      <c r="Z52" t="str">
        <f>IFERROR(INDEX('E-Banker master'!$E$2:$E$186,MATCH($A52,'E-Banker master'!$A$2:$A$186,0)),"")</f>
        <v>D</v>
      </c>
      <c r="AA52" t="str">
        <f>IFERROR(INDEX('E-Banker master'!$F$2:$F$186,MATCH($A52,'E-Banker master'!$A$2:$A$186,0)),"")</f>
        <v>S</v>
      </c>
      <c r="AB52">
        <f>IFERROR(INDEX('E-Banker master'!$G$2:$G$186,MATCH($A52,'E-Banker master'!$A$2:$A$186,0)),"")</f>
        <v>10</v>
      </c>
      <c r="AC52" s="427">
        <f>IFERROR(INDEX('E-Banker master'!$I$2:$I$186,MATCH($A52,'E-Banker master'!$A$2:$A$186,0)),"")</f>
        <v>10000000</v>
      </c>
      <c r="AD52" s="426">
        <f>IFERROR(INDEX('E-Banker master'!$J$2:$J$186,MATCH($A52,'E-Banker master'!$A$2:$A$186,0)),"")</f>
        <v>44874</v>
      </c>
      <c r="AE52" s="426">
        <f>IFERROR(INDEX('E-Banker master'!$K$2:$K$186,MATCH($A52,'E-Banker master'!$A$2:$A$186,0)),"")</f>
        <v>45604</v>
      </c>
      <c r="AF52">
        <f>IFERROR(INDEX('E-Banker master'!$L$2:$L$186,MATCH($A52,'E-Banker master'!$A$2:$A$186,0)),"")</f>
        <v>3</v>
      </c>
      <c r="AG52">
        <f>IFERROR(INDEX('E-Banker master'!$M$2:$M$186,MATCH($A52,'E-Banker master'!$A$2:$A$186,0)),"")</f>
        <v>3</v>
      </c>
      <c r="AH52" s="427">
        <f>IFERROR(INDEX('E-Banker master'!$N$2:$N$186,MATCH($A52,'E-Banker master'!$A$2:$A$186,0)),"")</f>
        <v>10000000</v>
      </c>
      <c r="AI52" s="427">
        <f>IFERROR(INDEX('E-Banker master'!$O$2:$O$186,MATCH($A52,'E-Banker master'!$A$2:$A$186,0)),"")</f>
        <v>1242349.3799999999</v>
      </c>
      <c r="AJ52" s="427">
        <f>IFERROR(INDEX('E-Banker master'!$P$2:$P$186,MATCH($A52,'E-Banker master'!$A$2:$A$186,0)),"")</f>
        <v>1072059.3799999999</v>
      </c>
      <c r="AK52" s="427">
        <f t="shared" si="3"/>
        <v>-2584.5404281029478</v>
      </c>
      <c r="AL52">
        <v>49</v>
      </c>
      <c r="AM52" t="str">
        <f>HYPERLINK("#'Amortisation and Repayments'!C2647","block 49")</f>
        <v>block 49</v>
      </c>
      <c r="AN52">
        <f>Mapping!X52</f>
        <v>0</v>
      </c>
      <c r="AO52" s="440">
        <f>'Loan Book'!AS55</f>
        <v>100000</v>
      </c>
      <c r="AP52" s="440">
        <f>'Loan Book'!AT55</f>
        <v>212100</v>
      </c>
      <c r="AQ52" s="440"/>
      <c r="AR52" s="441">
        <f t="shared" si="2"/>
        <v>44874</v>
      </c>
      <c r="AS52" s="442" t="s">
        <v>977</v>
      </c>
      <c r="AT52" s="442" t="s">
        <v>978</v>
      </c>
      <c r="AU52" s="443">
        <f t="shared" si="4"/>
        <v>312100</v>
      </c>
    </row>
    <row r="53" spans="1:47" x14ac:dyDescent="0.35">
      <c r="A53" t="str">
        <f>Mapping!J53</f>
        <v>000104450000051</v>
      </c>
      <c r="B53" t="str">
        <f>Mapping!K53</f>
        <v>High</v>
      </c>
      <c r="C53">
        <v>56</v>
      </c>
      <c r="D53" t="str">
        <f>'Loan Book'!E56</f>
        <v>JAT Investments</v>
      </c>
      <c r="E53" t="str">
        <f>'Loan Book'!F56</f>
        <v>Debt</v>
      </c>
      <c r="F53" s="426">
        <f>'Loan Book'!G56</f>
        <v>44875</v>
      </c>
      <c r="G53" s="426">
        <f>'Loan Book'!H56</f>
        <v>45606</v>
      </c>
      <c r="H53">
        <f>'Loan Book'!I56</f>
        <v>2</v>
      </c>
      <c r="I53" t="str">
        <f>'Loan Book'!J56</f>
        <v>3 (Cap+Int)</v>
      </c>
      <c r="J53">
        <f>IF('Loan Book'!K56="","",IF('Loan Book'!K56&lt;1,'Loan Book'!K56*100,'Loan Book'!K56))</f>
        <v>10</v>
      </c>
      <c r="K53" s="427">
        <f>'Loan Book'!L56</f>
        <v>24000000</v>
      </c>
      <c r="L53" s="427">
        <f>'Loan Book'!M56</f>
        <v>24000000</v>
      </c>
      <c r="M53" s="427">
        <f>'Loan Book'!N56</f>
        <v>0</v>
      </c>
      <c r="N53" s="427">
        <f>'Loan Book'!O56</f>
        <v>24000000</v>
      </c>
      <c r="O53" s="427">
        <f>'Loan Book'!P56</f>
        <v>2273300.9602621705</v>
      </c>
      <c r="P53" s="427">
        <f>'Loan Book'!Q56</f>
        <v>-26274268.280000001</v>
      </c>
      <c r="Q53" s="427">
        <f>'Loan Book'!R56</f>
        <v>0</v>
      </c>
      <c r="R53" s="427">
        <f>'Loan Book'!S56</f>
        <v>0</v>
      </c>
      <c r="S53" s="427">
        <f>'Loan Book'!T56</f>
        <v>0</v>
      </c>
      <c r="T53" s="427">
        <f>'Loan Book'!U56</f>
        <v>0</v>
      </c>
      <c r="U53">
        <f>'Loan Book'!AC56</f>
        <v>0</v>
      </c>
      <c r="V53">
        <f>'Loan Book'!AE56</f>
        <v>0</v>
      </c>
      <c r="W53" t="str">
        <f>IFERROR(INDEX('E-Banker master'!$B$2:$B$186,MATCH($A53,'E-Banker master'!$A$2:$A$186,0)),"")</f>
        <v>JAT Investments</v>
      </c>
      <c r="X53">
        <f>IFERROR(INDEX('E-Banker master'!$C$2:$C$186,MATCH($A53,'E-Banker master'!$A$2:$A$186,0)),"")</f>
        <v>90</v>
      </c>
      <c r="Y53" t="str">
        <f>IFERROR(INDEX('E-Banker master'!$D$2:$D$186,MATCH($A53,'E-Banker master'!$A$2:$A$186,0)),"")</f>
        <v>1050201</v>
      </c>
      <c r="Z53" t="str">
        <f>IFERROR(INDEX('E-Banker master'!$E$2:$E$186,MATCH($A53,'E-Banker master'!$A$2:$A$186,0)),"")</f>
        <v>C</v>
      </c>
      <c r="AA53" t="str">
        <f>IFERROR(INDEX('E-Banker master'!$F$2:$F$186,MATCH($A53,'E-Banker master'!$A$2:$A$186,0)),"")</f>
        <v>S</v>
      </c>
      <c r="AB53">
        <f>IFERROR(INDEX('E-Banker master'!$G$2:$G$186,MATCH($A53,'E-Banker master'!$A$2:$A$186,0)),"")</f>
        <v>10</v>
      </c>
      <c r="AC53" s="427">
        <f>IFERROR(INDEX('E-Banker master'!$I$2:$I$186,MATCH($A53,'E-Banker master'!$A$2:$A$186,0)),"")</f>
        <v>24000000</v>
      </c>
      <c r="AD53" s="426">
        <f>IFERROR(INDEX('E-Banker master'!$J$2:$J$186,MATCH($A53,'E-Banker master'!$A$2:$A$186,0)),"")</f>
        <v>44875</v>
      </c>
      <c r="AE53" s="426">
        <f>IFERROR(INDEX('E-Banker master'!$K$2:$K$186,MATCH($A53,'E-Banker master'!$A$2:$A$186,0)),"")</f>
        <v>45605</v>
      </c>
      <c r="AF53">
        <f>IFERROR(INDEX('E-Banker master'!$L$2:$L$186,MATCH($A53,'E-Banker master'!$A$2:$A$186,0)),"")</f>
        <v>3</v>
      </c>
      <c r="AG53">
        <f>IFERROR(INDEX('E-Banker master'!$M$2:$M$186,MATCH($A53,'E-Banker master'!$A$2:$A$186,0)),"")</f>
        <v>3</v>
      </c>
      <c r="AH53" s="427">
        <f>IFERROR(INDEX('E-Banker master'!$N$2:$N$186,MATCH($A53,'E-Banker master'!$A$2:$A$186,0)),"")</f>
        <v>0</v>
      </c>
      <c r="AI53" s="427">
        <f>IFERROR(INDEX('E-Banker master'!$O$2:$O$186,MATCH($A53,'E-Banker master'!$A$2:$A$186,0)),"")</f>
        <v>0</v>
      </c>
      <c r="AJ53" s="427">
        <f>IFERROR(INDEX('E-Banker master'!$P$2:$P$186,MATCH($A53,'E-Banker master'!$A$2:$A$186,0)),"")</f>
        <v>0</v>
      </c>
      <c r="AK53" s="427">
        <f t="shared" si="3"/>
        <v>0</v>
      </c>
      <c r="AL53">
        <v>50</v>
      </c>
      <c r="AM53" t="str">
        <f>HYPERLINK("#'Amortisation and Repayments'!C2692","block 50")</f>
        <v>block 50</v>
      </c>
      <c r="AN53">
        <f>Mapping!X53</f>
        <v>0</v>
      </c>
      <c r="AO53" s="440">
        <f>'Loan Book'!AS56</f>
        <v>240000</v>
      </c>
      <c r="AP53" s="440">
        <f>'Loan Book'!AT56</f>
        <v>438340</v>
      </c>
      <c r="AQ53" s="440"/>
      <c r="AR53" s="441">
        <f t="shared" si="2"/>
        <v>44875</v>
      </c>
      <c r="AS53" s="442" t="s">
        <v>977</v>
      </c>
      <c r="AT53" s="442" t="s">
        <v>978</v>
      </c>
      <c r="AU53" s="443">
        <f t="shared" si="4"/>
        <v>678340</v>
      </c>
    </row>
    <row r="54" spans="1:47" x14ac:dyDescent="0.35">
      <c r="A54" t="str">
        <f>Mapping!J54</f>
        <v>000104420000052</v>
      </c>
      <c r="B54" t="str">
        <f>Mapping!K54</f>
        <v>High</v>
      </c>
      <c r="C54">
        <v>57</v>
      </c>
      <c r="D54" t="str">
        <f>'Loan Book'!E57</f>
        <v>Kambewu Organic Fertilizer Investments</v>
      </c>
      <c r="E54" t="str">
        <f>'Loan Book'!F57</f>
        <v>Debt</v>
      </c>
      <c r="F54" s="426">
        <f>'Loan Book'!G57</f>
        <v>44883</v>
      </c>
      <c r="G54" s="426">
        <f>'Loan Book'!H57</f>
        <v>46356</v>
      </c>
      <c r="H54">
        <f>'Loan Book'!I57</f>
        <v>4</v>
      </c>
      <c r="I54" t="str">
        <f>'Loan Book'!J57</f>
        <v>12 (Cap+Int)</v>
      </c>
      <c r="J54">
        <f>IF('Loan Book'!K57="","",IF('Loan Book'!K57&lt;1,'Loan Book'!K57*100,'Loan Book'!K57))</f>
        <v>31.100000000000005</v>
      </c>
      <c r="K54" s="427">
        <f>'Loan Book'!L57</f>
        <v>103166500</v>
      </c>
      <c r="L54" s="427">
        <f>'Loan Book'!M57</f>
        <v>103166500</v>
      </c>
      <c r="M54" s="427">
        <f>'Loan Book'!N57</f>
        <v>0</v>
      </c>
      <c r="N54" s="427">
        <f>'Loan Book'!O57</f>
        <v>103166500</v>
      </c>
      <c r="O54" s="427">
        <f>'Loan Book'!P57</f>
        <v>65138962.697941028</v>
      </c>
      <c r="P54" s="427">
        <f>'Loan Book'!Q57</f>
        <v>0</v>
      </c>
      <c r="Q54" s="427">
        <f>'Loan Book'!R57</f>
        <v>168305462.69794104</v>
      </c>
      <c r="R54" s="427">
        <f>'Loan Book'!S57</f>
        <v>0</v>
      </c>
      <c r="S54" s="427">
        <f>'Loan Book'!T57</f>
        <v>0</v>
      </c>
      <c r="T54" s="427">
        <f>'Loan Book'!U57</f>
        <v>0</v>
      </c>
      <c r="U54">
        <f>'Loan Book'!AC57</f>
        <v>0</v>
      </c>
      <c r="V54">
        <f>'Loan Book'!AE57</f>
        <v>0</v>
      </c>
      <c r="W54" t="str">
        <f>IFERROR(INDEX('E-Banker master'!$B$2:$B$186,MATCH($A54,'E-Banker master'!$A$2:$A$186,0)),"")</f>
        <v>Kambewu Organic Fertilizer Investments</v>
      </c>
      <c r="X54">
        <f>IFERROR(INDEX('E-Banker master'!$C$2:$C$186,MATCH($A54,'E-Banker master'!$A$2:$A$186,0)),"")</f>
        <v>84</v>
      </c>
      <c r="Y54" t="str">
        <f>IFERROR(INDEX('E-Banker master'!$D$2:$D$186,MATCH($A54,'E-Banker master'!$A$2:$A$186,0)),"")</f>
        <v>1050101</v>
      </c>
      <c r="Z54" t="str">
        <f>IFERROR(INDEX('E-Banker master'!$E$2:$E$186,MATCH($A54,'E-Banker master'!$A$2:$A$186,0)),"")</f>
        <v>A</v>
      </c>
      <c r="AA54" t="str">
        <f>IFERROR(INDEX('E-Banker master'!$F$2:$F$186,MATCH($A54,'E-Banker master'!$A$2:$A$186,0)),"")</f>
        <v>M</v>
      </c>
      <c r="AB54">
        <f>IFERROR(INDEX('E-Banker master'!$G$2:$G$186,MATCH($A54,'E-Banker master'!$A$2:$A$186,0)),"")</f>
        <v>28.8</v>
      </c>
      <c r="AC54" s="427">
        <f>IFERROR(INDEX('E-Banker master'!$I$2:$I$186,MATCH($A54,'E-Banker master'!$A$2:$A$186,0)),"")</f>
        <v>103166500</v>
      </c>
      <c r="AD54" s="426">
        <f>IFERROR(INDEX('E-Banker master'!$J$2:$J$186,MATCH($A54,'E-Banker master'!$A$2:$A$186,0)),"")</f>
        <v>44789</v>
      </c>
      <c r="AE54" s="426">
        <f>IFERROR(INDEX('E-Banker master'!$K$2:$K$186,MATCH($A54,'E-Banker master'!$A$2:$A$186,0)),"")</f>
        <v>46250</v>
      </c>
      <c r="AF54">
        <f>IFERROR(INDEX('E-Banker master'!$L$2:$L$186,MATCH($A54,'E-Banker master'!$A$2:$A$186,0)),"")</f>
        <v>12</v>
      </c>
      <c r="AG54">
        <f>IFERROR(INDEX('E-Banker master'!$M$2:$M$186,MATCH($A54,'E-Banker master'!$A$2:$A$186,0)),"")</f>
        <v>12</v>
      </c>
      <c r="AH54" s="427">
        <f>IFERROR(INDEX('E-Banker master'!$N$2:$N$186,MATCH($A54,'E-Banker master'!$A$2:$A$186,0)),"")</f>
        <v>103166500</v>
      </c>
      <c r="AI54" s="427">
        <f>IFERROR(INDEX('E-Banker master'!$O$2:$O$186,MATCH($A54,'E-Banker master'!$A$2:$A$186,0)),"")</f>
        <v>54797857.670000002</v>
      </c>
      <c r="AJ54" s="427">
        <f>IFERROR(INDEX('E-Banker master'!$P$2:$P$186,MATCH($A54,'E-Banker master'!$A$2:$A$186,0)),"")</f>
        <v>172069095.46000001</v>
      </c>
      <c r="AK54" s="427">
        <f t="shared" si="3"/>
        <v>-3763632.7620589733</v>
      </c>
      <c r="AL54">
        <v>51</v>
      </c>
      <c r="AM54" t="str">
        <f>HYPERLINK("#'Amortisation and Repayments'!C2739","block 51")</f>
        <v>block 51</v>
      </c>
      <c r="AN54">
        <f>Mapping!X54</f>
        <v>0</v>
      </c>
      <c r="AO54" s="440">
        <f>'Loan Book'!AS57</f>
        <v>0</v>
      </c>
      <c r="AP54" s="440">
        <f>'Loan Book'!AT57</f>
        <v>0</v>
      </c>
      <c r="AQ54" s="440"/>
      <c r="AR54" s="441">
        <f t="shared" si="2"/>
        <v>44789</v>
      </c>
      <c r="AS54" s="442"/>
      <c r="AT54" s="442"/>
      <c r="AU54" s="443">
        <f t="shared" si="4"/>
        <v>0</v>
      </c>
    </row>
    <row r="55" spans="1:47" x14ac:dyDescent="0.35">
      <c r="A55" t="str">
        <f>Mapping!J55</f>
        <v>000104450000053</v>
      </c>
      <c r="B55" t="str">
        <f>Mapping!K55</f>
        <v>High</v>
      </c>
      <c r="C55">
        <v>58</v>
      </c>
      <c r="D55" t="str">
        <f>'Loan Book'!E58</f>
        <v>Kwithu Producers and Marketing Cooperativ</v>
      </c>
      <c r="E55" t="str">
        <f>'Loan Book'!F58</f>
        <v>Debt</v>
      </c>
      <c r="F55" s="426">
        <f>'Loan Book'!G58</f>
        <v>44950</v>
      </c>
      <c r="G55" s="426">
        <f>'Loan Book'!H58</f>
        <v>46046</v>
      </c>
      <c r="H55">
        <f>'Loan Book'!I58</f>
        <v>3</v>
      </c>
      <c r="I55" t="str">
        <f>'Loan Book'!J58</f>
        <v>3 ( Cap only)</v>
      </c>
      <c r="J55">
        <f>IF('Loan Book'!K58="","",IF('Loan Book'!K58&lt;1,'Loan Book'!K58*100,'Loan Book'!K58))</f>
        <v>10</v>
      </c>
      <c r="K55" s="427">
        <f>'Loan Book'!L58</f>
        <v>90900000</v>
      </c>
      <c r="L55" s="427">
        <f>'Loan Book'!M58</f>
        <v>90900000</v>
      </c>
      <c r="M55" s="427">
        <f>'Loan Book'!N58</f>
        <v>0</v>
      </c>
      <c r="N55" s="427">
        <f>'Loan Book'!O58</f>
        <v>90900000</v>
      </c>
      <c r="O55" s="427">
        <f>'Loan Book'!P58</f>
        <v>12896601.925653504</v>
      </c>
      <c r="P55" s="427">
        <f>'Loan Book'!Q58</f>
        <v>-59384394.300000004</v>
      </c>
      <c r="Q55" s="427">
        <f>'Loan Book'!R58</f>
        <v>44412207.625653498</v>
      </c>
      <c r="R55" s="427">
        <f>'Loan Book'!S58</f>
        <v>0</v>
      </c>
      <c r="S55" s="427">
        <f>'Loan Book'!T58</f>
        <v>0</v>
      </c>
      <c r="T55" s="427">
        <f>'Loan Book'!U58</f>
        <v>0</v>
      </c>
      <c r="U55">
        <f>'Loan Book'!AC58</f>
        <v>0</v>
      </c>
      <c r="V55">
        <f>'Loan Book'!AE58</f>
        <v>0</v>
      </c>
      <c r="W55" t="str">
        <f>IFERROR(INDEX('E-Banker master'!$B$2:$B$186,MATCH($A55,'E-Banker master'!$A$2:$A$186,0)),"")</f>
        <v>Kwithu Producers and Marketing Co 2</v>
      </c>
      <c r="X55">
        <f>IFERROR(INDEX('E-Banker master'!$C$2:$C$186,MATCH($A55,'E-Banker master'!$A$2:$A$186,0)),"")</f>
        <v>90</v>
      </c>
      <c r="Y55" t="str">
        <f>IFERROR(INDEX('E-Banker master'!$D$2:$D$186,MATCH($A55,'E-Banker master'!$A$2:$A$186,0)),"")</f>
        <v>1050201</v>
      </c>
      <c r="Z55" t="str">
        <f>IFERROR(INDEX('E-Banker master'!$E$2:$E$186,MATCH($A55,'E-Banker master'!$A$2:$A$186,0)),"")</f>
        <v>F</v>
      </c>
      <c r="AA55" t="str">
        <f>IFERROR(INDEX('E-Banker master'!$F$2:$F$186,MATCH($A55,'E-Banker master'!$A$2:$A$186,0)),"")</f>
        <v>S</v>
      </c>
      <c r="AB55">
        <f>IFERROR(INDEX('E-Banker master'!$G$2:$G$186,MATCH($A55,'E-Banker master'!$A$2:$A$186,0)),"")</f>
        <v>10</v>
      </c>
      <c r="AC55" s="427">
        <f>IFERROR(INDEX('E-Banker master'!$I$2:$I$186,MATCH($A55,'E-Banker master'!$A$2:$A$186,0)),"")</f>
        <v>90900000</v>
      </c>
      <c r="AD55" s="426">
        <f>IFERROR(INDEX('E-Banker master'!$J$2:$J$186,MATCH($A55,'E-Banker master'!$A$2:$A$186,0)),"")</f>
        <v>44950</v>
      </c>
      <c r="AE55" s="426">
        <f>IFERROR(INDEX('E-Banker master'!$K$2:$K$186,MATCH($A55,'E-Banker master'!$A$2:$A$186,0)),"")</f>
        <v>46045</v>
      </c>
      <c r="AF55">
        <f>IFERROR(INDEX('E-Banker master'!$L$2:$L$186,MATCH($A55,'E-Banker master'!$A$2:$A$186,0)),"")</f>
        <v>3</v>
      </c>
      <c r="AG55">
        <f>IFERROR(INDEX('E-Banker master'!$M$2:$M$186,MATCH($A55,'E-Banker master'!$A$2:$A$186,0)),"")</f>
        <v>0</v>
      </c>
      <c r="AH55" s="427">
        <f>IFERROR(INDEX('E-Banker master'!$N$2:$N$186,MATCH($A55,'E-Banker master'!$A$2:$A$186,0)),"")</f>
        <v>90900000</v>
      </c>
      <c r="AI55" s="427">
        <f>IFERROR(INDEX('E-Banker master'!$O$2:$O$186,MATCH($A55,'E-Banker master'!$A$2:$A$186,0)),"")</f>
        <v>11648615.529999999</v>
      </c>
      <c r="AJ55" s="427">
        <f>IFERROR(INDEX('E-Banker master'!$P$2:$P$186,MATCH($A55,'E-Banker master'!$A$2:$A$186,0)),"")</f>
        <v>44388654.57</v>
      </c>
      <c r="AK55" s="427">
        <f t="shared" si="3"/>
        <v>23553.055653497577</v>
      </c>
      <c r="AL55">
        <v>52</v>
      </c>
      <c r="AM55" t="str">
        <f>HYPERLINK("#'Amortisation and Repayments'!C2809","block 52")</f>
        <v>block 52</v>
      </c>
      <c r="AN55">
        <f>Mapping!X55</f>
        <v>0</v>
      </c>
      <c r="AO55" s="440">
        <f>'Loan Book'!AS58</f>
        <v>900000</v>
      </c>
      <c r="AP55" s="440">
        <f>'Loan Book'!AT58</f>
        <v>0</v>
      </c>
      <c r="AQ55" s="440"/>
      <c r="AR55" s="441">
        <f t="shared" si="2"/>
        <v>44950</v>
      </c>
      <c r="AS55" s="442" t="s">
        <v>977</v>
      </c>
      <c r="AT55" s="442" t="s">
        <v>978</v>
      </c>
      <c r="AU55" s="443">
        <f t="shared" si="4"/>
        <v>900000</v>
      </c>
    </row>
    <row r="56" spans="1:47" x14ac:dyDescent="0.35">
      <c r="A56" t="str">
        <f>Mapping!J56</f>
        <v>000104430000054</v>
      </c>
      <c r="B56" t="str">
        <f>Mapping!K56</f>
        <v>High</v>
      </c>
      <c r="C56">
        <v>59</v>
      </c>
      <c r="D56" t="str">
        <f>'Loan Book'!E59</f>
        <v>VNC Bricks &amp; Construction Group Ltd</v>
      </c>
      <c r="E56" t="str">
        <f>'Loan Book'!F59</f>
        <v>Debt</v>
      </c>
      <c r="F56" s="426">
        <f>'Loan Book'!G59</f>
        <v>44952</v>
      </c>
      <c r="G56" s="426">
        <f>'Loan Book'!H59</f>
        <v>46413</v>
      </c>
      <c r="H56">
        <f>'Loan Book'!I59</f>
        <v>4</v>
      </c>
      <c r="I56" t="str">
        <f>'Loan Book'!J59</f>
        <v>6 (Cap+Int)</v>
      </c>
      <c r="J56">
        <f>IF('Loan Book'!K59="","",IF('Loan Book'!K59&lt;1,'Loan Book'!K59*100,'Loan Book'!K59))</f>
        <v>25.3</v>
      </c>
      <c r="K56" s="427">
        <f>'Loan Book'!L59</f>
        <v>200000000</v>
      </c>
      <c r="L56" s="427">
        <f>'Loan Book'!M59</f>
        <v>200000000</v>
      </c>
      <c r="M56" s="427">
        <f>'Loan Book'!N59</f>
        <v>0</v>
      </c>
      <c r="N56" s="427">
        <f>'Loan Book'!O59</f>
        <v>200000000</v>
      </c>
      <c r="O56" s="427">
        <f>'Loan Book'!P59</f>
        <v>112568531.06852828</v>
      </c>
      <c r="P56" s="427">
        <f>'Loan Book'!Q59</f>
        <v>-80000000</v>
      </c>
      <c r="Q56" s="427">
        <f>'Loan Book'!R59</f>
        <v>232568531.06852829</v>
      </c>
      <c r="R56" s="427">
        <f>'Loan Book'!S59</f>
        <v>48353994.586170122</v>
      </c>
      <c r="S56" s="427">
        <f>'Loan Book'!T59</f>
        <v>9447078.7885883749</v>
      </c>
      <c r="T56" s="427">
        <f>'Loan Book'!U59</f>
        <v>57801073.374758497</v>
      </c>
      <c r="U56">
        <f>'Loan Book'!AC59</f>
        <v>0</v>
      </c>
      <c r="V56">
        <f>'Loan Book'!AE59</f>
        <v>0</v>
      </c>
      <c r="W56" t="str">
        <f>IFERROR(INDEX('E-Banker master'!$B$2:$B$186,MATCH($A56,'E-Banker master'!$A$2:$A$186,0)),"")</f>
        <v>VNC Bricks &amp; Construction Group Ltd</v>
      </c>
      <c r="X56">
        <f>IFERROR(INDEX('E-Banker master'!$C$2:$C$186,MATCH($A56,'E-Banker master'!$A$2:$A$186,0)),"")</f>
        <v>86</v>
      </c>
      <c r="Y56" t="str">
        <f>IFERROR(INDEX('E-Banker master'!$D$2:$D$186,MATCH($A56,'E-Banker master'!$A$2:$A$186,0)),"")</f>
        <v>1050102</v>
      </c>
      <c r="Z56" t="str">
        <f>IFERROR(INDEX('E-Banker master'!$E$2:$E$186,MATCH($A56,'E-Banker master'!$A$2:$A$186,0)),"")</f>
        <v>D</v>
      </c>
      <c r="AA56" t="str">
        <f>IFERROR(INDEX('E-Banker master'!$F$2:$F$186,MATCH($A56,'E-Banker master'!$A$2:$A$186,0)),"")</f>
        <v>M</v>
      </c>
      <c r="AB56">
        <f>IFERROR(INDEX('E-Banker master'!$G$2:$G$186,MATCH($A56,'E-Banker master'!$A$2:$A$186,0)),"")</f>
        <v>29.2</v>
      </c>
      <c r="AC56" s="427">
        <f>IFERROR(INDEX('E-Banker master'!$I$2:$I$186,MATCH($A56,'E-Banker master'!$A$2:$A$186,0)),"")</f>
        <v>20000000</v>
      </c>
      <c r="AD56" s="426">
        <f>IFERROR(INDEX('E-Banker master'!$J$2:$J$186,MATCH($A56,'E-Banker master'!$A$2:$A$186,0)),"")</f>
        <v>44853</v>
      </c>
      <c r="AE56" s="426">
        <f>IFERROR(INDEX('E-Banker master'!$K$2:$K$186,MATCH($A56,'E-Banker master'!$A$2:$A$186,0)),"")</f>
        <v>46314</v>
      </c>
      <c r="AF56">
        <f>IFERROR(INDEX('E-Banker master'!$L$2:$L$186,MATCH($A56,'E-Banker master'!$A$2:$A$186,0)),"")</f>
        <v>0</v>
      </c>
      <c r="AG56">
        <f>IFERROR(INDEX('E-Banker master'!$M$2:$M$186,MATCH($A56,'E-Banker master'!$A$2:$A$186,0)),"")</f>
        <v>0</v>
      </c>
      <c r="AH56" s="427">
        <f>IFERROR(INDEX('E-Banker master'!$N$2:$N$186,MATCH($A56,'E-Banker master'!$A$2:$A$186,0)),"")</f>
        <v>200000000</v>
      </c>
      <c r="AI56" s="427">
        <f>IFERROR(INDEX('E-Banker master'!$O$2:$O$186,MATCH($A56,'E-Banker master'!$A$2:$A$186,0)),"")</f>
        <v>97264936.480000004</v>
      </c>
      <c r="AJ56" s="427">
        <f>IFERROR(INDEX('E-Banker master'!$P$2:$P$186,MATCH($A56,'E-Banker master'!$A$2:$A$186,0)),"")</f>
        <v>235751878.34999999</v>
      </c>
      <c r="AK56" s="427">
        <f t="shared" si="3"/>
        <v>-3183347.2814716995</v>
      </c>
      <c r="AL56">
        <v>53</v>
      </c>
      <c r="AM56" t="str">
        <f>HYPERLINK("#'Amortisation and Repayments'!C2864","block 53")</f>
        <v>block 53</v>
      </c>
      <c r="AN56">
        <f>Mapping!X56</f>
        <v>0</v>
      </c>
      <c r="AO56" s="440">
        <f>'Loan Book'!AS59</f>
        <v>3000000</v>
      </c>
      <c r="AP56" s="440">
        <f>'Loan Book'!AT59</f>
        <v>3282500</v>
      </c>
      <c r="AQ56" s="440"/>
      <c r="AR56" s="441">
        <f t="shared" si="2"/>
        <v>44853</v>
      </c>
      <c r="AS56" s="442" t="s">
        <v>977</v>
      </c>
      <c r="AT56" s="442" t="s">
        <v>978</v>
      </c>
      <c r="AU56" s="443">
        <f t="shared" si="4"/>
        <v>6282500</v>
      </c>
    </row>
    <row r="57" spans="1:47" x14ac:dyDescent="0.35">
      <c r="A57" t="str">
        <f>Mapping!J57</f>
        <v>000104460000055</v>
      </c>
      <c r="B57" t="str">
        <f>Mapping!K57</f>
        <v>High</v>
      </c>
      <c r="C57">
        <v>60</v>
      </c>
      <c r="D57" t="str">
        <f>'Loan Book'!E60</f>
        <v>Ruo Textiles Limited</v>
      </c>
      <c r="E57" t="str">
        <f>'Loan Book'!F60</f>
        <v>Debt</v>
      </c>
      <c r="F57" s="426">
        <f>'Loan Book'!G60</f>
        <v>44952</v>
      </c>
      <c r="G57" s="426">
        <f>'Loan Book'!H60</f>
        <v>46048</v>
      </c>
      <c r="H57">
        <f>'Loan Book'!I60</f>
        <v>3</v>
      </c>
      <c r="I57" t="str">
        <f>'Loan Book'!J60</f>
        <v>12 ( Cap only)</v>
      </c>
      <c r="J57">
        <f>IF('Loan Book'!K60="","",IF('Loan Book'!K60&lt;1,'Loan Book'!K60*100,'Loan Book'!K60))</f>
        <v>10</v>
      </c>
      <c r="K57" s="427">
        <f>'Loan Book'!L60</f>
        <v>70000000</v>
      </c>
      <c r="L57" s="427">
        <f>'Loan Book'!M60</f>
        <v>21462708.129999999</v>
      </c>
      <c r="M57" s="427">
        <f>'Loan Book'!N60</f>
        <v>48537291.870000005</v>
      </c>
      <c r="N57" s="427">
        <f>'Loan Book'!O60</f>
        <v>21462708.129999999</v>
      </c>
      <c r="O57" s="427">
        <f>'Loan Book'!P60</f>
        <v>3398027.1723905117</v>
      </c>
      <c r="P57" s="427">
        <f>'Loan Book'!Q60</f>
        <v>-7923765.5999999996</v>
      </c>
      <c r="Q57" s="427">
        <f>'Loan Book'!R60</f>
        <v>16936969.702390514</v>
      </c>
      <c r="R57" s="427">
        <f>'Loan Book'!S60</f>
        <v>867246.36541539652</v>
      </c>
      <c r="S57" s="427">
        <f>'Loan Book'!T60</f>
        <v>122543.80554680165</v>
      </c>
      <c r="T57" s="427">
        <f>'Loan Book'!U60</f>
        <v>989790.17096219817</v>
      </c>
      <c r="U57">
        <f>'Loan Book'!AC60</f>
        <v>0</v>
      </c>
      <c r="V57">
        <f>'Loan Book'!AE60</f>
        <v>0</v>
      </c>
      <c r="W57" t="str">
        <f>IFERROR(INDEX('E-Banker master'!$B$2:$B$186,MATCH($A57,'E-Banker master'!$A$2:$A$186,0)),"")</f>
        <v>Ruo Textiles Limited</v>
      </c>
      <c r="X57">
        <f>IFERROR(INDEX('E-Banker master'!$C$2:$C$186,MATCH($A57,'E-Banker master'!$A$2:$A$186,0)),"")</f>
        <v>92</v>
      </c>
      <c r="Y57" t="str">
        <f>IFERROR(INDEX('E-Banker master'!$D$2:$D$186,MATCH($A57,'E-Banker master'!$A$2:$A$186,0)),"")</f>
        <v>1050202</v>
      </c>
      <c r="Z57" t="str">
        <f>IFERROR(INDEX('E-Banker master'!$E$2:$E$186,MATCH($A57,'E-Banker master'!$A$2:$A$186,0)),"")</f>
        <v>A</v>
      </c>
      <c r="AA57" t="str">
        <f>IFERROR(INDEX('E-Banker master'!$F$2:$F$186,MATCH($A57,'E-Banker master'!$A$2:$A$186,0)),"")</f>
        <v>S</v>
      </c>
      <c r="AB57">
        <f>IFERROR(INDEX('E-Banker master'!$G$2:$G$186,MATCH($A57,'E-Banker master'!$A$2:$A$186,0)),"")</f>
        <v>10</v>
      </c>
      <c r="AC57" s="427">
        <f>IFERROR(INDEX('E-Banker master'!$I$2:$I$186,MATCH($A57,'E-Banker master'!$A$2:$A$186,0)),"")</f>
        <v>70000000</v>
      </c>
      <c r="AD57" s="426">
        <f>IFERROR(INDEX('E-Banker master'!$J$2:$J$186,MATCH($A57,'E-Banker master'!$A$2:$A$186,0)),"")</f>
        <v>44952</v>
      </c>
      <c r="AE57" s="426">
        <f>IFERROR(INDEX('E-Banker master'!$K$2:$K$186,MATCH($A57,'E-Banker master'!$A$2:$A$186,0)),"")</f>
        <v>46047</v>
      </c>
      <c r="AF57">
        <f>IFERROR(INDEX('E-Banker master'!$L$2:$L$186,MATCH($A57,'E-Banker master'!$A$2:$A$186,0)),"")</f>
        <v>12</v>
      </c>
      <c r="AG57">
        <f>IFERROR(INDEX('E-Banker master'!$M$2:$M$186,MATCH($A57,'E-Banker master'!$A$2:$A$186,0)),"")</f>
        <v>0</v>
      </c>
      <c r="AH57" s="427">
        <f>IFERROR(INDEX('E-Banker master'!$N$2:$N$186,MATCH($A57,'E-Banker master'!$A$2:$A$186,0)),"")</f>
        <v>21462708.129999999</v>
      </c>
      <c r="AI57" s="427">
        <f>IFERROR(INDEX('E-Banker master'!$O$2:$O$186,MATCH($A57,'E-Banker master'!$A$2:$A$186,0)),"")</f>
        <v>3007138.27</v>
      </c>
      <c r="AJ57" s="427">
        <f>IFERROR(INDEX('E-Banker master'!$P$2:$P$186,MATCH($A57,'E-Banker master'!$A$2:$A$186,0)),"")</f>
        <v>17003080.02</v>
      </c>
      <c r="AK57" s="427">
        <f t="shared" si="3"/>
        <v>-66110.317609485239</v>
      </c>
      <c r="AL57">
        <v>54</v>
      </c>
      <c r="AM57" t="str">
        <f>HYPERLINK("#'Amortisation and Repayments'!C2930","block 54")</f>
        <v>block 54</v>
      </c>
      <c r="AN57">
        <f>Mapping!X57</f>
        <v>0</v>
      </c>
      <c r="AO57" s="440">
        <f>'Loan Book'!AS60</f>
        <v>700000</v>
      </c>
      <c r="AP57" s="440">
        <f>'Loan Book'!AT60</f>
        <v>1181700</v>
      </c>
      <c r="AQ57" s="440"/>
      <c r="AR57" s="441">
        <f t="shared" si="2"/>
        <v>44952</v>
      </c>
      <c r="AS57" s="442" t="s">
        <v>977</v>
      </c>
      <c r="AT57" s="442" t="s">
        <v>978</v>
      </c>
      <c r="AU57" s="443">
        <f t="shared" si="4"/>
        <v>1881700</v>
      </c>
    </row>
    <row r="58" spans="1:47" x14ac:dyDescent="0.35">
      <c r="A58" t="str">
        <f>Mapping!J58</f>
        <v>000104450000056</v>
      </c>
      <c r="B58" t="str">
        <f>Mapping!K58</f>
        <v>High</v>
      </c>
      <c r="C58">
        <v>61</v>
      </c>
      <c r="D58" t="str">
        <f>'Loan Book'!E61</f>
        <v>Udon Business</v>
      </c>
      <c r="E58" t="str">
        <f>'Loan Book'!F61</f>
        <v>Debt</v>
      </c>
      <c r="F58" s="426">
        <f>'Loan Book'!G61</f>
        <v>44959</v>
      </c>
      <c r="G58" s="426">
        <f>'Loan Book'!H61</f>
        <v>47151</v>
      </c>
      <c r="H58">
        <f>'Loan Book'!I61</f>
        <v>6</v>
      </c>
      <c r="I58" t="str">
        <f>'Loan Book'!J61</f>
        <v>12 (Cap + Int)</v>
      </c>
      <c r="J58">
        <f>IF('Loan Book'!K61="","",IF('Loan Book'!K61&lt;1,'Loan Book'!K61*100,'Loan Book'!K61))</f>
        <v>10</v>
      </c>
      <c r="K58" s="427">
        <f>'Loan Book'!L61</f>
        <v>134253000</v>
      </c>
      <c r="L58" s="427">
        <f>'Loan Book'!M61</f>
        <v>134253000</v>
      </c>
      <c r="M58" s="427">
        <f>'Loan Book'!N61</f>
        <v>0</v>
      </c>
      <c r="N58" s="427">
        <f>'Loan Book'!O61</f>
        <v>134253000</v>
      </c>
      <c r="O58" s="427">
        <f>'Loan Book'!P61</f>
        <v>24758615.270312414</v>
      </c>
      <c r="P58" s="427">
        <f>'Loan Book'!Q61</f>
        <v>-23200000</v>
      </c>
      <c r="Q58" s="427">
        <f>'Loan Book'!R61</f>
        <v>135811615.27031243</v>
      </c>
      <c r="R58" s="427">
        <f>'Loan Book'!S61</f>
        <v>2046111.7775524156</v>
      </c>
      <c r="S58" s="427">
        <f>'Loan Book'!T61</f>
        <v>165834.49458225258</v>
      </c>
      <c r="T58" s="427">
        <f>'Loan Book'!U61</f>
        <v>2211946.2721346682</v>
      </c>
      <c r="U58">
        <f>'Loan Book'!AC61</f>
        <v>0</v>
      </c>
      <c r="V58">
        <f>'Loan Book'!AE61</f>
        <v>0</v>
      </c>
      <c r="W58" t="str">
        <f>IFERROR(INDEX('E-Banker master'!$B$2:$B$186,MATCH($A58,'E-Banker master'!$A$2:$A$186,0)),"")</f>
        <v>Udon Business</v>
      </c>
      <c r="X58">
        <f>IFERROR(INDEX('E-Banker master'!$C$2:$C$186,MATCH($A58,'E-Banker master'!$A$2:$A$186,0)),"")</f>
        <v>90</v>
      </c>
      <c r="Y58" t="str">
        <f>IFERROR(INDEX('E-Banker master'!$D$2:$D$186,MATCH($A58,'E-Banker master'!$A$2:$A$186,0)),"")</f>
        <v>1050201</v>
      </c>
      <c r="Z58" t="str">
        <f>IFERROR(INDEX('E-Banker master'!$E$2:$E$186,MATCH($A58,'E-Banker master'!$A$2:$A$186,0)),"")</f>
        <v>A</v>
      </c>
      <c r="AA58" t="str">
        <f>IFERROR(INDEX('E-Banker master'!$F$2:$F$186,MATCH($A58,'E-Banker master'!$A$2:$A$186,0)),"")</f>
        <v>S</v>
      </c>
      <c r="AB58">
        <f>IFERROR(INDEX('E-Banker master'!$G$2:$G$186,MATCH($A58,'E-Banker master'!$A$2:$A$186,0)),"")</f>
        <v>10</v>
      </c>
      <c r="AC58" s="427">
        <f>IFERROR(INDEX('E-Banker master'!$I$2:$I$186,MATCH($A58,'E-Banker master'!$A$2:$A$186,0)),"")</f>
        <v>134253000</v>
      </c>
      <c r="AD58" s="426">
        <f>IFERROR(INDEX('E-Banker master'!$J$2:$J$186,MATCH($A58,'E-Banker master'!$A$2:$A$186,0)),"")</f>
        <v>44959</v>
      </c>
      <c r="AE58" s="426">
        <f>IFERROR(INDEX('E-Banker master'!$K$2:$K$186,MATCH($A58,'E-Banker master'!$A$2:$A$186,0)),"")</f>
        <v>47150</v>
      </c>
      <c r="AF58">
        <f>IFERROR(INDEX('E-Banker master'!$L$2:$L$186,MATCH($A58,'E-Banker master'!$A$2:$A$186,0)),"")</f>
        <v>12</v>
      </c>
      <c r="AG58">
        <f>IFERROR(INDEX('E-Banker master'!$M$2:$M$186,MATCH($A58,'E-Banker master'!$A$2:$A$186,0)),"")</f>
        <v>12</v>
      </c>
      <c r="AH58" s="427">
        <f>IFERROR(INDEX('E-Banker master'!$N$2:$N$186,MATCH($A58,'E-Banker master'!$A$2:$A$186,0)),"")</f>
        <v>134253000</v>
      </c>
      <c r="AI58" s="427">
        <f>IFERROR(INDEX('E-Banker master'!$O$2:$O$186,MATCH($A58,'E-Banker master'!$A$2:$A$186,0)),"")</f>
        <v>21316880.460000001</v>
      </c>
      <c r="AJ58" s="427">
        <f>IFERROR(INDEX('E-Banker master'!$P$2:$P$186,MATCH($A58,'E-Banker master'!$A$2:$A$186,0)),"")</f>
        <v>135843297.22999999</v>
      </c>
      <c r="AK58" s="427">
        <f t="shared" si="3"/>
        <v>-31681.959687560797</v>
      </c>
      <c r="AN58">
        <f>Mapping!X58</f>
        <v>0</v>
      </c>
      <c r="AO58" s="440">
        <f>'Loan Book'!AS61</f>
        <v>1300000</v>
      </c>
      <c r="AP58" s="440">
        <f>'Loan Book'!AT61</f>
        <v>2953000</v>
      </c>
      <c r="AQ58" s="440"/>
      <c r="AR58" s="441">
        <f t="shared" si="2"/>
        <v>44959</v>
      </c>
      <c r="AS58" s="442" t="s">
        <v>977</v>
      </c>
      <c r="AT58" s="442" t="s">
        <v>978</v>
      </c>
      <c r="AU58" s="443">
        <f t="shared" si="4"/>
        <v>4253000</v>
      </c>
    </row>
    <row r="59" spans="1:47" x14ac:dyDescent="0.35">
      <c r="A59" t="str">
        <f>Mapping!J59</f>
        <v>000104450000057</v>
      </c>
      <c r="B59" t="str">
        <f>Mapping!K59</f>
        <v>High</v>
      </c>
      <c r="C59">
        <v>62</v>
      </c>
      <c r="D59" t="str">
        <f>'Loan Book'!E62</f>
        <v>Debs Agrodealers</v>
      </c>
      <c r="E59" t="str">
        <f>'Loan Book'!F62</f>
        <v>Debt</v>
      </c>
      <c r="F59" s="426">
        <f>'Loan Book'!G62</f>
        <v>44964</v>
      </c>
      <c r="G59" s="426">
        <f>'Loan Book'!H62</f>
        <v>45695</v>
      </c>
      <c r="H59">
        <f>'Loan Book'!I62</f>
        <v>2</v>
      </c>
      <c r="I59" t="str">
        <f>'Loan Book'!J62</f>
        <v>3 (Cap+Int)</v>
      </c>
      <c r="J59">
        <f>IF('Loan Book'!K62="","",IF('Loan Book'!K62&lt;1,'Loan Book'!K62*100,'Loan Book'!K62))</f>
        <v>10</v>
      </c>
      <c r="K59" s="427">
        <f>'Loan Book'!L62</f>
        <v>24000000</v>
      </c>
      <c r="L59" s="427">
        <f>'Loan Book'!M62</f>
        <v>24000000</v>
      </c>
      <c r="M59" s="427">
        <f>'Loan Book'!N62</f>
        <v>0</v>
      </c>
      <c r="N59" s="427">
        <f>'Loan Book'!O62</f>
        <v>24000000</v>
      </c>
      <c r="O59" s="427">
        <f>'Loan Book'!P62</f>
        <v>2993344.6808865895</v>
      </c>
      <c r="P59" s="427">
        <f>'Loan Book'!Q62</f>
        <v>-19360000</v>
      </c>
      <c r="Q59" s="427">
        <f>'Loan Book'!R62</f>
        <v>7633344.680886589</v>
      </c>
      <c r="R59" s="427">
        <f>'Loan Book'!S62</f>
        <v>1237984.4276868352</v>
      </c>
      <c r="S59" s="427">
        <f>'Loan Book'!T62</f>
        <v>1339393.8739693137</v>
      </c>
      <c r="T59" s="427">
        <f>'Loan Book'!U62</f>
        <v>2577378.3016561489</v>
      </c>
      <c r="U59">
        <f>'Loan Book'!AC62</f>
        <v>0</v>
      </c>
      <c r="V59">
        <f>'Loan Book'!AE62</f>
        <v>0</v>
      </c>
      <c r="W59" t="str">
        <f>IFERROR(INDEX('E-Banker master'!$B$2:$B$186,MATCH($A59,'E-Banker master'!$A$2:$A$186,0)),"")</f>
        <v>Debs Agrodealers</v>
      </c>
      <c r="X59">
        <f>IFERROR(INDEX('E-Banker master'!$C$2:$C$186,MATCH($A59,'E-Banker master'!$A$2:$A$186,0)),"")</f>
        <v>90</v>
      </c>
      <c r="Y59" t="str">
        <f>IFERROR(INDEX('E-Banker master'!$D$2:$D$186,MATCH($A59,'E-Banker master'!$A$2:$A$186,0)),"")</f>
        <v>1050201</v>
      </c>
      <c r="Z59" t="str">
        <f>IFERROR(INDEX('E-Banker master'!$E$2:$E$186,MATCH($A59,'E-Banker master'!$A$2:$A$186,0)),"")</f>
        <v>D</v>
      </c>
      <c r="AA59" t="str">
        <f>IFERROR(INDEX('E-Banker master'!$F$2:$F$186,MATCH($A59,'E-Banker master'!$A$2:$A$186,0)),"")</f>
        <v>S</v>
      </c>
      <c r="AB59">
        <f>IFERROR(INDEX('E-Banker master'!$G$2:$G$186,MATCH($A59,'E-Banker master'!$A$2:$A$186,0)),"")</f>
        <v>10</v>
      </c>
      <c r="AC59" s="427">
        <f>IFERROR(INDEX('E-Banker master'!$I$2:$I$186,MATCH($A59,'E-Banker master'!$A$2:$A$186,0)),"")</f>
        <v>24000000</v>
      </c>
      <c r="AD59" s="426">
        <f>IFERROR(INDEX('E-Banker master'!$J$2:$J$186,MATCH($A59,'E-Banker master'!$A$2:$A$186,0)),"")</f>
        <v>44964</v>
      </c>
      <c r="AE59" s="426">
        <f>IFERROR(INDEX('E-Banker master'!$K$2:$K$186,MATCH($A59,'E-Banker master'!$A$2:$A$186,0)),"")</f>
        <v>45694</v>
      </c>
      <c r="AF59">
        <f>IFERROR(INDEX('E-Banker master'!$L$2:$L$186,MATCH($A59,'E-Banker master'!$A$2:$A$186,0)),"")</f>
        <v>3</v>
      </c>
      <c r="AG59">
        <f>IFERROR(INDEX('E-Banker master'!$M$2:$M$186,MATCH($A59,'E-Banker master'!$A$2:$A$186,0)),"")</f>
        <v>3</v>
      </c>
      <c r="AH59" s="427">
        <f>IFERROR(INDEX('E-Banker master'!$N$2:$N$186,MATCH($A59,'E-Banker master'!$A$2:$A$186,0)),"")</f>
        <v>24000000</v>
      </c>
      <c r="AI59" s="427">
        <f>IFERROR(INDEX('E-Banker master'!$O$2:$O$186,MATCH($A59,'E-Banker master'!$A$2:$A$186,0)),"")</f>
        <v>2805386.64</v>
      </c>
      <c r="AJ59" s="427">
        <f>IFERROR(INDEX('E-Banker master'!$P$2:$P$186,MATCH($A59,'E-Banker master'!$A$2:$A$186,0)),"")</f>
        <v>7670357.5599999996</v>
      </c>
      <c r="AK59" s="427">
        <f t="shared" si="3"/>
        <v>-37012.8791134106</v>
      </c>
      <c r="AL59">
        <v>56</v>
      </c>
      <c r="AM59" t="str">
        <f>HYPERLINK("#'Amortisation and Repayments'!C3073","block 56")</f>
        <v>block 56</v>
      </c>
      <c r="AN59">
        <f>Mapping!X59</f>
        <v>0</v>
      </c>
      <c r="AO59" s="440">
        <f>'Loan Book'!AS62</f>
        <v>240000</v>
      </c>
      <c r="AP59" s="440">
        <f>'Loan Book'!AT62</f>
        <v>438340</v>
      </c>
      <c r="AQ59" s="440"/>
      <c r="AR59" s="441">
        <f t="shared" si="2"/>
        <v>44964</v>
      </c>
      <c r="AS59" s="442" t="s">
        <v>977</v>
      </c>
      <c r="AT59" s="442" t="s">
        <v>978</v>
      </c>
      <c r="AU59" s="443">
        <f t="shared" si="4"/>
        <v>678340</v>
      </c>
    </row>
    <row r="60" spans="1:47" x14ac:dyDescent="0.35">
      <c r="A60" t="str">
        <f>Mapping!J60</f>
        <v>000104430000061</v>
      </c>
      <c r="B60" t="str">
        <f>Mapping!K60</f>
        <v>High</v>
      </c>
      <c r="C60">
        <v>63</v>
      </c>
      <c r="D60" t="str">
        <f>'Loan Book'!E63</f>
        <v>Tapempha Medical Care Limited</v>
      </c>
      <c r="E60" t="str">
        <f>'Loan Book'!F63</f>
        <v>Debt</v>
      </c>
      <c r="F60" s="426">
        <f>'Loan Book'!G63</f>
        <v>44972</v>
      </c>
      <c r="G60" s="426">
        <f>'Loan Book'!H63</f>
        <v>45703</v>
      </c>
      <c r="H60">
        <f>'Loan Book'!I63</f>
        <v>2</v>
      </c>
      <c r="I60" t="str">
        <f>'Loan Book'!J63</f>
        <v>6 (Cap only)</v>
      </c>
      <c r="J60">
        <f>IF('Loan Book'!K63="","",IF('Loan Book'!K63&lt;1,'Loan Book'!K63*100,'Loan Book'!K63))</f>
        <v>10</v>
      </c>
      <c r="K60" s="427">
        <f>'Loan Book'!L63</f>
        <v>53391150</v>
      </c>
      <c r="L60" s="427">
        <f>'Loan Book'!M63</f>
        <v>53391150</v>
      </c>
      <c r="M60" s="427">
        <f>'Loan Book'!N63</f>
        <v>0</v>
      </c>
      <c r="N60" s="427">
        <f>'Loan Book'!O63</f>
        <v>53391150</v>
      </c>
      <c r="O60" s="427">
        <f>'Loan Book'!P63</f>
        <v>19034825.291360732</v>
      </c>
      <c r="P60" s="427">
        <f>'Loan Book'!Q63</f>
        <v>-9000000</v>
      </c>
      <c r="Q60" s="427">
        <f>'Loan Book'!R63</f>
        <v>63425975.291360736</v>
      </c>
      <c r="R60" s="427">
        <f>'Loan Book'!S63</f>
        <v>39499154.340356603</v>
      </c>
      <c r="S60" s="427">
        <f>'Loan Book'!T63</f>
        <v>10034825.291360751</v>
      </c>
      <c r="T60" s="427">
        <f>'Loan Book'!U63</f>
        <v>49533979.631717354</v>
      </c>
      <c r="U60">
        <f>'Loan Book'!AC63</f>
        <v>0</v>
      </c>
      <c r="V60">
        <f>'Loan Book'!AE63</f>
        <v>0</v>
      </c>
      <c r="W60" t="str">
        <f>IFERROR(INDEX('E-Banker master'!$B$2:$B$186,MATCH($A60,'E-Banker master'!$A$2:$A$186,0)),"")</f>
        <v>TAPEMPHA MEDICAL CARE LIMITED</v>
      </c>
      <c r="X60">
        <f>IFERROR(INDEX('E-Banker master'!$C$2:$C$186,MATCH($A60,'E-Banker master'!$A$2:$A$186,0)),"")</f>
        <v>86</v>
      </c>
      <c r="Y60" t="str">
        <f>IFERROR(INDEX('E-Banker master'!$D$2:$D$186,MATCH($A60,'E-Banker master'!$A$2:$A$186,0)),"")</f>
        <v>1050102</v>
      </c>
      <c r="Z60" t="str">
        <f>IFERROR(INDEX('E-Banker master'!$E$2:$E$186,MATCH($A60,'E-Banker master'!$A$2:$A$186,0)),"")</f>
        <v>D</v>
      </c>
      <c r="AA60" t="str">
        <f>IFERROR(INDEX('E-Banker master'!$F$2:$F$186,MATCH($A60,'E-Banker master'!$A$2:$A$186,0)),"")</f>
        <v>P</v>
      </c>
      <c r="AB60">
        <f>IFERROR(INDEX('E-Banker master'!$G$2:$G$186,MATCH($A60,'E-Banker master'!$A$2:$A$186,0)),"")</f>
        <v>32</v>
      </c>
      <c r="AC60" s="427">
        <f>IFERROR(INDEX('E-Banker master'!$I$2:$I$186,MATCH($A60,'E-Banker master'!$A$2:$A$186,0)),"")</f>
        <v>53391150</v>
      </c>
      <c r="AD60" s="426">
        <f>IFERROR(INDEX('E-Banker master'!$J$2:$J$186,MATCH($A60,'E-Banker master'!$A$2:$A$186,0)),"")</f>
        <v>44970</v>
      </c>
      <c r="AE60" s="426">
        <f>IFERROR(INDEX('E-Banker master'!$K$2:$K$186,MATCH($A60,'E-Banker master'!$A$2:$A$186,0)),"")</f>
        <v>45701</v>
      </c>
      <c r="AF60">
        <f>IFERROR(INDEX('E-Banker master'!$L$2:$L$186,MATCH($A60,'E-Banker master'!$A$2:$A$186,0)),"")</f>
        <v>0</v>
      </c>
      <c r="AG60">
        <f>IFERROR(INDEX('E-Banker master'!$M$2:$M$186,MATCH($A60,'E-Banker master'!$A$2:$A$186,0)),"")</f>
        <v>0</v>
      </c>
      <c r="AH60" s="427">
        <f>IFERROR(INDEX('E-Banker master'!$N$2:$N$186,MATCH($A60,'E-Banker master'!$A$2:$A$186,0)),"")</f>
        <v>53391150</v>
      </c>
      <c r="AI60" s="427">
        <f>IFERROR(INDEX('E-Banker master'!$O$2:$O$186,MATCH($A60,'E-Banker master'!$A$2:$A$186,0)),"")</f>
        <v>17540998.41</v>
      </c>
      <c r="AJ60" s="427">
        <f>IFERROR(INDEX('E-Banker master'!$P$2:$P$186,MATCH($A60,'E-Banker master'!$A$2:$A$186,0)),"")</f>
        <v>66920142.200000003</v>
      </c>
      <c r="AK60" s="427">
        <f t="shared" si="3"/>
        <v>-3494166.9086392671</v>
      </c>
      <c r="AN60">
        <f>Mapping!X60</f>
        <v>0</v>
      </c>
      <c r="AO60" s="440">
        <f>'Loan Book'!AS63</f>
        <v>750000</v>
      </c>
      <c r="AP60" s="440">
        <f>'Loan Book'!AT63</f>
        <v>2641150</v>
      </c>
      <c r="AQ60" s="440"/>
      <c r="AR60" s="441">
        <f t="shared" si="2"/>
        <v>44970</v>
      </c>
      <c r="AS60" s="442" t="s">
        <v>977</v>
      </c>
      <c r="AT60" s="442" t="s">
        <v>978</v>
      </c>
      <c r="AU60" s="443">
        <f t="shared" si="4"/>
        <v>3391150</v>
      </c>
    </row>
    <row r="61" spans="1:47" x14ac:dyDescent="0.35">
      <c r="A61" t="str">
        <f>Mapping!J61</f>
        <v>000104460000059</v>
      </c>
      <c r="B61" t="str">
        <f>Mapping!K61</f>
        <v>High</v>
      </c>
      <c r="C61">
        <v>64</v>
      </c>
      <c r="D61" t="str">
        <f>'Loan Book'!E64</f>
        <v>BenCal Technologies Ltd</v>
      </c>
      <c r="E61" t="str">
        <f>'Loan Book'!F64</f>
        <v>Debt</v>
      </c>
      <c r="F61" s="426">
        <f>'Loan Book'!G64</f>
        <v>44977</v>
      </c>
      <c r="G61" s="426">
        <f>'Loan Book'!H64</f>
        <v>46803</v>
      </c>
      <c r="H61">
        <f>'Loan Book'!I64</f>
        <v>5</v>
      </c>
      <c r="I61" t="str">
        <f>'Loan Book'!J64</f>
        <v>6 (Cap + Int)</v>
      </c>
      <c r="J61">
        <f>IF('Loan Book'!K64="","",IF('Loan Book'!K64&lt;1,'Loan Book'!K64*100,'Loan Book'!K64))</f>
        <v>10</v>
      </c>
      <c r="K61" s="427">
        <f>'Loan Book'!L64</f>
        <v>153974500</v>
      </c>
      <c r="L61" s="427">
        <f>'Loan Book'!M64</f>
        <v>153974500</v>
      </c>
      <c r="M61" s="427">
        <f>'Loan Book'!N64</f>
        <v>0</v>
      </c>
      <c r="N61" s="427">
        <f>'Loan Book'!O64</f>
        <v>153974500</v>
      </c>
      <c r="O61" s="427">
        <f>'Loan Book'!P64</f>
        <v>23025024.570753008</v>
      </c>
      <c r="P61" s="427">
        <f>'Loan Book'!Q64</f>
        <v>-138423383.51999998</v>
      </c>
      <c r="Q61" s="427">
        <f>'Loan Book'!R64</f>
        <v>38576141.050753027</v>
      </c>
      <c r="R61" s="427">
        <f>'Loan Book'!S64</f>
        <v>0</v>
      </c>
      <c r="S61" s="427">
        <f>'Loan Book'!T64</f>
        <v>0</v>
      </c>
      <c r="T61" s="427">
        <f>'Loan Book'!U64</f>
        <v>0</v>
      </c>
      <c r="U61">
        <f>'Loan Book'!AC64</f>
        <v>0</v>
      </c>
      <c r="V61">
        <f>'Loan Book'!AE64</f>
        <v>0</v>
      </c>
      <c r="W61" t="str">
        <f>IFERROR(INDEX('E-Banker master'!$B$2:$B$186,MATCH($A61,'E-Banker master'!$A$2:$A$186,0)),"")</f>
        <v>BenCal Technologies Ltd</v>
      </c>
      <c r="X61">
        <f>IFERROR(INDEX('E-Banker master'!$C$2:$C$186,MATCH($A61,'E-Banker master'!$A$2:$A$186,0)),"")</f>
        <v>92</v>
      </c>
      <c r="Y61" t="str">
        <f>IFERROR(INDEX('E-Banker master'!$D$2:$D$186,MATCH($A61,'E-Banker master'!$A$2:$A$186,0)),"")</f>
        <v>1050202</v>
      </c>
      <c r="Z61" t="str">
        <f>IFERROR(INDEX('E-Banker master'!$E$2:$E$186,MATCH($A61,'E-Banker master'!$A$2:$A$186,0)),"")</f>
        <v>A</v>
      </c>
      <c r="AA61" t="str">
        <f>IFERROR(INDEX('E-Banker master'!$F$2:$F$186,MATCH($A61,'E-Banker master'!$A$2:$A$186,0)),"")</f>
        <v>S</v>
      </c>
      <c r="AB61">
        <f>IFERROR(INDEX('E-Banker master'!$G$2:$G$186,MATCH($A61,'E-Banker master'!$A$2:$A$186,0)),"")</f>
        <v>10</v>
      </c>
      <c r="AC61" s="427">
        <f>IFERROR(INDEX('E-Banker master'!$I$2:$I$186,MATCH($A61,'E-Banker master'!$A$2:$A$186,0)),"")</f>
        <v>153974500</v>
      </c>
      <c r="AD61" s="426">
        <f>IFERROR(INDEX('E-Banker master'!$J$2:$J$186,MATCH($A61,'E-Banker master'!$A$2:$A$186,0)),"")</f>
        <v>44977</v>
      </c>
      <c r="AE61" s="426">
        <f>IFERROR(INDEX('E-Banker master'!$K$2:$K$186,MATCH($A61,'E-Banker master'!$A$2:$A$186,0)),"")</f>
        <v>46802</v>
      </c>
      <c r="AF61">
        <f>IFERROR(INDEX('E-Banker master'!$L$2:$L$186,MATCH($A61,'E-Banker master'!$A$2:$A$186,0)),"")</f>
        <v>6</v>
      </c>
      <c r="AG61">
        <f>IFERROR(INDEX('E-Banker master'!$M$2:$M$186,MATCH($A61,'E-Banker master'!$A$2:$A$186,0)),"")</f>
        <v>6</v>
      </c>
      <c r="AH61" s="427">
        <f>IFERROR(INDEX('E-Banker master'!$N$2:$N$186,MATCH($A61,'E-Banker master'!$A$2:$A$186,0)),"")</f>
        <v>153974500</v>
      </c>
      <c r="AI61" s="427">
        <f>IFERROR(INDEX('E-Banker master'!$O$2:$O$186,MATCH($A61,'E-Banker master'!$A$2:$A$186,0)),"")</f>
        <v>19723828.760000002</v>
      </c>
      <c r="AJ61" s="427">
        <f>IFERROR(INDEX('E-Banker master'!$P$2:$P$186,MATCH($A61,'E-Banker master'!$A$2:$A$186,0)),"")</f>
        <v>37020527.350000001</v>
      </c>
      <c r="AK61" s="427">
        <f t="shared" si="3"/>
        <v>1555613.7007530257</v>
      </c>
      <c r="AL61">
        <v>57</v>
      </c>
      <c r="AM61" t="str">
        <f>HYPERLINK("#'Amortisation and Repayments'!C3157","block 57")</f>
        <v>block 57</v>
      </c>
      <c r="AN61">
        <f>Mapping!X61</f>
        <v>0</v>
      </c>
      <c r="AO61" s="440">
        <f>'Loan Book'!AS64</f>
        <v>1500000</v>
      </c>
      <c r="AP61" s="440">
        <f>'Loan Book'!AT64</f>
        <v>900000</v>
      </c>
      <c r="AQ61" s="440"/>
      <c r="AR61" s="441">
        <f t="shared" si="2"/>
        <v>44977</v>
      </c>
      <c r="AS61" s="442" t="s">
        <v>977</v>
      </c>
      <c r="AT61" s="442" t="s">
        <v>978</v>
      </c>
      <c r="AU61" s="443">
        <f t="shared" si="4"/>
        <v>2400000</v>
      </c>
    </row>
    <row r="62" spans="1:47" x14ac:dyDescent="0.35">
      <c r="A62" t="str">
        <f>Mapping!J62</f>
        <v>000104450000082</v>
      </c>
      <c r="B62" t="str">
        <f>Mapping!K62</f>
        <v>Medium</v>
      </c>
      <c r="C62">
        <v>65</v>
      </c>
      <c r="D62" t="str">
        <f>'Loan Book'!E65</f>
        <v>Chuma Mkandawire TA Chikoma Estates</v>
      </c>
      <c r="E62" t="str">
        <f>'Loan Book'!F65</f>
        <v>Debt</v>
      </c>
      <c r="F62" s="426">
        <f>'Loan Book'!G65</f>
        <v>44985</v>
      </c>
      <c r="G62" s="426">
        <f>'Loan Book'!H65</f>
        <v>45350</v>
      </c>
      <c r="H62">
        <f>'Loan Book'!I65</f>
        <v>1</v>
      </c>
      <c r="I62">
        <f>'Loan Book'!J65</f>
        <v>0</v>
      </c>
      <c r="J62">
        <f>IF('Loan Book'!K65="","",IF('Loan Book'!K65&lt;1,'Loan Book'!K65*100,'Loan Book'!K65))</f>
        <v>10</v>
      </c>
      <c r="K62" s="427">
        <f>'Loan Book'!L65</f>
        <v>20000000</v>
      </c>
      <c r="L62" s="427">
        <f>'Loan Book'!M65</f>
        <v>20000000</v>
      </c>
      <c r="M62" s="427">
        <f>'Loan Book'!N65</f>
        <v>0</v>
      </c>
      <c r="N62" s="427">
        <f>'Loan Book'!O65</f>
        <v>20000000</v>
      </c>
      <c r="O62" s="427">
        <f>'Loan Book'!P65</f>
        <v>1027322.5361254466</v>
      </c>
      <c r="P62" s="427">
        <f>'Loan Book'!Q65</f>
        <v>-21027322.539999999</v>
      </c>
      <c r="Q62" s="427">
        <f>'Loan Book'!R65</f>
        <v>-3.8745515048503876E-3</v>
      </c>
      <c r="R62" s="427">
        <f>'Loan Book'!S65</f>
        <v>0</v>
      </c>
      <c r="S62" s="427">
        <f>'Loan Book'!T65</f>
        <v>0</v>
      </c>
      <c r="T62" s="427">
        <f>'Loan Book'!U65</f>
        <v>0</v>
      </c>
      <c r="U62">
        <f>'Loan Book'!AC65</f>
        <v>0</v>
      </c>
      <c r="V62">
        <f>'Loan Book'!AE65</f>
        <v>0</v>
      </c>
      <c r="W62" t="str">
        <f>IFERROR(INDEX('E-Banker master'!$B$2:$B$186,MATCH($A62,'E-Banker master'!$A$2:$A$186,0)),"")</f>
        <v>Chuma Mkandawire TA Chikoma Estates</v>
      </c>
      <c r="X62">
        <f>IFERROR(INDEX('E-Banker master'!$C$2:$C$186,MATCH($A62,'E-Banker master'!$A$2:$A$186,0)),"")</f>
        <v>90</v>
      </c>
      <c r="Y62" t="str">
        <f>IFERROR(INDEX('E-Banker master'!$D$2:$D$186,MATCH($A62,'E-Banker master'!$A$2:$A$186,0)),"")</f>
        <v>1050201</v>
      </c>
      <c r="Z62" t="str">
        <f>IFERROR(INDEX('E-Banker master'!$E$2:$E$186,MATCH($A62,'E-Banker master'!$A$2:$A$186,0)),"")</f>
        <v>C</v>
      </c>
      <c r="AA62" t="str">
        <f>IFERROR(INDEX('E-Banker master'!$F$2:$F$186,MATCH($A62,'E-Banker master'!$A$2:$A$186,0)),"")</f>
        <v>S</v>
      </c>
      <c r="AB62">
        <f>IFERROR(INDEX('E-Banker master'!$G$2:$G$186,MATCH($A62,'E-Banker master'!$A$2:$A$186,0)),"")</f>
        <v>10</v>
      </c>
      <c r="AC62" s="427">
        <f>IFERROR(INDEX('E-Banker master'!$I$2:$I$186,MATCH($A62,'E-Banker master'!$A$2:$A$186,0)),"")</f>
        <v>30000000</v>
      </c>
      <c r="AD62" s="426">
        <f>IFERROR(INDEX('E-Banker master'!$J$2:$J$186,MATCH($A62,'E-Banker master'!$A$2:$A$186,0)),"")</f>
        <v>45261</v>
      </c>
      <c r="AE62" s="426">
        <f>IFERROR(INDEX('E-Banker master'!$K$2:$K$186,MATCH($A62,'E-Banker master'!$A$2:$A$186,0)),"")</f>
        <v>45626</v>
      </c>
      <c r="AF62">
        <f>IFERROR(INDEX('E-Banker master'!$L$2:$L$186,MATCH($A62,'E-Banker master'!$A$2:$A$186,0)),"")</f>
        <v>0</v>
      </c>
      <c r="AG62">
        <f>IFERROR(INDEX('E-Banker master'!$M$2:$M$186,MATCH($A62,'E-Banker master'!$A$2:$A$186,0)),"")</f>
        <v>0</v>
      </c>
      <c r="AH62" s="427">
        <f>IFERROR(INDEX('E-Banker master'!$N$2:$N$186,MATCH($A62,'E-Banker master'!$A$2:$A$186,0)),"")</f>
        <v>0</v>
      </c>
      <c r="AI62" s="427">
        <f>IFERROR(INDEX('E-Banker master'!$O$2:$O$186,MATCH($A62,'E-Banker master'!$A$2:$A$186,0)),"")</f>
        <v>0</v>
      </c>
      <c r="AJ62" s="427">
        <f>IFERROR(INDEX('E-Banker master'!$P$2:$P$186,MATCH($A62,'E-Banker master'!$A$2:$A$186,0)),"")</f>
        <v>0</v>
      </c>
      <c r="AK62" s="427">
        <f t="shared" si="3"/>
        <v>-3.8745515048503876E-3</v>
      </c>
      <c r="AL62">
        <v>58</v>
      </c>
      <c r="AM62" t="str">
        <f>HYPERLINK("#'Amortisation and Repayments'!C3235","block 58")</f>
        <v>block 58</v>
      </c>
      <c r="AN62">
        <f>Mapping!X62</f>
        <v>0</v>
      </c>
      <c r="AO62" s="440">
        <f>'Loan Book'!AS65</f>
        <v>200000</v>
      </c>
      <c r="AP62" s="440">
        <f>'Loan Book'!AT65</f>
        <v>373700</v>
      </c>
      <c r="AQ62" s="440"/>
      <c r="AR62" s="441">
        <f t="shared" si="2"/>
        <v>45261</v>
      </c>
      <c r="AS62" s="442" t="s">
        <v>977</v>
      </c>
      <c r="AT62" s="442" t="s">
        <v>978</v>
      </c>
      <c r="AU62" s="443">
        <f t="shared" si="4"/>
        <v>573700</v>
      </c>
    </row>
    <row r="63" spans="1:47" x14ac:dyDescent="0.35">
      <c r="A63" t="str">
        <f>Mapping!J63</f>
        <v>000104460000061</v>
      </c>
      <c r="B63" t="str">
        <f>Mapping!K63</f>
        <v>High</v>
      </c>
      <c r="C63">
        <v>66</v>
      </c>
      <c r="D63" t="str">
        <f>'Loan Book'!E66</f>
        <v>Imani Investments</v>
      </c>
      <c r="E63" t="str">
        <f>'Loan Book'!F66</f>
        <v>Debt</v>
      </c>
      <c r="F63" s="426">
        <f>'Loan Book'!G66</f>
        <v>45005</v>
      </c>
      <c r="G63" s="426">
        <f>'Loan Book'!H66</f>
        <v>45736</v>
      </c>
      <c r="H63">
        <f>'Loan Book'!I66</f>
        <v>2</v>
      </c>
      <c r="I63" t="str">
        <f>'Loan Book'!J66</f>
        <v>3 (Cap+Int)</v>
      </c>
      <c r="J63">
        <f>IF('Loan Book'!K66="","",IF('Loan Book'!K66&lt;1,'Loan Book'!K66*100,'Loan Book'!K66))</f>
        <v>10</v>
      </c>
      <c r="K63" s="427">
        <f>'Loan Book'!L66</f>
        <v>24000000</v>
      </c>
      <c r="L63" s="427">
        <f>'Loan Book'!M66</f>
        <v>24000000</v>
      </c>
      <c r="M63" s="427">
        <f>'Loan Book'!N66</f>
        <v>0</v>
      </c>
      <c r="N63" s="427">
        <f>'Loan Book'!O66</f>
        <v>24000000</v>
      </c>
      <c r="O63" s="427">
        <f>'Loan Book'!P66</f>
        <v>2851984.6379433954</v>
      </c>
      <c r="P63" s="427">
        <f>'Loan Book'!Q66</f>
        <v>-19293454.509999998</v>
      </c>
      <c r="Q63" s="427">
        <f>'Loan Book'!R66</f>
        <v>7558530.1279433966</v>
      </c>
      <c r="R63" s="427">
        <f>'Loan Book'!S66</f>
        <v>1223701.3154203722</v>
      </c>
      <c r="S63" s="427">
        <f>'Loan Book'!T66</f>
        <v>61649.327968857018</v>
      </c>
      <c r="T63" s="427">
        <f>'Loan Book'!U66</f>
        <v>1285350.6433892292</v>
      </c>
      <c r="U63">
        <f>'Loan Book'!AC66</f>
        <v>0</v>
      </c>
      <c r="V63">
        <f>'Loan Book'!AE66</f>
        <v>0</v>
      </c>
      <c r="W63" t="str">
        <f>IFERROR(INDEX('E-Banker master'!$B$2:$B$186,MATCH($A63,'E-Banker master'!$A$2:$A$186,0)),"")</f>
        <v>Imani Investments</v>
      </c>
      <c r="X63">
        <f>IFERROR(INDEX('E-Banker master'!$C$2:$C$186,MATCH($A63,'E-Banker master'!$A$2:$A$186,0)),"")</f>
        <v>92</v>
      </c>
      <c r="Y63" t="str">
        <f>IFERROR(INDEX('E-Banker master'!$D$2:$D$186,MATCH($A63,'E-Banker master'!$A$2:$A$186,0)),"")</f>
        <v>1050202</v>
      </c>
      <c r="Z63" t="str">
        <f>IFERROR(INDEX('E-Banker master'!$E$2:$E$186,MATCH($A63,'E-Banker master'!$A$2:$A$186,0)),"")</f>
        <v>H</v>
      </c>
      <c r="AA63" t="str">
        <f>IFERROR(INDEX('E-Banker master'!$F$2:$F$186,MATCH($A63,'E-Banker master'!$A$2:$A$186,0)),"")</f>
        <v>S</v>
      </c>
      <c r="AB63">
        <f>IFERROR(INDEX('E-Banker master'!$G$2:$G$186,MATCH($A63,'E-Banker master'!$A$2:$A$186,0)),"")</f>
        <v>10</v>
      </c>
      <c r="AC63" s="427">
        <f>IFERROR(INDEX('E-Banker master'!$I$2:$I$186,MATCH($A63,'E-Banker master'!$A$2:$A$186,0)),"")</f>
        <v>24000000</v>
      </c>
      <c r="AD63" s="426">
        <f>IFERROR(INDEX('E-Banker master'!$J$2:$J$186,MATCH($A63,'E-Banker master'!$A$2:$A$186,0)),"")</f>
        <v>45005</v>
      </c>
      <c r="AE63" s="426">
        <f>IFERROR(INDEX('E-Banker master'!$K$2:$K$186,MATCH($A63,'E-Banker master'!$A$2:$A$186,0)),"")</f>
        <v>45735</v>
      </c>
      <c r="AF63">
        <f>IFERROR(INDEX('E-Banker master'!$L$2:$L$186,MATCH($A63,'E-Banker master'!$A$2:$A$186,0)),"")</f>
        <v>3</v>
      </c>
      <c r="AG63">
        <f>IFERROR(INDEX('E-Banker master'!$M$2:$M$186,MATCH($A63,'E-Banker master'!$A$2:$A$186,0)),"")</f>
        <v>3</v>
      </c>
      <c r="AH63" s="427">
        <f>IFERROR(INDEX('E-Banker master'!$N$2:$N$186,MATCH($A63,'E-Banker master'!$A$2:$A$186,0)),"")</f>
        <v>24000000</v>
      </c>
      <c r="AI63" s="427">
        <f>IFERROR(INDEX('E-Banker master'!$O$2:$O$186,MATCH($A63,'E-Banker master'!$A$2:$A$186,0)),"")</f>
        <v>2634306.5</v>
      </c>
      <c r="AJ63" s="427">
        <f>IFERROR(INDEX('E-Banker master'!$P$2:$P$186,MATCH($A63,'E-Banker master'!$A$2:$A$186,0)),"")</f>
        <v>7602201.0199999996</v>
      </c>
      <c r="AK63" s="427">
        <f t="shared" si="3"/>
        <v>-43670.892056602985</v>
      </c>
      <c r="AL63">
        <v>59</v>
      </c>
      <c r="AM63" t="str">
        <f>HYPERLINK("#'Amortisation and Repayments'!C3264","block 59")</f>
        <v>block 59</v>
      </c>
      <c r="AN63">
        <f>Mapping!X63</f>
        <v>0</v>
      </c>
      <c r="AO63" s="440">
        <f>'Loan Book'!AS66</f>
        <v>960000</v>
      </c>
      <c r="AP63" s="440">
        <f>'Loan Book'!AT66</f>
        <v>438340</v>
      </c>
      <c r="AQ63" s="440"/>
      <c r="AR63" s="441">
        <f t="shared" si="2"/>
        <v>45005</v>
      </c>
      <c r="AS63" s="442" t="s">
        <v>977</v>
      </c>
      <c r="AT63" s="442" t="s">
        <v>978</v>
      </c>
      <c r="AU63" s="443">
        <f t="shared" si="4"/>
        <v>1398340</v>
      </c>
    </row>
    <row r="64" spans="1:47" x14ac:dyDescent="0.35">
      <c r="A64" t="str">
        <f>Mapping!J64</f>
        <v>000104420000062</v>
      </c>
      <c r="B64" t="str">
        <f>Mapping!K64</f>
        <v>High</v>
      </c>
      <c r="C64">
        <v>67</v>
      </c>
      <c r="D64" t="str">
        <f>'Loan Book'!E67</f>
        <v>Happie Foods Limited</v>
      </c>
      <c r="E64" t="str">
        <f>'Loan Book'!F67</f>
        <v>Debt</v>
      </c>
      <c r="F64" s="426">
        <f>'Loan Book'!G67</f>
        <v>45009</v>
      </c>
      <c r="G64" s="426">
        <f>'Loan Book'!H67</f>
        <v>46470</v>
      </c>
      <c r="H64">
        <f>'Loan Book'!I67</f>
        <v>4</v>
      </c>
      <c r="I64" t="str">
        <f>'Loan Book'!J67</f>
        <v>6 (Cap + Int)</v>
      </c>
      <c r="J64">
        <f>IF('Loan Book'!K67="","",IF('Loan Book'!K67&lt;1,'Loan Book'!K67*100,'Loan Book'!K67))</f>
        <v>30.700000000000006</v>
      </c>
      <c r="K64" s="427">
        <f>'Loan Book'!L67</f>
        <v>257860750</v>
      </c>
      <c r="L64" s="427">
        <f>'Loan Book'!M67</f>
        <v>257860750</v>
      </c>
      <c r="M64" s="427">
        <f>'Loan Book'!N67</f>
        <v>0</v>
      </c>
      <c r="N64" s="427">
        <f>'Loan Book'!O67</f>
        <v>257860750</v>
      </c>
      <c r="O64" s="427">
        <f>'Loan Book'!P67</f>
        <v>84263116.327926069</v>
      </c>
      <c r="P64" s="427">
        <f>'Loan Book'!Q67</f>
        <v>-207000000</v>
      </c>
      <c r="Q64" s="427">
        <f>'Loan Book'!R67</f>
        <v>135123866.32792604</v>
      </c>
      <c r="R64" s="427">
        <f>'Loan Book'!S67</f>
        <v>0</v>
      </c>
      <c r="S64" s="427">
        <f>'Loan Book'!T67</f>
        <v>0</v>
      </c>
      <c r="T64" s="427">
        <f>'Loan Book'!U67</f>
        <v>0</v>
      </c>
      <c r="U64">
        <f>'Loan Book'!AC67</f>
        <v>0</v>
      </c>
      <c r="V64">
        <f>'Loan Book'!AE67</f>
        <v>0</v>
      </c>
      <c r="W64" t="str">
        <f>IFERROR(INDEX('E-Banker master'!$B$2:$B$186,MATCH($A64,'E-Banker master'!$A$2:$A$186,0)),"")</f>
        <v>Happie Foods Limited</v>
      </c>
      <c r="X64">
        <f>IFERROR(INDEX('E-Banker master'!$C$2:$C$186,MATCH($A64,'E-Banker master'!$A$2:$A$186,0)),"")</f>
        <v>84</v>
      </c>
      <c r="Y64" t="str">
        <f>IFERROR(INDEX('E-Banker master'!$D$2:$D$186,MATCH($A64,'E-Banker master'!$A$2:$A$186,0)),"")</f>
        <v>1050101</v>
      </c>
      <c r="Z64" t="str">
        <f>IFERROR(INDEX('E-Banker master'!$E$2:$E$186,MATCH($A64,'E-Banker master'!$A$2:$A$186,0)),"")</f>
        <v>A</v>
      </c>
      <c r="AA64" t="str">
        <f>IFERROR(INDEX('E-Banker master'!$F$2:$F$186,MATCH($A64,'E-Banker master'!$A$2:$A$186,0)),"")</f>
        <v>M</v>
      </c>
      <c r="AB64">
        <f>IFERROR(INDEX('E-Banker master'!$G$2:$G$186,MATCH($A64,'E-Banker master'!$A$2:$A$186,0)),"")</f>
        <v>29.2</v>
      </c>
      <c r="AC64" s="427">
        <f>IFERROR(INDEX('E-Banker master'!$I$2:$I$186,MATCH($A64,'E-Banker master'!$A$2:$A$186,0)),"")</f>
        <v>257860750</v>
      </c>
      <c r="AD64" s="426">
        <f>IFERROR(INDEX('E-Banker master'!$J$2:$J$186,MATCH($A64,'E-Banker master'!$A$2:$A$186,0)),"")</f>
        <v>44818</v>
      </c>
      <c r="AE64" s="426">
        <f>IFERROR(INDEX('E-Banker master'!$K$2:$K$186,MATCH($A64,'E-Banker master'!$A$2:$A$186,0)),"")</f>
        <v>46279</v>
      </c>
      <c r="AF64">
        <f>IFERROR(INDEX('E-Banker master'!$L$2:$L$186,MATCH($A64,'E-Banker master'!$A$2:$A$186,0)),"")</f>
        <v>8</v>
      </c>
      <c r="AG64">
        <f>IFERROR(INDEX('E-Banker master'!$M$2:$M$186,MATCH($A64,'E-Banker master'!$A$2:$A$186,0)),"")</f>
        <v>8</v>
      </c>
      <c r="AH64" s="427">
        <f>IFERROR(INDEX('E-Banker master'!$N$2:$N$186,MATCH($A64,'E-Banker master'!$A$2:$A$186,0)),"")</f>
        <v>257860750</v>
      </c>
      <c r="AI64" s="427">
        <f>IFERROR(INDEX('E-Banker master'!$O$2:$O$186,MATCH($A64,'E-Banker master'!$A$2:$A$186,0)),"")</f>
        <v>72305459.260000005</v>
      </c>
      <c r="AJ64" s="427">
        <f>IFERROR(INDEX('E-Banker master'!$P$2:$P$186,MATCH($A64,'E-Banker master'!$A$2:$A$186,0)),"")</f>
        <v>135721912.31999999</v>
      </c>
      <c r="AK64" s="427">
        <f t="shared" si="3"/>
        <v>-598045.99207395315</v>
      </c>
      <c r="AL64">
        <v>60</v>
      </c>
      <c r="AM64" t="str">
        <f>HYPERLINK("#'Amortisation and Repayments'!C3304","block 60")</f>
        <v>block 60</v>
      </c>
      <c r="AN64">
        <f>Mapping!X64</f>
        <v>0</v>
      </c>
      <c r="AO64" s="440">
        <f>'Loan Book'!AS67</f>
        <v>3810750</v>
      </c>
      <c r="AP64" s="440">
        <f>'Loan Book'!AT67</f>
        <v>4050000</v>
      </c>
      <c r="AQ64" s="440"/>
      <c r="AR64" s="441">
        <f t="shared" si="2"/>
        <v>44818</v>
      </c>
      <c r="AS64" s="442" t="s">
        <v>977</v>
      </c>
      <c r="AT64" s="442" t="s">
        <v>978</v>
      </c>
      <c r="AU64" s="443">
        <f t="shared" si="4"/>
        <v>7860750</v>
      </c>
    </row>
    <row r="65" spans="1:47" x14ac:dyDescent="0.35">
      <c r="A65" t="str">
        <f>Mapping!J65</f>
        <v>000104450000063</v>
      </c>
      <c r="B65" t="str">
        <f>Mapping!K65</f>
        <v>High</v>
      </c>
      <c r="C65">
        <v>68</v>
      </c>
      <c r="D65" t="str">
        <f>'Loan Book'!E68</f>
        <v>Msusa Investments Ltd</v>
      </c>
      <c r="E65" t="str">
        <f>'Loan Book'!F68</f>
        <v>Debt</v>
      </c>
      <c r="F65" s="426">
        <f>'Loan Book'!G68</f>
        <v>45034</v>
      </c>
      <c r="G65" s="426">
        <f>'Loan Book'!H68</f>
        <v>46495</v>
      </c>
      <c r="H65">
        <f>'Loan Book'!I68</f>
        <v>4</v>
      </c>
      <c r="I65" t="str">
        <f>'Loan Book'!J68</f>
        <v>6 (Cap only)</v>
      </c>
      <c r="J65">
        <f>IF('Loan Book'!K68="","",IF('Loan Book'!K68&lt;1,'Loan Book'!K68*100,'Loan Book'!K68))</f>
        <v>10</v>
      </c>
      <c r="K65" s="427">
        <f>'Loan Book'!L68</f>
        <v>250000000</v>
      </c>
      <c r="L65" s="427">
        <f>'Loan Book'!M68</f>
        <v>250000000</v>
      </c>
      <c r="M65" s="427">
        <f>'Loan Book'!N68</f>
        <v>0</v>
      </c>
      <c r="N65" s="427">
        <f>'Loan Book'!O68</f>
        <v>250000000</v>
      </c>
      <c r="O65" s="427">
        <f>'Loan Book'!P68</f>
        <v>35577272.261674888</v>
      </c>
      <c r="P65" s="427">
        <f>'Loan Book'!Q68</f>
        <v>-91364844.270000011</v>
      </c>
      <c r="Q65" s="427">
        <f>'Loan Book'!R68</f>
        <v>194212427.99167487</v>
      </c>
      <c r="R65" s="427">
        <f>'Loan Book'!S68</f>
        <v>5473392.924842515</v>
      </c>
      <c r="S65" s="427">
        <f>'Loan Book'!T68</f>
        <v>1514998.6001935685</v>
      </c>
      <c r="T65" s="427">
        <f>'Loan Book'!U68</f>
        <v>6988391.5250360835</v>
      </c>
      <c r="U65">
        <f>'Loan Book'!AC68</f>
        <v>0</v>
      </c>
      <c r="V65">
        <f>'Loan Book'!AE68</f>
        <v>0</v>
      </c>
      <c r="W65" t="str">
        <f>IFERROR(INDEX('E-Banker master'!$B$2:$B$186,MATCH($A65,'E-Banker master'!$A$2:$A$186,0)),"")</f>
        <v>Msusa Investments Ltd</v>
      </c>
      <c r="X65">
        <f>IFERROR(INDEX('E-Banker master'!$C$2:$C$186,MATCH($A65,'E-Banker master'!$A$2:$A$186,0)),"")</f>
        <v>90</v>
      </c>
      <c r="Y65" t="str">
        <f>IFERROR(INDEX('E-Banker master'!$D$2:$D$186,MATCH($A65,'E-Banker master'!$A$2:$A$186,0)),"")</f>
        <v>1050201</v>
      </c>
      <c r="Z65" t="str">
        <f>IFERROR(INDEX('E-Banker master'!$E$2:$E$186,MATCH($A65,'E-Banker master'!$A$2:$A$186,0)),"")</f>
        <v>A</v>
      </c>
      <c r="AA65" t="str">
        <f>IFERROR(INDEX('E-Banker master'!$F$2:$F$186,MATCH($A65,'E-Banker master'!$A$2:$A$186,0)),"")</f>
        <v>S</v>
      </c>
      <c r="AB65">
        <f>IFERROR(INDEX('E-Banker master'!$G$2:$G$186,MATCH($A65,'E-Banker master'!$A$2:$A$186,0)),"")</f>
        <v>10</v>
      </c>
      <c r="AC65" s="427">
        <f>IFERROR(INDEX('E-Banker master'!$I$2:$I$186,MATCH($A65,'E-Banker master'!$A$2:$A$186,0)),"")</f>
        <v>250000000</v>
      </c>
      <c r="AD65" s="426">
        <f>IFERROR(INDEX('E-Banker master'!$J$2:$J$186,MATCH($A65,'E-Banker master'!$A$2:$A$186,0)),"")</f>
        <v>45034</v>
      </c>
      <c r="AE65" s="426">
        <f>IFERROR(INDEX('E-Banker master'!$K$2:$K$186,MATCH($A65,'E-Banker master'!$A$2:$A$186,0)),"")</f>
        <v>46494</v>
      </c>
      <c r="AF65">
        <f>IFERROR(INDEX('E-Banker master'!$L$2:$L$186,MATCH($A65,'E-Banker master'!$A$2:$A$186,0)),"")</f>
        <v>6</v>
      </c>
      <c r="AG65">
        <f>IFERROR(INDEX('E-Banker master'!$M$2:$M$186,MATCH($A65,'E-Banker master'!$A$2:$A$186,0)),"")</f>
        <v>0</v>
      </c>
      <c r="AH65" s="427">
        <f>IFERROR(INDEX('E-Banker master'!$N$2:$N$186,MATCH($A65,'E-Banker master'!$A$2:$A$186,0)),"")</f>
        <v>250000000</v>
      </c>
      <c r="AI65" s="427">
        <f>IFERROR(INDEX('E-Banker master'!$O$2:$O$186,MATCH($A65,'E-Banker master'!$A$2:$A$186,0)),"")</f>
        <v>30624506.41</v>
      </c>
      <c r="AJ65" s="427">
        <f>IFERROR(INDEX('E-Banker master'!$P$2:$P$186,MATCH($A65,'E-Banker master'!$A$2:$A$186,0)),"")</f>
        <v>195249240.19999999</v>
      </c>
      <c r="AK65" s="427">
        <f t="shared" si="3"/>
        <v>-1036812.2083251178</v>
      </c>
      <c r="AL65">
        <v>61</v>
      </c>
      <c r="AM65" t="str">
        <f>HYPERLINK("#'Amortisation and Repayments'!C3370","block 61")</f>
        <v>block 61</v>
      </c>
      <c r="AN65">
        <f>Mapping!X65</f>
        <v>0</v>
      </c>
      <c r="AO65" s="440">
        <f>'Loan Book'!AS68</f>
        <v>2500000</v>
      </c>
      <c r="AP65" s="440">
        <f>'Loan Book'!AT68</f>
        <v>5413356</v>
      </c>
      <c r="AQ65" s="440"/>
      <c r="AR65" s="441">
        <f t="shared" si="2"/>
        <v>45034</v>
      </c>
      <c r="AS65" s="442" t="s">
        <v>977</v>
      </c>
      <c r="AT65" s="442" t="s">
        <v>978</v>
      </c>
      <c r="AU65" s="443">
        <f t="shared" si="4"/>
        <v>7913356</v>
      </c>
    </row>
    <row r="66" spans="1:47" x14ac:dyDescent="0.35">
      <c r="A66" t="str">
        <f>Mapping!J66</f>
        <v>000104460000064</v>
      </c>
      <c r="B66" t="str">
        <f>Mapping!K66</f>
        <v>High</v>
      </c>
      <c r="C66">
        <v>69</v>
      </c>
      <c r="D66" t="str">
        <f>'Loan Book'!E69</f>
        <v>Gibson Gray Cane Furniture</v>
      </c>
      <c r="E66" t="str">
        <f>'Loan Book'!F69</f>
        <v>Debt</v>
      </c>
      <c r="F66" s="426">
        <f>'Loan Book'!G69</f>
        <v>45048</v>
      </c>
      <c r="G66" s="426">
        <f>'Loan Book'!H69</f>
        <v>45779</v>
      </c>
      <c r="H66">
        <f>'Loan Book'!I69</f>
        <v>2</v>
      </c>
      <c r="I66" t="str">
        <f>'Loan Book'!J69</f>
        <v>3 (Cap+Int)</v>
      </c>
      <c r="J66">
        <f>IF('Loan Book'!K69="","",IF('Loan Book'!K69&lt;1,'Loan Book'!K69*100,'Loan Book'!K69))</f>
        <v>10</v>
      </c>
      <c r="K66" s="427">
        <f>'Loan Book'!L69</f>
        <v>30000000</v>
      </c>
      <c r="L66" s="427">
        <f>'Loan Book'!M69</f>
        <v>30000000</v>
      </c>
      <c r="M66" s="427">
        <f>'Loan Book'!N69</f>
        <v>0</v>
      </c>
      <c r="N66" s="427">
        <f>'Loan Book'!O69</f>
        <v>30000000</v>
      </c>
      <c r="O66" s="427">
        <f>'Loan Book'!P69</f>
        <v>3379213.4071376673</v>
      </c>
      <c r="P66" s="427">
        <f>'Loan Book'!Q69</f>
        <v>-19452250</v>
      </c>
      <c r="Q66" s="427">
        <f>'Loan Book'!R69</f>
        <v>13926963.407137666</v>
      </c>
      <c r="R66" s="427">
        <f>'Loan Book'!S69</f>
        <v>4498935.0229135808</v>
      </c>
      <c r="S66" s="427">
        <f>'Loan Book'!T69</f>
        <v>87059.54181208089</v>
      </c>
      <c r="T66" s="427">
        <f>'Loan Book'!U69</f>
        <v>4585994.5647256617</v>
      </c>
      <c r="U66">
        <f>'Loan Book'!AC69</f>
        <v>0</v>
      </c>
      <c r="V66">
        <f>'Loan Book'!AE69</f>
        <v>0</v>
      </c>
      <c r="W66" t="str">
        <f>IFERROR(INDEX('E-Banker master'!$B$2:$B$186,MATCH($A66,'E-Banker master'!$A$2:$A$186,0)),"")</f>
        <v>Gibson Gray Cane Furniture</v>
      </c>
      <c r="X66">
        <f>IFERROR(INDEX('E-Banker master'!$C$2:$C$186,MATCH($A66,'E-Banker master'!$A$2:$A$186,0)),"")</f>
        <v>92</v>
      </c>
      <c r="Y66" t="str">
        <f>IFERROR(INDEX('E-Banker master'!$D$2:$D$186,MATCH($A66,'E-Banker master'!$A$2:$A$186,0)),"")</f>
        <v>1050202</v>
      </c>
      <c r="Z66" t="str">
        <f>IFERROR(INDEX('E-Banker master'!$E$2:$E$186,MATCH($A66,'E-Banker master'!$A$2:$A$186,0)),"")</f>
        <v>H</v>
      </c>
      <c r="AA66" t="str">
        <f>IFERROR(INDEX('E-Banker master'!$F$2:$F$186,MATCH($A66,'E-Banker master'!$A$2:$A$186,0)),"")</f>
        <v>S</v>
      </c>
      <c r="AB66">
        <f>IFERROR(INDEX('E-Banker master'!$G$2:$G$186,MATCH($A66,'E-Banker master'!$A$2:$A$186,0)),"")</f>
        <v>10</v>
      </c>
      <c r="AC66" s="427">
        <f>IFERROR(INDEX('E-Banker master'!$I$2:$I$186,MATCH($A66,'E-Banker master'!$A$2:$A$186,0)),"")</f>
        <v>30000000</v>
      </c>
      <c r="AD66" s="426">
        <f>IFERROR(INDEX('E-Banker master'!$J$2:$J$186,MATCH($A66,'E-Banker master'!$A$2:$A$186,0)),"")</f>
        <v>45048</v>
      </c>
      <c r="AE66" s="426">
        <f>IFERROR(INDEX('E-Banker master'!$K$2:$K$186,MATCH($A66,'E-Banker master'!$A$2:$A$186,0)),"")</f>
        <v>45778</v>
      </c>
      <c r="AF66">
        <f>IFERROR(INDEX('E-Banker master'!$L$2:$L$186,MATCH($A66,'E-Banker master'!$A$2:$A$186,0)),"")</f>
        <v>3</v>
      </c>
      <c r="AG66">
        <f>IFERROR(INDEX('E-Banker master'!$M$2:$M$186,MATCH($A66,'E-Banker master'!$A$2:$A$186,0)),"")</f>
        <v>3</v>
      </c>
      <c r="AH66" s="427">
        <f>IFERROR(INDEX('E-Banker master'!$N$2:$N$186,MATCH($A66,'E-Banker master'!$A$2:$A$186,0)),"")</f>
        <v>30000000</v>
      </c>
      <c r="AI66" s="427">
        <f>IFERROR(INDEX('E-Banker master'!$O$2:$O$186,MATCH($A66,'E-Banker master'!$A$2:$A$186,0)),"")</f>
        <v>3070499.52</v>
      </c>
      <c r="AJ66" s="427">
        <f>IFERROR(INDEX('E-Banker master'!$P$2:$P$186,MATCH($A66,'E-Banker master'!$A$2:$A$186,0)),"")</f>
        <v>14070777.51</v>
      </c>
      <c r="AK66" s="427">
        <f t="shared" ref="AK66:AK97" si="5">IF(OR(Q66="",AJ66=""),"",Q66-AJ66)</f>
        <v>-143814.10286233388</v>
      </c>
      <c r="AL66">
        <v>62</v>
      </c>
      <c r="AM66" t="str">
        <f>HYPERLINK("#'Amortisation and Repayments'!C3436","block 62")</f>
        <v>block 62</v>
      </c>
      <c r="AN66">
        <f>Mapping!X66</f>
        <v>0</v>
      </c>
      <c r="AO66" s="440">
        <f>'Loan Book'!AS69</f>
        <v>300000</v>
      </c>
      <c r="AP66" s="440">
        <f>'Loan Book'!AT69</f>
        <v>723500</v>
      </c>
      <c r="AQ66" s="440"/>
      <c r="AR66" s="441">
        <f t="shared" si="2"/>
        <v>45048</v>
      </c>
      <c r="AS66" s="442" t="s">
        <v>977</v>
      </c>
      <c r="AT66" s="442" t="s">
        <v>978</v>
      </c>
      <c r="AU66" s="443">
        <f t="shared" ref="AU66:AU97" si="6">IF(COUNT(AO66:AQ66)=0,"",SUM(AO66:AQ66))</f>
        <v>1023500</v>
      </c>
    </row>
    <row r="67" spans="1:47" x14ac:dyDescent="0.35">
      <c r="A67" t="str">
        <f>Mapping!J67</f>
        <v>000104460000065</v>
      </c>
      <c r="B67" t="str">
        <f>Mapping!K67</f>
        <v>High</v>
      </c>
      <c r="C67">
        <v>70</v>
      </c>
      <c r="D67" t="str">
        <f>'Loan Book'!E70</f>
        <v>House of Men Clothing</v>
      </c>
      <c r="E67" t="str">
        <f>'Loan Book'!F70</f>
        <v>Debt</v>
      </c>
      <c r="F67" s="426">
        <f>'Loan Book'!G70</f>
        <v>45064</v>
      </c>
      <c r="G67" s="426">
        <f>'Loan Book'!H70</f>
        <v>46525</v>
      </c>
      <c r="H67">
        <f>'Loan Book'!I70</f>
        <v>4</v>
      </c>
      <c r="I67" t="str">
        <f>'Loan Book'!J70</f>
        <v>6 (Cap + Int)</v>
      </c>
      <c r="J67">
        <f>IF('Loan Book'!K70="","",IF('Loan Book'!K70&lt;1,'Loan Book'!K70*100,'Loan Book'!K70))</f>
        <v>10</v>
      </c>
      <c r="K67" s="427">
        <f>'Loan Book'!L70</f>
        <v>50000000</v>
      </c>
      <c r="L67" s="427">
        <f>'Loan Book'!M70</f>
        <v>50000000</v>
      </c>
      <c r="M67" s="427">
        <f>'Loan Book'!N70</f>
        <v>0</v>
      </c>
      <c r="N67" s="427">
        <f>'Loan Book'!O70</f>
        <v>50000000</v>
      </c>
      <c r="O67" s="427">
        <f>'Loan Book'!P70</f>
        <v>7090473.1099766279</v>
      </c>
      <c r="P67" s="427">
        <f>'Loan Book'!Q70</f>
        <v>-16434440</v>
      </c>
      <c r="Q67" s="427">
        <f>'Loan Book'!R70</f>
        <v>40656033.109976627</v>
      </c>
      <c r="R67" s="427">
        <f>'Loan Book'!S70</f>
        <v>0</v>
      </c>
      <c r="S67" s="427">
        <f>'Loan Book'!T70</f>
        <v>0</v>
      </c>
      <c r="T67" s="427">
        <f>'Loan Book'!U70</f>
        <v>0</v>
      </c>
      <c r="U67">
        <f>'Loan Book'!AC70</f>
        <v>0</v>
      </c>
      <c r="V67">
        <f>'Loan Book'!AE70</f>
        <v>0</v>
      </c>
      <c r="W67" t="str">
        <f>IFERROR(INDEX('E-Banker master'!$B$2:$B$186,MATCH($A67,'E-Banker master'!$A$2:$A$186,0)),"")</f>
        <v>House of Men Clothing</v>
      </c>
      <c r="X67">
        <f>IFERROR(INDEX('E-Banker master'!$C$2:$C$186,MATCH($A67,'E-Banker master'!$A$2:$A$186,0)),"")</f>
        <v>92</v>
      </c>
      <c r="Y67" t="str">
        <f>IFERROR(INDEX('E-Banker master'!$D$2:$D$186,MATCH($A67,'E-Banker master'!$A$2:$A$186,0)),"")</f>
        <v>1050202</v>
      </c>
      <c r="Z67" t="str">
        <f>IFERROR(INDEX('E-Banker master'!$E$2:$E$186,MATCH($A67,'E-Banker master'!$A$2:$A$186,0)),"")</f>
        <v>A</v>
      </c>
      <c r="AA67" t="str">
        <f>IFERROR(INDEX('E-Banker master'!$F$2:$F$186,MATCH($A67,'E-Banker master'!$A$2:$A$186,0)),"")</f>
        <v>S</v>
      </c>
      <c r="AB67">
        <f>IFERROR(INDEX('E-Banker master'!$G$2:$G$186,MATCH($A67,'E-Banker master'!$A$2:$A$186,0)),"")</f>
        <v>10</v>
      </c>
      <c r="AC67" s="427">
        <f>IFERROR(INDEX('E-Banker master'!$I$2:$I$186,MATCH($A67,'E-Banker master'!$A$2:$A$186,0)),"")</f>
        <v>50000000</v>
      </c>
      <c r="AD67" s="426">
        <f>IFERROR(INDEX('E-Banker master'!$J$2:$J$186,MATCH($A67,'E-Banker master'!$A$2:$A$186,0)),"")</f>
        <v>45064</v>
      </c>
      <c r="AE67" s="426">
        <f>IFERROR(INDEX('E-Banker master'!$K$2:$K$186,MATCH($A67,'E-Banker master'!$A$2:$A$186,0)),"")</f>
        <v>46524</v>
      </c>
      <c r="AF67">
        <f>IFERROR(INDEX('E-Banker master'!$L$2:$L$186,MATCH($A67,'E-Banker master'!$A$2:$A$186,0)),"")</f>
        <v>6</v>
      </c>
      <c r="AG67">
        <f>IFERROR(INDEX('E-Banker master'!$M$2:$M$186,MATCH($A67,'E-Banker master'!$A$2:$A$186,0)),"")</f>
        <v>6</v>
      </c>
      <c r="AH67" s="427">
        <f>IFERROR(INDEX('E-Banker master'!$N$2:$N$186,MATCH($A67,'E-Banker master'!$A$2:$A$186,0)),"")</f>
        <v>50000000</v>
      </c>
      <c r="AI67" s="427">
        <f>IFERROR(INDEX('E-Banker master'!$O$2:$O$186,MATCH($A67,'E-Banker master'!$A$2:$A$186,0)),"")</f>
        <v>6017032.9199999999</v>
      </c>
      <c r="AJ67" s="427">
        <f>IFERROR(INDEX('E-Banker master'!$P$2:$P$186,MATCH($A67,'E-Banker master'!$A$2:$A$186,0)),"")</f>
        <v>40660777.880000003</v>
      </c>
      <c r="AK67" s="427">
        <f t="shared" si="5"/>
        <v>-4744.7700233757496</v>
      </c>
      <c r="AL67">
        <v>63</v>
      </c>
      <c r="AM67" t="str">
        <f>HYPERLINK("#'Amortisation and Repayments'!C3474","block 63")</f>
        <v>block 63</v>
      </c>
      <c r="AN67">
        <f>Mapping!X67</f>
        <v>0</v>
      </c>
      <c r="AO67" s="440">
        <f>'Loan Book'!AS70</f>
        <v>2000000</v>
      </c>
      <c r="AP67" s="440">
        <f>'Loan Book'!AT70</f>
        <v>1205000</v>
      </c>
      <c r="AQ67" s="440"/>
      <c r="AR67" s="441">
        <f t="shared" ref="AR67:AR104" si="7">AD67</f>
        <v>45064</v>
      </c>
      <c r="AS67" s="442" t="s">
        <v>977</v>
      </c>
      <c r="AT67" s="442" t="s">
        <v>978</v>
      </c>
      <c r="AU67" s="443">
        <f t="shared" si="6"/>
        <v>3205000</v>
      </c>
    </row>
    <row r="68" spans="1:47" x14ac:dyDescent="0.35">
      <c r="A68" t="str">
        <f>Mapping!J68</f>
        <v>000104460000066</v>
      </c>
      <c r="B68" t="str">
        <f>Mapping!K68</f>
        <v>High</v>
      </c>
      <c r="C68">
        <v>71</v>
      </c>
      <c r="D68" t="str">
        <f>'Loan Book'!E71</f>
        <v>Mphanga Hodings Limited</v>
      </c>
      <c r="E68" t="str">
        <f>'Loan Book'!F71</f>
        <v>Debt</v>
      </c>
      <c r="F68" s="426">
        <f>'Loan Book'!G71</f>
        <v>45064</v>
      </c>
      <c r="G68" s="426">
        <f>'Loan Book'!H71</f>
        <v>45795</v>
      </c>
      <c r="H68">
        <f>'Loan Book'!I71</f>
        <v>2</v>
      </c>
      <c r="I68" t="str">
        <f>'Loan Book'!J71</f>
        <v>3 (Cap+Int)</v>
      </c>
      <c r="J68">
        <f>IF('Loan Book'!K71="","",IF('Loan Book'!K71&lt;1,'Loan Book'!K71*100,'Loan Book'!K71))</f>
        <v>10</v>
      </c>
      <c r="K68" s="427">
        <f>'Loan Book'!L71</f>
        <v>150000000</v>
      </c>
      <c r="L68" s="427">
        <f>'Loan Book'!M71</f>
        <v>84923700</v>
      </c>
      <c r="M68" s="427">
        <f>'Loan Book'!N71</f>
        <v>65076300</v>
      </c>
      <c r="N68" s="427">
        <f>'Loan Book'!O71</f>
        <v>84923700</v>
      </c>
      <c r="O68" s="427">
        <f>'Loan Book'!P71</f>
        <v>9264068.5069237053</v>
      </c>
      <c r="P68" s="427">
        <f>'Loan Book'!Q71</f>
        <v>-59351176.660000004</v>
      </c>
      <c r="Q68" s="427">
        <f>'Loan Book'!R71</f>
        <v>34836591.846923701</v>
      </c>
      <c r="R68" s="427">
        <f>'Loan Book'!S71</f>
        <v>0</v>
      </c>
      <c r="S68" s="427">
        <f>'Loan Book'!T71</f>
        <v>0</v>
      </c>
      <c r="T68" s="427">
        <f>'Loan Book'!U71</f>
        <v>0</v>
      </c>
      <c r="U68">
        <f>'Loan Book'!AC71</f>
        <v>0</v>
      </c>
      <c r="V68">
        <f>'Loan Book'!AE71</f>
        <v>0</v>
      </c>
      <c r="W68" t="str">
        <f>IFERROR(INDEX('E-Banker master'!$B$2:$B$186,MATCH($A68,'E-Banker master'!$A$2:$A$186,0)),"")</f>
        <v>Mphanga Hodings Limited</v>
      </c>
      <c r="X68">
        <f>IFERROR(INDEX('E-Banker master'!$C$2:$C$186,MATCH($A68,'E-Banker master'!$A$2:$A$186,0)),"")</f>
        <v>92</v>
      </c>
      <c r="Y68" t="str">
        <f>IFERROR(INDEX('E-Banker master'!$D$2:$D$186,MATCH($A68,'E-Banker master'!$A$2:$A$186,0)),"")</f>
        <v>1050202</v>
      </c>
      <c r="Z68" t="str">
        <f>IFERROR(INDEX('E-Banker master'!$E$2:$E$186,MATCH($A68,'E-Banker master'!$A$2:$A$186,0)),"")</f>
        <v>H</v>
      </c>
      <c r="AA68" t="str">
        <f>IFERROR(INDEX('E-Banker master'!$F$2:$F$186,MATCH($A68,'E-Banker master'!$A$2:$A$186,0)),"")</f>
        <v>S</v>
      </c>
      <c r="AB68">
        <f>IFERROR(INDEX('E-Banker master'!$G$2:$G$186,MATCH($A68,'E-Banker master'!$A$2:$A$186,0)),"")</f>
        <v>10</v>
      </c>
      <c r="AC68" s="427">
        <f>IFERROR(INDEX('E-Banker master'!$I$2:$I$186,MATCH($A68,'E-Banker master'!$A$2:$A$186,0)),"")</f>
        <v>150000000</v>
      </c>
      <c r="AD68" s="426">
        <f>IFERROR(INDEX('E-Banker master'!$J$2:$J$186,MATCH($A68,'E-Banker master'!$A$2:$A$186,0)),"")</f>
        <v>45064</v>
      </c>
      <c r="AE68" s="426">
        <f>IFERROR(INDEX('E-Banker master'!$K$2:$K$186,MATCH($A68,'E-Banker master'!$A$2:$A$186,0)),"")</f>
        <v>45794</v>
      </c>
      <c r="AF68">
        <f>IFERROR(INDEX('E-Banker master'!$L$2:$L$186,MATCH($A68,'E-Banker master'!$A$2:$A$186,0)),"")</f>
        <v>3</v>
      </c>
      <c r="AG68">
        <f>IFERROR(INDEX('E-Banker master'!$M$2:$M$186,MATCH($A68,'E-Banker master'!$A$2:$A$186,0)),"")</f>
        <v>3</v>
      </c>
      <c r="AH68" s="427">
        <f>IFERROR(INDEX('E-Banker master'!$N$2:$N$186,MATCH($A68,'E-Banker master'!$A$2:$A$186,0)),"")</f>
        <v>84923700</v>
      </c>
      <c r="AI68" s="427">
        <f>IFERROR(INDEX('E-Banker master'!$O$2:$O$186,MATCH($A68,'E-Banker master'!$A$2:$A$186,0)),"")</f>
        <v>8285387.3099999996</v>
      </c>
      <c r="AJ68" s="427">
        <f>IFERROR(INDEX('E-Banker master'!$P$2:$P$186,MATCH($A68,'E-Banker master'!$A$2:$A$186,0)),"")</f>
        <v>34887586.619999997</v>
      </c>
      <c r="AK68" s="427">
        <f t="shared" si="5"/>
        <v>-50994.773076295853</v>
      </c>
      <c r="AL68">
        <v>64</v>
      </c>
      <c r="AM68" t="str">
        <f>HYPERLINK("#'Amortisation and Repayments'!C3540","block 64")</f>
        <v>block 64</v>
      </c>
      <c r="AN68">
        <f>Mapping!X68</f>
        <v>0</v>
      </c>
      <c r="AO68" s="440">
        <f>'Loan Book'!AS71</f>
        <v>1500000</v>
      </c>
      <c r="AP68" s="440">
        <f>'Loan Book'!AT71</f>
        <v>2474500</v>
      </c>
      <c r="AQ68" s="440"/>
      <c r="AR68" s="441">
        <f t="shared" si="7"/>
        <v>45064</v>
      </c>
      <c r="AS68" s="442" t="s">
        <v>977</v>
      </c>
      <c r="AT68" s="442" t="s">
        <v>978</v>
      </c>
      <c r="AU68" s="443">
        <f t="shared" si="6"/>
        <v>3974500</v>
      </c>
    </row>
    <row r="69" spans="1:47" x14ac:dyDescent="0.35">
      <c r="A69" t="str">
        <f>Mapping!J69</f>
        <v>000104450000067</v>
      </c>
      <c r="B69" t="str">
        <f>Mapping!K69</f>
        <v>High</v>
      </c>
      <c r="C69">
        <v>72</v>
      </c>
      <c r="D69" t="str">
        <f>'Loan Book'!E72</f>
        <v>Teren Agro Limited</v>
      </c>
      <c r="E69" t="str">
        <f>'Loan Book'!F72</f>
        <v>Debt</v>
      </c>
      <c r="F69" s="426">
        <f>'Loan Book'!G72</f>
        <v>45065</v>
      </c>
      <c r="G69" s="426">
        <f>'Loan Book'!H72</f>
        <v>45796</v>
      </c>
      <c r="H69">
        <f>'Loan Book'!I72</f>
        <v>2</v>
      </c>
      <c r="I69" t="str">
        <f>'Loan Book'!J72</f>
        <v>3 (Cap+Int)</v>
      </c>
      <c r="J69">
        <f>IF('Loan Book'!K72="","",IF('Loan Book'!K72&lt;1,'Loan Book'!K72*100,'Loan Book'!K72))</f>
        <v>10</v>
      </c>
      <c r="K69" s="427">
        <f>'Loan Book'!L72</f>
        <v>30000000</v>
      </c>
      <c r="L69" s="427">
        <f>'Loan Book'!M72</f>
        <v>30000000</v>
      </c>
      <c r="M69" s="427">
        <f>'Loan Book'!N72</f>
        <v>0</v>
      </c>
      <c r="N69" s="427">
        <f>'Loan Book'!O72</f>
        <v>30000000</v>
      </c>
      <c r="O69" s="427">
        <f>'Loan Book'!P72</f>
        <v>3405102.8326316746</v>
      </c>
      <c r="P69" s="427">
        <f>'Loan Book'!Q72</f>
        <v>-19275199.640000001</v>
      </c>
      <c r="Q69" s="427">
        <f>'Loan Book'!R72</f>
        <v>14129903.192631673</v>
      </c>
      <c r="R69" s="427">
        <f>'Loan Book'!S72</f>
        <v>1504851.1559281012</v>
      </c>
      <c r="S69" s="427">
        <f>'Loan Book'!T72</f>
        <v>1734048.4413782174</v>
      </c>
      <c r="T69" s="427">
        <f>'Loan Book'!U72</f>
        <v>3238899.5973063186</v>
      </c>
      <c r="U69">
        <f>'Loan Book'!AC72</f>
        <v>0</v>
      </c>
      <c r="V69">
        <f>'Loan Book'!AE72</f>
        <v>0</v>
      </c>
      <c r="W69" t="str">
        <f>IFERROR(INDEX('E-Banker master'!$B$2:$B$186,MATCH($A69,'E-Banker master'!$A$2:$A$186,0)),"")</f>
        <v>Teren Agro Limited</v>
      </c>
      <c r="X69">
        <f>IFERROR(INDEX('E-Banker master'!$C$2:$C$186,MATCH($A69,'E-Banker master'!$A$2:$A$186,0)),"")</f>
        <v>90</v>
      </c>
      <c r="Y69" t="str">
        <f>IFERROR(INDEX('E-Banker master'!$D$2:$D$186,MATCH($A69,'E-Banker master'!$A$2:$A$186,0)),"")</f>
        <v>1050201</v>
      </c>
      <c r="Z69" t="str">
        <f>IFERROR(INDEX('E-Banker master'!$E$2:$E$186,MATCH($A69,'E-Banker master'!$A$2:$A$186,0)),"")</f>
        <v>D</v>
      </c>
      <c r="AA69" t="str">
        <f>IFERROR(INDEX('E-Banker master'!$F$2:$F$186,MATCH($A69,'E-Banker master'!$A$2:$A$186,0)),"")</f>
        <v>S</v>
      </c>
      <c r="AB69">
        <f>IFERROR(INDEX('E-Banker master'!$G$2:$G$186,MATCH($A69,'E-Banker master'!$A$2:$A$186,0)),"")</f>
        <v>10</v>
      </c>
      <c r="AC69" s="427">
        <f>IFERROR(INDEX('E-Banker master'!$I$2:$I$186,MATCH($A69,'E-Banker master'!$A$2:$A$186,0)),"")</f>
        <v>30000000</v>
      </c>
      <c r="AD69" s="426">
        <f>IFERROR(INDEX('E-Banker master'!$J$2:$J$186,MATCH($A69,'E-Banker master'!$A$2:$A$186,0)),"")</f>
        <v>45065</v>
      </c>
      <c r="AE69" s="426">
        <f>IFERROR(INDEX('E-Banker master'!$K$2:$K$186,MATCH($A69,'E-Banker master'!$A$2:$A$186,0)),"")</f>
        <v>45795</v>
      </c>
      <c r="AF69">
        <f>IFERROR(INDEX('E-Banker master'!$L$2:$L$186,MATCH($A69,'E-Banker master'!$A$2:$A$186,0)),"")</f>
        <v>3</v>
      </c>
      <c r="AG69">
        <f>IFERROR(INDEX('E-Banker master'!$M$2:$M$186,MATCH($A69,'E-Banker master'!$A$2:$A$186,0)),"")</f>
        <v>3</v>
      </c>
      <c r="AH69" s="427">
        <f>IFERROR(INDEX('E-Banker master'!$N$2:$N$186,MATCH($A69,'E-Banker master'!$A$2:$A$186,0)),"")</f>
        <v>30000000</v>
      </c>
      <c r="AI69" s="427">
        <f>IFERROR(INDEX('E-Banker master'!$O$2:$O$186,MATCH($A69,'E-Banker master'!$A$2:$A$186,0)),"")</f>
        <v>3057998.89</v>
      </c>
      <c r="AJ69" s="427">
        <f>IFERROR(INDEX('E-Banker master'!$P$2:$P$186,MATCH($A69,'E-Banker master'!$A$2:$A$186,0)),"")</f>
        <v>14200437.57</v>
      </c>
      <c r="AK69" s="427">
        <f t="shared" si="5"/>
        <v>-70534.37736832723</v>
      </c>
      <c r="AL69">
        <v>65</v>
      </c>
      <c r="AM69" t="str">
        <f>HYPERLINK("#'Amortisation and Repayments'!C3582","block 65")</f>
        <v>block 65</v>
      </c>
      <c r="AN69">
        <f>Mapping!X69</f>
        <v>0</v>
      </c>
      <c r="AO69" s="440">
        <f>'Loan Book'!AS72</f>
        <v>300000</v>
      </c>
      <c r="AP69" s="440">
        <f>'Loan Book'!AT72</f>
        <v>533500</v>
      </c>
      <c r="AQ69" s="440"/>
      <c r="AR69" s="441">
        <f t="shared" si="7"/>
        <v>45065</v>
      </c>
      <c r="AS69" s="442" t="s">
        <v>977</v>
      </c>
      <c r="AT69" s="442" t="s">
        <v>978</v>
      </c>
      <c r="AU69" s="443">
        <f t="shared" si="6"/>
        <v>833500</v>
      </c>
    </row>
    <row r="70" spans="1:47" x14ac:dyDescent="0.35">
      <c r="A70" t="str">
        <f>Mapping!J70</f>
        <v>000104450000068</v>
      </c>
      <c r="B70" t="str">
        <f>Mapping!K70</f>
        <v>High</v>
      </c>
      <c r="C70">
        <v>73</v>
      </c>
      <c r="D70" t="str">
        <f>'Loan Book'!E73</f>
        <v>The Food Empire</v>
      </c>
      <c r="E70" t="str">
        <f>'Loan Book'!F73</f>
        <v>Debt</v>
      </c>
      <c r="F70" s="426">
        <f>'Loan Book'!G73</f>
        <v>45117</v>
      </c>
      <c r="G70" s="426">
        <f>'Loan Book'!H73</f>
        <v>46599</v>
      </c>
      <c r="H70">
        <f>'Loan Book'!I73</f>
        <v>4</v>
      </c>
      <c r="I70" t="str">
        <f>'Loan Book'!J73</f>
        <v>3 (Cap+Int)</v>
      </c>
      <c r="J70">
        <f>IF('Loan Book'!K73="","",IF('Loan Book'!K73&lt;1,'Loan Book'!K73*100,'Loan Book'!K73))</f>
        <v>10</v>
      </c>
      <c r="K70" s="427">
        <f>'Loan Book'!L73</f>
        <v>250000000</v>
      </c>
      <c r="L70" s="427">
        <f>'Loan Book'!M73</f>
        <v>250000000</v>
      </c>
      <c r="M70" s="427">
        <f>'Loan Book'!N73</f>
        <v>0</v>
      </c>
      <c r="N70" s="427">
        <f>'Loan Book'!O73</f>
        <v>250000000</v>
      </c>
      <c r="O70" s="427">
        <f>'Loan Book'!P73</f>
        <v>30915837.205164157</v>
      </c>
      <c r="P70" s="427">
        <f>'Loan Book'!Q73</f>
        <v>-108191700.66000003</v>
      </c>
      <c r="Q70" s="427">
        <f>'Loan Book'!R73</f>
        <v>172724136.54516411</v>
      </c>
      <c r="R70" s="427">
        <f>'Loan Book'!S73</f>
        <v>5199192.1414546464</v>
      </c>
      <c r="S70" s="427">
        <f>'Loan Book'!T73</f>
        <v>1694884.2700694171</v>
      </c>
      <c r="T70" s="427">
        <f>'Loan Book'!U73</f>
        <v>6894076.411524063</v>
      </c>
      <c r="U70">
        <f>'Loan Book'!AC73</f>
        <v>0</v>
      </c>
      <c r="V70">
        <f>'Loan Book'!AE73</f>
        <v>0</v>
      </c>
      <c r="W70" t="str">
        <f>IFERROR(INDEX('E-Banker master'!$B$2:$B$186,MATCH($A70,'E-Banker master'!$A$2:$A$186,0)),"")</f>
        <v>The Food Empire Limited</v>
      </c>
      <c r="X70">
        <f>IFERROR(INDEX('E-Banker master'!$C$2:$C$186,MATCH($A70,'E-Banker master'!$A$2:$A$186,0)),"")</f>
        <v>90</v>
      </c>
      <c r="Y70" t="str">
        <f>IFERROR(INDEX('E-Banker master'!$D$2:$D$186,MATCH($A70,'E-Banker master'!$A$2:$A$186,0)),"")</f>
        <v>1050201</v>
      </c>
      <c r="Z70" t="str">
        <f>IFERROR(INDEX('E-Banker master'!$E$2:$E$186,MATCH($A70,'E-Banker master'!$A$2:$A$186,0)),"")</f>
        <v>F</v>
      </c>
      <c r="AA70" t="str">
        <f>IFERROR(INDEX('E-Banker master'!$F$2:$F$186,MATCH($A70,'E-Banker master'!$A$2:$A$186,0)),"")</f>
        <v>S</v>
      </c>
      <c r="AB70">
        <f>IFERROR(INDEX('E-Banker master'!$G$2:$G$186,MATCH($A70,'E-Banker master'!$A$2:$A$186,0)),"")</f>
        <v>10</v>
      </c>
      <c r="AC70" s="427">
        <f>IFERROR(INDEX('E-Banker master'!$I$2:$I$186,MATCH($A70,'E-Banker master'!$A$2:$A$186,0)),"")</f>
        <v>250000000</v>
      </c>
      <c r="AD70" s="426">
        <f>IFERROR(INDEX('E-Banker master'!$J$2:$J$186,MATCH($A70,'E-Banker master'!$A$2:$A$186,0)),"")</f>
        <v>45117</v>
      </c>
      <c r="AE70" s="426">
        <f>IFERROR(INDEX('E-Banker master'!$K$2:$K$186,MATCH($A70,'E-Banker master'!$A$2:$A$186,0)),"")</f>
        <v>46577</v>
      </c>
      <c r="AF70">
        <f>IFERROR(INDEX('E-Banker master'!$L$2:$L$186,MATCH($A70,'E-Banker master'!$A$2:$A$186,0)),"")</f>
        <v>3</v>
      </c>
      <c r="AG70">
        <f>IFERROR(INDEX('E-Banker master'!$M$2:$M$186,MATCH($A70,'E-Banker master'!$A$2:$A$186,0)),"")</f>
        <v>3</v>
      </c>
      <c r="AH70" s="427">
        <f>IFERROR(INDEX('E-Banker master'!$N$2:$N$186,MATCH($A70,'E-Banker master'!$A$2:$A$186,0)),"")</f>
        <v>250000000</v>
      </c>
      <c r="AI70" s="427">
        <f>IFERROR(INDEX('E-Banker master'!$O$2:$O$186,MATCH($A70,'E-Banker master'!$A$2:$A$186,0)),"")</f>
        <v>25702633.920000002</v>
      </c>
      <c r="AJ70" s="427">
        <f>IFERROR(INDEX('E-Banker master'!$P$2:$P$186,MATCH($A70,'E-Banker master'!$A$2:$A$186,0)),"")</f>
        <v>172097958.03</v>
      </c>
      <c r="AK70" s="427">
        <f t="shared" si="5"/>
        <v>626178.51516410708</v>
      </c>
      <c r="AL70">
        <v>66</v>
      </c>
      <c r="AM70" t="str">
        <f>HYPERLINK("#'Amortisation and Repayments'!C3626","block 66")</f>
        <v>block 66</v>
      </c>
      <c r="AN70">
        <f>Mapping!X70</f>
        <v>0</v>
      </c>
      <c r="AO70" s="440">
        <f>'Loan Book'!AS73</f>
        <v>2500000</v>
      </c>
      <c r="AP70" s="440">
        <f>'Loan Book'!AT73</f>
        <v>5585000</v>
      </c>
      <c r="AQ70" s="440"/>
      <c r="AR70" s="441">
        <f t="shared" si="7"/>
        <v>45117</v>
      </c>
      <c r="AS70" s="442" t="s">
        <v>977</v>
      </c>
      <c r="AT70" s="442" t="s">
        <v>978</v>
      </c>
      <c r="AU70" s="443">
        <f t="shared" si="6"/>
        <v>8085000</v>
      </c>
    </row>
    <row r="71" spans="1:47" x14ac:dyDescent="0.35">
      <c r="A71" t="str">
        <f>Mapping!J71</f>
        <v>000104450000069</v>
      </c>
      <c r="B71" t="str">
        <f>Mapping!K71</f>
        <v>High</v>
      </c>
      <c r="C71">
        <v>74</v>
      </c>
      <c r="D71" t="str">
        <f>'Loan Book'!E74</f>
        <v>Chisitu Tea Blenders and Packers Ltd</v>
      </c>
      <c r="E71" t="str">
        <f>'Loan Book'!F74</f>
        <v>Debt</v>
      </c>
      <c r="F71" s="426">
        <f>'Loan Book'!G74</f>
        <v>45127</v>
      </c>
      <c r="G71" s="426">
        <f>'Loan Book'!H74</f>
        <v>46599</v>
      </c>
      <c r="H71">
        <f>'Loan Book'!I74</f>
        <v>4</v>
      </c>
      <c r="I71" t="str">
        <f>'Loan Book'!J74</f>
        <v>6 (Cap+Int)</v>
      </c>
      <c r="J71">
        <f>IF('Loan Book'!K74="","",IF('Loan Book'!K74&lt;1,'Loan Book'!K74*100,'Loan Book'!K74))</f>
        <v>10</v>
      </c>
      <c r="K71" s="427">
        <f>'Loan Book'!L74</f>
        <v>200000000</v>
      </c>
      <c r="L71" s="427">
        <f>'Loan Book'!M74</f>
        <v>200000000</v>
      </c>
      <c r="M71" s="427">
        <f>'Loan Book'!N74</f>
        <v>0</v>
      </c>
      <c r="N71" s="427">
        <f>'Loan Book'!O74</f>
        <v>200000000</v>
      </c>
      <c r="O71" s="427">
        <f>'Loan Book'!P74</f>
        <v>25416237.668236997</v>
      </c>
      <c r="P71" s="427">
        <f>'Loan Book'!Q74</f>
        <v>-19000000</v>
      </c>
      <c r="Q71" s="427">
        <f>'Loan Book'!R74</f>
        <v>206416237.668237</v>
      </c>
      <c r="R71" s="427">
        <f>'Loan Book'!S74</f>
        <v>30754110.237143688</v>
      </c>
      <c r="S71" s="427">
        <f>'Loan Book'!T74</f>
        <v>3991180.4308025837</v>
      </c>
      <c r="T71" s="427">
        <f>'Loan Book'!U74</f>
        <v>34745290.667946272</v>
      </c>
      <c r="U71">
        <f>'Loan Book'!AC74</f>
        <v>0</v>
      </c>
      <c r="V71">
        <f>'Loan Book'!AE74</f>
        <v>0</v>
      </c>
      <c r="W71" t="str">
        <f>IFERROR(INDEX('E-Banker master'!$B$2:$B$186,MATCH($A71,'E-Banker master'!$A$2:$A$186,0)),"")</f>
        <v>Chisitu Tea Blenders and Packers Ltd</v>
      </c>
      <c r="X71">
        <f>IFERROR(INDEX('E-Banker master'!$C$2:$C$186,MATCH($A71,'E-Banker master'!$A$2:$A$186,0)),"")</f>
        <v>90</v>
      </c>
      <c r="Y71" t="str">
        <f>IFERROR(INDEX('E-Banker master'!$D$2:$D$186,MATCH($A71,'E-Banker master'!$A$2:$A$186,0)),"")</f>
        <v>1050201</v>
      </c>
      <c r="Z71" t="str">
        <f>IFERROR(INDEX('E-Banker master'!$E$2:$E$186,MATCH($A71,'E-Banker master'!$A$2:$A$186,0)),"")</f>
        <v>A</v>
      </c>
      <c r="AA71" t="str">
        <f>IFERROR(INDEX('E-Banker master'!$F$2:$F$186,MATCH($A71,'E-Banker master'!$A$2:$A$186,0)),"")</f>
        <v>S</v>
      </c>
      <c r="AB71">
        <f>IFERROR(INDEX('E-Banker master'!$G$2:$G$186,MATCH($A71,'E-Banker master'!$A$2:$A$186,0)),"")</f>
        <v>10</v>
      </c>
      <c r="AC71" s="427">
        <f>IFERROR(INDEX('E-Banker master'!$I$2:$I$186,MATCH($A71,'E-Banker master'!$A$2:$A$186,0)),"")</f>
        <v>200000000</v>
      </c>
      <c r="AD71" s="426">
        <f>IFERROR(INDEX('E-Banker master'!$J$2:$J$186,MATCH($A71,'E-Banker master'!$A$2:$A$186,0)),"")</f>
        <v>45127</v>
      </c>
      <c r="AE71" s="426">
        <f>IFERROR(INDEX('E-Banker master'!$K$2:$K$186,MATCH($A71,'E-Banker master'!$A$2:$A$186,0)),"")</f>
        <v>46587</v>
      </c>
      <c r="AF71">
        <f>IFERROR(INDEX('E-Banker master'!$L$2:$L$186,MATCH($A71,'E-Banker master'!$A$2:$A$186,0)),"")</f>
        <v>6</v>
      </c>
      <c r="AG71">
        <f>IFERROR(INDEX('E-Banker master'!$M$2:$M$186,MATCH($A71,'E-Banker master'!$A$2:$A$186,0)),"")</f>
        <v>6</v>
      </c>
      <c r="AH71" s="427">
        <f>IFERROR(INDEX('E-Banker master'!$N$2:$N$186,MATCH($A71,'E-Banker master'!$A$2:$A$186,0)),"")</f>
        <v>200000000</v>
      </c>
      <c r="AI71" s="427">
        <f>IFERROR(INDEX('E-Banker master'!$O$2:$O$186,MATCH($A71,'E-Banker master'!$A$2:$A$186,0)),"")</f>
        <v>20900523.190000001</v>
      </c>
      <c r="AJ71" s="427">
        <f>IFERROR(INDEX('E-Banker master'!$P$2:$P$186,MATCH($A71,'E-Banker master'!$A$2:$A$186,0)),"")</f>
        <v>207088006.12</v>
      </c>
      <c r="AK71" s="427">
        <f t="shared" si="5"/>
        <v>-671768.45176300406</v>
      </c>
      <c r="AL71">
        <v>67</v>
      </c>
      <c r="AM71" t="str">
        <f>HYPERLINK("#'Amortisation and Repayments'!C3692","block 67")</f>
        <v>block 67</v>
      </c>
      <c r="AN71">
        <f>Mapping!X71</f>
        <v>0</v>
      </c>
      <c r="AO71" s="440">
        <f>'Loan Book'!AS74</f>
        <v>5000000</v>
      </c>
      <c r="AP71" s="440">
        <f>'Loan Book'!AT74</f>
        <v>3270000</v>
      </c>
      <c r="AQ71" s="440"/>
      <c r="AR71" s="441">
        <f t="shared" si="7"/>
        <v>45127</v>
      </c>
      <c r="AS71" s="442" t="s">
        <v>977</v>
      </c>
      <c r="AT71" s="442" t="s">
        <v>978</v>
      </c>
      <c r="AU71" s="443">
        <f t="shared" si="6"/>
        <v>8270000</v>
      </c>
    </row>
    <row r="72" spans="1:47" x14ac:dyDescent="0.35">
      <c r="A72" t="str">
        <f>Mapping!J72</f>
        <v>000104460000070</v>
      </c>
      <c r="B72" t="str">
        <f>Mapping!K72</f>
        <v>High</v>
      </c>
      <c r="C72">
        <v>75</v>
      </c>
      <c r="D72" t="str">
        <f>'Loan Book'!E75</f>
        <v>Mchinji Civil Servants SACCO</v>
      </c>
      <c r="E72" t="str">
        <f>'Loan Book'!F75</f>
        <v>Debt</v>
      </c>
      <c r="F72" s="426">
        <f>'Loan Book'!G75</f>
        <v>45127</v>
      </c>
      <c r="G72" s="426">
        <f>'Loan Book'!H75</f>
        <v>46599</v>
      </c>
      <c r="H72">
        <f>'Loan Book'!I75</f>
        <v>4</v>
      </c>
      <c r="I72" t="str">
        <f>'Loan Book'!J75</f>
        <v>6 (Cap+Int)</v>
      </c>
      <c r="J72">
        <f>IF('Loan Book'!K75="","",IF('Loan Book'!K75&lt;1,'Loan Book'!K75*100,'Loan Book'!K75))</f>
        <v>10</v>
      </c>
      <c r="K72" s="427">
        <f>'Loan Book'!L75</f>
        <v>100000000</v>
      </c>
      <c r="L72" s="427">
        <f>'Loan Book'!M75</f>
        <v>100000000</v>
      </c>
      <c r="M72" s="427">
        <f>'Loan Book'!N75</f>
        <v>0</v>
      </c>
      <c r="N72" s="427">
        <f>'Loan Book'!O75</f>
        <v>100000000</v>
      </c>
      <c r="O72" s="427">
        <f>'Loan Book'!P75</f>
        <v>6836759.204730195</v>
      </c>
      <c r="P72" s="427">
        <f>'Loan Book'!Q75</f>
        <v>-56000000</v>
      </c>
      <c r="Q72" s="427">
        <f>'Loan Book'!R75</f>
        <v>50836759.204730198</v>
      </c>
      <c r="R72" s="427">
        <f>'Loan Book'!S75</f>
        <v>4127024.9184564762</v>
      </c>
      <c r="S72" s="427">
        <f>'Loan Book'!T75</f>
        <v>0</v>
      </c>
      <c r="T72" s="427">
        <f>'Loan Book'!U75</f>
        <v>4127024.9184564762</v>
      </c>
      <c r="U72">
        <f>'Loan Book'!AC75</f>
        <v>0</v>
      </c>
      <c r="V72">
        <f>'Loan Book'!AE75</f>
        <v>0</v>
      </c>
      <c r="W72" t="str">
        <f>IFERROR(INDEX('E-Banker master'!$B$2:$B$186,MATCH($A72,'E-Banker master'!$A$2:$A$186,0)),"")</f>
        <v>Mchinji Civil Servants SACCO</v>
      </c>
      <c r="X72">
        <f>IFERROR(INDEX('E-Banker master'!$C$2:$C$186,MATCH($A72,'E-Banker master'!$A$2:$A$186,0)),"")</f>
        <v>92</v>
      </c>
      <c r="Y72" t="str">
        <f>IFERROR(INDEX('E-Banker master'!$D$2:$D$186,MATCH($A72,'E-Banker master'!$A$2:$A$186,0)),"")</f>
        <v>1050202</v>
      </c>
      <c r="Z72" t="str">
        <f>IFERROR(INDEX('E-Banker master'!$E$2:$E$186,MATCH($A72,'E-Banker master'!$A$2:$A$186,0)),"")</f>
        <v>H</v>
      </c>
      <c r="AA72" t="str">
        <f>IFERROR(INDEX('E-Banker master'!$F$2:$F$186,MATCH($A72,'E-Banker master'!$A$2:$A$186,0)),"")</f>
        <v>S</v>
      </c>
      <c r="AB72">
        <f>IFERROR(INDEX('E-Banker master'!$G$2:$G$186,MATCH($A72,'E-Banker master'!$A$2:$A$186,0)),"")</f>
        <v>10</v>
      </c>
      <c r="AC72" s="427">
        <f>IFERROR(INDEX('E-Banker master'!$I$2:$I$186,MATCH($A72,'E-Banker master'!$A$2:$A$186,0)),"")</f>
        <v>50000000</v>
      </c>
      <c r="AD72" s="426">
        <f>IFERROR(INDEX('E-Banker master'!$J$2:$J$186,MATCH($A72,'E-Banker master'!$A$2:$A$186,0)),"")</f>
        <v>45127</v>
      </c>
      <c r="AE72" s="426">
        <f>IFERROR(INDEX('E-Banker master'!$K$2:$K$186,MATCH($A72,'E-Banker master'!$A$2:$A$186,0)),"")</f>
        <v>45868</v>
      </c>
      <c r="AF72">
        <f>IFERROR(INDEX('E-Banker master'!$L$2:$L$186,MATCH($A72,'E-Banker master'!$A$2:$A$186,0)),"")</f>
        <v>6</v>
      </c>
      <c r="AG72">
        <f>IFERROR(INDEX('E-Banker master'!$M$2:$M$186,MATCH($A72,'E-Banker master'!$A$2:$A$186,0)),"")</f>
        <v>6</v>
      </c>
      <c r="AH72" s="427">
        <f>IFERROR(INDEX('E-Banker master'!$N$2:$N$186,MATCH($A72,'E-Banker master'!$A$2:$A$186,0)),"")</f>
        <v>100000000</v>
      </c>
      <c r="AI72" s="427">
        <f>IFERROR(INDEX('E-Banker master'!$O$2:$O$186,MATCH($A72,'E-Banker master'!$A$2:$A$186,0)),"")</f>
        <v>5386103.9500000002</v>
      </c>
      <c r="AJ72" s="427">
        <f>IFERROR(INDEX('E-Banker master'!$P$2:$P$186,MATCH($A72,'E-Banker master'!$A$2:$A$186,0)),"")</f>
        <v>50940060.280000001</v>
      </c>
      <c r="AK72" s="427">
        <f t="shared" si="5"/>
        <v>-103301.0752698034</v>
      </c>
      <c r="AL72">
        <v>68</v>
      </c>
      <c r="AM72" t="str">
        <f>HYPERLINK("#'Amortisation and Repayments'!C3758","block 68")</f>
        <v>block 68</v>
      </c>
      <c r="AN72">
        <f>Mapping!X72</f>
        <v>0</v>
      </c>
      <c r="AO72" s="440">
        <f>'Loan Book'!AS75</f>
        <v>500000</v>
      </c>
      <c r="AP72" s="440">
        <f>'Loan Book'!AT75</f>
        <v>788112</v>
      </c>
      <c r="AQ72" s="440"/>
      <c r="AR72" s="441">
        <f t="shared" si="7"/>
        <v>45127</v>
      </c>
      <c r="AS72" s="442" t="s">
        <v>977</v>
      </c>
      <c r="AT72" s="442" t="s">
        <v>978</v>
      </c>
      <c r="AU72" s="443">
        <f t="shared" si="6"/>
        <v>1288112</v>
      </c>
    </row>
    <row r="73" spans="1:47" x14ac:dyDescent="0.35">
      <c r="A73" t="str">
        <f>Mapping!J73</f>
        <v>000104460000071</v>
      </c>
      <c r="B73" t="str">
        <f>Mapping!K73</f>
        <v>High</v>
      </c>
      <c r="C73">
        <v>76</v>
      </c>
      <c r="D73" t="str">
        <f>'Loan Book'!E76</f>
        <v>Design Management Consultants Ltd</v>
      </c>
      <c r="E73" t="str">
        <f>'Loan Book'!F76</f>
        <v>Debt</v>
      </c>
      <c r="F73" s="426">
        <f>'Loan Book'!G76</f>
        <v>45138</v>
      </c>
      <c r="G73" s="426">
        <f>'Loan Book'!H76</f>
        <v>46599</v>
      </c>
      <c r="H73">
        <f>'Loan Book'!I76</f>
        <v>4</v>
      </c>
      <c r="I73" t="str">
        <f>'Loan Book'!J76</f>
        <v>6 (Cap+Int)</v>
      </c>
      <c r="J73">
        <f>IF('Loan Book'!K76="","",IF('Loan Book'!K76&lt;1,'Loan Book'!K76*100,'Loan Book'!K76))</f>
        <v>10</v>
      </c>
      <c r="K73" s="427">
        <f>'Loan Book'!L76</f>
        <v>236401400</v>
      </c>
      <c r="L73" s="427">
        <f>'Loan Book'!M76</f>
        <v>236401400</v>
      </c>
      <c r="M73" s="427">
        <f>'Loan Book'!N76</f>
        <v>0</v>
      </c>
      <c r="N73" s="427">
        <f>'Loan Book'!O76</f>
        <v>236401400</v>
      </c>
      <c r="O73" s="427">
        <f>'Loan Book'!P76</f>
        <v>29185439.098492417</v>
      </c>
      <c r="P73" s="427">
        <f>'Loan Book'!Q76</f>
        <v>-66679470.249999993</v>
      </c>
      <c r="Q73" s="427">
        <f>'Loan Book'!R76</f>
        <v>198907368.84849241</v>
      </c>
      <c r="R73" s="427">
        <f>'Loan Book'!S76</f>
        <v>0</v>
      </c>
      <c r="S73" s="427">
        <f>'Loan Book'!T76</f>
        <v>0</v>
      </c>
      <c r="T73" s="427">
        <f>'Loan Book'!U76</f>
        <v>0</v>
      </c>
      <c r="U73">
        <f>'Loan Book'!AC76</f>
        <v>0</v>
      </c>
      <c r="V73">
        <f>'Loan Book'!AE76</f>
        <v>0</v>
      </c>
      <c r="W73" t="str">
        <f>IFERROR(INDEX('E-Banker master'!$B$2:$B$186,MATCH($A73,'E-Banker master'!$A$2:$A$186,0)),"")</f>
        <v>Design Management Consultants Ltd</v>
      </c>
      <c r="X73">
        <f>IFERROR(INDEX('E-Banker master'!$C$2:$C$186,MATCH($A73,'E-Banker master'!$A$2:$A$186,0)),"")</f>
        <v>92</v>
      </c>
      <c r="Y73" t="str">
        <f>IFERROR(INDEX('E-Banker master'!$D$2:$D$186,MATCH($A73,'E-Banker master'!$A$2:$A$186,0)),"")</f>
        <v>1050202</v>
      </c>
      <c r="Z73" t="str">
        <f>IFERROR(INDEX('E-Banker master'!$E$2:$E$186,MATCH($A73,'E-Banker master'!$A$2:$A$186,0)),"")</f>
        <v>A</v>
      </c>
      <c r="AA73" t="str">
        <f>IFERROR(INDEX('E-Banker master'!$F$2:$F$186,MATCH($A73,'E-Banker master'!$A$2:$A$186,0)),"")</f>
        <v>S</v>
      </c>
      <c r="AB73">
        <f>IFERROR(INDEX('E-Banker master'!$G$2:$G$186,MATCH($A73,'E-Banker master'!$A$2:$A$186,0)),"")</f>
        <v>10</v>
      </c>
      <c r="AC73" s="427">
        <f>IFERROR(INDEX('E-Banker master'!$I$2:$I$186,MATCH($A73,'E-Banker master'!$A$2:$A$186,0)),"")</f>
        <v>236401400</v>
      </c>
      <c r="AD73" s="426">
        <f>IFERROR(INDEX('E-Banker master'!$J$2:$J$186,MATCH($A73,'E-Banker master'!$A$2:$A$186,0)),"")</f>
        <v>45138</v>
      </c>
      <c r="AE73" s="426">
        <f>IFERROR(INDEX('E-Banker master'!$K$2:$K$186,MATCH($A73,'E-Banker master'!$A$2:$A$186,0)),"")</f>
        <v>46598</v>
      </c>
      <c r="AF73">
        <f>IFERROR(INDEX('E-Banker master'!$L$2:$L$186,MATCH($A73,'E-Banker master'!$A$2:$A$186,0)),"")</f>
        <v>6</v>
      </c>
      <c r="AG73">
        <f>IFERROR(INDEX('E-Banker master'!$M$2:$M$186,MATCH($A73,'E-Banker master'!$A$2:$A$186,0)),"")</f>
        <v>6</v>
      </c>
      <c r="AH73" s="427">
        <f>IFERROR(INDEX('E-Banker master'!$N$2:$N$186,MATCH($A73,'E-Banker master'!$A$2:$A$186,0)),"")</f>
        <v>236401400</v>
      </c>
      <c r="AI73" s="427">
        <f>IFERROR(INDEX('E-Banker master'!$O$2:$O$186,MATCH($A73,'E-Banker master'!$A$2:$A$186,0)),"")</f>
        <v>23864995.690000001</v>
      </c>
      <c r="AJ73" s="427">
        <f>IFERROR(INDEX('E-Banker master'!$P$2:$P$186,MATCH($A73,'E-Banker master'!$A$2:$A$186,0)),"")</f>
        <v>198864434.30000001</v>
      </c>
      <c r="AK73" s="427">
        <f t="shared" si="5"/>
        <v>42934.548492401838</v>
      </c>
      <c r="AL73">
        <v>70</v>
      </c>
      <c r="AM73" t="str">
        <f>HYPERLINK("#'Amortisation and Repayments'!C3841","block 70")</f>
        <v>block 70</v>
      </c>
      <c r="AN73">
        <f>Mapping!X73</f>
        <v>0</v>
      </c>
      <c r="AO73" s="440">
        <f>'Loan Book'!AS76</f>
        <v>2290000</v>
      </c>
      <c r="AP73" s="440">
        <f>'Loan Book'!AT76</f>
        <v>5111400</v>
      </c>
      <c r="AQ73" s="440"/>
      <c r="AR73" s="441">
        <f t="shared" si="7"/>
        <v>45138</v>
      </c>
      <c r="AS73" s="442" t="s">
        <v>977</v>
      </c>
      <c r="AT73" s="442" t="s">
        <v>978</v>
      </c>
      <c r="AU73" s="443">
        <f t="shared" si="6"/>
        <v>7401400</v>
      </c>
    </row>
    <row r="74" spans="1:47" x14ac:dyDescent="0.35">
      <c r="A74" t="str">
        <f>Mapping!J74</f>
        <v>000104450000072</v>
      </c>
      <c r="B74" t="str">
        <f>Mapping!K74</f>
        <v>High</v>
      </c>
      <c r="C74">
        <v>77</v>
      </c>
      <c r="D74" t="str">
        <f>'Loan Book'!E77</f>
        <v>Jescal Enterprise</v>
      </c>
      <c r="E74" t="str">
        <f>'Loan Book'!F77</f>
        <v>Debt</v>
      </c>
      <c r="F74" s="426">
        <f>'Loan Book'!G77</f>
        <v>45138</v>
      </c>
      <c r="G74" s="426">
        <f>'Loan Book'!H77</f>
        <v>45868</v>
      </c>
      <c r="H74">
        <f>'Loan Book'!I77</f>
        <v>2</v>
      </c>
      <c r="I74" t="str">
        <f>'Loan Book'!J77</f>
        <v>3 (Cap+Int)</v>
      </c>
      <c r="J74">
        <f>IF('Loan Book'!K77="","",IF('Loan Book'!K77&lt;1,'Loan Book'!K77*100,'Loan Book'!K77))</f>
        <v>10</v>
      </c>
      <c r="K74" s="427">
        <f>'Loan Book'!L77</f>
        <v>15000000</v>
      </c>
      <c r="L74" s="427">
        <f>'Loan Book'!M77</f>
        <v>15000000</v>
      </c>
      <c r="M74" s="427">
        <f>'Loan Book'!N77</f>
        <v>0</v>
      </c>
      <c r="N74" s="427">
        <f>'Loan Book'!O77</f>
        <v>15000000</v>
      </c>
      <c r="O74" s="427">
        <f>'Loan Book'!P77</f>
        <v>1399810.1152477686</v>
      </c>
      <c r="P74" s="427">
        <f>'Loan Book'!Q77</f>
        <v>-9450000</v>
      </c>
      <c r="Q74" s="427">
        <f>'Loan Book'!R77</f>
        <v>6949810.1152477693</v>
      </c>
      <c r="R74" s="427">
        <f>'Loan Book'!S77</f>
        <v>0</v>
      </c>
      <c r="S74" s="427">
        <f>'Loan Book'!T77</f>
        <v>0</v>
      </c>
      <c r="T74" s="427">
        <f>'Loan Book'!U77</f>
        <v>0</v>
      </c>
      <c r="U74">
        <f>'Loan Book'!AC77</f>
        <v>0</v>
      </c>
      <c r="V74">
        <f>'Loan Book'!AE77</f>
        <v>0</v>
      </c>
      <c r="W74" t="str">
        <f>IFERROR(INDEX('E-Banker master'!$B$2:$B$186,MATCH($A74,'E-Banker master'!$A$2:$A$186,0)),"")</f>
        <v>Jescal Enterprise</v>
      </c>
      <c r="X74">
        <f>IFERROR(INDEX('E-Banker master'!$C$2:$C$186,MATCH($A74,'E-Banker master'!$A$2:$A$186,0)),"")</f>
        <v>90</v>
      </c>
      <c r="Y74" t="str">
        <f>IFERROR(INDEX('E-Banker master'!$D$2:$D$186,MATCH($A74,'E-Banker master'!$A$2:$A$186,0)),"")</f>
        <v>1050201</v>
      </c>
      <c r="Z74" t="str">
        <f>IFERROR(INDEX('E-Banker master'!$E$2:$E$186,MATCH($A74,'E-Banker master'!$A$2:$A$186,0)),"")</f>
        <v>H</v>
      </c>
      <c r="AA74" t="str">
        <f>IFERROR(INDEX('E-Banker master'!$F$2:$F$186,MATCH($A74,'E-Banker master'!$A$2:$A$186,0)),"")</f>
        <v>S</v>
      </c>
      <c r="AB74">
        <f>IFERROR(INDEX('E-Banker master'!$G$2:$G$186,MATCH($A74,'E-Banker master'!$A$2:$A$186,0)),"")</f>
        <v>10</v>
      </c>
      <c r="AC74" s="427">
        <f>IFERROR(INDEX('E-Banker master'!$I$2:$I$186,MATCH($A74,'E-Banker master'!$A$2:$A$186,0)),"")</f>
        <v>15000000</v>
      </c>
      <c r="AD74" s="426">
        <f>IFERROR(INDEX('E-Banker master'!$J$2:$J$186,MATCH($A74,'E-Banker master'!$A$2:$A$186,0)),"")</f>
        <v>45138</v>
      </c>
      <c r="AE74" s="426">
        <f>IFERROR(INDEX('E-Banker master'!$K$2:$K$186,MATCH($A74,'E-Banker master'!$A$2:$A$186,0)),"")</f>
        <v>45868</v>
      </c>
      <c r="AF74">
        <f>IFERROR(INDEX('E-Banker master'!$L$2:$L$186,MATCH($A74,'E-Banker master'!$A$2:$A$186,0)),"")</f>
        <v>3</v>
      </c>
      <c r="AG74">
        <f>IFERROR(INDEX('E-Banker master'!$M$2:$M$186,MATCH($A74,'E-Banker master'!$A$2:$A$186,0)),"")</f>
        <v>3</v>
      </c>
      <c r="AH74" s="427">
        <f>IFERROR(INDEX('E-Banker master'!$N$2:$N$186,MATCH($A74,'E-Banker master'!$A$2:$A$186,0)),"")</f>
        <v>15000000</v>
      </c>
      <c r="AI74" s="427">
        <f>IFERROR(INDEX('E-Banker master'!$O$2:$O$186,MATCH($A74,'E-Banker master'!$A$2:$A$186,0)),"")</f>
        <v>1214682.54</v>
      </c>
      <c r="AJ74" s="427">
        <f>IFERROR(INDEX('E-Banker master'!$P$2:$P$186,MATCH($A74,'E-Banker master'!$A$2:$A$186,0)),"")</f>
        <v>6964564.7699999996</v>
      </c>
      <c r="AK74" s="427">
        <f t="shared" si="5"/>
        <v>-14754.654752230272</v>
      </c>
      <c r="AL74">
        <v>71</v>
      </c>
      <c r="AM74" t="str">
        <f>HYPERLINK("#'Amortisation and Repayments'!C3907","block 71")</f>
        <v>block 71</v>
      </c>
      <c r="AN74">
        <f>Mapping!X74</f>
        <v>0</v>
      </c>
      <c r="AO74" s="440">
        <f>'Loan Book'!AS77</f>
        <v>150000</v>
      </c>
      <c r="AP74" s="440">
        <f>'Loan Book'!AT77</f>
        <v>302000</v>
      </c>
      <c r="AQ74" s="440"/>
      <c r="AR74" s="441">
        <f t="shared" si="7"/>
        <v>45138</v>
      </c>
      <c r="AS74" s="442" t="s">
        <v>977</v>
      </c>
      <c r="AT74" s="442" t="s">
        <v>978</v>
      </c>
      <c r="AU74" s="443">
        <f t="shared" si="6"/>
        <v>452000</v>
      </c>
    </row>
    <row r="75" spans="1:47" x14ac:dyDescent="0.35">
      <c r="A75" t="str">
        <f>Mapping!J75</f>
        <v>000104460000073</v>
      </c>
      <c r="B75" t="str">
        <f>Mapping!K75</f>
        <v>High</v>
      </c>
      <c r="C75">
        <v>78</v>
      </c>
      <c r="D75" t="str">
        <f>'Loan Book'!E78</f>
        <v>Mosa Limited Company</v>
      </c>
      <c r="E75" t="str">
        <f>'Loan Book'!F78</f>
        <v>Debt</v>
      </c>
      <c r="F75" s="426">
        <f>'Loan Book'!G78</f>
        <v>45138</v>
      </c>
      <c r="G75" s="426">
        <f>'Loan Book'!H78</f>
        <v>45868</v>
      </c>
      <c r="H75">
        <f>'Loan Book'!I78</f>
        <v>2</v>
      </c>
      <c r="I75" t="str">
        <f>'Loan Book'!J78</f>
        <v>3 (Cap+Int)</v>
      </c>
      <c r="J75">
        <f>IF('Loan Book'!K78="","",IF('Loan Book'!K78&lt;1,'Loan Book'!K78*100,'Loan Book'!K78))</f>
        <v>10</v>
      </c>
      <c r="K75" s="427">
        <f>'Loan Book'!L78</f>
        <v>21417000</v>
      </c>
      <c r="L75" s="427">
        <f>'Loan Book'!M78</f>
        <v>21417000</v>
      </c>
      <c r="M75" s="427">
        <f>'Loan Book'!N78</f>
        <v>0</v>
      </c>
      <c r="N75" s="427">
        <f>'Loan Book'!O78</f>
        <v>21417000</v>
      </c>
      <c r="O75" s="427">
        <f>'Loan Book'!P78</f>
        <v>2192029.6052620574</v>
      </c>
      <c r="P75" s="427">
        <f>'Loan Book'!Q78</f>
        <v>-11440601.874220235</v>
      </c>
      <c r="Q75" s="427">
        <f>'Loan Book'!R78</f>
        <v>12168427.731041821</v>
      </c>
      <c r="R75" s="427">
        <f>'Loan Book'!S78</f>
        <v>2097197.3575748838</v>
      </c>
      <c r="S75" s="427">
        <f>'Loan Book'!T78</f>
        <v>190923.00401100051</v>
      </c>
      <c r="T75" s="427">
        <f>'Loan Book'!U78</f>
        <v>2288120.3615858844</v>
      </c>
      <c r="U75">
        <f>'Loan Book'!AC78</f>
        <v>0</v>
      </c>
      <c r="V75">
        <f>'Loan Book'!AE78</f>
        <v>0</v>
      </c>
      <c r="W75" t="str">
        <f>IFERROR(INDEX('E-Banker master'!$B$2:$B$186,MATCH($A75,'E-Banker master'!$A$2:$A$186,0)),"")</f>
        <v>Mosa Limited Company</v>
      </c>
      <c r="X75">
        <f>IFERROR(INDEX('E-Banker master'!$C$2:$C$186,MATCH($A75,'E-Banker master'!$A$2:$A$186,0)),"")</f>
        <v>92</v>
      </c>
      <c r="Y75" t="str">
        <f>IFERROR(INDEX('E-Banker master'!$D$2:$D$186,MATCH($A75,'E-Banker master'!$A$2:$A$186,0)),"")</f>
        <v>1050202</v>
      </c>
      <c r="Z75" t="str">
        <f>IFERROR(INDEX('E-Banker master'!$E$2:$E$186,MATCH($A75,'E-Banker master'!$A$2:$A$186,0)),"")</f>
        <v>D</v>
      </c>
      <c r="AA75" t="str">
        <f>IFERROR(INDEX('E-Banker master'!$F$2:$F$186,MATCH($A75,'E-Banker master'!$A$2:$A$186,0)),"")</f>
        <v>S</v>
      </c>
      <c r="AB75">
        <f>IFERROR(INDEX('E-Banker master'!$G$2:$G$186,MATCH($A75,'E-Banker master'!$A$2:$A$186,0)),"")</f>
        <v>10</v>
      </c>
      <c r="AC75" s="427">
        <f>IFERROR(INDEX('E-Banker master'!$I$2:$I$186,MATCH($A75,'E-Banker master'!$A$2:$A$186,0)),"")</f>
        <v>21417000</v>
      </c>
      <c r="AD75" s="426">
        <f>IFERROR(INDEX('E-Banker master'!$J$2:$J$186,MATCH($A75,'E-Banker master'!$A$2:$A$186,0)),"")</f>
        <v>45138</v>
      </c>
      <c r="AE75" s="426">
        <f>IFERROR(INDEX('E-Banker master'!$K$2:$K$186,MATCH($A75,'E-Banker master'!$A$2:$A$186,0)),"")</f>
        <v>45868</v>
      </c>
      <c r="AF75">
        <f>IFERROR(INDEX('E-Banker master'!$L$2:$L$186,MATCH($A75,'E-Banker master'!$A$2:$A$186,0)),"")</f>
        <v>3</v>
      </c>
      <c r="AG75">
        <f>IFERROR(INDEX('E-Banker master'!$M$2:$M$186,MATCH($A75,'E-Banker master'!$A$2:$A$186,0)),"")</f>
        <v>3</v>
      </c>
      <c r="AH75" s="427">
        <f>IFERROR(INDEX('E-Banker master'!$N$2:$N$186,MATCH($A75,'E-Banker master'!$A$2:$A$186,0)),"")</f>
        <v>21417000</v>
      </c>
      <c r="AI75" s="427">
        <f>IFERROR(INDEX('E-Banker master'!$O$2:$O$186,MATCH($A75,'E-Banker master'!$A$2:$A$186,0)),"")</f>
        <v>1892663.9</v>
      </c>
      <c r="AJ75" s="427">
        <f>IFERROR(INDEX('E-Banker master'!$P$2:$P$186,MATCH($A75,'E-Banker master'!$A$2:$A$186,0)),"")</f>
        <v>12180308.75</v>
      </c>
      <c r="AK75" s="427">
        <f t="shared" si="5"/>
        <v>-11881.01895817928</v>
      </c>
      <c r="AL75">
        <v>72</v>
      </c>
      <c r="AM75" t="str">
        <f>HYPERLINK("#'Amortisation and Repayments'!C3949","block 72")</f>
        <v>block 72</v>
      </c>
      <c r="AN75">
        <f>Mapping!X75</f>
        <v>0</v>
      </c>
      <c r="AO75" s="440">
        <f>'Loan Book'!AS78</f>
        <v>214170</v>
      </c>
      <c r="AP75" s="440">
        <f>'Loan Book'!AT78</f>
        <v>405314</v>
      </c>
      <c r="AQ75" s="440"/>
      <c r="AR75" s="441">
        <f t="shared" si="7"/>
        <v>45138</v>
      </c>
      <c r="AS75" s="442" t="s">
        <v>977</v>
      </c>
      <c r="AT75" s="442" t="s">
        <v>978</v>
      </c>
      <c r="AU75" s="443">
        <f t="shared" si="6"/>
        <v>619484</v>
      </c>
    </row>
    <row r="76" spans="1:47" x14ac:dyDescent="0.35">
      <c r="A76" t="str">
        <f>Mapping!J76</f>
        <v>000104450000074</v>
      </c>
      <c r="B76" t="str">
        <f>Mapping!K76</f>
        <v>High</v>
      </c>
      <c r="C76">
        <v>79</v>
      </c>
      <c r="D76" t="str">
        <f>'Loan Book'!E79</f>
        <v>Pamela Investments</v>
      </c>
      <c r="E76" t="str">
        <f>'Loan Book'!F79</f>
        <v>Debt</v>
      </c>
      <c r="F76" s="426">
        <f>'Loan Book'!G79</f>
        <v>45108</v>
      </c>
      <c r="G76" s="426">
        <f>'Loan Book'!H79</f>
        <v>45868</v>
      </c>
      <c r="H76">
        <f>'Loan Book'!I79</f>
        <v>2</v>
      </c>
      <c r="I76" t="str">
        <f>'Loan Book'!J79</f>
        <v>3 (Cap+Int)</v>
      </c>
      <c r="J76">
        <f>IF('Loan Book'!K79="","",IF('Loan Book'!K79&lt;1,'Loan Book'!K79*100,'Loan Book'!K79))</f>
        <v>10</v>
      </c>
      <c r="K76" s="427">
        <f>'Loan Book'!L79</f>
        <v>30000000</v>
      </c>
      <c r="L76" s="427">
        <f>'Loan Book'!M79</f>
        <v>30000000</v>
      </c>
      <c r="M76" s="427">
        <f>'Loan Book'!N79</f>
        <v>0</v>
      </c>
      <c r="N76" s="427">
        <f>'Loan Book'!O79</f>
        <v>30000000</v>
      </c>
      <c r="O76" s="427">
        <f>'Loan Book'!P79</f>
        <v>3230521.0607680068</v>
      </c>
      <c r="P76" s="427">
        <f>'Loan Book'!Q79</f>
        <v>-10572817.949999999</v>
      </c>
      <c r="Q76" s="427">
        <f>'Loan Book'!R79</f>
        <v>22657703.110768009</v>
      </c>
      <c r="R76" s="427">
        <f>'Loan Book'!S79</f>
        <v>8308065.6740155127</v>
      </c>
      <c r="S76" s="427">
        <f>'Loan Book'!T79</f>
        <v>1085525.1626047697</v>
      </c>
      <c r="T76" s="427">
        <f>'Loan Book'!U79</f>
        <v>9393590.8366202824</v>
      </c>
      <c r="U76">
        <f>'Loan Book'!AC79</f>
        <v>0</v>
      </c>
      <c r="V76">
        <f>'Loan Book'!AE79</f>
        <v>0</v>
      </c>
      <c r="W76" t="str">
        <f>IFERROR(INDEX('E-Banker master'!$B$2:$B$186,MATCH($A76,'E-Banker master'!$A$2:$A$186,0)),"")</f>
        <v>Pamela Investments</v>
      </c>
      <c r="X76">
        <f>IFERROR(INDEX('E-Banker master'!$C$2:$C$186,MATCH($A76,'E-Banker master'!$A$2:$A$186,0)),"")</f>
        <v>90</v>
      </c>
      <c r="Y76" t="str">
        <f>IFERROR(INDEX('E-Banker master'!$D$2:$D$186,MATCH($A76,'E-Banker master'!$A$2:$A$186,0)),"")</f>
        <v>1050201</v>
      </c>
      <c r="Z76" t="str">
        <f>IFERROR(INDEX('E-Banker master'!$E$2:$E$186,MATCH($A76,'E-Banker master'!$A$2:$A$186,0)),"")</f>
        <v>H</v>
      </c>
      <c r="AA76" t="str">
        <f>IFERROR(INDEX('E-Banker master'!$F$2:$F$186,MATCH($A76,'E-Banker master'!$A$2:$A$186,0)),"")</f>
        <v>S</v>
      </c>
      <c r="AB76">
        <f>IFERROR(INDEX('E-Banker master'!$G$2:$G$186,MATCH($A76,'E-Banker master'!$A$2:$A$186,0)),"")</f>
        <v>10</v>
      </c>
      <c r="AC76" s="427">
        <f>IFERROR(INDEX('E-Banker master'!$I$2:$I$186,MATCH($A76,'E-Banker master'!$A$2:$A$186,0)),"")</f>
        <v>30000000</v>
      </c>
      <c r="AD76" s="426">
        <f>IFERROR(INDEX('E-Banker master'!$J$2:$J$186,MATCH($A76,'E-Banker master'!$A$2:$A$186,0)),"")</f>
        <v>45108</v>
      </c>
      <c r="AE76" s="426">
        <f>IFERROR(INDEX('E-Banker master'!$K$2:$K$186,MATCH($A76,'E-Banker master'!$A$2:$A$186,0)),"")</f>
        <v>45838</v>
      </c>
      <c r="AF76">
        <f>IFERROR(INDEX('E-Banker master'!$L$2:$L$186,MATCH($A76,'E-Banker master'!$A$2:$A$186,0)),"")</f>
        <v>3</v>
      </c>
      <c r="AG76">
        <f>IFERROR(INDEX('E-Banker master'!$M$2:$M$186,MATCH($A76,'E-Banker master'!$A$2:$A$186,0)),"")</f>
        <v>3</v>
      </c>
      <c r="AH76" s="427">
        <f>IFERROR(INDEX('E-Banker master'!$N$2:$N$186,MATCH($A76,'E-Banker master'!$A$2:$A$186,0)),"")</f>
        <v>30000000</v>
      </c>
      <c r="AI76" s="427">
        <f>IFERROR(INDEX('E-Banker master'!$O$2:$O$186,MATCH($A76,'E-Banker master'!$A$2:$A$186,0)),"")</f>
        <v>2828628.68</v>
      </c>
      <c r="AJ76" s="427">
        <f>IFERROR(INDEX('E-Banker master'!$P$2:$P$186,MATCH($A76,'E-Banker master'!$A$2:$A$186,0)),"")</f>
        <v>22848584.379999999</v>
      </c>
      <c r="AK76" s="427">
        <f t="shared" si="5"/>
        <v>-190881.26923198998</v>
      </c>
      <c r="AL76">
        <v>69</v>
      </c>
      <c r="AM76" t="str">
        <f>HYPERLINK("#'Amortisation and Repayments'!C3799","block 69")</f>
        <v>block 69</v>
      </c>
      <c r="AN76">
        <f>Mapping!X76</f>
        <v>0</v>
      </c>
      <c r="AO76" s="440">
        <f>'Loan Book'!AS79</f>
        <v>300000</v>
      </c>
      <c r="AP76" s="440">
        <f>'Loan Book'!AT79</f>
        <v>533500</v>
      </c>
      <c r="AQ76" s="440"/>
      <c r="AR76" s="441">
        <f t="shared" si="7"/>
        <v>45108</v>
      </c>
      <c r="AS76" s="442" t="s">
        <v>977</v>
      </c>
      <c r="AT76" s="442" t="s">
        <v>978</v>
      </c>
      <c r="AU76" s="443">
        <f t="shared" si="6"/>
        <v>833500</v>
      </c>
    </row>
    <row r="77" spans="1:47" x14ac:dyDescent="0.35">
      <c r="A77" t="str">
        <f>Mapping!J77</f>
        <v>000104460000075</v>
      </c>
      <c r="B77" t="str">
        <f>Mapping!K77</f>
        <v>High</v>
      </c>
      <c r="C77">
        <v>80</v>
      </c>
      <c r="D77" t="str">
        <f>'Loan Book'!E80</f>
        <v>Global Seeds Limited FInES</v>
      </c>
      <c r="E77" t="str">
        <f>'Loan Book'!F80</f>
        <v>Debt</v>
      </c>
      <c r="F77" s="426">
        <f>'Loan Book'!G80</f>
        <v>45145</v>
      </c>
      <c r="G77" s="426">
        <f>'Loan Book'!H80</f>
        <v>46630</v>
      </c>
      <c r="H77">
        <f>'Loan Book'!I80</f>
        <v>4</v>
      </c>
      <c r="I77">
        <f>'Loan Book'!J80</f>
        <v>0</v>
      </c>
      <c r="J77">
        <f>IF('Loan Book'!K80="","",IF('Loan Book'!K80&lt;1,'Loan Book'!K80*100,'Loan Book'!K80))</f>
        <v>10</v>
      </c>
      <c r="K77" s="427">
        <f>'Loan Book'!L80</f>
        <v>250000000</v>
      </c>
      <c r="L77" s="427">
        <f>'Loan Book'!M80</f>
        <v>250000000</v>
      </c>
      <c r="M77" s="427">
        <f>'Loan Book'!N80</f>
        <v>0</v>
      </c>
      <c r="N77" s="427">
        <f>'Loan Book'!O80</f>
        <v>250000000</v>
      </c>
      <c r="O77" s="427">
        <f>'Loan Book'!P80</f>
        <v>27681764.803403251</v>
      </c>
      <c r="P77" s="427">
        <f>'Loan Book'!Q80</f>
        <v>-76599092.709999993</v>
      </c>
      <c r="Q77" s="427">
        <f>'Loan Book'!R80</f>
        <v>201082672.09340328</v>
      </c>
      <c r="R77" s="427">
        <f>'Loan Book'!S80</f>
        <v>0</v>
      </c>
      <c r="S77" s="427">
        <f>'Loan Book'!T80</f>
        <v>0</v>
      </c>
      <c r="T77" s="427">
        <f>'Loan Book'!U80</f>
        <v>0</v>
      </c>
      <c r="U77">
        <f>'Loan Book'!AC80</f>
        <v>0</v>
      </c>
      <c r="V77">
        <f>'Loan Book'!AE80</f>
        <v>0</v>
      </c>
      <c r="W77" t="str">
        <f>IFERROR(INDEX('E-Banker master'!$B$2:$B$186,MATCH($A77,'E-Banker master'!$A$2:$A$186,0)),"")</f>
        <v>Global Seeds Limited FInES</v>
      </c>
      <c r="X77">
        <f>IFERROR(INDEX('E-Banker master'!$C$2:$C$186,MATCH($A77,'E-Banker master'!$A$2:$A$186,0)),"")</f>
        <v>92</v>
      </c>
      <c r="Y77" t="str">
        <f>IFERROR(INDEX('E-Banker master'!$D$2:$D$186,MATCH($A77,'E-Banker master'!$A$2:$A$186,0)),"")</f>
        <v>1050202</v>
      </c>
      <c r="Z77" t="str">
        <f>IFERROR(INDEX('E-Banker master'!$E$2:$E$186,MATCH($A77,'E-Banker master'!$A$2:$A$186,0)),"")</f>
        <v>A</v>
      </c>
      <c r="AA77" t="str">
        <f>IFERROR(INDEX('E-Banker master'!$F$2:$F$186,MATCH($A77,'E-Banker master'!$A$2:$A$186,0)),"")</f>
        <v>S</v>
      </c>
      <c r="AB77">
        <f>IFERROR(INDEX('E-Banker master'!$G$2:$G$186,MATCH($A77,'E-Banker master'!$A$2:$A$186,0)),"")</f>
        <v>10</v>
      </c>
      <c r="AC77" s="427">
        <f>IFERROR(INDEX('E-Banker master'!$I$2:$I$186,MATCH($A77,'E-Banker master'!$A$2:$A$186,0)),"")</f>
        <v>250000000</v>
      </c>
      <c r="AD77" s="426">
        <f>IFERROR(INDEX('E-Banker master'!$J$2:$J$186,MATCH($A77,'E-Banker master'!$A$2:$A$186,0)),"")</f>
        <v>45145</v>
      </c>
      <c r="AE77" s="426">
        <f>IFERROR(INDEX('E-Banker master'!$K$2:$K$186,MATCH($A77,'E-Banker master'!$A$2:$A$186,0)),"")</f>
        <v>46605</v>
      </c>
      <c r="AF77">
        <f>IFERROR(INDEX('E-Banker master'!$L$2:$L$186,MATCH($A77,'E-Banker master'!$A$2:$A$186,0)),"")</f>
        <v>0</v>
      </c>
      <c r="AG77">
        <f>IFERROR(INDEX('E-Banker master'!$M$2:$M$186,MATCH($A77,'E-Banker master'!$A$2:$A$186,0)),"")</f>
        <v>0</v>
      </c>
      <c r="AH77" s="427">
        <f>IFERROR(INDEX('E-Banker master'!$N$2:$N$186,MATCH($A77,'E-Banker master'!$A$2:$A$186,0)),"")</f>
        <v>250000000</v>
      </c>
      <c r="AI77" s="427">
        <f>IFERROR(INDEX('E-Banker master'!$O$2:$O$186,MATCH($A77,'E-Banker master'!$A$2:$A$186,0)),"")</f>
        <v>22736464.789999999</v>
      </c>
      <c r="AJ77" s="427">
        <f>IFERROR(INDEX('E-Banker master'!$P$2:$P$186,MATCH($A77,'E-Banker master'!$A$2:$A$186,0)),"")</f>
        <v>201762903.68000001</v>
      </c>
      <c r="AK77" s="427">
        <f t="shared" si="5"/>
        <v>-680231.58659672737</v>
      </c>
      <c r="AL77">
        <v>73</v>
      </c>
      <c r="AM77" t="str">
        <f>HYPERLINK("#'Amortisation and Repayments'!C3991","block 73")</f>
        <v>block 73</v>
      </c>
      <c r="AN77">
        <f>Mapping!X77</f>
        <v>0</v>
      </c>
      <c r="AO77" s="440">
        <f>'Loan Book'!AS80</f>
        <v>2500000</v>
      </c>
      <c r="AP77" s="440">
        <f>'Loan Book'!AT80</f>
        <v>5585500</v>
      </c>
      <c r="AQ77" s="440"/>
      <c r="AR77" s="441">
        <f t="shared" si="7"/>
        <v>45145</v>
      </c>
      <c r="AS77" s="442" t="s">
        <v>977</v>
      </c>
      <c r="AT77" s="442" t="s">
        <v>978</v>
      </c>
      <c r="AU77" s="443">
        <f t="shared" si="6"/>
        <v>8085500</v>
      </c>
    </row>
    <row r="78" spans="1:47" x14ac:dyDescent="0.35">
      <c r="A78" t="str">
        <f>Mapping!J78</f>
        <v>000104450000076</v>
      </c>
      <c r="B78" t="str">
        <f>Mapping!K78</f>
        <v>High</v>
      </c>
      <c r="C78">
        <v>81</v>
      </c>
      <c r="D78" t="str">
        <f>'Loan Book'!E81</f>
        <v>Beaulaland Food Processors</v>
      </c>
      <c r="E78" t="str">
        <f>'Loan Book'!F81</f>
        <v>Debt</v>
      </c>
      <c r="F78" s="426">
        <f>'Loan Book'!G81</f>
        <v>45153</v>
      </c>
      <c r="G78" s="426">
        <f>'Loan Book'!H81</f>
        <v>45899</v>
      </c>
      <c r="H78">
        <f>'Loan Book'!I81</f>
        <v>2</v>
      </c>
      <c r="I78" t="str">
        <f>'Loan Book'!J81</f>
        <v>3 (Cap+Int)</v>
      </c>
      <c r="J78">
        <f>IF('Loan Book'!K81="","",IF('Loan Book'!K81&lt;1,'Loan Book'!K81*100,'Loan Book'!K81))</f>
        <v>10</v>
      </c>
      <c r="K78" s="427">
        <f>'Loan Book'!L81</f>
        <v>30000000</v>
      </c>
      <c r="L78" s="427">
        <f>'Loan Book'!M81</f>
        <v>30000000</v>
      </c>
      <c r="M78" s="427">
        <f>'Loan Book'!N81</f>
        <v>0</v>
      </c>
      <c r="N78" s="427">
        <f>'Loan Book'!O81</f>
        <v>30000000</v>
      </c>
      <c r="O78" s="427">
        <f>'Loan Book'!P81</f>
        <v>3262616.5156346606</v>
      </c>
      <c r="P78" s="427">
        <f>'Loan Book'!Q81</f>
        <v>-12250078.02</v>
      </c>
      <c r="Q78" s="427">
        <f>'Loan Book'!R81</f>
        <v>21012538.49563466</v>
      </c>
      <c r="R78" s="427">
        <f>'Loan Book'!S81</f>
        <v>363663.20154978102</v>
      </c>
      <c r="S78" s="427">
        <f>'Loan Book'!T81</f>
        <v>0</v>
      </c>
      <c r="T78" s="427">
        <f>'Loan Book'!U81</f>
        <v>363663.20154978102</v>
      </c>
      <c r="U78">
        <f>'Loan Book'!AC81</f>
        <v>0</v>
      </c>
      <c r="V78">
        <f>'Loan Book'!AE81</f>
        <v>0</v>
      </c>
      <c r="W78" t="str">
        <f>IFERROR(INDEX('E-Banker master'!$B$2:$B$186,MATCH($A78,'E-Banker master'!$A$2:$A$186,0)),"")</f>
        <v>Beaulaland Food Processors</v>
      </c>
      <c r="X78">
        <f>IFERROR(INDEX('E-Banker master'!$C$2:$C$186,MATCH($A78,'E-Banker master'!$A$2:$A$186,0)),"")</f>
        <v>90</v>
      </c>
      <c r="Y78" t="str">
        <f>IFERROR(INDEX('E-Banker master'!$D$2:$D$186,MATCH($A78,'E-Banker master'!$A$2:$A$186,0)),"")</f>
        <v>1050201</v>
      </c>
      <c r="Z78" t="str">
        <f>IFERROR(INDEX('E-Banker master'!$E$2:$E$186,MATCH($A78,'E-Banker master'!$A$2:$A$186,0)),"")</f>
        <v>A</v>
      </c>
      <c r="AA78" t="str">
        <f>IFERROR(INDEX('E-Banker master'!$F$2:$F$186,MATCH($A78,'E-Banker master'!$A$2:$A$186,0)),"")</f>
        <v>S</v>
      </c>
      <c r="AB78">
        <f>IFERROR(INDEX('E-Banker master'!$G$2:$G$186,MATCH($A78,'E-Banker master'!$A$2:$A$186,0)),"")</f>
        <v>10</v>
      </c>
      <c r="AC78" s="427">
        <f>IFERROR(INDEX('E-Banker master'!$I$2:$I$186,MATCH($A78,'E-Banker master'!$A$2:$A$186,0)),"")</f>
        <v>30000000</v>
      </c>
      <c r="AD78" s="426">
        <f>IFERROR(INDEX('E-Banker master'!$J$2:$J$186,MATCH($A78,'E-Banker master'!$A$2:$A$186,0)),"")</f>
        <v>45153</v>
      </c>
      <c r="AE78" s="426">
        <f>IFERROR(INDEX('E-Banker master'!$K$2:$K$186,MATCH($A78,'E-Banker master'!$A$2:$A$186,0)),"")</f>
        <v>45883</v>
      </c>
      <c r="AF78">
        <f>IFERROR(INDEX('E-Banker master'!$L$2:$L$186,MATCH($A78,'E-Banker master'!$A$2:$A$186,0)),"")</f>
        <v>3</v>
      </c>
      <c r="AG78">
        <f>IFERROR(INDEX('E-Banker master'!$M$2:$M$186,MATCH($A78,'E-Banker master'!$A$2:$A$186,0)),"")</f>
        <v>3</v>
      </c>
      <c r="AH78" s="427">
        <f>IFERROR(INDEX('E-Banker master'!$N$2:$N$186,MATCH($A78,'E-Banker master'!$A$2:$A$186,0)),"")</f>
        <v>30000000</v>
      </c>
      <c r="AI78" s="427">
        <f>IFERROR(INDEX('E-Banker master'!$O$2:$O$186,MATCH($A78,'E-Banker master'!$A$2:$A$186,0)),"")</f>
        <v>2699970.47</v>
      </c>
      <c r="AJ78" s="427">
        <f>IFERROR(INDEX('E-Banker master'!$P$2:$P$186,MATCH($A78,'E-Banker master'!$A$2:$A$186,0)),"")</f>
        <v>21032811.59</v>
      </c>
      <c r="AK78" s="427">
        <f t="shared" si="5"/>
        <v>-20273.094365339726</v>
      </c>
      <c r="AL78">
        <v>74</v>
      </c>
      <c r="AM78" t="str">
        <f>HYPERLINK("#'Amortisation and Repayments'!C4056","block 74")</f>
        <v>block 74</v>
      </c>
      <c r="AN78">
        <f>Mapping!X78</f>
        <v>0</v>
      </c>
      <c r="AO78" s="440">
        <f>'Loan Book'!AS81</f>
        <v>300000</v>
      </c>
      <c r="AP78" s="440">
        <f>'Loan Book'!AT81</f>
        <v>543500</v>
      </c>
      <c r="AQ78" s="440"/>
      <c r="AR78" s="441">
        <f t="shared" si="7"/>
        <v>45153</v>
      </c>
      <c r="AS78" s="442" t="s">
        <v>977</v>
      </c>
      <c r="AT78" s="442" t="s">
        <v>978</v>
      </c>
      <c r="AU78" s="443">
        <f t="shared" si="6"/>
        <v>843500</v>
      </c>
    </row>
    <row r="79" spans="1:47" x14ac:dyDescent="0.35">
      <c r="A79" t="str">
        <f>Mapping!J79</f>
        <v>000104450000077</v>
      </c>
      <c r="B79" t="str">
        <f>Mapping!K79</f>
        <v>High</v>
      </c>
      <c r="C79">
        <v>82</v>
      </c>
      <c r="D79" t="str">
        <f>'Loan Book'!E82</f>
        <v>Kwithu Producers and Marketing Co 2</v>
      </c>
      <c r="E79" t="str">
        <f>'Loan Book'!F82</f>
        <v>Debt</v>
      </c>
      <c r="F79" s="426">
        <f>'Loan Book'!G82</f>
        <v>45216</v>
      </c>
      <c r="G79" s="426">
        <f>'Loan Book'!H82</f>
        <v>46691</v>
      </c>
      <c r="H79">
        <f>'Loan Book'!I82</f>
        <v>4</v>
      </c>
      <c r="I79" t="str">
        <f>'Loan Book'!J82</f>
        <v>3 ( Cap only)</v>
      </c>
      <c r="J79">
        <f>IF('Loan Book'!K82="","",IF('Loan Book'!K82&lt;1,'Loan Book'!K82*100,'Loan Book'!K82))</f>
        <v>10</v>
      </c>
      <c r="K79" s="427">
        <f>'Loan Book'!L82</f>
        <v>164000000</v>
      </c>
      <c r="L79" s="427">
        <f>'Loan Book'!M82</f>
        <v>164000000</v>
      </c>
      <c r="M79" s="427">
        <f>'Loan Book'!N82</f>
        <v>0</v>
      </c>
      <c r="N79" s="427">
        <f>'Loan Book'!O82</f>
        <v>164000000</v>
      </c>
      <c r="O79" s="427">
        <f>'Loan Book'!P82</f>
        <v>16093760.773823785</v>
      </c>
      <c r="P79" s="427">
        <f>'Loan Book'!Q82</f>
        <v>-45237663.299999997</v>
      </c>
      <c r="Q79" s="427">
        <f>'Loan Book'!R82</f>
        <v>134856097.47382379</v>
      </c>
      <c r="R79" s="427">
        <f>'Loan Book'!S82</f>
        <v>0</v>
      </c>
      <c r="S79" s="427">
        <f>'Loan Book'!T82</f>
        <v>0</v>
      </c>
      <c r="T79" s="427">
        <f>'Loan Book'!U82</f>
        <v>0</v>
      </c>
      <c r="U79">
        <f>'Loan Book'!AC82</f>
        <v>0</v>
      </c>
      <c r="V79">
        <f>'Loan Book'!AE82</f>
        <v>0</v>
      </c>
      <c r="W79" t="str">
        <f>IFERROR(INDEX('E-Banker master'!$B$2:$B$186,MATCH($A79,'E-Banker master'!$A$2:$A$186,0)),"")</f>
        <v>Kwithu Kitchens 2</v>
      </c>
      <c r="X79">
        <f>IFERROR(INDEX('E-Banker master'!$C$2:$C$186,MATCH($A79,'E-Banker master'!$A$2:$A$186,0)),"")</f>
        <v>90</v>
      </c>
      <c r="Y79" t="str">
        <f>IFERROR(INDEX('E-Banker master'!$D$2:$D$186,MATCH($A79,'E-Banker master'!$A$2:$A$186,0)),"")</f>
        <v>1050201</v>
      </c>
      <c r="Z79" t="str">
        <f>IFERROR(INDEX('E-Banker master'!$E$2:$E$186,MATCH($A79,'E-Banker master'!$A$2:$A$186,0)),"")</f>
        <v>A</v>
      </c>
      <c r="AA79" t="str">
        <f>IFERROR(INDEX('E-Banker master'!$F$2:$F$186,MATCH($A79,'E-Banker master'!$A$2:$A$186,0)),"")</f>
        <v>S</v>
      </c>
      <c r="AB79">
        <f>IFERROR(INDEX('E-Banker master'!$G$2:$G$186,MATCH($A79,'E-Banker master'!$A$2:$A$186,0)),"")</f>
        <v>10</v>
      </c>
      <c r="AC79" s="427">
        <f>IFERROR(INDEX('E-Banker master'!$I$2:$I$186,MATCH($A79,'E-Banker master'!$A$2:$A$186,0)),"")</f>
        <v>164000000</v>
      </c>
      <c r="AD79" s="426">
        <f>IFERROR(INDEX('E-Banker master'!$J$2:$J$186,MATCH($A79,'E-Banker master'!$A$2:$A$186,0)),"")</f>
        <v>45216</v>
      </c>
      <c r="AE79" s="426">
        <f>IFERROR(INDEX('E-Banker master'!$K$2:$K$186,MATCH($A79,'E-Banker master'!$A$2:$A$186,0)),"")</f>
        <v>46676</v>
      </c>
      <c r="AF79">
        <f>IFERROR(INDEX('E-Banker master'!$L$2:$L$186,MATCH($A79,'E-Banker master'!$A$2:$A$186,0)),"")</f>
        <v>3</v>
      </c>
      <c r="AG79">
        <f>IFERROR(INDEX('E-Banker master'!$M$2:$M$186,MATCH($A79,'E-Banker master'!$A$2:$A$186,0)),"")</f>
        <v>3</v>
      </c>
      <c r="AH79" s="427">
        <f>IFERROR(INDEX('E-Banker master'!$N$2:$N$186,MATCH($A79,'E-Banker master'!$A$2:$A$186,0)),"")</f>
        <v>164000000</v>
      </c>
      <c r="AI79" s="427">
        <f>IFERROR(INDEX('E-Banker master'!$O$2:$O$186,MATCH($A79,'E-Banker master'!$A$2:$A$186,0)),"")</f>
        <v>12535646.84</v>
      </c>
      <c r="AJ79" s="427">
        <f>IFERROR(INDEX('E-Banker master'!$P$2:$P$186,MATCH($A79,'E-Banker master'!$A$2:$A$186,0)),"")</f>
        <v>134900520.88999999</v>
      </c>
      <c r="AK79" s="427">
        <f t="shared" si="5"/>
        <v>-44423.416176199913</v>
      </c>
      <c r="AL79">
        <v>75</v>
      </c>
      <c r="AM79" t="str">
        <f>HYPERLINK("#'Amortisation and Repayments'!C4109","block 75")</f>
        <v>block 75</v>
      </c>
      <c r="AN79">
        <f>Mapping!X79</f>
        <v>0</v>
      </c>
      <c r="AO79" s="440">
        <f>'Loan Book'!AS82</f>
        <v>1640000</v>
      </c>
      <c r="AP79" s="440">
        <f>'Loan Book'!AT82</f>
        <v>2690400</v>
      </c>
      <c r="AQ79" s="440"/>
      <c r="AR79" s="441">
        <f t="shared" si="7"/>
        <v>45216</v>
      </c>
      <c r="AS79" s="442" t="s">
        <v>977</v>
      </c>
      <c r="AT79" s="442" t="s">
        <v>978</v>
      </c>
      <c r="AU79" s="443">
        <f t="shared" si="6"/>
        <v>4330400</v>
      </c>
    </row>
    <row r="80" spans="1:47" x14ac:dyDescent="0.35">
      <c r="A80" t="str">
        <f>Mapping!J80</f>
        <v>000104460000078</v>
      </c>
      <c r="B80" t="str">
        <f>Mapping!K80</f>
        <v>High</v>
      </c>
      <c r="C80">
        <v>83</v>
      </c>
      <c r="D80" t="str">
        <f>'Loan Book'!E83</f>
        <v>Green Pharmacy</v>
      </c>
      <c r="E80" t="str">
        <f>'Loan Book'!F83</f>
        <v>Debt</v>
      </c>
      <c r="F80" s="426">
        <f>'Loan Book'!G83</f>
        <v>45222</v>
      </c>
      <c r="G80" s="426">
        <f>'Loan Book'!H83</f>
        <v>46326</v>
      </c>
      <c r="H80">
        <f>'Loan Book'!I83</f>
        <v>3</v>
      </c>
      <c r="I80" t="str">
        <f>'Loan Book'!J83</f>
        <v>6 (Cap+Int)</v>
      </c>
      <c r="J80">
        <f>IF('Loan Book'!K83="","",IF('Loan Book'!K83&lt;1,'Loan Book'!K83*100,'Loan Book'!K83))</f>
        <v>10</v>
      </c>
      <c r="K80" s="427">
        <f>'Loan Book'!L83</f>
        <v>22000000</v>
      </c>
      <c r="L80" s="427">
        <f>'Loan Book'!M83</f>
        <v>22000000</v>
      </c>
      <c r="M80" s="427">
        <f>'Loan Book'!N83</f>
        <v>0</v>
      </c>
      <c r="N80" s="427">
        <f>'Loan Book'!O83</f>
        <v>22000000</v>
      </c>
      <c r="O80" s="427">
        <f>'Loan Book'!P83</f>
        <v>2245203.8984841085</v>
      </c>
      <c r="P80" s="427">
        <f>'Loan Book'!Q83</f>
        <v>0</v>
      </c>
      <c r="Q80" s="427">
        <f>'Loan Book'!R83</f>
        <v>24245203.898484107</v>
      </c>
      <c r="R80" s="427">
        <f>'Loan Book'!S83</f>
        <v>4184896.4416539567</v>
      </c>
      <c r="S80" s="427">
        <f>'Loan Book'!T83</f>
        <v>1072303.751907048</v>
      </c>
      <c r="T80" s="427">
        <f>'Loan Book'!U83</f>
        <v>5257200.1935610045</v>
      </c>
      <c r="U80">
        <f>'Loan Book'!AC83</f>
        <v>0</v>
      </c>
      <c r="V80">
        <f>'Loan Book'!AE83</f>
        <v>0</v>
      </c>
      <c r="W80" t="str">
        <f>IFERROR(INDEX('E-Banker master'!$B$2:$B$186,MATCH($A80,'E-Banker master'!$A$2:$A$186,0)),"")</f>
        <v>Green Pharmacy</v>
      </c>
      <c r="X80">
        <f>IFERROR(INDEX('E-Banker master'!$C$2:$C$186,MATCH($A80,'E-Banker master'!$A$2:$A$186,0)),"")</f>
        <v>92</v>
      </c>
      <c r="Y80" t="str">
        <f>IFERROR(INDEX('E-Banker master'!$D$2:$D$186,MATCH($A80,'E-Banker master'!$A$2:$A$186,0)),"")</f>
        <v>1050202</v>
      </c>
      <c r="Z80" t="str">
        <f>IFERROR(INDEX('E-Banker master'!$E$2:$E$186,MATCH($A80,'E-Banker master'!$A$2:$A$186,0)),"")</f>
        <v>D</v>
      </c>
      <c r="AA80" t="str">
        <f>IFERROR(INDEX('E-Banker master'!$F$2:$F$186,MATCH($A80,'E-Banker master'!$A$2:$A$186,0)),"")</f>
        <v>S</v>
      </c>
      <c r="AB80">
        <f>IFERROR(INDEX('E-Banker master'!$G$2:$G$186,MATCH($A80,'E-Banker master'!$A$2:$A$186,0)),"")</f>
        <v>10</v>
      </c>
      <c r="AC80" s="427">
        <f>IFERROR(INDEX('E-Banker master'!$I$2:$I$186,MATCH($A80,'E-Banker master'!$A$2:$A$186,0)),"")</f>
        <v>22000000</v>
      </c>
      <c r="AD80" s="426">
        <f>IFERROR(INDEX('E-Banker master'!$J$2:$J$186,MATCH($A80,'E-Banker master'!$A$2:$A$186,0)),"")</f>
        <v>45222</v>
      </c>
      <c r="AE80" s="426">
        <f>IFERROR(INDEX('E-Banker master'!$K$2:$K$186,MATCH($A80,'E-Banker master'!$A$2:$A$186,0)),"")</f>
        <v>46317</v>
      </c>
      <c r="AF80">
        <f>IFERROR(INDEX('E-Banker master'!$L$2:$L$186,MATCH($A80,'E-Banker master'!$A$2:$A$186,0)),"")</f>
        <v>6</v>
      </c>
      <c r="AG80">
        <f>IFERROR(INDEX('E-Banker master'!$M$2:$M$186,MATCH($A80,'E-Banker master'!$A$2:$A$186,0)),"")</f>
        <v>6</v>
      </c>
      <c r="AH80" s="427">
        <f>IFERROR(INDEX('E-Banker master'!$N$2:$N$186,MATCH($A80,'E-Banker master'!$A$2:$A$186,0)),"")</f>
        <v>22000000</v>
      </c>
      <c r="AI80" s="427">
        <f>IFERROR(INDEX('E-Banker master'!$O$2:$O$186,MATCH($A80,'E-Banker master'!$A$2:$A$186,0)),"")</f>
        <v>1735097.9</v>
      </c>
      <c r="AJ80" s="427">
        <f>IFERROR(INDEX('E-Banker master'!$P$2:$P$186,MATCH($A80,'E-Banker master'!$A$2:$A$186,0)),"")</f>
        <v>24338392.329999998</v>
      </c>
      <c r="AK80" s="427">
        <f t="shared" si="5"/>
        <v>-93188.431515891105</v>
      </c>
      <c r="AL80">
        <v>76</v>
      </c>
      <c r="AM80" t="str">
        <f>HYPERLINK("#'Amortisation and Repayments'!C4173","block 76")</f>
        <v>block 76</v>
      </c>
      <c r="AN80">
        <f>Mapping!X80</f>
        <v>0</v>
      </c>
      <c r="AO80" s="440">
        <f>'Loan Book'!AS83</f>
        <v>220000</v>
      </c>
      <c r="AP80" s="440">
        <f>'Loan Book'!AT83</f>
        <v>406020</v>
      </c>
      <c r="AQ80" s="440"/>
      <c r="AR80" s="441">
        <f t="shared" si="7"/>
        <v>45222</v>
      </c>
      <c r="AS80" s="442" t="s">
        <v>977</v>
      </c>
      <c r="AT80" s="442" t="s">
        <v>978</v>
      </c>
      <c r="AU80" s="443">
        <f t="shared" si="6"/>
        <v>626020</v>
      </c>
    </row>
    <row r="81" spans="1:47" x14ac:dyDescent="0.35">
      <c r="A81" t="str">
        <f>Mapping!J81</f>
        <v>000104460000079</v>
      </c>
      <c r="B81" t="str">
        <f>Mapping!K81</f>
        <v>High</v>
      </c>
      <c r="C81">
        <v>84</v>
      </c>
      <c r="D81" t="str">
        <f>'Loan Book'!E84</f>
        <v>Lilongwe Private Clinic</v>
      </c>
      <c r="E81" t="str">
        <f>'Loan Book'!F84</f>
        <v>Debt</v>
      </c>
      <c r="F81" s="426">
        <f>'Loan Book'!G84</f>
        <v>45217</v>
      </c>
      <c r="G81" s="426">
        <f>'Loan Book'!H84</f>
        <v>46691</v>
      </c>
      <c r="H81">
        <f>'Loan Book'!I84</f>
        <v>4</v>
      </c>
      <c r="I81" t="str">
        <f>'Loan Book'!J84</f>
        <v>6 ( Cap only)</v>
      </c>
      <c r="J81">
        <f>IF('Loan Book'!K84="","",IF('Loan Book'!K84&lt;1,'Loan Book'!K84*100,'Loan Book'!K84))</f>
        <v>10</v>
      </c>
      <c r="K81" s="427">
        <f>'Loan Book'!L84</f>
        <v>150000000</v>
      </c>
      <c r="L81" s="427">
        <f>'Loan Book'!M84</f>
        <v>150000000</v>
      </c>
      <c r="M81" s="427">
        <f>'Loan Book'!N84</f>
        <v>0</v>
      </c>
      <c r="N81" s="427">
        <f>'Loan Book'!O84</f>
        <v>150000000</v>
      </c>
      <c r="O81" s="427">
        <f>'Loan Book'!P84</f>
        <v>15145313.852350507</v>
      </c>
      <c r="P81" s="427">
        <f>'Loan Book'!Q84</f>
        <v>-28737764.5</v>
      </c>
      <c r="Q81" s="427">
        <f>'Loan Book'!R84</f>
        <v>136407549.3523505</v>
      </c>
      <c r="R81" s="427">
        <f>'Loan Book'!S84</f>
        <v>3124518.7213463234</v>
      </c>
      <c r="S81" s="427">
        <f>'Loan Book'!T84</f>
        <v>1647047.7374753738</v>
      </c>
      <c r="T81" s="427">
        <f>'Loan Book'!U84</f>
        <v>4771566.4588216972</v>
      </c>
      <c r="U81">
        <f>'Loan Book'!AC84</f>
        <v>0</v>
      </c>
      <c r="V81">
        <f>'Loan Book'!AE84</f>
        <v>0</v>
      </c>
      <c r="W81" t="str">
        <f>IFERROR(INDEX('E-Banker master'!$B$2:$B$186,MATCH($A81,'E-Banker master'!$A$2:$A$186,0)),"")</f>
        <v>Lilongwe Private Clinic</v>
      </c>
      <c r="X81">
        <f>IFERROR(INDEX('E-Banker master'!$C$2:$C$186,MATCH($A81,'E-Banker master'!$A$2:$A$186,0)),"")</f>
        <v>92</v>
      </c>
      <c r="Y81" t="str">
        <f>IFERROR(INDEX('E-Banker master'!$D$2:$D$186,MATCH($A81,'E-Banker master'!$A$2:$A$186,0)),"")</f>
        <v>1050202</v>
      </c>
      <c r="Z81" t="str">
        <f>IFERROR(INDEX('E-Banker master'!$E$2:$E$186,MATCH($A81,'E-Banker master'!$A$2:$A$186,0)),"")</f>
        <v>A</v>
      </c>
      <c r="AA81" t="str">
        <f>IFERROR(INDEX('E-Banker master'!$F$2:$F$186,MATCH($A81,'E-Banker master'!$A$2:$A$186,0)),"")</f>
        <v>S</v>
      </c>
      <c r="AB81">
        <f>IFERROR(INDEX('E-Banker master'!$G$2:$G$186,MATCH($A81,'E-Banker master'!$A$2:$A$186,0)),"")</f>
        <v>10</v>
      </c>
      <c r="AC81" s="427">
        <f>IFERROR(INDEX('E-Banker master'!$I$2:$I$186,MATCH($A81,'E-Banker master'!$A$2:$A$186,0)),"")</f>
        <v>150000000</v>
      </c>
      <c r="AD81" s="426">
        <f>IFERROR(INDEX('E-Banker master'!$J$2:$J$186,MATCH($A81,'E-Banker master'!$A$2:$A$186,0)),"")</f>
        <v>45217</v>
      </c>
      <c r="AE81" s="426">
        <f>IFERROR(INDEX('E-Banker master'!$K$2:$K$186,MATCH($A81,'E-Banker master'!$A$2:$A$186,0)),"")</f>
        <v>46677</v>
      </c>
      <c r="AF81">
        <f>IFERROR(INDEX('E-Banker master'!$L$2:$L$186,MATCH($A81,'E-Banker master'!$A$2:$A$186,0)),"")</f>
        <v>6</v>
      </c>
      <c r="AG81">
        <f>IFERROR(INDEX('E-Banker master'!$M$2:$M$186,MATCH($A81,'E-Banker master'!$A$2:$A$186,0)),"")</f>
        <v>0</v>
      </c>
      <c r="AH81" s="427">
        <f>IFERROR(INDEX('E-Banker master'!$N$2:$N$186,MATCH($A81,'E-Banker master'!$A$2:$A$186,0)),"")</f>
        <v>150000000</v>
      </c>
      <c r="AI81" s="427">
        <f>IFERROR(INDEX('E-Banker master'!$O$2:$O$186,MATCH($A81,'E-Banker master'!$A$2:$A$186,0)),"")</f>
        <v>11699047.310000001</v>
      </c>
      <c r="AJ81" s="427">
        <f>IFERROR(INDEX('E-Banker master'!$P$2:$P$186,MATCH($A81,'E-Banker master'!$A$2:$A$186,0)),"")</f>
        <v>136451765.05000001</v>
      </c>
      <c r="AK81" s="427">
        <f t="shared" si="5"/>
        <v>-44215.697649508715</v>
      </c>
      <c r="AL81">
        <v>77</v>
      </c>
      <c r="AM81" t="str">
        <f>HYPERLINK("#'Amortisation and Repayments'!C4224","block 77")</f>
        <v>block 77</v>
      </c>
      <c r="AN81">
        <f>Mapping!X81</f>
        <v>0</v>
      </c>
      <c r="AO81" s="440">
        <f>'Loan Book'!AS84</f>
        <v>1500000</v>
      </c>
      <c r="AP81" s="440">
        <f>'Loan Book'!AT84</f>
        <v>2465500</v>
      </c>
      <c r="AQ81" s="440"/>
      <c r="AR81" s="441">
        <f t="shared" si="7"/>
        <v>45217</v>
      </c>
      <c r="AS81" s="442" t="s">
        <v>977</v>
      </c>
      <c r="AT81" s="442" t="s">
        <v>978</v>
      </c>
      <c r="AU81" s="443">
        <f t="shared" si="6"/>
        <v>3965500</v>
      </c>
    </row>
    <row r="82" spans="1:47" x14ac:dyDescent="0.35">
      <c r="A82" t="str">
        <f>Mapping!J82</f>
        <v>000104460000080</v>
      </c>
      <c r="B82" t="str">
        <f>Mapping!K82</f>
        <v>High</v>
      </c>
      <c r="C82">
        <v>85</v>
      </c>
      <c r="D82" t="str">
        <f>'Loan Book'!E85</f>
        <v>F&amp;K Construction</v>
      </c>
      <c r="E82" t="str">
        <f>'Loan Book'!F85</f>
        <v>Debt</v>
      </c>
      <c r="F82" s="426">
        <f>'Loan Book'!G85</f>
        <v>45217</v>
      </c>
      <c r="G82" s="426">
        <f>'Loan Book'!H85</f>
        <v>46691</v>
      </c>
      <c r="H82">
        <f>'Loan Book'!I85</f>
        <v>4</v>
      </c>
      <c r="I82" t="str">
        <f>'Loan Book'!J85</f>
        <v>6 ( Cap only)</v>
      </c>
      <c r="J82">
        <f>IF('Loan Book'!K85="","",IF('Loan Book'!K85&lt;1,'Loan Book'!K85*100,'Loan Book'!K85))</f>
        <v>10</v>
      </c>
      <c r="K82" s="427">
        <f>'Loan Book'!L85</f>
        <v>120000000</v>
      </c>
      <c r="L82" s="427">
        <f>'Loan Book'!M85</f>
        <v>120000000</v>
      </c>
      <c r="M82" s="427">
        <f>'Loan Book'!N85</f>
        <v>0</v>
      </c>
      <c r="N82" s="427">
        <f>'Loan Book'!O85</f>
        <v>120000000</v>
      </c>
      <c r="O82" s="427">
        <f>'Loan Book'!P85</f>
        <v>12116251.081880406</v>
      </c>
      <c r="P82" s="427">
        <f>'Loan Book'!Q85</f>
        <v>-25800000</v>
      </c>
      <c r="Q82" s="427">
        <f>'Loan Book'!R85</f>
        <v>106316251.08188041</v>
      </c>
      <c r="R82" s="427">
        <f>'Loan Book'!S85</f>
        <v>109061.42295818974</v>
      </c>
      <c r="S82" s="427">
        <f>'Loan Book'!T85</f>
        <v>898403.34409916762</v>
      </c>
      <c r="T82" s="427">
        <f>'Loan Book'!U85</f>
        <v>1007464.7670573574</v>
      </c>
      <c r="U82">
        <f>'Loan Book'!AC85</f>
        <v>0</v>
      </c>
      <c r="V82">
        <f>'Loan Book'!AE85</f>
        <v>0</v>
      </c>
      <c r="W82" t="str">
        <f>IFERROR(INDEX('E-Banker master'!$B$2:$B$186,MATCH($A82,'E-Banker master'!$A$2:$A$186,0)),"")</f>
        <v>F&amp;K Construction</v>
      </c>
      <c r="X82">
        <f>IFERROR(INDEX('E-Banker master'!$C$2:$C$186,MATCH($A82,'E-Banker master'!$A$2:$A$186,0)),"")</f>
        <v>92</v>
      </c>
      <c r="Y82" t="str">
        <f>IFERROR(INDEX('E-Banker master'!$D$2:$D$186,MATCH($A82,'E-Banker master'!$A$2:$A$186,0)),"")</f>
        <v>1050202</v>
      </c>
      <c r="Z82" t="str">
        <f>IFERROR(INDEX('E-Banker master'!$E$2:$E$186,MATCH($A82,'E-Banker master'!$A$2:$A$186,0)),"")</f>
        <v>A</v>
      </c>
      <c r="AA82" t="str">
        <f>IFERROR(INDEX('E-Banker master'!$F$2:$F$186,MATCH($A82,'E-Banker master'!$A$2:$A$186,0)),"")</f>
        <v>S</v>
      </c>
      <c r="AB82">
        <f>IFERROR(INDEX('E-Banker master'!$G$2:$G$186,MATCH($A82,'E-Banker master'!$A$2:$A$186,0)),"")</f>
        <v>10</v>
      </c>
      <c r="AC82" s="427">
        <f>IFERROR(INDEX('E-Banker master'!$I$2:$I$186,MATCH($A82,'E-Banker master'!$A$2:$A$186,0)),"")</f>
        <v>120000000</v>
      </c>
      <c r="AD82" s="426">
        <f>IFERROR(INDEX('E-Banker master'!$J$2:$J$186,MATCH($A82,'E-Banker master'!$A$2:$A$186,0)),"")</f>
        <v>45217</v>
      </c>
      <c r="AE82" s="426">
        <f>IFERROR(INDEX('E-Banker master'!$K$2:$K$186,MATCH($A82,'E-Banker master'!$A$2:$A$186,0)),"")</f>
        <v>46677</v>
      </c>
      <c r="AF82">
        <f>IFERROR(INDEX('E-Banker master'!$L$2:$L$186,MATCH($A82,'E-Banker master'!$A$2:$A$186,0)),"")</f>
        <v>6</v>
      </c>
      <c r="AG82">
        <f>IFERROR(INDEX('E-Banker master'!$M$2:$M$186,MATCH($A82,'E-Banker master'!$A$2:$A$186,0)),"")</f>
        <v>0</v>
      </c>
      <c r="AH82" s="427">
        <f>IFERROR(INDEX('E-Banker master'!$N$2:$N$186,MATCH($A82,'E-Banker master'!$A$2:$A$186,0)),"")</f>
        <v>120000000</v>
      </c>
      <c r="AI82" s="427">
        <f>IFERROR(INDEX('E-Banker master'!$O$2:$O$186,MATCH($A82,'E-Banker master'!$A$2:$A$186,0)),"")</f>
        <v>9359237.8499999996</v>
      </c>
      <c r="AJ82" s="427">
        <f>IFERROR(INDEX('E-Banker master'!$P$2:$P$186,MATCH($A82,'E-Banker master'!$A$2:$A$186,0)),"")</f>
        <v>106376318.79000001</v>
      </c>
      <c r="AK82" s="427">
        <f t="shared" si="5"/>
        <v>-60067.708119601011</v>
      </c>
      <c r="AL82">
        <v>78</v>
      </c>
      <c r="AM82" t="str">
        <f>HYPERLINK("#'Amortisation and Repayments'!C4286","block 78")</f>
        <v>block 78</v>
      </c>
      <c r="AN82">
        <f>Mapping!X82</f>
        <v>0</v>
      </c>
      <c r="AO82" s="440">
        <f>'Loan Book'!AS85</f>
        <v>1200000</v>
      </c>
      <c r="AP82" s="440">
        <f>'Loan Book'!AT85</f>
        <v>3522500</v>
      </c>
      <c r="AQ82" s="440"/>
      <c r="AR82" s="441">
        <f t="shared" si="7"/>
        <v>45217</v>
      </c>
      <c r="AS82" s="442" t="s">
        <v>977</v>
      </c>
      <c r="AT82" s="442" t="s">
        <v>978</v>
      </c>
      <c r="AU82" s="443">
        <f t="shared" si="6"/>
        <v>4722500</v>
      </c>
    </row>
    <row r="83" spans="1:47" x14ac:dyDescent="0.35">
      <c r="A83" t="str">
        <f>Mapping!J83</f>
        <v>000104460000081</v>
      </c>
      <c r="B83" t="str">
        <f>Mapping!K83</f>
        <v>High</v>
      </c>
      <c r="C83">
        <v>86</v>
      </c>
      <c r="D83" t="str">
        <f>'Loan Book'!E86</f>
        <v>Sanwecka Tech Companions</v>
      </c>
      <c r="E83" t="str">
        <f>'Loan Book'!F86</f>
        <v>Debt</v>
      </c>
      <c r="F83" s="426">
        <f>'Loan Book'!G86</f>
        <v>45252</v>
      </c>
      <c r="G83" s="426">
        <f>'Loan Book'!H86</f>
        <v>46356</v>
      </c>
      <c r="H83">
        <f>'Loan Book'!I86</f>
        <v>3</v>
      </c>
      <c r="I83" t="str">
        <f>'Loan Book'!J86</f>
        <v>3 ( Cap only)</v>
      </c>
      <c r="J83">
        <f>IF('Loan Book'!K86="","",IF('Loan Book'!K86&lt;1,'Loan Book'!K86*100,'Loan Book'!K86))</f>
        <v>10</v>
      </c>
      <c r="K83" s="427">
        <f>'Loan Book'!L86</f>
        <v>60000000</v>
      </c>
      <c r="L83" s="427">
        <f>'Loan Book'!M86</f>
        <v>60000000</v>
      </c>
      <c r="M83" s="427">
        <f>'Loan Book'!N86</f>
        <v>0</v>
      </c>
      <c r="N83" s="427">
        <f>'Loan Book'!O86</f>
        <v>60000000</v>
      </c>
      <c r="O83" s="427">
        <f>'Loan Book'!P86</f>
        <v>5256762.8502473561</v>
      </c>
      <c r="P83" s="427">
        <f>'Loan Book'!Q86</f>
        <v>-19842433</v>
      </c>
      <c r="Q83" s="427">
        <f>'Loan Book'!R86</f>
        <v>45414329.850247353</v>
      </c>
      <c r="R83" s="427">
        <f>'Loan Book'!S86</f>
        <v>0</v>
      </c>
      <c r="S83" s="427">
        <f>'Loan Book'!T86</f>
        <v>0</v>
      </c>
      <c r="T83" s="427">
        <f>'Loan Book'!U86</f>
        <v>0</v>
      </c>
      <c r="U83">
        <f>'Loan Book'!AC86</f>
        <v>0</v>
      </c>
      <c r="V83">
        <f>'Loan Book'!AE86</f>
        <v>0</v>
      </c>
      <c r="W83" t="str">
        <f>IFERROR(INDEX('E-Banker master'!$B$2:$B$186,MATCH($A83,'E-Banker master'!$A$2:$A$186,0)),"")</f>
        <v>Sanwecka Tech Companions</v>
      </c>
      <c r="X83">
        <f>IFERROR(INDEX('E-Banker master'!$C$2:$C$186,MATCH($A83,'E-Banker master'!$A$2:$A$186,0)),"")</f>
        <v>92</v>
      </c>
      <c r="Y83" t="str">
        <f>IFERROR(INDEX('E-Banker master'!$D$2:$D$186,MATCH($A83,'E-Banker master'!$A$2:$A$186,0)),"")</f>
        <v>1050202</v>
      </c>
      <c r="Z83" t="str">
        <f>IFERROR(INDEX('E-Banker master'!$E$2:$E$186,MATCH($A83,'E-Banker master'!$A$2:$A$186,0)),"")</f>
        <v>A</v>
      </c>
      <c r="AA83" t="str">
        <f>IFERROR(INDEX('E-Banker master'!$F$2:$F$186,MATCH($A83,'E-Banker master'!$A$2:$A$186,0)),"")</f>
        <v>S</v>
      </c>
      <c r="AB83">
        <f>IFERROR(INDEX('E-Banker master'!$G$2:$G$186,MATCH($A83,'E-Banker master'!$A$2:$A$186,0)),"")</f>
        <v>10</v>
      </c>
      <c r="AC83" s="427">
        <f>IFERROR(INDEX('E-Banker master'!$I$2:$I$186,MATCH($A83,'E-Banker master'!$A$2:$A$186,0)),"")</f>
        <v>60000000</v>
      </c>
      <c r="AD83" s="426">
        <f>IFERROR(INDEX('E-Banker master'!$J$2:$J$186,MATCH($A83,'E-Banker master'!$A$2:$A$186,0)),"")</f>
        <v>45252</v>
      </c>
      <c r="AE83" s="426">
        <f>IFERROR(INDEX('E-Banker master'!$K$2:$K$186,MATCH($A83,'E-Banker master'!$A$2:$A$186,0)),"")</f>
        <v>46347</v>
      </c>
      <c r="AF83">
        <f>IFERROR(INDEX('E-Banker master'!$L$2:$L$186,MATCH($A83,'E-Banker master'!$A$2:$A$186,0)),"")</f>
        <v>3</v>
      </c>
      <c r="AG83">
        <f>IFERROR(INDEX('E-Banker master'!$M$2:$M$186,MATCH($A83,'E-Banker master'!$A$2:$A$186,0)),"")</f>
        <v>0</v>
      </c>
      <c r="AH83" s="427">
        <f>IFERROR(INDEX('E-Banker master'!$N$2:$N$186,MATCH($A83,'E-Banker master'!$A$2:$A$186,0)),"")</f>
        <v>60000000</v>
      </c>
      <c r="AI83" s="427">
        <f>IFERROR(INDEX('E-Banker master'!$O$2:$O$186,MATCH($A83,'E-Banker master'!$A$2:$A$186,0)),"")</f>
        <v>3999964.57</v>
      </c>
      <c r="AJ83" s="427">
        <f>IFERROR(INDEX('E-Banker master'!$P$2:$P$186,MATCH($A83,'E-Banker master'!$A$2:$A$186,0)),"")</f>
        <v>45402003.850000001</v>
      </c>
      <c r="AK83" s="427">
        <f t="shared" si="5"/>
        <v>12326.000247351825</v>
      </c>
      <c r="AL83">
        <v>79</v>
      </c>
      <c r="AM83" t="str">
        <f>HYPERLINK("#'Amortisation and Repayments'!C4351","block 79")</f>
        <v>block 79</v>
      </c>
      <c r="AN83">
        <f>Mapping!X83</f>
        <v>0</v>
      </c>
      <c r="AO83" s="440">
        <f>'Loan Book'!AS86</f>
        <v>600000</v>
      </c>
      <c r="AP83" s="440">
        <f>'Loan Book'!AT86</f>
        <v>1010000</v>
      </c>
      <c r="AQ83" s="440"/>
      <c r="AR83" s="441">
        <f t="shared" si="7"/>
        <v>45252</v>
      </c>
      <c r="AS83" s="442" t="s">
        <v>977</v>
      </c>
      <c r="AT83" s="442" t="s">
        <v>978</v>
      </c>
      <c r="AU83" s="443">
        <f t="shared" si="6"/>
        <v>1610000</v>
      </c>
    </row>
    <row r="84" spans="1:47" x14ac:dyDescent="0.35">
      <c r="A84" t="str">
        <f>Mapping!J84</f>
        <v>000104450000060</v>
      </c>
      <c r="B84" t="str">
        <f>Mapping!K84</f>
        <v>High</v>
      </c>
      <c r="C84">
        <v>87</v>
      </c>
      <c r="D84" t="str">
        <f>'Loan Book'!E87</f>
        <v>Chuma Chikomanya</v>
      </c>
      <c r="E84" t="str">
        <f>'Loan Book'!F87</f>
        <v>Debt</v>
      </c>
      <c r="F84" s="426">
        <f>'Loan Book'!G87</f>
        <v>45261</v>
      </c>
      <c r="G84" s="426">
        <f>'Loan Book'!H87</f>
        <v>45626</v>
      </c>
      <c r="H84">
        <f>'Loan Book'!I87</f>
        <v>1</v>
      </c>
      <c r="I84">
        <f>'Loan Book'!J87</f>
        <v>0</v>
      </c>
      <c r="J84">
        <f>IF('Loan Book'!K87="","",IF('Loan Book'!K87&lt;1,'Loan Book'!K87*100,'Loan Book'!K87))</f>
        <v>10</v>
      </c>
      <c r="K84" s="427">
        <f>'Loan Book'!L87</f>
        <v>30000000</v>
      </c>
      <c r="L84" s="427">
        <f>'Loan Book'!M87</f>
        <v>30000000</v>
      </c>
      <c r="M84" s="427">
        <f>'Loan Book'!N87</f>
        <v>0</v>
      </c>
      <c r="N84" s="427">
        <f>'Loan Book'!O87</f>
        <v>30000000</v>
      </c>
      <c r="O84" s="427">
        <f>'Loan Book'!P87</f>
        <v>1627922.0753910523</v>
      </c>
      <c r="P84" s="427">
        <f>'Loan Book'!Q87</f>
        <v>0</v>
      </c>
      <c r="Q84" s="427">
        <f>'Loan Book'!R87</f>
        <v>31627922.075391054</v>
      </c>
      <c r="R84" s="427">
        <f>'Loan Book'!S87</f>
        <v>0</v>
      </c>
      <c r="S84" s="427">
        <f>'Loan Book'!T87</f>
        <v>0</v>
      </c>
      <c r="T84" s="427">
        <f>'Loan Book'!U87</f>
        <v>0</v>
      </c>
      <c r="U84">
        <f>'Loan Book'!AC87</f>
        <v>0</v>
      </c>
      <c r="V84">
        <f>'Loan Book'!AE87</f>
        <v>0</v>
      </c>
      <c r="W84" t="str">
        <f>IFERROR(INDEX('E-Banker master'!$B$2:$B$186,MATCH($A84,'E-Banker master'!$A$2:$A$186,0)),"")</f>
        <v>Chuma Mkandawire TA Chikoma Estates</v>
      </c>
      <c r="X84">
        <f>IFERROR(INDEX('E-Banker master'!$C$2:$C$186,MATCH($A84,'E-Banker master'!$A$2:$A$186,0)),"")</f>
        <v>90</v>
      </c>
      <c r="Y84" t="str">
        <f>IFERROR(INDEX('E-Banker master'!$D$2:$D$186,MATCH($A84,'E-Banker master'!$A$2:$A$186,0)),"")</f>
        <v>1050201</v>
      </c>
      <c r="Z84" t="str">
        <f>IFERROR(INDEX('E-Banker master'!$E$2:$E$186,MATCH($A84,'E-Banker master'!$A$2:$A$186,0)),"")</f>
        <v>H</v>
      </c>
      <c r="AA84" t="str">
        <f>IFERROR(INDEX('E-Banker master'!$F$2:$F$186,MATCH($A84,'E-Banker master'!$A$2:$A$186,0)),"")</f>
        <v>S</v>
      </c>
      <c r="AB84">
        <f>IFERROR(INDEX('E-Banker master'!$G$2:$G$186,MATCH($A84,'E-Banker master'!$A$2:$A$186,0)),"")</f>
        <v>10</v>
      </c>
      <c r="AC84" s="427">
        <f>IFERROR(INDEX('E-Banker master'!$I$2:$I$186,MATCH($A84,'E-Banker master'!$A$2:$A$186,0)),"")</f>
        <v>30000000</v>
      </c>
      <c r="AD84" s="426">
        <f>IFERROR(INDEX('E-Banker master'!$J$2:$J$186,MATCH($A84,'E-Banker master'!$A$2:$A$186,0)),"")</f>
        <v>45260</v>
      </c>
      <c r="AE84" s="426">
        <f>IFERROR(INDEX('E-Banker master'!$K$2:$K$186,MATCH($A84,'E-Banker master'!$A$2:$A$186,0)),"")</f>
        <v>45626</v>
      </c>
      <c r="AF84">
        <f>IFERROR(INDEX('E-Banker master'!$L$2:$L$186,MATCH($A84,'E-Banker master'!$A$2:$A$186,0)),"")</f>
        <v>0</v>
      </c>
      <c r="AG84">
        <f>IFERROR(INDEX('E-Banker master'!$M$2:$M$186,MATCH($A84,'E-Banker master'!$A$2:$A$186,0)),"")</f>
        <v>0</v>
      </c>
      <c r="AH84" s="427">
        <f>IFERROR(INDEX('E-Banker master'!$N$2:$N$186,MATCH($A84,'E-Banker master'!$A$2:$A$186,0)),"")</f>
        <v>30000000</v>
      </c>
      <c r="AI84" s="427">
        <f>IFERROR(INDEX('E-Banker master'!$O$2:$O$186,MATCH($A84,'E-Banker master'!$A$2:$A$186,0)),"")</f>
        <v>1433540.13</v>
      </c>
      <c r="AJ84" s="427">
        <f>IFERROR(INDEX('E-Banker master'!$P$2:$P$186,MATCH($A84,'E-Banker master'!$A$2:$A$186,0)),"")</f>
        <v>32232512.18</v>
      </c>
      <c r="AK84" s="427">
        <f t="shared" si="5"/>
        <v>-604590.10460894555</v>
      </c>
      <c r="AL84">
        <v>80</v>
      </c>
      <c r="AM84" t="str">
        <f>HYPERLINK("#'Amortisation and Repayments'!C4404","block 80")</f>
        <v>block 80</v>
      </c>
      <c r="AN84">
        <f>Mapping!X84</f>
        <v>0</v>
      </c>
      <c r="AO84" s="440">
        <f>'Loan Book'!AS87</f>
        <v>300000</v>
      </c>
      <c r="AP84" s="440">
        <f>'Loan Book'!AT87</f>
        <v>534800</v>
      </c>
      <c r="AQ84" s="440"/>
      <c r="AR84" s="441">
        <f t="shared" si="7"/>
        <v>45260</v>
      </c>
      <c r="AS84" s="442" t="s">
        <v>977</v>
      </c>
      <c r="AT84" s="442" t="s">
        <v>978</v>
      </c>
      <c r="AU84" s="443">
        <f t="shared" si="6"/>
        <v>834800</v>
      </c>
    </row>
    <row r="85" spans="1:47" x14ac:dyDescent="0.35">
      <c r="A85" t="str">
        <f>Mapping!J85</f>
        <v>000104460000083</v>
      </c>
      <c r="B85" t="str">
        <f>Mapping!K85</f>
        <v>High</v>
      </c>
      <c r="C85">
        <v>88</v>
      </c>
      <c r="D85" t="str">
        <f>'Loan Book'!E88</f>
        <v>DR PRINT</v>
      </c>
      <c r="E85" t="str">
        <f>'Loan Book'!F88</f>
        <v>Debt</v>
      </c>
      <c r="F85" s="426">
        <f>'Loan Book'!G88</f>
        <v>45288</v>
      </c>
      <c r="G85" s="426">
        <f>'Loan Book'!H88</f>
        <v>46752</v>
      </c>
      <c r="H85">
        <f>'Loan Book'!I88</f>
        <v>4</v>
      </c>
      <c r="I85" t="str">
        <f>'Loan Book'!J88</f>
        <v>6 ( Cap only)</v>
      </c>
      <c r="J85">
        <f>IF('Loan Book'!K88="","",IF('Loan Book'!K88&lt;1,'Loan Book'!K88*100,'Loan Book'!K88))</f>
        <v>10</v>
      </c>
      <c r="K85" s="427">
        <f>'Loan Book'!L88</f>
        <v>120000000</v>
      </c>
      <c r="L85" s="427">
        <f>'Loan Book'!M88</f>
        <v>120000000</v>
      </c>
      <c r="M85" s="427">
        <f>'Loan Book'!N88</f>
        <v>0</v>
      </c>
      <c r="N85" s="427">
        <f>'Loan Book'!O88</f>
        <v>120000000</v>
      </c>
      <c r="O85" s="427">
        <f>'Loan Book'!P88</f>
        <v>9976205.7735471632</v>
      </c>
      <c r="P85" s="427">
        <f>'Loan Book'!Q88</f>
        <v>-9355745</v>
      </c>
      <c r="Q85" s="427">
        <f>'Loan Book'!R88</f>
        <v>120620460.77354716</v>
      </c>
      <c r="R85" s="427">
        <f>'Loan Book'!S88</f>
        <v>9712641.7047061268</v>
      </c>
      <c r="S85" s="427">
        <f>'Loan Book'!T88</f>
        <v>620460.77354716696</v>
      </c>
      <c r="T85" s="427">
        <f>'Loan Book'!U88</f>
        <v>10333102.478253294</v>
      </c>
      <c r="U85">
        <f>'Loan Book'!AC88</f>
        <v>0</v>
      </c>
      <c r="V85">
        <f>'Loan Book'!AE88</f>
        <v>0</v>
      </c>
      <c r="W85" t="str">
        <f>IFERROR(INDEX('E-Banker master'!$B$2:$B$186,MATCH($A85,'E-Banker master'!$A$2:$A$186,0)),"")</f>
        <v>Dr Print</v>
      </c>
      <c r="X85">
        <f>IFERROR(INDEX('E-Banker master'!$C$2:$C$186,MATCH($A85,'E-Banker master'!$A$2:$A$186,0)),"")</f>
        <v>92</v>
      </c>
      <c r="Y85" t="str">
        <f>IFERROR(INDEX('E-Banker master'!$D$2:$D$186,MATCH($A85,'E-Banker master'!$A$2:$A$186,0)),"")</f>
        <v>1050202</v>
      </c>
      <c r="Z85" t="str">
        <f>IFERROR(INDEX('E-Banker master'!$E$2:$E$186,MATCH($A85,'E-Banker master'!$A$2:$A$186,0)),"")</f>
        <v>A</v>
      </c>
      <c r="AA85" t="str">
        <f>IFERROR(INDEX('E-Banker master'!$F$2:$F$186,MATCH($A85,'E-Banker master'!$A$2:$A$186,0)),"")</f>
        <v>S</v>
      </c>
      <c r="AB85">
        <f>IFERROR(INDEX('E-Banker master'!$G$2:$G$186,MATCH($A85,'E-Banker master'!$A$2:$A$186,0)),"")</f>
        <v>10</v>
      </c>
      <c r="AC85" s="427">
        <f>IFERROR(INDEX('E-Banker master'!$I$2:$I$186,MATCH($A85,'E-Banker master'!$A$2:$A$186,0)),"")</f>
        <v>120000000</v>
      </c>
      <c r="AD85" s="426">
        <f>IFERROR(INDEX('E-Banker master'!$J$2:$J$186,MATCH($A85,'E-Banker master'!$A$2:$A$186,0)),"")</f>
        <v>45288</v>
      </c>
      <c r="AE85" s="426">
        <f>IFERROR(INDEX('E-Banker master'!$K$2:$K$186,MATCH($A85,'E-Banker master'!$A$2:$A$186,0)),"")</f>
        <v>46748</v>
      </c>
      <c r="AF85">
        <f>IFERROR(INDEX('E-Banker master'!$L$2:$L$186,MATCH($A85,'E-Banker master'!$A$2:$A$186,0)),"")</f>
        <v>6</v>
      </c>
      <c r="AG85">
        <f>IFERROR(INDEX('E-Banker master'!$M$2:$M$186,MATCH($A85,'E-Banker master'!$A$2:$A$186,0)),"")</f>
        <v>0</v>
      </c>
      <c r="AH85" s="427">
        <f>IFERROR(INDEX('E-Banker master'!$N$2:$N$186,MATCH($A85,'E-Banker master'!$A$2:$A$186,0)),"")</f>
        <v>120000000</v>
      </c>
      <c r="AI85" s="427">
        <f>IFERROR(INDEX('E-Banker master'!$O$2:$O$186,MATCH($A85,'E-Banker master'!$A$2:$A$186,0)),"")</f>
        <v>7096774.1900000004</v>
      </c>
      <c r="AJ85" s="427">
        <f>IFERROR(INDEX('E-Banker master'!$P$2:$P$186,MATCH($A85,'E-Banker master'!$A$2:$A$186,0)),"")</f>
        <v>120829331.66</v>
      </c>
      <c r="AK85" s="427">
        <f t="shared" si="5"/>
        <v>-208870.88645283878</v>
      </c>
      <c r="AL85">
        <v>81</v>
      </c>
      <c r="AM85" t="str">
        <f>HYPERLINK("#'Amortisation and Repayments'!C4432","block 81")</f>
        <v>block 81</v>
      </c>
      <c r="AN85">
        <f>Mapping!X85</f>
        <v>0</v>
      </c>
      <c r="AO85" s="440">
        <f>'Loan Book'!AS88</f>
        <v>1200000</v>
      </c>
      <c r="AP85" s="440">
        <f>'Loan Book'!AT88</f>
        <v>1262500</v>
      </c>
      <c r="AQ85" s="440"/>
      <c r="AR85" s="441">
        <f t="shared" si="7"/>
        <v>45288</v>
      </c>
      <c r="AS85" s="442" t="s">
        <v>977</v>
      </c>
      <c r="AT85" s="442" t="s">
        <v>978</v>
      </c>
      <c r="AU85" s="443">
        <f t="shared" si="6"/>
        <v>2462500</v>
      </c>
    </row>
    <row r="86" spans="1:47" x14ac:dyDescent="0.35">
      <c r="A86" t="str">
        <f>Mapping!J86</f>
        <v>000104450000084</v>
      </c>
      <c r="B86" t="str">
        <f>Mapping!K86</f>
        <v>High</v>
      </c>
      <c r="C86">
        <v>89</v>
      </c>
      <c r="D86" t="str">
        <f>'Loan Book'!E89</f>
        <v>Ziweto Zathanzi Veterinary Shop</v>
      </c>
      <c r="E86" t="str">
        <f>'Loan Book'!F89</f>
        <v>Debt</v>
      </c>
      <c r="F86" s="426">
        <f>'Loan Book'!G89</f>
        <v>45273</v>
      </c>
      <c r="G86" s="426">
        <f>'Loan Book'!H89</f>
        <v>46022</v>
      </c>
      <c r="H86">
        <f>'Loan Book'!I89</f>
        <v>2</v>
      </c>
      <c r="I86" t="str">
        <f>'Loan Book'!J89</f>
        <v>3 ( Cap only)</v>
      </c>
      <c r="J86">
        <f>IF('Loan Book'!K89="","",IF('Loan Book'!K89&lt;1,'Loan Book'!K89*100,'Loan Book'!K89))</f>
        <v>10</v>
      </c>
      <c r="K86" s="427">
        <f>'Loan Book'!L89</f>
        <v>10000000</v>
      </c>
      <c r="L86" s="427">
        <f>'Loan Book'!M89</f>
        <v>10000000</v>
      </c>
      <c r="M86" s="427">
        <f>'Loan Book'!N89</f>
        <v>0</v>
      </c>
      <c r="N86" s="427">
        <f>'Loan Book'!O89</f>
        <v>10000000</v>
      </c>
      <c r="O86" s="427">
        <f>'Loan Book'!P89</f>
        <v>804047.53584399458</v>
      </c>
      <c r="P86" s="427">
        <f>'Loan Book'!Q89</f>
        <v>-2905000</v>
      </c>
      <c r="Q86" s="427">
        <f>'Loan Book'!R89</f>
        <v>7899047.5358439945</v>
      </c>
      <c r="R86" s="427">
        <f>'Loan Book'!S89</f>
        <v>460061.61405626661</v>
      </c>
      <c r="S86" s="427">
        <f>'Loan Book'!T89</f>
        <v>580662.57074270165</v>
      </c>
      <c r="T86" s="427">
        <f>'Loan Book'!U89</f>
        <v>1040724.1847989683</v>
      </c>
      <c r="U86">
        <f>'Loan Book'!AC89</f>
        <v>0</v>
      </c>
      <c r="V86">
        <f>'Loan Book'!AE89</f>
        <v>0</v>
      </c>
      <c r="W86" t="str">
        <f>IFERROR(INDEX('E-Banker master'!$B$2:$B$186,MATCH($A86,'E-Banker master'!$A$2:$A$186,0)),"")</f>
        <v>Ziweto Zathanzi Veterinary Shop</v>
      </c>
      <c r="X86">
        <f>IFERROR(INDEX('E-Banker master'!$C$2:$C$186,MATCH($A86,'E-Banker master'!$A$2:$A$186,0)),"")</f>
        <v>90</v>
      </c>
      <c r="Y86" t="str">
        <f>IFERROR(INDEX('E-Banker master'!$D$2:$D$186,MATCH($A86,'E-Banker master'!$A$2:$A$186,0)),"")</f>
        <v>1050201</v>
      </c>
      <c r="Z86" t="str">
        <f>IFERROR(INDEX('E-Banker master'!$E$2:$E$186,MATCH($A86,'E-Banker master'!$A$2:$A$186,0)),"")</f>
        <v>A</v>
      </c>
      <c r="AA86" t="str">
        <f>IFERROR(INDEX('E-Banker master'!$F$2:$F$186,MATCH($A86,'E-Banker master'!$A$2:$A$186,0)),"")</f>
        <v>S</v>
      </c>
      <c r="AB86">
        <f>IFERROR(INDEX('E-Banker master'!$G$2:$G$186,MATCH($A86,'E-Banker master'!$A$2:$A$186,0)),"")</f>
        <v>10</v>
      </c>
      <c r="AC86" s="427">
        <f>IFERROR(INDEX('E-Banker master'!$I$2:$I$186,MATCH($A86,'E-Banker master'!$A$2:$A$186,0)),"")</f>
        <v>10000000</v>
      </c>
      <c r="AD86" s="426">
        <f>IFERROR(INDEX('E-Banker master'!$J$2:$J$186,MATCH($A86,'E-Banker master'!$A$2:$A$186,0)),"")</f>
        <v>45273</v>
      </c>
      <c r="AE86" s="426">
        <f>IFERROR(INDEX('E-Banker master'!$K$2:$K$186,MATCH($A86,'E-Banker master'!$A$2:$A$186,0)),"")</f>
        <v>46003</v>
      </c>
      <c r="AF86">
        <f>IFERROR(INDEX('E-Banker master'!$L$2:$L$186,MATCH($A86,'E-Banker master'!$A$2:$A$186,0)),"")</f>
        <v>3</v>
      </c>
      <c r="AG86">
        <f>IFERROR(INDEX('E-Banker master'!$M$2:$M$186,MATCH($A86,'E-Banker master'!$A$2:$A$186,0)),"")</f>
        <v>0</v>
      </c>
      <c r="AH86" s="427">
        <f>IFERROR(INDEX('E-Banker master'!$N$2:$N$186,MATCH($A86,'E-Banker master'!$A$2:$A$186,0)),"")</f>
        <v>10000000</v>
      </c>
      <c r="AI86" s="427">
        <f>IFERROR(INDEX('E-Banker master'!$O$2:$O$186,MATCH($A86,'E-Banker master'!$A$2:$A$186,0)),"")</f>
        <v>609712.85</v>
      </c>
      <c r="AJ86" s="427">
        <f>IFERROR(INDEX('E-Banker master'!$P$2:$P$186,MATCH($A86,'E-Banker master'!$A$2:$A$186,0)),"")</f>
        <v>7917794.6699999999</v>
      </c>
      <c r="AK86" s="427">
        <f t="shared" si="5"/>
        <v>-18747.134156005457</v>
      </c>
      <c r="AL86">
        <v>82</v>
      </c>
      <c r="AM86" t="str">
        <f>HYPERLINK("#'Amortisation and Repayments'!C4498","block 82")</f>
        <v>block 82</v>
      </c>
      <c r="AN86">
        <f>Mapping!X86</f>
        <v>0</v>
      </c>
      <c r="AO86" s="440">
        <f>'Loan Book'!AS89</f>
        <v>400000</v>
      </c>
      <c r="AP86" s="440">
        <f>'Loan Book'!AT89</f>
        <v>151600</v>
      </c>
      <c r="AQ86" s="440"/>
      <c r="AR86" s="441">
        <f t="shared" si="7"/>
        <v>45273</v>
      </c>
      <c r="AS86" s="442" t="s">
        <v>977</v>
      </c>
      <c r="AT86" s="442" t="s">
        <v>978</v>
      </c>
      <c r="AU86" s="443">
        <f t="shared" si="6"/>
        <v>551600</v>
      </c>
    </row>
    <row r="87" spans="1:47" x14ac:dyDescent="0.35">
      <c r="A87" t="str">
        <f>Mapping!J87</f>
        <v>000104450000085</v>
      </c>
      <c r="B87" t="str">
        <f>Mapping!K87</f>
        <v>High</v>
      </c>
      <c r="C87">
        <v>90</v>
      </c>
      <c r="D87" t="str">
        <f>'Loan Book'!E90</f>
        <v>MMC Limited</v>
      </c>
      <c r="E87" t="str">
        <f>'Loan Book'!F90</f>
        <v>Debt</v>
      </c>
      <c r="F87" s="426">
        <f>'Loan Book'!G90</f>
        <v>45317</v>
      </c>
      <c r="G87" s="426">
        <f>'Loan Book'!H90</f>
        <v>46418</v>
      </c>
      <c r="H87">
        <f>'Loan Book'!I90</f>
        <v>3</v>
      </c>
      <c r="I87" t="str">
        <f>'Loan Book'!J90</f>
        <v>18 (Cap+Int)</v>
      </c>
      <c r="J87">
        <f>IF('Loan Book'!K90="","",IF('Loan Book'!K90&lt;1,'Loan Book'!K90*100,'Loan Book'!K90))</f>
        <v>10</v>
      </c>
      <c r="K87" s="427">
        <f>'Loan Book'!L90</f>
        <v>144500000</v>
      </c>
      <c r="L87" s="427">
        <f>'Loan Book'!M90</f>
        <v>144500000</v>
      </c>
      <c r="M87" s="427">
        <f>'Loan Book'!N90</f>
        <v>0</v>
      </c>
      <c r="N87" s="427">
        <f>'Loan Book'!O90</f>
        <v>144500000</v>
      </c>
      <c r="O87" s="427">
        <f>'Loan Book'!P90</f>
        <v>11415144.918869639</v>
      </c>
      <c r="P87" s="427">
        <f>'Loan Book'!Q90</f>
        <v>0</v>
      </c>
      <c r="Q87" s="427">
        <f>'Loan Book'!R90</f>
        <v>155915144.91886964</v>
      </c>
      <c r="R87" s="427">
        <f>'Loan Book'!S90</f>
        <v>0</v>
      </c>
      <c r="S87" s="427">
        <f>'Loan Book'!T90</f>
        <v>0</v>
      </c>
      <c r="T87" s="427">
        <f>'Loan Book'!U90</f>
        <v>0</v>
      </c>
      <c r="U87">
        <f>'Loan Book'!AC90</f>
        <v>0</v>
      </c>
      <c r="V87">
        <f>'Loan Book'!AE90</f>
        <v>0</v>
      </c>
      <c r="W87" t="str">
        <f>IFERROR(INDEX('E-Banker master'!$B$2:$B$186,MATCH($A87,'E-Banker master'!$A$2:$A$186,0)),"")</f>
        <v>MMC Limited</v>
      </c>
      <c r="X87">
        <f>IFERROR(INDEX('E-Banker master'!$C$2:$C$186,MATCH($A87,'E-Banker master'!$A$2:$A$186,0)),"")</f>
        <v>90</v>
      </c>
      <c r="Y87" t="str">
        <f>IFERROR(INDEX('E-Banker master'!$D$2:$D$186,MATCH($A87,'E-Banker master'!$A$2:$A$186,0)),"")</f>
        <v>1050201</v>
      </c>
      <c r="Z87" t="str">
        <f>IFERROR(INDEX('E-Banker master'!$E$2:$E$186,MATCH($A87,'E-Banker master'!$A$2:$A$186,0)),"")</f>
        <v>A</v>
      </c>
      <c r="AA87" t="str">
        <f>IFERROR(INDEX('E-Banker master'!$F$2:$F$186,MATCH($A87,'E-Banker master'!$A$2:$A$186,0)),"")</f>
        <v>S</v>
      </c>
      <c r="AB87">
        <f>IFERROR(INDEX('E-Banker master'!$G$2:$G$186,MATCH($A87,'E-Banker master'!$A$2:$A$186,0)),"")</f>
        <v>10</v>
      </c>
      <c r="AC87" s="427">
        <f>IFERROR(INDEX('E-Banker master'!$I$2:$I$186,MATCH($A87,'E-Banker master'!$A$2:$A$186,0)),"")</f>
        <v>144500000</v>
      </c>
      <c r="AD87" s="426">
        <f>IFERROR(INDEX('E-Banker master'!$J$2:$J$186,MATCH($A87,'E-Banker master'!$A$2:$A$186,0)),"")</f>
        <v>45317</v>
      </c>
      <c r="AE87" s="426">
        <f>IFERROR(INDEX('E-Banker master'!$K$2:$K$186,MATCH($A87,'E-Banker master'!$A$2:$A$186,0)),"")</f>
        <v>46412</v>
      </c>
      <c r="AF87">
        <f>IFERROR(INDEX('E-Banker master'!$L$2:$L$186,MATCH($A87,'E-Banker master'!$A$2:$A$186,0)),"")</f>
        <v>18</v>
      </c>
      <c r="AG87">
        <f>IFERROR(INDEX('E-Banker master'!$M$2:$M$186,MATCH($A87,'E-Banker master'!$A$2:$A$186,0)),"")</f>
        <v>18</v>
      </c>
      <c r="AH87" s="427">
        <f>IFERROR(INDEX('E-Banker master'!$N$2:$N$186,MATCH($A87,'E-Banker master'!$A$2:$A$186,0)),"")</f>
        <v>144500000</v>
      </c>
      <c r="AI87" s="427">
        <f>IFERROR(INDEX('E-Banker master'!$O$2:$O$186,MATCH($A87,'E-Banker master'!$A$2:$A$186,0)),"")</f>
        <v>7581339.7999999998</v>
      </c>
      <c r="AJ87" s="427">
        <f>IFERROR(INDEX('E-Banker master'!$P$2:$P$186,MATCH($A87,'E-Banker master'!$A$2:$A$186,0)),"")</f>
        <v>155946915.83000001</v>
      </c>
      <c r="AK87" s="427">
        <f t="shared" si="5"/>
        <v>-31770.91113036871</v>
      </c>
      <c r="AL87">
        <v>83</v>
      </c>
      <c r="AM87" t="str">
        <f>HYPERLINK("#'Amortisation and Repayments'!C4539","block 83")</f>
        <v>block 83</v>
      </c>
      <c r="AN87">
        <f>Mapping!X87</f>
        <v>0</v>
      </c>
      <c r="AO87" s="440">
        <f>'Loan Book'!AS90</f>
        <v>1445000</v>
      </c>
      <c r="AP87" s="440">
        <f>'Loan Book'!AT90</f>
        <v>2386500</v>
      </c>
      <c r="AQ87" s="440"/>
      <c r="AR87" s="441">
        <f t="shared" si="7"/>
        <v>45317</v>
      </c>
      <c r="AS87" s="442" t="s">
        <v>977</v>
      </c>
      <c r="AT87" s="442" t="s">
        <v>978</v>
      </c>
      <c r="AU87" s="443">
        <f t="shared" si="6"/>
        <v>3831500</v>
      </c>
    </row>
    <row r="88" spans="1:47" x14ac:dyDescent="0.35">
      <c r="A88" t="str">
        <f>Mapping!J88</f>
        <v>000104450000086</v>
      </c>
      <c r="B88" t="str">
        <f>Mapping!K88</f>
        <v>High</v>
      </c>
      <c r="C88">
        <v>91</v>
      </c>
      <c r="D88" t="str">
        <f>'Loan Book'!E91</f>
        <v>Chambaika Milling Company</v>
      </c>
      <c r="E88" t="str">
        <f>'Loan Book'!F91</f>
        <v>Debt</v>
      </c>
      <c r="F88" s="426">
        <f>'Loan Book'!G91</f>
        <v>45323</v>
      </c>
      <c r="G88" s="426">
        <f>'Loan Book'!H91</f>
        <v>47149</v>
      </c>
      <c r="H88">
        <f>'Loan Book'!I91</f>
        <v>5</v>
      </c>
      <c r="I88" t="str">
        <f>'Loan Book'!J91</f>
        <v>4 (Cap Only)</v>
      </c>
      <c r="J88">
        <f>IF('Loan Book'!K91="","",IF('Loan Book'!K91&lt;1,'Loan Book'!K91*100,'Loan Book'!K91))</f>
        <v>10</v>
      </c>
      <c r="K88" s="427">
        <f>'Loan Book'!L91</f>
        <v>350660000</v>
      </c>
      <c r="L88" s="427">
        <f>'Loan Book'!M91</f>
        <v>350660000</v>
      </c>
      <c r="M88" s="427">
        <f>'Loan Book'!N91</f>
        <v>0</v>
      </c>
      <c r="N88" s="427">
        <f>'Loan Book'!O91</f>
        <v>350660000</v>
      </c>
      <c r="O88" s="427">
        <f>'Loan Book'!P91</f>
        <v>27193410.83239698</v>
      </c>
      <c r="P88" s="427">
        <f>'Loan Book'!Q91</f>
        <v>0</v>
      </c>
      <c r="Q88" s="427">
        <f>'Loan Book'!R91</f>
        <v>377853410.83239698</v>
      </c>
      <c r="R88" s="427">
        <f>'Loan Book'!S91</f>
        <v>0</v>
      </c>
      <c r="S88" s="427">
        <f>'Loan Book'!T91</f>
        <v>0</v>
      </c>
      <c r="T88" s="427">
        <f>'Loan Book'!U91</f>
        <v>0</v>
      </c>
      <c r="U88">
        <f>'Loan Book'!AC91</f>
        <v>0</v>
      </c>
      <c r="V88">
        <f>'Loan Book'!AE91</f>
        <v>0</v>
      </c>
      <c r="W88" t="str">
        <f>IFERROR(INDEX('E-Banker master'!$B$2:$B$186,MATCH($A88,'E-Banker master'!$A$2:$A$186,0)),"")</f>
        <v>Chambaika Milling Company</v>
      </c>
      <c r="X88">
        <f>IFERROR(INDEX('E-Banker master'!$C$2:$C$186,MATCH($A88,'E-Banker master'!$A$2:$A$186,0)),"")</f>
        <v>90</v>
      </c>
      <c r="Y88" t="str">
        <f>IFERROR(INDEX('E-Banker master'!$D$2:$D$186,MATCH($A88,'E-Banker master'!$A$2:$A$186,0)),"")</f>
        <v>1050201</v>
      </c>
      <c r="Z88" t="str">
        <f>IFERROR(INDEX('E-Banker master'!$E$2:$E$186,MATCH($A88,'E-Banker master'!$A$2:$A$186,0)),"")</f>
        <v>A</v>
      </c>
      <c r="AA88" t="str">
        <f>IFERROR(INDEX('E-Banker master'!$F$2:$F$186,MATCH($A88,'E-Banker master'!$A$2:$A$186,0)),"")</f>
        <v>S</v>
      </c>
      <c r="AB88">
        <f>IFERROR(INDEX('E-Banker master'!$G$2:$G$186,MATCH($A88,'E-Banker master'!$A$2:$A$186,0)),"")</f>
        <v>10</v>
      </c>
      <c r="AC88" s="427">
        <f>IFERROR(INDEX('E-Banker master'!$I$2:$I$186,MATCH($A88,'E-Banker master'!$A$2:$A$186,0)),"")</f>
        <v>350660000</v>
      </c>
      <c r="AD88" s="426">
        <f>IFERROR(INDEX('E-Banker master'!$J$2:$J$186,MATCH($A88,'E-Banker master'!$A$2:$A$186,0)),"")</f>
        <v>45323</v>
      </c>
      <c r="AE88" s="426">
        <f>IFERROR(INDEX('E-Banker master'!$K$2:$K$186,MATCH($A88,'E-Banker master'!$A$2:$A$186,0)),"")</f>
        <v>47149</v>
      </c>
      <c r="AF88">
        <f>IFERROR(INDEX('E-Banker master'!$L$2:$L$186,MATCH($A88,'E-Banker master'!$A$2:$A$186,0)),"")</f>
        <v>4</v>
      </c>
      <c r="AG88">
        <f>IFERROR(INDEX('E-Banker master'!$M$2:$M$186,MATCH($A88,'E-Banker master'!$A$2:$A$186,0)),"")</f>
        <v>0</v>
      </c>
      <c r="AH88" s="427">
        <f>IFERROR(INDEX('E-Banker master'!$N$2:$N$186,MATCH($A88,'E-Banker master'!$A$2:$A$186,0)),"")</f>
        <v>350660000</v>
      </c>
      <c r="AI88" s="427">
        <f>IFERROR(INDEX('E-Banker master'!$O$2:$O$186,MATCH($A88,'E-Banker master'!$A$2:$A$186,0)),"")</f>
        <v>17902354.850000001</v>
      </c>
      <c r="AJ88" s="427">
        <f>IFERROR(INDEX('E-Banker master'!$P$2:$P$186,MATCH($A88,'E-Banker master'!$A$2:$A$186,0)),"")</f>
        <v>377930406.22000003</v>
      </c>
      <c r="AK88" s="427">
        <f t="shared" si="5"/>
        <v>-76995.38760304451</v>
      </c>
      <c r="AL88">
        <v>84</v>
      </c>
      <c r="AM88" t="str">
        <f>HYPERLINK("#'Amortisation and Repayments'!C4591","block 84")</f>
        <v>block 84</v>
      </c>
      <c r="AN88">
        <f>Mapping!X88</f>
        <v>0</v>
      </c>
      <c r="AO88" s="440">
        <f>'Loan Book'!AS91</f>
        <v>14026400</v>
      </c>
      <c r="AP88" s="440">
        <f>'Loan Book'!AT91</f>
        <v>7810086</v>
      </c>
      <c r="AQ88" s="440"/>
      <c r="AR88" s="441">
        <f t="shared" si="7"/>
        <v>45323</v>
      </c>
      <c r="AS88" s="442" t="s">
        <v>977</v>
      </c>
      <c r="AT88" s="442" t="s">
        <v>978</v>
      </c>
      <c r="AU88" s="443">
        <f t="shared" si="6"/>
        <v>21836486</v>
      </c>
    </row>
    <row r="89" spans="1:47" x14ac:dyDescent="0.35">
      <c r="A89" t="str">
        <f>Mapping!J89</f>
        <v>000104460000087</v>
      </c>
      <c r="B89" t="str">
        <f>Mapping!K89</f>
        <v>High</v>
      </c>
      <c r="C89">
        <v>92</v>
      </c>
      <c r="D89" t="str">
        <f>'Loan Book'!E92</f>
        <v>Kings Foundationn Schools</v>
      </c>
      <c r="E89" t="str">
        <f>'Loan Book'!F92</f>
        <v>Debt</v>
      </c>
      <c r="F89" s="426">
        <f>'Loan Book'!G92</f>
        <v>45323</v>
      </c>
      <c r="G89" s="426">
        <f>'Loan Book'!H92</f>
        <v>46783</v>
      </c>
      <c r="H89">
        <f>'Loan Book'!I92</f>
        <v>4</v>
      </c>
      <c r="I89" t="str">
        <f>'Loan Book'!J92</f>
        <v>6 ( Cap only)</v>
      </c>
      <c r="J89">
        <f>IF('Loan Book'!K92="","",IF('Loan Book'!K92&lt;1,'Loan Book'!K92*100,'Loan Book'!K92))</f>
        <v>10</v>
      </c>
      <c r="K89" s="427">
        <f>'Loan Book'!L92</f>
        <v>200000000</v>
      </c>
      <c r="L89" s="427">
        <f>'Loan Book'!M92</f>
        <v>200000000</v>
      </c>
      <c r="M89" s="427">
        <f>'Loan Book'!N92</f>
        <v>0</v>
      </c>
      <c r="N89" s="427">
        <f>'Loan Book'!O92</f>
        <v>200000000</v>
      </c>
      <c r="O89" s="427">
        <f>'Loan Book'!P92</f>
        <v>14899805.021532662</v>
      </c>
      <c r="P89" s="427">
        <f>'Loan Book'!Q92</f>
        <v>-15663001</v>
      </c>
      <c r="Q89" s="427">
        <f>'Loan Book'!R92</f>
        <v>199236804.02153265</v>
      </c>
      <c r="R89" s="427">
        <f>'Loan Book'!S92</f>
        <v>8093589.3825098872</v>
      </c>
      <c r="S89" s="427">
        <f>'Loan Book'!T92</f>
        <v>3233501.2235539351</v>
      </c>
      <c r="T89" s="427">
        <f>'Loan Book'!U92</f>
        <v>11327090.606063822</v>
      </c>
      <c r="U89">
        <f>'Loan Book'!AC92</f>
        <v>0</v>
      </c>
      <c r="V89">
        <f>'Loan Book'!AE92</f>
        <v>0</v>
      </c>
      <c r="W89" t="str">
        <f>IFERROR(INDEX('E-Banker master'!$B$2:$B$186,MATCH($A89,'E-Banker master'!$A$2:$A$186,0)),"")</f>
        <v>Kings Foundationn Schools</v>
      </c>
      <c r="X89">
        <f>IFERROR(INDEX('E-Banker master'!$C$2:$C$186,MATCH($A89,'E-Banker master'!$A$2:$A$186,0)),"")</f>
        <v>92</v>
      </c>
      <c r="Y89" t="str">
        <f>IFERROR(INDEX('E-Banker master'!$D$2:$D$186,MATCH($A89,'E-Banker master'!$A$2:$A$186,0)),"")</f>
        <v>1050202</v>
      </c>
      <c r="Z89" t="str">
        <f>IFERROR(INDEX('E-Banker master'!$E$2:$E$186,MATCH($A89,'E-Banker master'!$A$2:$A$186,0)),"")</f>
        <v>A</v>
      </c>
      <c r="AA89" t="str">
        <f>IFERROR(INDEX('E-Banker master'!$F$2:$F$186,MATCH($A89,'E-Banker master'!$A$2:$A$186,0)),"")</f>
        <v>S</v>
      </c>
      <c r="AB89">
        <f>IFERROR(INDEX('E-Banker master'!$G$2:$G$186,MATCH($A89,'E-Banker master'!$A$2:$A$186,0)),"")</f>
        <v>10</v>
      </c>
      <c r="AC89" s="427">
        <f>IFERROR(INDEX('E-Banker master'!$I$2:$I$186,MATCH($A89,'E-Banker master'!$A$2:$A$186,0)),"")</f>
        <v>200000000</v>
      </c>
      <c r="AD89" s="426">
        <f>IFERROR(INDEX('E-Banker master'!$J$2:$J$186,MATCH($A89,'E-Banker master'!$A$2:$A$186,0)),"")</f>
        <v>45323</v>
      </c>
      <c r="AE89" s="426">
        <f>IFERROR(INDEX('E-Banker master'!$K$2:$K$186,MATCH($A89,'E-Banker master'!$A$2:$A$186,0)),"")</f>
        <v>46053</v>
      </c>
      <c r="AF89">
        <f>IFERROR(INDEX('E-Banker master'!$L$2:$L$186,MATCH($A89,'E-Banker master'!$A$2:$A$186,0)),"")</f>
        <v>6</v>
      </c>
      <c r="AG89">
        <f>IFERROR(INDEX('E-Banker master'!$M$2:$M$186,MATCH($A89,'E-Banker master'!$A$2:$A$186,0)),"")</f>
        <v>0</v>
      </c>
      <c r="AH89" s="427">
        <f>IFERROR(INDEX('E-Banker master'!$N$2:$N$186,MATCH($A89,'E-Banker master'!$A$2:$A$186,0)),"")</f>
        <v>200000000</v>
      </c>
      <c r="AI89" s="427">
        <f>IFERROR(INDEX('E-Banker master'!$O$2:$O$186,MATCH($A89,'E-Banker master'!$A$2:$A$186,0)),"")</f>
        <v>10000000</v>
      </c>
      <c r="AJ89" s="427">
        <f>IFERROR(INDEX('E-Banker master'!$P$2:$P$186,MATCH($A89,'E-Banker master'!$A$2:$A$186,0)),"")</f>
        <v>199386933.16</v>
      </c>
      <c r="AK89" s="427">
        <f t="shared" si="5"/>
        <v>-150129.13846734166</v>
      </c>
      <c r="AL89">
        <v>85</v>
      </c>
      <c r="AM89" t="str">
        <f>HYPERLINK("#'Amortisation and Repayments'!C4667","block 85")</f>
        <v>block 85</v>
      </c>
      <c r="AN89">
        <f>Mapping!X89</f>
        <v>0</v>
      </c>
      <c r="AO89" s="440">
        <f>'Loan Book'!AS92</f>
        <v>2000000</v>
      </c>
      <c r="AP89" s="440">
        <f>'Loan Book'!AT92</f>
        <v>2070500</v>
      </c>
      <c r="AQ89" s="440"/>
      <c r="AR89" s="441">
        <f t="shared" si="7"/>
        <v>45323</v>
      </c>
      <c r="AS89" s="442" t="s">
        <v>977</v>
      </c>
      <c r="AT89" s="442" t="s">
        <v>978</v>
      </c>
      <c r="AU89" s="443">
        <f t="shared" si="6"/>
        <v>4070500</v>
      </c>
    </row>
    <row r="90" spans="1:47" x14ac:dyDescent="0.35">
      <c r="A90" t="str">
        <f>Mapping!J90</f>
        <v>000104460000088</v>
      </c>
      <c r="B90" t="str">
        <f>Mapping!K90</f>
        <v>High</v>
      </c>
      <c r="C90">
        <v>93</v>
      </c>
      <c r="D90" t="str">
        <f>'Loan Book'!E93</f>
        <v>Malasha Briquettes Limited</v>
      </c>
      <c r="E90" t="str">
        <f>'Loan Book'!F93</f>
        <v>Debt</v>
      </c>
      <c r="F90" s="426">
        <f>'Loan Book'!G93</f>
        <v>45323</v>
      </c>
      <c r="G90" s="426">
        <f>'Loan Book'!H93</f>
        <v>46053</v>
      </c>
      <c r="H90">
        <f>'Loan Book'!I93</f>
        <v>2</v>
      </c>
      <c r="I90" t="str">
        <f>'Loan Book'!J93</f>
        <v>3 (Cap+Int)</v>
      </c>
      <c r="J90">
        <f>IF('Loan Book'!K93="","",IF('Loan Book'!K93&lt;1,'Loan Book'!K93*100,'Loan Book'!K93))</f>
        <v>10</v>
      </c>
      <c r="K90" s="427">
        <f>'Loan Book'!L93</f>
        <v>17000000</v>
      </c>
      <c r="L90" s="427">
        <f>'Loan Book'!M93</f>
        <v>17000000</v>
      </c>
      <c r="M90" s="427">
        <f>'Loan Book'!N93</f>
        <v>0</v>
      </c>
      <c r="N90" s="427">
        <f>'Loan Book'!O93</f>
        <v>17000000</v>
      </c>
      <c r="O90" s="427">
        <f>'Loan Book'!P93</f>
        <v>1203553.6975019837</v>
      </c>
      <c r="P90" s="427">
        <f>'Loan Book'!Q93</f>
        <v>-5448668.7599999998</v>
      </c>
      <c r="Q90" s="427">
        <f>'Loan Book'!R93</f>
        <v>12754884.937501984</v>
      </c>
      <c r="R90" s="427">
        <f>'Loan Book'!S93</f>
        <v>0</v>
      </c>
      <c r="S90" s="427">
        <f>'Loan Book'!T93</f>
        <v>0</v>
      </c>
      <c r="T90" s="427">
        <f>'Loan Book'!U93</f>
        <v>0</v>
      </c>
      <c r="U90">
        <f>'Loan Book'!AC93</f>
        <v>0</v>
      </c>
      <c r="V90">
        <f>'Loan Book'!AE93</f>
        <v>0</v>
      </c>
      <c r="W90" t="str">
        <f>IFERROR(INDEX('E-Banker master'!$B$2:$B$186,MATCH($A90,'E-Banker master'!$A$2:$A$186,0)),"")</f>
        <v>Malasha Briquettes Limited</v>
      </c>
      <c r="X90">
        <f>IFERROR(INDEX('E-Banker master'!$C$2:$C$186,MATCH($A90,'E-Banker master'!$A$2:$A$186,0)),"")</f>
        <v>92</v>
      </c>
      <c r="Y90" t="str">
        <f>IFERROR(INDEX('E-Banker master'!$D$2:$D$186,MATCH($A90,'E-Banker master'!$A$2:$A$186,0)),"")</f>
        <v>1050202</v>
      </c>
      <c r="Z90" t="str">
        <f>IFERROR(INDEX('E-Banker master'!$E$2:$E$186,MATCH($A90,'E-Banker master'!$A$2:$A$186,0)),"")</f>
        <v>A</v>
      </c>
      <c r="AA90" t="str">
        <f>IFERROR(INDEX('E-Banker master'!$F$2:$F$186,MATCH($A90,'E-Banker master'!$A$2:$A$186,0)),"")</f>
        <v>S</v>
      </c>
      <c r="AB90">
        <f>IFERROR(INDEX('E-Banker master'!$G$2:$G$186,MATCH($A90,'E-Banker master'!$A$2:$A$186,0)),"")</f>
        <v>10</v>
      </c>
      <c r="AC90" s="427">
        <f>IFERROR(INDEX('E-Banker master'!$I$2:$I$186,MATCH($A90,'E-Banker master'!$A$2:$A$186,0)),"")</f>
        <v>17000000</v>
      </c>
      <c r="AD90" s="426">
        <f>IFERROR(INDEX('E-Banker master'!$J$2:$J$186,MATCH($A90,'E-Banker master'!$A$2:$A$186,0)),"")</f>
        <v>45323</v>
      </c>
      <c r="AE90" s="426">
        <f>IFERROR(INDEX('E-Banker master'!$K$2:$K$186,MATCH($A90,'E-Banker master'!$A$2:$A$186,0)),"")</f>
        <v>46053</v>
      </c>
      <c r="AF90">
        <f>IFERROR(INDEX('E-Banker master'!$L$2:$L$186,MATCH($A90,'E-Banker master'!$A$2:$A$186,0)),"")</f>
        <v>3</v>
      </c>
      <c r="AG90">
        <f>IFERROR(INDEX('E-Banker master'!$M$2:$M$186,MATCH($A90,'E-Banker master'!$A$2:$A$186,0)),"")</f>
        <v>3</v>
      </c>
      <c r="AH90" s="427">
        <f>IFERROR(INDEX('E-Banker master'!$N$2:$N$186,MATCH($A90,'E-Banker master'!$A$2:$A$186,0)),"")</f>
        <v>17000000</v>
      </c>
      <c r="AI90" s="427">
        <f>IFERROR(INDEX('E-Banker master'!$O$2:$O$186,MATCH($A90,'E-Banker master'!$A$2:$A$186,0)),"")</f>
        <v>845140.47999999998</v>
      </c>
      <c r="AJ90" s="427">
        <f>IFERROR(INDEX('E-Banker master'!$P$2:$P$186,MATCH($A90,'E-Banker master'!$A$2:$A$186,0)),"")</f>
        <v>12758872.960000001</v>
      </c>
      <c r="AK90" s="427">
        <f t="shared" si="5"/>
        <v>-3988.022498017177</v>
      </c>
      <c r="AL90">
        <v>86</v>
      </c>
      <c r="AM90" t="str">
        <f>HYPERLINK("#'Amortisation and Repayments'!C4731","block 86")</f>
        <v>block 86</v>
      </c>
      <c r="AN90">
        <f>Mapping!X90</f>
        <v>0</v>
      </c>
      <c r="AO90" s="440">
        <f>'Loan Book'!AS93</f>
        <v>170000</v>
      </c>
      <c r="AP90" s="440">
        <f>'Loan Book'!AT93</f>
        <v>324720</v>
      </c>
      <c r="AQ90" s="440"/>
      <c r="AR90" s="441">
        <f t="shared" si="7"/>
        <v>45323</v>
      </c>
      <c r="AS90" s="442" t="s">
        <v>977</v>
      </c>
      <c r="AT90" s="442" t="s">
        <v>978</v>
      </c>
      <c r="AU90" s="443">
        <f t="shared" si="6"/>
        <v>494720</v>
      </c>
    </row>
    <row r="91" spans="1:47" x14ac:dyDescent="0.35">
      <c r="A91" t="str">
        <f>Mapping!J91</f>
        <v>000104460000089</v>
      </c>
      <c r="B91" t="str">
        <f>Mapping!K91</f>
        <v>High</v>
      </c>
      <c r="C91">
        <v>94</v>
      </c>
      <c r="D91" t="str">
        <f>'Loan Book'!E94</f>
        <v>Lehome Investment Limited</v>
      </c>
      <c r="E91" t="str">
        <f>'Loan Book'!F94</f>
        <v>Debt</v>
      </c>
      <c r="F91" s="426">
        <f>'Loan Book'!G94</f>
        <v>45342</v>
      </c>
      <c r="G91" s="426">
        <f>'Loan Book'!H94</f>
        <v>46783</v>
      </c>
      <c r="H91">
        <f>'Loan Book'!I94</f>
        <v>4</v>
      </c>
      <c r="I91" t="str">
        <f>'Loan Book'!J94</f>
        <v>6 ( Cap only)</v>
      </c>
      <c r="J91">
        <f>IF('Loan Book'!K94="","",IF('Loan Book'!K94&lt;1,'Loan Book'!K94*100,'Loan Book'!K94))</f>
        <v>10</v>
      </c>
      <c r="K91" s="427">
        <f>'Loan Book'!L94</f>
        <v>150000000</v>
      </c>
      <c r="L91" s="427">
        <f>'Loan Book'!M94</f>
        <v>150000000</v>
      </c>
      <c r="M91" s="427">
        <f>'Loan Book'!N94</f>
        <v>0</v>
      </c>
      <c r="N91" s="427">
        <f>'Loan Book'!O94</f>
        <v>150000000</v>
      </c>
      <c r="O91" s="427">
        <f>'Loan Book'!P94</f>
        <v>10573130.123877462</v>
      </c>
      <c r="P91" s="427">
        <f>'Loan Book'!Q94</f>
        <v>-13317000</v>
      </c>
      <c r="Q91" s="427">
        <f>'Loan Book'!R94</f>
        <v>147256130.12387747</v>
      </c>
      <c r="R91" s="427">
        <f>'Loan Book'!S94</f>
        <v>0</v>
      </c>
      <c r="S91" s="427">
        <f>'Loan Book'!T94</f>
        <v>0</v>
      </c>
      <c r="T91" s="427">
        <f>'Loan Book'!U94</f>
        <v>0</v>
      </c>
      <c r="U91">
        <f>'Loan Book'!AC94</f>
        <v>0</v>
      </c>
      <c r="V91">
        <f>'Loan Book'!AE94</f>
        <v>0</v>
      </c>
      <c r="W91" t="str">
        <f>IFERROR(INDEX('E-Banker master'!$B$2:$B$186,MATCH($A91,'E-Banker master'!$A$2:$A$186,0)),"")</f>
        <v>Lehome Investment Limited</v>
      </c>
      <c r="X91">
        <f>IFERROR(INDEX('E-Banker master'!$C$2:$C$186,MATCH($A91,'E-Banker master'!$A$2:$A$186,0)),"")</f>
        <v>92</v>
      </c>
      <c r="Y91" t="str">
        <f>IFERROR(INDEX('E-Banker master'!$D$2:$D$186,MATCH($A91,'E-Banker master'!$A$2:$A$186,0)),"")</f>
        <v>1050202</v>
      </c>
      <c r="Z91" t="str">
        <f>IFERROR(INDEX('E-Banker master'!$E$2:$E$186,MATCH($A91,'E-Banker master'!$A$2:$A$186,0)),"")</f>
        <v>A</v>
      </c>
      <c r="AA91" t="str">
        <f>IFERROR(INDEX('E-Banker master'!$F$2:$F$186,MATCH($A91,'E-Banker master'!$A$2:$A$186,0)),"")</f>
        <v>S</v>
      </c>
      <c r="AB91">
        <f>IFERROR(INDEX('E-Banker master'!$G$2:$G$186,MATCH($A91,'E-Banker master'!$A$2:$A$186,0)),"")</f>
        <v>10</v>
      </c>
      <c r="AC91" s="427">
        <f>IFERROR(INDEX('E-Banker master'!$I$2:$I$186,MATCH($A91,'E-Banker master'!$A$2:$A$186,0)),"")</f>
        <v>150000000</v>
      </c>
      <c r="AD91" s="426">
        <f>IFERROR(INDEX('E-Banker master'!$J$2:$J$186,MATCH($A91,'E-Banker master'!$A$2:$A$186,0)),"")</f>
        <v>45342</v>
      </c>
      <c r="AE91" s="426">
        <f>IFERROR(INDEX('E-Banker master'!$K$2:$K$186,MATCH($A91,'E-Banker master'!$A$2:$A$186,0)),"")</f>
        <v>46802</v>
      </c>
      <c r="AF91">
        <f>IFERROR(INDEX('E-Banker master'!$L$2:$L$186,MATCH($A91,'E-Banker master'!$A$2:$A$186,0)),"")</f>
        <v>6</v>
      </c>
      <c r="AG91">
        <f>IFERROR(INDEX('E-Banker master'!$M$2:$M$186,MATCH($A91,'E-Banker master'!$A$2:$A$186,0)),"")</f>
        <v>0</v>
      </c>
      <c r="AH91" s="427">
        <f>IFERROR(INDEX('E-Banker master'!$N$2:$N$186,MATCH($A91,'E-Banker master'!$A$2:$A$186,0)),"")</f>
        <v>150000000</v>
      </c>
      <c r="AI91" s="427">
        <f>IFERROR(INDEX('E-Banker master'!$O$2:$O$186,MATCH($A91,'E-Banker master'!$A$2:$A$186,0)),"")</f>
        <v>6733316.6600000001</v>
      </c>
      <c r="AJ91" s="427">
        <f>IFERROR(INDEX('E-Banker master'!$P$2:$P$186,MATCH($A91,'E-Banker master'!$A$2:$A$186,0)),"")</f>
        <v>147295308.09</v>
      </c>
      <c r="AK91" s="427">
        <f t="shared" si="5"/>
        <v>-39177.966122537851</v>
      </c>
      <c r="AL91">
        <v>87</v>
      </c>
      <c r="AM91" t="str">
        <f>HYPERLINK("#'Amortisation and Repayments'!C4769","block 87")</f>
        <v>block 87</v>
      </c>
      <c r="AN91">
        <f>Mapping!X91</f>
        <v>0</v>
      </c>
      <c r="AO91" s="440">
        <f>'Loan Book'!AS94</f>
        <v>1500000</v>
      </c>
      <c r="AP91" s="440">
        <f>'Loan Book'!AT94</f>
        <v>2474500</v>
      </c>
      <c r="AQ91" s="440"/>
      <c r="AR91" s="441">
        <f t="shared" si="7"/>
        <v>45342</v>
      </c>
      <c r="AS91" s="442" t="s">
        <v>977</v>
      </c>
      <c r="AT91" s="442" t="s">
        <v>978</v>
      </c>
      <c r="AU91" s="443">
        <f t="shared" si="6"/>
        <v>3974500</v>
      </c>
    </row>
    <row r="92" spans="1:47" x14ac:dyDescent="0.35">
      <c r="A92" t="str">
        <f>Mapping!J92</f>
        <v>000104450000090</v>
      </c>
      <c r="B92" t="str">
        <f>Mapping!K92</f>
        <v>High</v>
      </c>
      <c r="C92">
        <v>95</v>
      </c>
      <c r="D92" t="str">
        <f>'Loan Book'!E95</f>
        <v>JAT Investments</v>
      </c>
      <c r="E92" t="str">
        <f>'Loan Book'!F95</f>
        <v>Debt</v>
      </c>
      <c r="F92" s="426">
        <f>'Loan Book'!G95</f>
        <v>45330</v>
      </c>
      <c r="G92" s="426">
        <f>'Loan Book'!H95</f>
        <v>46783</v>
      </c>
      <c r="H92">
        <f>'Loan Book'!I95</f>
        <v>4</v>
      </c>
      <c r="I92" t="str">
        <f>'Loan Book'!J95</f>
        <v>6 ( Cap only)</v>
      </c>
      <c r="J92">
        <f>IF('Loan Book'!K95="","",IF('Loan Book'!K95&lt;1,'Loan Book'!K95*100,'Loan Book'!K95))</f>
        <v>10</v>
      </c>
      <c r="K92" s="427">
        <f>'Loan Book'!L95</f>
        <v>130000000</v>
      </c>
      <c r="L92" s="427">
        <f>'Loan Book'!M95</f>
        <v>130000000</v>
      </c>
      <c r="M92" s="427">
        <f>'Loan Book'!N95</f>
        <v>0</v>
      </c>
      <c r="N92" s="427">
        <f>'Loan Book'!O95</f>
        <v>130000000</v>
      </c>
      <c r="O92" s="427">
        <f>'Loan Book'!P95</f>
        <v>9401138.183915168</v>
      </c>
      <c r="P92" s="427">
        <f>'Loan Book'!Q95</f>
        <v>-14601400</v>
      </c>
      <c r="Q92" s="427">
        <f>'Loan Book'!R95</f>
        <v>124799738.18391517</v>
      </c>
      <c r="R92" s="427">
        <f>'Loan Book'!S95</f>
        <v>2619792.1130429395</v>
      </c>
      <c r="S92" s="427">
        <f>'Loan Book'!T95</f>
        <v>1034647.2414414934</v>
      </c>
      <c r="T92" s="427">
        <f>'Loan Book'!U95</f>
        <v>3654439.3544844328</v>
      </c>
      <c r="U92">
        <f>'Loan Book'!AC95</f>
        <v>0</v>
      </c>
      <c r="V92">
        <f>'Loan Book'!AE95</f>
        <v>0</v>
      </c>
      <c r="W92" t="str">
        <f>IFERROR(INDEX('E-Banker master'!$B$2:$B$186,MATCH($A92,'E-Banker master'!$A$2:$A$186,0)),"")</f>
        <v>JAT Investments</v>
      </c>
      <c r="X92">
        <f>IFERROR(INDEX('E-Banker master'!$C$2:$C$186,MATCH($A92,'E-Banker master'!$A$2:$A$186,0)),"")</f>
        <v>90</v>
      </c>
      <c r="Y92" t="str">
        <f>IFERROR(INDEX('E-Banker master'!$D$2:$D$186,MATCH($A92,'E-Banker master'!$A$2:$A$186,0)),"")</f>
        <v>1050201</v>
      </c>
      <c r="Z92" t="str">
        <f>IFERROR(INDEX('E-Banker master'!$E$2:$E$186,MATCH($A92,'E-Banker master'!$A$2:$A$186,0)),"")</f>
        <v>A</v>
      </c>
      <c r="AA92" t="str">
        <f>IFERROR(INDEX('E-Banker master'!$F$2:$F$186,MATCH($A92,'E-Banker master'!$A$2:$A$186,0)),"")</f>
        <v>S</v>
      </c>
      <c r="AB92">
        <f>IFERROR(INDEX('E-Banker master'!$G$2:$G$186,MATCH($A92,'E-Banker master'!$A$2:$A$186,0)),"")</f>
        <v>10</v>
      </c>
      <c r="AC92" s="427">
        <f>IFERROR(INDEX('E-Banker master'!$I$2:$I$186,MATCH($A92,'E-Banker master'!$A$2:$A$186,0)),"")</f>
        <v>130000000</v>
      </c>
      <c r="AD92" s="426">
        <f>IFERROR(INDEX('E-Banker master'!$J$2:$J$186,MATCH($A92,'E-Banker master'!$A$2:$A$186,0)),"")</f>
        <v>45330</v>
      </c>
      <c r="AE92" s="426">
        <f>IFERROR(INDEX('E-Banker master'!$K$2:$K$186,MATCH($A92,'E-Banker master'!$A$2:$A$186,0)),"")</f>
        <v>46790</v>
      </c>
      <c r="AF92">
        <f>IFERROR(INDEX('E-Banker master'!$L$2:$L$186,MATCH($A92,'E-Banker master'!$A$2:$A$186,0)),"")</f>
        <v>6</v>
      </c>
      <c r="AG92">
        <f>IFERROR(INDEX('E-Banker master'!$M$2:$M$186,MATCH($A92,'E-Banker master'!$A$2:$A$186,0)),"")</f>
        <v>0</v>
      </c>
      <c r="AH92" s="427">
        <f>IFERROR(INDEX('E-Banker master'!$N$2:$N$186,MATCH($A92,'E-Banker master'!$A$2:$A$186,0)),"")</f>
        <v>130000000</v>
      </c>
      <c r="AI92" s="427">
        <f>IFERROR(INDEX('E-Banker master'!$O$2:$O$186,MATCH($A92,'E-Banker master'!$A$2:$A$186,0)),"")</f>
        <v>6242236.3200000003</v>
      </c>
      <c r="AJ92" s="427">
        <f>IFERROR(INDEX('E-Banker master'!$P$2:$P$186,MATCH($A92,'E-Banker master'!$A$2:$A$186,0)),"")</f>
        <v>124893754.23</v>
      </c>
      <c r="AK92" s="427">
        <f t="shared" si="5"/>
        <v>-94016.046084836125</v>
      </c>
      <c r="AL92">
        <v>88</v>
      </c>
      <c r="AM92" t="str">
        <f>HYPERLINK("#'Amortisation and Repayments'!C4834","block 88")</f>
        <v>block 88</v>
      </c>
      <c r="AN92">
        <f>Mapping!X92</f>
        <v>0</v>
      </c>
      <c r="AO92" s="440">
        <f>'Loan Book'!AS95</f>
        <v>1300000</v>
      </c>
      <c r="AP92" s="440">
        <f>'Loan Book'!AT95</f>
        <v>2923500</v>
      </c>
      <c r="AQ92" s="440"/>
      <c r="AR92" s="441">
        <f t="shared" si="7"/>
        <v>45330</v>
      </c>
      <c r="AS92" s="442" t="s">
        <v>977</v>
      </c>
      <c r="AT92" s="442" t="s">
        <v>978</v>
      </c>
      <c r="AU92" s="443">
        <f t="shared" si="6"/>
        <v>4223500</v>
      </c>
    </row>
    <row r="93" spans="1:47" x14ac:dyDescent="0.35">
      <c r="A93" t="str">
        <f>Mapping!J93</f>
        <v>000104450000091</v>
      </c>
      <c r="B93" t="str">
        <f>Mapping!K93</f>
        <v>High</v>
      </c>
      <c r="C93">
        <v>96</v>
      </c>
      <c r="D93" t="str">
        <f>'Loan Book'!E96</f>
        <v>Chanje Investments</v>
      </c>
      <c r="E93" t="str">
        <f>'Loan Book'!F96</f>
        <v>Debt</v>
      </c>
      <c r="F93" s="426">
        <f>'Loan Book'!G96</f>
        <v>45351</v>
      </c>
      <c r="G93" s="426">
        <f>'Loan Book'!H96</f>
        <v>46812</v>
      </c>
      <c r="H93">
        <f>'Loan Book'!I96</f>
        <v>4</v>
      </c>
      <c r="I93" t="str">
        <f>'Loan Book'!J96</f>
        <v>6 ( Cap only)</v>
      </c>
      <c r="J93">
        <f>IF('Loan Book'!K96="","",IF('Loan Book'!K96&lt;1,'Loan Book'!K96*100,'Loan Book'!K96))</f>
        <v>10</v>
      </c>
      <c r="K93" s="427">
        <f>'Loan Book'!L96</f>
        <v>200000000</v>
      </c>
      <c r="L93" s="427">
        <f>'Loan Book'!M96</f>
        <v>200000000</v>
      </c>
      <c r="M93" s="427">
        <f>'Loan Book'!N96</f>
        <v>0</v>
      </c>
      <c r="N93" s="427">
        <f>'Loan Book'!O96</f>
        <v>200000000</v>
      </c>
      <c r="O93" s="427">
        <f>'Loan Book'!P96</f>
        <v>13679167.526462564</v>
      </c>
      <c r="P93" s="427">
        <f>'Loan Book'!Q96</f>
        <v>0</v>
      </c>
      <c r="Q93" s="427">
        <f>'Loan Book'!R96</f>
        <v>213679167.52646255</v>
      </c>
      <c r="R93" s="427">
        <f>'Loan Book'!S96</f>
        <v>8436489.855014801</v>
      </c>
      <c r="S93" s="427">
        <f>'Loan Book'!T96</f>
        <v>3468504.862429535</v>
      </c>
      <c r="T93" s="427">
        <f>'Loan Book'!U96</f>
        <v>11904994.717444336</v>
      </c>
      <c r="U93">
        <f>'Loan Book'!AC96</f>
        <v>0</v>
      </c>
      <c r="V93">
        <f>'Loan Book'!AE96</f>
        <v>0</v>
      </c>
      <c r="W93" t="str">
        <f>IFERROR(INDEX('E-Banker master'!$B$2:$B$186,MATCH($A93,'E-Banker master'!$A$2:$A$186,0)),"")</f>
        <v>Chanje Investments</v>
      </c>
      <c r="X93">
        <f>IFERROR(INDEX('E-Banker master'!$C$2:$C$186,MATCH($A93,'E-Banker master'!$A$2:$A$186,0)),"")</f>
        <v>90</v>
      </c>
      <c r="Y93" t="str">
        <f>IFERROR(INDEX('E-Banker master'!$D$2:$D$186,MATCH($A93,'E-Banker master'!$A$2:$A$186,0)),"")</f>
        <v>1050201</v>
      </c>
      <c r="Z93" t="str">
        <f>IFERROR(INDEX('E-Banker master'!$E$2:$E$186,MATCH($A93,'E-Banker master'!$A$2:$A$186,0)),"")</f>
        <v>D</v>
      </c>
      <c r="AA93" t="str">
        <f>IFERROR(INDEX('E-Banker master'!$F$2:$F$186,MATCH($A93,'E-Banker master'!$A$2:$A$186,0)),"")</f>
        <v>S</v>
      </c>
      <c r="AB93">
        <f>IFERROR(INDEX('E-Banker master'!$G$2:$G$186,MATCH($A93,'E-Banker master'!$A$2:$A$186,0)),"")</f>
        <v>10</v>
      </c>
      <c r="AC93" s="427">
        <f>IFERROR(INDEX('E-Banker master'!$I$2:$I$186,MATCH($A93,'E-Banker master'!$A$2:$A$186,0)),"")</f>
        <v>200000000</v>
      </c>
      <c r="AD93" s="426">
        <f>IFERROR(INDEX('E-Banker master'!$J$2:$J$186,MATCH($A93,'E-Banker master'!$A$2:$A$186,0)),"")</f>
        <v>45351</v>
      </c>
      <c r="AE93" s="426">
        <f>IFERROR(INDEX('E-Banker master'!$K$2:$K$186,MATCH($A93,'E-Banker master'!$A$2:$A$186,0)),"")</f>
        <v>46811</v>
      </c>
      <c r="AF93">
        <f>IFERROR(INDEX('E-Banker master'!$L$2:$L$186,MATCH($A93,'E-Banker master'!$A$2:$A$186,0)),"")</f>
        <v>6</v>
      </c>
      <c r="AG93">
        <f>IFERROR(INDEX('E-Banker master'!$M$2:$M$186,MATCH($A93,'E-Banker master'!$A$2:$A$186,0)),"")</f>
        <v>0</v>
      </c>
      <c r="AH93" s="427">
        <f>IFERROR(INDEX('E-Banker master'!$N$2:$N$186,MATCH($A93,'E-Banker master'!$A$2:$A$186,0)),"")</f>
        <v>200000000</v>
      </c>
      <c r="AI93" s="427">
        <f>IFERROR(INDEX('E-Banker master'!$O$2:$O$186,MATCH($A93,'E-Banker master'!$A$2:$A$186,0)),"")</f>
        <v>8473384.4600000009</v>
      </c>
      <c r="AJ93" s="427">
        <f>IFERROR(INDEX('E-Banker master'!$P$2:$P$186,MATCH($A93,'E-Banker master'!$A$2:$A$186,0)),"")</f>
        <v>213772323.30000001</v>
      </c>
      <c r="AK93" s="427">
        <f t="shared" si="5"/>
        <v>-93155.773537456989</v>
      </c>
      <c r="AL93">
        <v>89</v>
      </c>
      <c r="AM93" t="str">
        <f>HYPERLINK("#'Amortisation and Repayments'!C4896","block 89")</f>
        <v>block 89</v>
      </c>
      <c r="AN93">
        <f>Mapping!X93</f>
        <v>0</v>
      </c>
      <c r="AO93" s="440">
        <f>'Loan Book'!AS96</f>
        <v>5900000</v>
      </c>
      <c r="AP93" s="440">
        <f>'Loan Book'!AT96</f>
        <v>5443974.4699999997</v>
      </c>
      <c r="AQ93" s="440"/>
      <c r="AR93" s="441">
        <f t="shared" si="7"/>
        <v>45351</v>
      </c>
      <c r="AS93" s="442" t="s">
        <v>977</v>
      </c>
      <c r="AT93" s="442" t="s">
        <v>978</v>
      </c>
      <c r="AU93" s="443">
        <f t="shared" si="6"/>
        <v>11343974.469999999</v>
      </c>
    </row>
    <row r="94" spans="1:47" x14ac:dyDescent="0.35">
      <c r="A94" t="str">
        <f>Mapping!J94</f>
        <v>000104460000092</v>
      </c>
      <c r="B94" t="str">
        <f>Mapping!K94</f>
        <v>High</v>
      </c>
      <c r="C94">
        <v>97</v>
      </c>
      <c r="D94" t="str">
        <f>'Loan Book'!E97</f>
        <v>FAVOA Innovation &amp; Investments Group</v>
      </c>
      <c r="E94" t="str">
        <f>'Loan Book'!F97</f>
        <v>Debt</v>
      </c>
      <c r="F94" s="426">
        <f>'Loan Book'!G97</f>
        <v>45376</v>
      </c>
      <c r="G94" s="426">
        <f>'Loan Book'!H97</f>
        <v>46112</v>
      </c>
      <c r="H94">
        <f>'Loan Book'!I97</f>
        <v>2</v>
      </c>
      <c r="I94" t="str">
        <f>'Loan Book'!J97</f>
        <v>3 (Cap+Int)</v>
      </c>
      <c r="J94">
        <f>IF('Loan Book'!K97="","",IF('Loan Book'!K97&lt;1,'Loan Book'!K97*100,'Loan Book'!K97))</f>
        <v>10</v>
      </c>
      <c r="K94" s="427">
        <f>'Loan Book'!L97</f>
        <v>30000000</v>
      </c>
      <c r="L94" s="427">
        <f>'Loan Book'!M97</f>
        <v>30000000</v>
      </c>
      <c r="M94" s="427">
        <f>'Loan Book'!N97</f>
        <v>0</v>
      </c>
      <c r="N94" s="427">
        <f>'Loan Book'!O97</f>
        <v>30000000</v>
      </c>
      <c r="O94" s="427">
        <f>'Loan Book'!P97</f>
        <v>1764940.4388223868</v>
      </c>
      <c r="P94" s="427">
        <f>'Loan Book'!Q97</f>
        <v>-4807649.2799999993</v>
      </c>
      <c r="Q94" s="427">
        <f>'Loan Book'!R97</f>
        <v>26957291.158822387</v>
      </c>
      <c r="R94" s="427">
        <f>'Loan Book'!S97</f>
        <v>1382410.9467529431</v>
      </c>
      <c r="S94" s="427">
        <f>'Loan Book'!T97</f>
        <v>230477.35376087995</v>
      </c>
      <c r="T94" s="427">
        <f>'Loan Book'!U97</f>
        <v>1612888.3005138231</v>
      </c>
      <c r="U94">
        <f>'Loan Book'!AC97</f>
        <v>0</v>
      </c>
      <c r="V94">
        <f>'Loan Book'!AE97</f>
        <v>0</v>
      </c>
      <c r="W94" t="str">
        <f>IFERROR(INDEX('E-Banker master'!$B$2:$B$186,MATCH($A94,'E-Banker master'!$A$2:$A$186,0)),"")</f>
        <v>FAVOA Innovation &amp; Investments Group</v>
      </c>
      <c r="X94">
        <f>IFERROR(INDEX('E-Banker master'!$C$2:$C$186,MATCH($A94,'E-Banker master'!$A$2:$A$186,0)),"")</f>
        <v>92</v>
      </c>
      <c r="Y94" t="str">
        <f>IFERROR(INDEX('E-Banker master'!$D$2:$D$186,MATCH($A94,'E-Banker master'!$A$2:$A$186,0)),"")</f>
        <v>1050202</v>
      </c>
      <c r="Z94" t="str">
        <f>IFERROR(INDEX('E-Banker master'!$E$2:$E$186,MATCH($A94,'E-Banker master'!$A$2:$A$186,0)),"")</f>
        <v>D</v>
      </c>
      <c r="AA94" t="str">
        <f>IFERROR(INDEX('E-Banker master'!$F$2:$F$186,MATCH($A94,'E-Banker master'!$A$2:$A$186,0)),"")</f>
        <v>S</v>
      </c>
      <c r="AB94">
        <f>IFERROR(INDEX('E-Banker master'!$G$2:$G$186,MATCH($A94,'E-Banker master'!$A$2:$A$186,0)),"")</f>
        <v>10</v>
      </c>
      <c r="AC94" s="427">
        <f>IFERROR(INDEX('E-Banker master'!$I$2:$I$186,MATCH($A94,'E-Banker master'!$A$2:$A$186,0)),"")</f>
        <v>30000000</v>
      </c>
      <c r="AD94" s="426">
        <f>IFERROR(INDEX('E-Banker master'!$J$2:$J$186,MATCH($A94,'E-Banker master'!$A$2:$A$186,0)),"")</f>
        <v>45376</v>
      </c>
      <c r="AE94" s="426">
        <f>IFERROR(INDEX('E-Banker master'!$K$2:$K$186,MATCH($A94,'E-Banker master'!$A$2:$A$186,0)),"")</f>
        <v>46105</v>
      </c>
      <c r="AF94">
        <f>IFERROR(INDEX('E-Banker master'!$L$2:$L$186,MATCH($A94,'E-Banker master'!$A$2:$A$186,0)),"")</f>
        <v>3</v>
      </c>
      <c r="AG94">
        <f>IFERROR(INDEX('E-Banker master'!$M$2:$M$186,MATCH($A94,'E-Banker master'!$A$2:$A$186,0)),"")</f>
        <v>3</v>
      </c>
      <c r="AH94" s="427">
        <f>IFERROR(INDEX('E-Banker master'!$N$2:$N$186,MATCH($A94,'E-Banker master'!$A$2:$A$186,0)),"")</f>
        <v>30000000</v>
      </c>
      <c r="AI94" s="427">
        <f>IFERROR(INDEX('E-Banker master'!$O$2:$O$186,MATCH($A94,'E-Banker master'!$A$2:$A$186,0)),"")</f>
        <v>1062589.8600000001</v>
      </c>
      <c r="AJ94" s="427">
        <f>IFERROR(INDEX('E-Banker master'!$P$2:$P$186,MATCH($A94,'E-Banker master'!$A$2:$A$186,0)),"")</f>
        <v>26961470.879999999</v>
      </c>
      <c r="AK94" s="427">
        <f t="shared" si="5"/>
        <v>-4179.7211776115</v>
      </c>
      <c r="AL94">
        <v>90</v>
      </c>
      <c r="AM94" t="str">
        <f>HYPERLINK("#'Amortisation and Repayments'!C4962","block 90")</f>
        <v>block 90</v>
      </c>
      <c r="AN94">
        <f>Mapping!X94</f>
        <v>0</v>
      </c>
      <c r="AO94" s="440">
        <f>'Loan Book'!AS97</f>
        <v>300000</v>
      </c>
      <c r="AP94" s="440">
        <f>'Loan Book'!AT97</f>
        <v>353500</v>
      </c>
      <c r="AQ94" s="440"/>
      <c r="AR94" s="441">
        <f t="shared" si="7"/>
        <v>45376</v>
      </c>
      <c r="AS94" s="442" t="s">
        <v>977</v>
      </c>
      <c r="AT94" s="442" t="s">
        <v>978</v>
      </c>
      <c r="AU94" s="443">
        <f t="shared" si="6"/>
        <v>653500</v>
      </c>
    </row>
    <row r="95" spans="1:47" x14ac:dyDescent="0.35">
      <c r="A95" t="str">
        <f>Mapping!J95</f>
        <v>000104460000093</v>
      </c>
      <c r="B95" t="str">
        <f>Mapping!K95</f>
        <v>High</v>
      </c>
      <c r="C95">
        <v>98</v>
      </c>
      <c r="D95" t="str">
        <f>'Loan Book'!E98</f>
        <v>Difference Construction</v>
      </c>
      <c r="E95" t="str">
        <f>'Loan Book'!F98</f>
        <v>Debt</v>
      </c>
      <c r="F95" s="426">
        <f>'Loan Book'!G98</f>
        <v>45377</v>
      </c>
      <c r="G95" s="426">
        <f>'Loan Book'!H98</f>
        <v>46477</v>
      </c>
      <c r="H95">
        <f>'Loan Book'!I98</f>
        <v>3</v>
      </c>
      <c r="I95" t="str">
        <f>'Loan Book'!J98</f>
        <v>6 ( Cap only)</v>
      </c>
      <c r="J95">
        <f>IF('Loan Book'!K98="","",IF('Loan Book'!K98&lt;1,'Loan Book'!K98*100,'Loan Book'!K98))</f>
        <v>10</v>
      </c>
      <c r="K95" s="427">
        <f>'Loan Book'!L98</f>
        <v>120000000</v>
      </c>
      <c r="L95" s="427">
        <f>'Loan Book'!M98</f>
        <v>120000000</v>
      </c>
      <c r="M95" s="427">
        <f>'Loan Book'!N98</f>
        <v>0</v>
      </c>
      <c r="N95" s="427">
        <f>'Loan Book'!O98</f>
        <v>120000000</v>
      </c>
      <c r="O95" s="427">
        <f>'Loan Book'!P98</f>
        <v>7280013.3721526749</v>
      </c>
      <c r="P95" s="427">
        <f>'Loan Book'!Q98</f>
        <v>-4000000</v>
      </c>
      <c r="Q95" s="427">
        <f>'Loan Book'!R98</f>
        <v>123280013.37215267</v>
      </c>
      <c r="R95" s="427">
        <f>'Loan Book'!S98</f>
        <v>772862.93421469349</v>
      </c>
      <c r="S95" s="427">
        <f>'Loan Book'!T98</f>
        <v>0</v>
      </c>
      <c r="T95" s="427">
        <f>'Loan Book'!U98</f>
        <v>772862.93421469349</v>
      </c>
      <c r="U95">
        <f>'Loan Book'!AC98</f>
        <v>0</v>
      </c>
      <c r="V95">
        <f>'Loan Book'!AE98</f>
        <v>0</v>
      </c>
      <c r="W95" t="str">
        <f>IFERROR(INDEX('E-Banker master'!$B$2:$B$186,MATCH($A95,'E-Banker master'!$A$2:$A$186,0)),"")</f>
        <v>Difference Construction</v>
      </c>
      <c r="X95">
        <f>IFERROR(INDEX('E-Banker master'!$C$2:$C$186,MATCH($A95,'E-Banker master'!$A$2:$A$186,0)),"")</f>
        <v>92</v>
      </c>
      <c r="Y95" t="str">
        <f>IFERROR(INDEX('E-Banker master'!$D$2:$D$186,MATCH($A95,'E-Banker master'!$A$2:$A$186,0)),"")</f>
        <v>1050202</v>
      </c>
      <c r="Z95" t="str">
        <f>IFERROR(INDEX('E-Banker master'!$E$2:$E$186,MATCH($A95,'E-Banker master'!$A$2:$A$186,0)),"")</f>
        <v>A</v>
      </c>
      <c r="AA95" t="str">
        <f>IFERROR(INDEX('E-Banker master'!$F$2:$F$186,MATCH($A95,'E-Banker master'!$A$2:$A$186,0)),"")</f>
        <v>S</v>
      </c>
      <c r="AB95">
        <f>IFERROR(INDEX('E-Banker master'!$G$2:$G$186,MATCH($A95,'E-Banker master'!$A$2:$A$186,0)),"")</f>
        <v>10</v>
      </c>
      <c r="AC95" s="427">
        <f>IFERROR(INDEX('E-Banker master'!$I$2:$I$186,MATCH($A95,'E-Banker master'!$A$2:$A$186,0)),"")</f>
        <v>120000000</v>
      </c>
      <c r="AD95" s="426">
        <f>IFERROR(INDEX('E-Banker master'!$J$2:$J$186,MATCH($A95,'E-Banker master'!$A$2:$A$186,0)),"")</f>
        <v>45377</v>
      </c>
      <c r="AE95" s="426">
        <f>IFERROR(INDEX('E-Banker master'!$K$2:$K$186,MATCH($A95,'E-Banker master'!$A$2:$A$186,0)),"")</f>
        <v>46471</v>
      </c>
      <c r="AF95">
        <f>IFERROR(INDEX('E-Banker master'!$L$2:$L$186,MATCH($A95,'E-Banker master'!$A$2:$A$186,0)),"")</f>
        <v>6</v>
      </c>
      <c r="AG95">
        <f>IFERROR(INDEX('E-Banker master'!$M$2:$M$186,MATCH($A95,'E-Banker master'!$A$2:$A$186,0)),"")</f>
        <v>0</v>
      </c>
      <c r="AH95" s="427">
        <f>IFERROR(INDEX('E-Banker master'!$N$2:$N$186,MATCH($A95,'E-Banker master'!$A$2:$A$186,0)),"")</f>
        <v>120000000</v>
      </c>
      <c r="AI95" s="427">
        <f>IFERROR(INDEX('E-Banker master'!$O$2:$O$186,MATCH($A95,'E-Banker master'!$A$2:$A$186,0)),"")</f>
        <v>4150318.9</v>
      </c>
      <c r="AJ95" s="427">
        <f>IFERROR(INDEX('E-Banker master'!$P$2:$P$186,MATCH($A95,'E-Banker master'!$A$2:$A$186,0)),"")</f>
        <v>123213189.98</v>
      </c>
      <c r="AK95" s="427">
        <f t="shared" si="5"/>
        <v>66823.392152667046</v>
      </c>
      <c r="AL95">
        <v>91</v>
      </c>
      <c r="AM95" t="str">
        <f>HYPERLINK("#'Amortisation and Repayments'!C5002","block 91")</f>
        <v>block 91</v>
      </c>
      <c r="AN95">
        <f>Mapping!X95</f>
        <v>0</v>
      </c>
      <c r="AO95" s="440">
        <f>'Loan Book'!AS98</f>
        <v>1200000</v>
      </c>
      <c r="AP95" s="440">
        <f>'Loan Book'!AT98</f>
        <v>1982500</v>
      </c>
      <c r="AQ95" s="440"/>
      <c r="AR95" s="441">
        <f t="shared" si="7"/>
        <v>45377</v>
      </c>
      <c r="AS95" s="442" t="s">
        <v>977</v>
      </c>
      <c r="AT95" s="442" t="s">
        <v>978</v>
      </c>
      <c r="AU95" s="443">
        <f t="shared" si="6"/>
        <v>3182500</v>
      </c>
    </row>
    <row r="96" spans="1:47" x14ac:dyDescent="0.35">
      <c r="A96" t="str">
        <f>Mapping!J96</f>
        <v>000104450000037</v>
      </c>
      <c r="B96" t="str">
        <f>Mapping!K96</f>
        <v>High</v>
      </c>
      <c r="C96">
        <v>99</v>
      </c>
      <c r="D96" t="str">
        <f>'Loan Book'!E99</f>
        <v>Favoured Farms</v>
      </c>
      <c r="E96" t="str">
        <f>'Loan Book'!F99</f>
        <v>Debt</v>
      </c>
      <c r="F96" s="426">
        <f>'Loan Book'!G99</f>
        <v>45407</v>
      </c>
      <c r="G96" s="426">
        <f>'Loan Book'!H99</f>
        <v>46142</v>
      </c>
      <c r="H96">
        <f>'Loan Book'!I99</f>
        <v>2</v>
      </c>
      <c r="I96" t="str">
        <f>'Loan Book'!J99</f>
        <v>3 (Cap+Int)</v>
      </c>
      <c r="J96">
        <f>IF('Loan Book'!K99="","",IF('Loan Book'!K99&lt;1,'Loan Book'!K99*100,'Loan Book'!K99))</f>
        <v>10</v>
      </c>
      <c r="K96" s="427">
        <f>'Loan Book'!L99</f>
        <v>30000000</v>
      </c>
      <c r="L96" s="427">
        <f>'Loan Book'!M99</f>
        <v>30000000</v>
      </c>
      <c r="M96" s="427">
        <f>'Loan Book'!N99</f>
        <v>0</v>
      </c>
      <c r="N96" s="427">
        <f>'Loan Book'!O99</f>
        <v>30000000</v>
      </c>
      <c r="O96" s="427">
        <f>'Loan Book'!P99</f>
        <v>1543910.0777786213</v>
      </c>
      <c r="P96" s="427">
        <f>'Loan Book'!Q99</f>
        <v>-4208000</v>
      </c>
      <c r="Q96" s="427">
        <f>'Loan Book'!R99</f>
        <v>27335910.077778623</v>
      </c>
      <c r="R96" s="427">
        <f>'Loan Book'!S99</f>
        <v>373500.76055191713</v>
      </c>
      <c r="S96" s="427">
        <f>'Loan Book'!T99</f>
        <v>234160.90058145762</v>
      </c>
      <c r="T96" s="427">
        <f>'Loan Book'!U99</f>
        <v>607661.66113337479</v>
      </c>
      <c r="U96">
        <f>'Loan Book'!AC99</f>
        <v>0</v>
      </c>
      <c r="V96">
        <f>'Loan Book'!AE99</f>
        <v>0</v>
      </c>
      <c r="W96" t="str">
        <f>IFERROR(INDEX('E-Banker master'!$B$2:$B$186,MATCH($A96,'E-Banker master'!$A$2:$A$186,0)),"")</f>
        <v>Favoured Farms</v>
      </c>
      <c r="X96">
        <f>IFERROR(INDEX('E-Banker master'!$C$2:$C$186,MATCH($A96,'E-Banker master'!$A$2:$A$186,0)),"")</f>
        <v>90</v>
      </c>
      <c r="Y96" t="str">
        <f>IFERROR(INDEX('E-Banker master'!$D$2:$D$186,MATCH($A96,'E-Banker master'!$A$2:$A$186,0)),"")</f>
        <v>1050201</v>
      </c>
      <c r="Z96" t="str">
        <f>IFERROR(INDEX('E-Banker master'!$E$2:$E$186,MATCH($A96,'E-Banker master'!$A$2:$A$186,0)),"")</f>
        <v>D</v>
      </c>
      <c r="AA96" t="str">
        <f>IFERROR(INDEX('E-Banker master'!$F$2:$F$186,MATCH($A96,'E-Banker master'!$A$2:$A$186,0)),"")</f>
        <v>S</v>
      </c>
      <c r="AB96">
        <f>IFERROR(INDEX('E-Banker master'!$G$2:$G$186,MATCH($A96,'E-Banker master'!$A$2:$A$186,0)),"")</f>
        <v>10</v>
      </c>
      <c r="AC96" s="427">
        <f>IFERROR(INDEX('E-Banker master'!$I$2:$I$186,MATCH($A96,'E-Banker master'!$A$2:$A$186,0)),"")</f>
        <v>30000000</v>
      </c>
      <c r="AD96" s="426">
        <f>IFERROR(INDEX('E-Banker master'!$J$2:$J$186,MATCH($A96,'E-Banker master'!$A$2:$A$186,0)),"")</f>
        <v>45407</v>
      </c>
      <c r="AE96" s="426">
        <f>IFERROR(INDEX('E-Banker master'!$K$2:$K$186,MATCH($A96,'E-Banker master'!$A$2:$A$186,0)),"")</f>
        <v>46142</v>
      </c>
      <c r="AF96">
        <f>IFERROR(INDEX('E-Banker master'!$L$2:$L$186,MATCH($A96,'E-Banker master'!$A$2:$A$186,0)),"")</f>
        <v>3</v>
      </c>
      <c r="AG96">
        <f>IFERROR(INDEX('E-Banker master'!$M$2:$M$186,MATCH($A96,'E-Banker master'!$A$2:$A$186,0)),"")</f>
        <v>3</v>
      </c>
      <c r="AH96" s="427">
        <f>IFERROR(INDEX('E-Banker master'!$N$2:$N$186,MATCH($A96,'E-Banker master'!$A$2:$A$186,0)),"")</f>
        <v>30000000</v>
      </c>
      <c r="AI96" s="427">
        <f>IFERROR(INDEX('E-Banker master'!$O$2:$O$186,MATCH($A96,'E-Banker master'!$A$2:$A$186,0)),"")</f>
        <v>807527.81</v>
      </c>
      <c r="AJ96" s="427">
        <f>IFERROR(INDEX('E-Banker master'!$P$2:$P$186,MATCH($A96,'E-Banker master'!$A$2:$A$186,0)),"")</f>
        <v>27353908.27</v>
      </c>
      <c r="AK96" s="427">
        <f t="shared" si="5"/>
        <v>-17998.192221377045</v>
      </c>
      <c r="AL96">
        <v>92</v>
      </c>
      <c r="AM96" t="str">
        <f>HYPERLINK("#'Amortisation and Repayments'!C5054","block 92")</f>
        <v>block 92</v>
      </c>
      <c r="AN96">
        <f>Mapping!X96</f>
        <v>0</v>
      </c>
      <c r="AO96" s="440">
        <f>'Loan Book'!AS99</f>
        <v>300000</v>
      </c>
      <c r="AP96" s="440">
        <f>'Loan Book'!AT99</f>
        <v>543500</v>
      </c>
      <c r="AQ96" s="440"/>
      <c r="AR96" s="441">
        <f t="shared" si="7"/>
        <v>45407</v>
      </c>
      <c r="AS96" s="442" t="s">
        <v>977</v>
      </c>
      <c r="AT96" s="442" t="s">
        <v>978</v>
      </c>
      <c r="AU96" s="443">
        <f t="shared" si="6"/>
        <v>843500</v>
      </c>
    </row>
    <row r="97" spans="1:47" x14ac:dyDescent="0.35">
      <c r="A97" t="str">
        <f>Mapping!J97</f>
        <v>000104450000095</v>
      </c>
      <c r="B97" t="str">
        <f>Mapping!K97</f>
        <v>High</v>
      </c>
      <c r="C97">
        <v>100</v>
      </c>
      <c r="D97" t="str">
        <f>'Loan Book'!E100</f>
        <v>Hortinet Foods Limited</v>
      </c>
      <c r="E97" t="str">
        <f>'Loan Book'!F100</f>
        <v>Debt</v>
      </c>
      <c r="F97" s="426">
        <f>'Loan Book'!G100</f>
        <v>45412</v>
      </c>
      <c r="G97" s="426">
        <f>'Loan Book'!H100</f>
        <v>46142</v>
      </c>
      <c r="H97">
        <f>'Loan Book'!I100</f>
        <v>2</v>
      </c>
      <c r="I97" t="str">
        <f>'Loan Book'!J100</f>
        <v>3 ( Cap only)</v>
      </c>
      <c r="J97">
        <f>IF('Loan Book'!K100="","",IF('Loan Book'!K100&lt;1,'Loan Book'!K100*100,'Loan Book'!K100))</f>
        <v>10</v>
      </c>
      <c r="K97" s="427">
        <f>'Loan Book'!L100</f>
        <v>50000000</v>
      </c>
      <c r="L97" s="427">
        <f>'Loan Book'!M100</f>
        <v>50000000</v>
      </c>
      <c r="M97" s="427">
        <f>'Loan Book'!N100</f>
        <v>0</v>
      </c>
      <c r="N97" s="427">
        <f>'Loan Book'!O100</f>
        <v>50000000</v>
      </c>
      <c r="O97" s="427">
        <f>'Loan Book'!P100</f>
        <v>2459022.5514334859</v>
      </c>
      <c r="P97" s="427">
        <f>'Loan Book'!Q100</f>
        <v>-9080000</v>
      </c>
      <c r="Q97" s="427">
        <f>'Loan Book'!R100</f>
        <v>43379022.551433489</v>
      </c>
      <c r="R97" s="427">
        <f>'Loan Book'!S100</f>
        <v>0</v>
      </c>
      <c r="S97" s="427">
        <f>'Loan Book'!T100</f>
        <v>0</v>
      </c>
      <c r="T97" s="427">
        <f>'Loan Book'!U100</f>
        <v>0</v>
      </c>
      <c r="U97">
        <f>'Loan Book'!AC100</f>
        <v>0</v>
      </c>
      <c r="V97">
        <f>'Loan Book'!AE100</f>
        <v>0</v>
      </c>
      <c r="W97" t="str">
        <f>IFERROR(INDEX('E-Banker master'!$B$2:$B$186,MATCH($A97,'E-Banker master'!$A$2:$A$186,0)),"")</f>
        <v>Hortinet Foods Limited</v>
      </c>
      <c r="X97">
        <f>IFERROR(INDEX('E-Banker master'!$C$2:$C$186,MATCH($A97,'E-Banker master'!$A$2:$A$186,0)),"")</f>
        <v>90</v>
      </c>
      <c r="Y97" t="str">
        <f>IFERROR(INDEX('E-Banker master'!$D$2:$D$186,MATCH($A97,'E-Banker master'!$A$2:$A$186,0)),"")</f>
        <v>1050201</v>
      </c>
      <c r="Z97" t="str">
        <f>IFERROR(INDEX('E-Banker master'!$E$2:$E$186,MATCH($A97,'E-Banker master'!$A$2:$A$186,0)),"")</f>
        <v>D</v>
      </c>
      <c r="AA97" t="str">
        <f>IFERROR(INDEX('E-Banker master'!$F$2:$F$186,MATCH($A97,'E-Banker master'!$A$2:$A$186,0)),"")</f>
        <v>S</v>
      </c>
      <c r="AB97">
        <f>IFERROR(INDEX('E-Banker master'!$G$2:$G$186,MATCH($A97,'E-Banker master'!$A$2:$A$186,0)),"")</f>
        <v>10</v>
      </c>
      <c r="AC97" s="427">
        <f>IFERROR(INDEX('E-Banker master'!$I$2:$I$186,MATCH($A97,'E-Banker master'!$A$2:$A$186,0)),"")</f>
        <v>50000000</v>
      </c>
      <c r="AD97" s="426">
        <f>IFERROR(INDEX('E-Banker master'!$J$2:$J$186,MATCH($A97,'E-Banker master'!$A$2:$A$186,0)),"")</f>
        <v>45412</v>
      </c>
      <c r="AE97" s="426">
        <f>IFERROR(INDEX('E-Banker master'!$K$2:$K$186,MATCH($A97,'E-Banker master'!$A$2:$A$186,0)),"")</f>
        <v>46141</v>
      </c>
      <c r="AF97">
        <f>IFERROR(INDEX('E-Banker master'!$L$2:$L$186,MATCH($A97,'E-Banker master'!$A$2:$A$186,0)),"")</f>
        <v>0</v>
      </c>
      <c r="AG97">
        <f>IFERROR(INDEX('E-Banker master'!$M$2:$M$186,MATCH($A97,'E-Banker master'!$A$2:$A$186,0)),"")</f>
        <v>0</v>
      </c>
      <c r="AH97" s="427">
        <f>IFERROR(INDEX('E-Banker master'!$N$2:$N$186,MATCH($A97,'E-Banker master'!$A$2:$A$186,0)),"")</f>
        <v>50000000</v>
      </c>
      <c r="AI97" s="427">
        <f>IFERROR(INDEX('E-Banker master'!$O$2:$O$186,MATCH($A97,'E-Banker master'!$A$2:$A$186,0)),"")</f>
        <v>1263888.8899999999</v>
      </c>
      <c r="AJ97" s="427">
        <f>IFERROR(INDEX('E-Banker master'!$P$2:$P$186,MATCH($A97,'E-Banker master'!$A$2:$A$186,0)),"")</f>
        <v>43437806.509999998</v>
      </c>
      <c r="AK97" s="427">
        <f t="shared" si="5"/>
        <v>-58783.958566509187</v>
      </c>
      <c r="AL97">
        <v>93</v>
      </c>
      <c r="AM97" t="str">
        <f>HYPERLINK("#'Amortisation and Repayments'!C5094","block 93")</f>
        <v>block 93</v>
      </c>
      <c r="AN97">
        <f>Mapping!X97</f>
        <v>0</v>
      </c>
      <c r="AO97" s="440">
        <f>'Loan Book'!AS100</f>
        <v>500000</v>
      </c>
      <c r="AP97" s="440">
        <f>'Loan Book'!AT100</f>
        <v>855500</v>
      </c>
      <c r="AQ97" s="440"/>
      <c r="AR97" s="441">
        <f t="shared" si="7"/>
        <v>45412</v>
      </c>
      <c r="AS97" s="442" t="s">
        <v>977</v>
      </c>
      <c r="AT97" s="442" t="s">
        <v>978</v>
      </c>
      <c r="AU97" s="443">
        <f t="shared" si="6"/>
        <v>1355500</v>
      </c>
    </row>
    <row r="98" spans="1:47" x14ac:dyDescent="0.35">
      <c r="A98" t="str">
        <f>Mapping!J98</f>
        <v>000104460000096</v>
      </c>
      <c r="B98" t="str">
        <f>Mapping!K98</f>
        <v>High</v>
      </c>
      <c r="C98">
        <v>101</v>
      </c>
      <c r="D98" t="str">
        <f>'Loan Book'!E101</f>
        <v>7 Arts Holdings Limited</v>
      </c>
      <c r="E98" t="str">
        <f>'Loan Book'!F101</f>
        <v>Debt</v>
      </c>
      <c r="F98" s="426">
        <f>'Loan Book'!G101</f>
        <v>45412</v>
      </c>
      <c r="G98" s="426">
        <f>'Loan Book'!H101</f>
        <v>47238</v>
      </c>
      <c r="H98">
        <f>'Loan Book'!I101</f>
        <v>5.0027397260273974</v>
      </c>
      <c r="I98" t="str">
        <f>'Loan Book'!J101</f>
        <v>6 ( Cap only)</v>
      </c>
      <c r="J98">
        <f>IF('Loan Book'!K101="","",IF('Loan Book'!K101&lt;1,'Loan Book'!K101*100,'Loan Book'!K101))</f>
        <v>10</v>
      </c>
      <c r="K98" s="427">
        <f>'Loan Book'!L101</f>
        <v>65000000</v>
      </c>
      <c r="L98" s="427">
        <f>'Loan Book'!M101</f>
        <v>65000000</v>
      </c>
      <c r="M98" s="427">
        <f>'Loan Book'!N101</f>
        <v>0</v>
      </c>
      <c r="N98" s="427">
        <f>'Loan Book'!O101</f>
        <v>65000000</v>
      </c>
      <c r="O98" s="427">
        <f>'Loan Book'!P101</f>
        <v>3268055.555555555</v>
      </c>
      <c r="P98" s="427">
        <f>'Loan Book'!Q101</f>
        <v>-2726388.9</v>
      </c>
      <c r="Q98" s="427">
        <f>'Loan Book'!R101</f>
        <v>65541666.655555554</v>
      </c>
      <c r="R98" s="427">
        <f>'Loan Book'!S101</f>
        <v>0</v>
      </c>
      <c r="S98" s="427">
        <f>'Loan Book'!T101</f>
        <v>1083333.3333333333</v>
      </c>
      <c r="T98" s="427">
        <f>'Loan Book'!U101</f>
        <v>1083333.3333333333</v>
      </c>
      <c r="U98">
        <f>'Loan Book'!AC101</f>
        <v>0</v>
      </c>
      <c r="V98">
        <f>'Loan Book'!AE101</f>
        <v>0</v>
      </c>
      <c r="W98" t="str">
        <f>IFERROR(INDEX('E-Banker master'!$B$2:$B$186,MATCH($A98,'E-Banker master'!$A$2:$A$186,0)),"")</f>
        <v>7 Arts Holdings Limited</v>
      </c>
      <c r="X98">
        <f>IFERROR(INDEX('E-Banker master'!$C$2:$C$186,MATCH($A98,'E-Banker master'!$A$2:$A$186,0)),"")</f>
        <v>92</v>
      </c>
      <c r="Y98" t="str">
        <f>IFERROR(INDEX('E-Banker master'!$D$2:$D$186,MATCH($A98,'E-Banker master'!$A$2:$A$186,0)),"")</f>
        <v>1050202</v>
      </c>
      <c r="Z98" t="str">
        <f>IFERROR(INDEX('E-Banker master'!$E$2:$E$186,MATCH($A98,'E-Banker master'!$A$2:$A$186,0)),"")</f>
        <v>A</v>
      </c>
      <c r="AA98" t="str">
        <f>IFERROR(INDEX('E-Banker master'!$F$2:$F$186,MATCH($A98,'E-Banker master'!$A$2:$A$186,0)),"")</f>
        <v>S</v>
      </c>
      <c r="AB98">
        <f>IFERROR(INDEX('E-Banker master'!$G$2:$G$186,MATCH($A98,'E-Banker master'!$A$2:$A$186,0)),"")</f>
        <v>10</v>
      </c>
      <c r="AC98" s="427">
        <f>IFERROR(INDEX('E-Banker master'!$I$2:$I$186,MATCH($A98,'E-Banker master'!$A$2:$A$186,0)),"")</f>
        <v>65000000</v>
      </c>
      <c r="AD98" s="426">
        <f>IFERROR(INDEX('E-Banker master'!$J$2:$J$186,MATCH($A98,'E-Banker master'!$A$2:$A$186,0)),"")</f>
        <v>45411</v>
      </c>
      <c r="AE98" s="426">
        <f>IFERROR(INDEX('E-Banker master'!$K$2:$K$186,MATCH($A98,'E-Banker master'!$A$2:$A$186,0)),"")</f>
        <v>47237</v>
      </c>
      <c r="AF98">
        <f>IFERROR(INDEX('E-Banker master'!$L$2:$L$186,MATCH($A98,'E-Banker master'!$A$2:$A$186,0)),"")</f>
        <v>0</v>
      </c>
      <c r="AG98">
        <f>IFERROR(INDEX('E-Banker master'!$M$2:$M$186,MATCH($A98,'E-Banker master'!$A$2:$A$186,0)),"")</f>
        <v>0</v>
      </c>
      <c r="AH98" s="427">
        <f>IFERROR(INDEX('E-Banker master'!$N$2:$N$186,MATCH($A98,'E-Banker master'!$A$2:$A$186,0)),"")</f>
        <v>65000000</v>
      </c>
      <c r="AI98" s="427">
        <f>IFERROR(INDEX('E-Banker master'!$O$2:$O$186,MATCH($A98,'E-Banker master'!$A$2:$A$186,0)),"")</f>
        <v>1643055.56</v>
      </c>
      <c r="AJ98" s="427">
        <f>IFERROR(INDEX('E-Banker master'!$P$2:$P$186,MATCH($A98,'E-Banker master'!$A$2:$A$186,0)),"")</f>
        <v>65552342.399999999</v>
      </c>
      <c r="AK98" s="427">
        <f t="shared" ref="AK98:AK110" si="8">IF(OR(Q98="",AJ98=""),"",Q98-AJ98)</f>
        <v>-10675.744444444776</v>
      </c>
      <c r="AL98">
        <v>94</v>
      </c>
      <c r="AM98" t="str">
        <f>HYPERLINK("#'Amortisation and Repayments'!C5132","block 94")</f>
        <v>block 94</v>
      </c>
      <c r="AN98">
        <f>Mapping!X98</f>
        <v>0</v>
      </c>
      <c r="AO98" s="440">
        <f>'Loan Book'!AS101</f>
        <v>1097500</v>
      </c>
      <c r="AP98" s="440">
        <f>'Loan Book'!AT101</f>
        <v>650000</v>
      </c>
      <c r="AQ98" s="440"/>
      <c r="AR98" s="441">
        <f t="shared" si="7"/>
        <v>45411</v>
      </c>
      <c r="AS98" s="442" t="s">
        <v>977</v>
      </c>
      <c r="AT98" s="442" t="s">
        <v>978</v>
      </c>
      <c r="AU98" s="443">
        <f t="shared" ref="AU98:AU112" si="9">IF(COUNT(AO98:AQ98)=0,"",SUM(AO98:AQ98))</f>
        <v>1747500</v>
      </c>
    </row>
    <row r="99" spans="1:47" x14ac:dyDescent="0.35">
      <c r="A99" t="str">
        <f>Mapping!J99</f>
        <v>000104430000062</v>
      </c>
      <c r="B99" t="str">
        <f>Mapping!K99</f>
        <v>High</v>
      </c>
      <c r="C99">
        <v>102</v>
      </c>
      <c r="D99" t="str">
        <f>'Loan Book'!E102</f>
        <v>Infracon Limited</v>
      </c>
      <c r="E99" t="str">
        <f>'Loan Book'!F102</f>
        <v>Debt</v>
      </c>
      <c r="F99" s="426">
        <f>'Loan Book'!G102</f>
        <v>45425</v>
      </c>
      <c r="G99" s="426">
        <f>'Loan Book'!H102</f>
        <v>47238</v>
      </c>
      <c r="H99">
        <f>'Loan Book'!I102</f>
        <v>6</v>
      </c>
      <c r="I99" t="str">
        <f>'Loan Book'!J102</f>
        <v>6 (Cap+Int)</v>
      </c>
      <c r="J99">
        <f>IF('Loan Book'!K102="","",IF('Loan Book'!K102&lt;1,'Loan Book'!K102*100,'Loan Book'!K102))</f>
        <v>32.9</v>
      </c>
      <c r="K99" s="427">
        <f>'Loan Book'!L102</f>
        <v>627746500</v>
      </c>
      <c r="L99" s="427">
        <f>'Loan Book'!M102</f>
        <v>627746500</v>
      </c>
      <c r="M99" s="427">
        <f>'Loan Book'!N102</f>
        <v>0</v>
      </c>
      <c r="N99" s="427">
        <f>'Loan Book'!O102</f>
        <v>627746500</v>
      </c>
      <c r="O99" s="427">
        <f>'Loan Book'!P102</f>
        <v>98723113.615475193</v>
      </c>
      <c r="P99" s="427">
        <f>'Loan Book'!Q102</f>
        <v>0</v>
      </c>
      <c r="Q99" s="427">
        <f>'Loan Book'!R102</f>
        <v>726469613.61547518</v>
      </c>
      <c r="R99" s="427">
        <f>'Loan Book'!S102</f>
        <v>0</v>
      </c>
      <c r="S99" s="427">
        <f>'Loan Book'!T102</f>
        <v>0</v>
      </c>
      <c r="T99" s="427">
        <f>'Loan Book'!U102</f>
        <v>0</v>
      </c>
      <c r="U99">
        <f>'Loan Book'!AC102</f>
        <v>0</v>
      </c>
      <c r="V99">
        <f>'Loan Book'!AE102</f>
        <v>0</v>
      </c>
      <c r="W99" t="str">
        <f>IFERROR(INDEX('E-Banker master'!$B$2:$B$186,MATCH($A99,'E-Banker master'!$A$2:$A$186,0)),"")</f>
        <v>Ifracon Limited</v>
      </c>
      <c r="X99">
        <f>IFERROR(INDEX('E-Banker master'!$C$2:$C$186,MATCH($A99,'E-Banker master'!$A$2:$A$186,0)),"")</f>
        <v>86</v>
      </c>
      <c r="Y99" t="str">
        <f>IFERROR(INDEX('E-Banker master'!$D$2:$D$186,MATCH($A99,'E-Banker master'!$A$2:$A$186,0)),"")</f>
        <v>1050102</v>
      </c>
      <c r="Z99" t="str">
        <f>IFERROR(INDEX('E-Banker master'!$E$2:$E$186,MATCH($A99,'E-Banker master'!$A$2:$A$186,0)),"")</f>
        <v>A</v>
      </c>
      <c r="AA99" t="str">
        <f>IFERROR(INDEX('E-Banker master'!$F$2:$F$186,MATCH($A99,'E-Banker master'!$A$2:$A$186,0)),"")</f>
        <v>M</v>
      </c>
      <c r="AB99">
        <f>IFERROR(INDEX('E-Banker master'!$G$2:$G$186,MATCH($A99,'E-Banker master'!$A$2:$A$186,0)),"")</f>
        <v>29.2</v>
      </c>
      <c r="AC99" s="427">
        <f>IFERROR(INDEX('E-Banker master'!$I$2:$I$186,MATCH($A99,'E-Banker master'!$A$2:$A$186,0)),"")</f>
        <v>627746500</v>
      </c>
      <c r="AD99" s="426">
        <f>IFERROR(INDEX('E-Banker master'!$J$2:$J$186,MATCH($A99,'E-Banker master'!$A$2:$A$186,0)),"")</f>
        <v>45425</v>
      </c>
      <c r="AE99" s="426">
        <f>IFERROR(INDEX('E-Banker master'!$K$2:$K$186,MATCH($A99,'E-Banker master'!$A$2:$A$186,0)),"")</f>
        <v>47238</v>
      </c>
      <c r="AF99">
        <f>IFERROR(INDEX('E-Banker master'!$L$2:$L$186,MATCH($A99,'E-Banker master'!$A$2:$A$186,0)),"")</f>
        <v>0</v>
      </c>
      <c r="AG99">
        <f>IFERROR(INDEX('E-Banker master'!$M$2:$M$186,MATCH($A99,'E-Banker master'!$A$2:$A$186,0)),"")</f>
        <v>0</v>
      </c>
      <c r="AH99" s="427">
        <f>IFERROR(INDEX('E-Banker master'!$N$2:$N$186,MATCH($A99,'E-Banker master'!$A$2:$A$186,0)),"")</f>
        <v>627746500</v>
      </c>
      <c r="AI99" s="427">
        <f>IFERROR(INDEX('E-Banker master'!$O$2:$O$186,MATCH($A99,'E-Banker master'!$A$2:$A$186,0)),"")</f>
        <v>41452059.159999996</v>
      </c>
      <c r="AJ99" s="427">
        <f>IFERROR(INDEX('E-Banker master'!$P$2:$P$186,MATCH($A99,'E-Banker master'!$A$2:$A$186,0)),"")</f>
        <v>726418591.95000005</v>
      </c>
      <c r="AK99" s="427">
        <f t="shared" si="8"/>
        <v>51021.665475130081</v>
      </c>
      <c r="AL99">
        <v>95</v>
      </c>
      <c r="AM99" t="str">
        <f>HYPERLINK("#'Amortisation and Repayments'!C5208","block 95")</f>
        <v>block 95</v>
      </c>
      <c r="AN99">
        <f>Mapping!X99</f>
        <v>0</v>
      </c>
      <c r="AO99" s="440">
        <f>'Loan Book'!AS102</f>
        <v>18000000</v>
      </c>
      <c r="AP99" s="440">
        <f>'Loan Book'!AT102</f>
        <v>7045000</v>
      </c>
      <c r="AQ99" s="440"/>
      <c r="AR99" s="441">
        <f t="shared" si="7"/>
        <v>45425</v>
      </c>
      <c r="AS99" s="442" t="s">
        <v>977</v>
      </c>
      <c r="AT99" s="442" t="s">
        <v>978</v>
      </c>
      <c r="AU99" s="443">
        <f t="shared" si="9"/>
        <v>25045000</v>
      </c>
    </row>
    <row r="100" spans="1:47" x14ac:dyDescent="0.35">
      <c r="A100" t="str">
        <f>Mapping!J100</f>
        <v>000104460000098</v>
      </c>
      <c r="B100" t="str">
        <f>Mapping!K100</f>
        <v>High</v>
      </c>
      <c r="C100">
        <v>103</v>
      </c>
      <c r="D100" t="str">
        <f>'Loan Book'!E103</f>
        <v>Infraworks Development Ltd</v>
      </c>
      <c r="E100" t="str">
        <f>'Loan Book'!F103</f>
        <v>Debt</v>
      </c>
      <c r="F100" s="426">
        <f>'Loan Book'!G103</f>
        <v>45441</v>
      </c>
      <c r="G100" s="426">
        <f>'Loan Book'!H103</f>
        <v>46904</v>
      </c>
      <c r="H100">
        <f>'Loan Book'!I103</f>
        <v>4</v>
      </c>
      <c r="I100" t="str">
        <f>'Loan Book'!J103</f>
        <v>6 ( Cap only)</v>
      </c>
      <c r="J100">
        <f>IF('Loan Book'!K103="","",IF('Loan Book'!K103&lt;1,'Loan Book'!K103*100,'Loan Book'!K103))</f>
        <v>10</v>
      </c>
      <c r="K100" s="427">
        <f>'Loan Book'!L103</f>
        <v>400000000</v>
      </c>
      <c r="L100" s="427">
        <f>'Loan Book'!M103</f>
        <v>400000000</v>
      </c>
      <c r="M100" s="427">
        <f>'Loan Book'!N103</f>
        <v>0</v>
      </c>
      <c r="N100" s="427">
        <f>'Loan Book'!O103</f>
        <v>400000000</v>
      </c>
      <c r="O100" s="427">
        <f>'Loan Book'!P103</f>
        <v>16888888.888888888</v>
      </c>
      <c r="P100" s="427">
        <f>'Loan Book'!Q103</f>
        <v>-13536796.540000001</v>
      </c>
      <c r="Q100" s="427">
        <f>'Loan Book'!R103</f>
        <v>403352092.34888887</v>
      </c>
      <c r="R100" s="427">
        <f>'Loan Book'!S103</f>
        <v>0</v>
      </c>
      <c r="S100" s="427">
        <f>'Loan Book'!T103</f>
        <v>3352092.3488888838</v>
      </c>
      <c r="T100" s="427">
        <f>'Loan Book'!U103</f>
        <v>3352092.3488888838</v>
      </c>
      <c r="U100">
        <f>'Loan Book'!AC103</f>
        <v>0</v>
      </c>
      <c r="V100">
        <f>'Loan Book'!AE103</f>
        <v>0</v>
      </c>
      <c r="W100" t="str">
        <f>IFERROR(INDEX('E-Banker master'!$B$2:$B$186,MATCH($A100,'E-Banker master'!$A$2:$A$186,0)),"")</f>
        <v>INFRAWORKS DEVELOPMENT LIMITED</v>
      </c>
      <c r="X100">
        <f>IFERROR(INDEX('E-Banker master'!$C$2:$C$186,MATCH($A100,'E-Banker master'!$A$2:$A$186,0)),"")</f>
        <v>92</v>
      </c>
      <c r="Y100" t="str">
        <f>IFERROR(INDEX('E-Banker master'!$D$2:$D$186,MATCH($A100,'E-Banker master'!$A$2:$A$186,0)),"")</f>
        <v>1050202</v>
      </c>
      <c r="Z100" t="str">
        <f>IFERROR(INDEX('E-Banker master'!$E$2:$E$186,MATCH($A100,'E-Banker master'!$A$2:$A$186,0)),"")</f>
        <v>A</v>
      </c>
      <c r="AA100" t="str">
        <f>IFERROR(INDEX('E-Banker master'!$F$2:$F$186,MATCH($A100,'E-Banker master'!$A$2:$A$186,0)),"")</f>
        <v>S</v>
      </c>
      <c r="AB100">
        <f>IFERROR(INDEX('E-Banker master'!$G$2:$G$186,MATCH($A100,'E-Banker master'!$A$2:$A$186,0)),"")</f>
        <v>10</v>
      </c>
      <c r="AC100" s="427">
        <f>IFERROR(INDEX('E-Banker master'!$I$2:$I$186,MATCH($A100,'E-Banker master'!$A$2:$A$186,0)),"")</f>
        <v>400000000</v>
      </c>
      <c r="AD100" s="426">
        <f>IFERROR(INDEX('E-Banker master'!$J$2:$J$186,MATCH($A100,'E-Banker master'!$A$2:$A$186,0)),"")</f>
        <v>45443</v>
      </c>
      <c r="AE100" s="426">
        <f>IFERROR(INDEX('E-Banker master'!$K$2:$K$186,MATCH($A100,'E-Banker master'!$A$2:$A$186,0)),"")</f>
        <v>46904</v>
      </c>
      <c r="AF100">
        <f>IFERROR(INDEX('E-Banker master'!$L$2:$L$186,MATCH($A100,'E-Banker master'!$A$2:$A$186,0)),"")</f>
        <v>6</v>
      </c>
      <c r="AG100">
        <f>IFERROR(INDEX('E-Banker master'!$M$2:$M$186,MATCH($A100,'E-Banker master'!$A$2:$A$186,0)),"")</f>
        <v>6</v>
      </c>
      <c r="AH100" s="427">
        <f>IFERROR(INDEX('E-Banker master'!$N$2:$N$186,MATCH($A100,'E-Banker master'!$A$2:$A$186,0)),"")</f>
        <v>400000000</v>
      </c>
      <c r="AI100" s="427">
        <f>IFERROR(INDEX('E-Banker master'!$O$2:$O$186,MATCH($A100,'E-Banker master'!$A$2:$A$186,0)),"")</f>
        <v>6888888.8899999997</v>
      </c>
      <c r="AJ100" s="427">
        <f>IFERROR(INDEX('E-Banker master'!$P$2:$P$186,MATCH($A100,'E-Banker master'!$A$2:$A$186,0)),"")</f>
        <v>403516713.47000003</v>
      </c>
      <c r="AK100" s="427">
        <f t="shared" si="8"/>
        <v>-164621.12111115456</v>
      </c>
      <c r="AL100">
        <v>96</v>
      </c>
      <c r="AM100" t="str">
        <f>HYPERLINK("#'Amortisation and Repayments'!C5284","block 96")</f>
        <v>block 96</v>
      </c>
      <c r="AN100">
        <f>Mapping!X100</f>
        <v>0</v>
      </c>
      <c r="AO100" s="440">
        <f>'Loan Book'!AS103</f>
        <v>16000000</v>
      </c>
      <c r="AP100" s="440">
        <f>'Loan Book'!AT103</f>
        <v>8900000</v>
      </c>
      <c r="AQ100" s="440"/>
      <c r="AR100" s="441">
        <f t="shared" si="7"/>
        <v>45443</v>
      </c>
      <c r="AS100" s="442" t="s">
        <v>977</v>
      </c>
      <c r="AT100" s="442" t="s">
        <v>978</v>
      </c>
      <c r="AU100" s="443">
        <f t="shared" si="9"/>
        <v>24900000</v>
      </c>
    </row>
    <row r="101" spans="1:47" x14ac:dyDescent="0.35">
      <c r="A101" t="str">
        <f>Mapping!J101</f>
        <v>000104460000099</v>
      </c>
      <c r="B101" t="str">
        <f>Mapping!K101</f>
        <v>High</v>
      </c>
      <c r="C101">
        <v>104</v>
      </c>
      <c r="D101" t="str">
        <f>'Loan Book'!E104</f>
        <v>Bio-Energy Resources Limited</v>
      </c>
      <c r="E101" t="str">
        <f>'Loan Book'!F104</f>
        <v>Debt</v>
      </c>
      <c r="F101" s="426">
        <f>'Loan Book'!G104</f>
        <v>45448</v>
      </c>
      <c r="G101" s="426">
        <f>'Loan Book'!H104</f>
        <v>46904</v>
      </c>
      <c r="H101">
        <f>'Loan Book'!I104</f>
        <v>6</v>
      </c>
      <c r="I101" t="str">
        <f>'Loan Book'!J104</f>
        <v>6 (Cap+Int)</v>
      </c>
      <c r="J101">
        <f>IF('Loan Book'!K104="","",IF('Loan Book'!K104&lt;1,'Loan Book'!K104*100,'Loan Book'!K104))</f>
        <v>10</v>
      </c>
      <c r="K101" s="427">
        <f>'Loan Book'!L104</f>
        <v>108431000</v>
      </c>
      <c r="L101" s="427">
        <f>'Loan Book'!M104</f>
        <v>108431000</v>
      </c>
      <c r="M101" s="427">
        <f>'Loan Book'!N104</f>
        <v>0</v>
      </c>
      <c r="N101" s="427">
        <f>'Loan Book'!O104</f>
        <v>108431000</v>
      </c>
      <c r="O101" s="427">
        <f>'Loan Book'!P104</f>
        <v>4469342.4211624525</v>
      </c>
      <c r="P101" s="427">
        <f>'Loan Book'!Q104</f>
        <v>0</v>
      </c>
      <c r="Q101" s="427">
        <f>'Loan Book'!R104</f>
        <v>112900342.42116246</v>
      </c>
      <c r="R101" s="427">
        <f>'Loan Book'!S104</f>
        <v>0</v>
      </c>
      <c r="S101" s="427">
        <f>'Loan Book'!T104</f>
        <v>0</v>
      </c>
      <c r="T101" s="427">
        <f>'Loan Book'!U104</f>
        <v>0</v>
      </c>
      <c r="U101">
        <f>'Loan Book'!AC104</f>
        <v>0</v>
      </c>
      <c r="V101">
        <f>'Loan Book'!AE104</f>
        <v>0</v>
      </c>
      <c r="W101" t="str">
        <f>IFERROR(INDEX('E-Banker master'!$B$2:$B$186,MATCH($A101,'E-Banker master'!$A$2:$A$186,0)),"")</f>
        <v>BIO ENERGY RESOURCES LIMITED</v>
      </c>
      <c r="X101">
        <f>IFERROR(INDEX('E-Banker master'!$C$2:$C$186,MATCH($A101,'E-Banker master'!$A$2:$A$186,0)),"")</f>
        <v>92</v>
      </c>
      <c r="Y101" t="str">
        <f>IFERROR(INDEX('E-Banker master'!$D$2:$D$186,MATCH($A101,'E-Banker master'!$A$2:$A$186,0)),"")</f>
        <v>1050202</v>
      </c>
      <c r="Z101" t="str">
        <f>IFERROR(INDEX('E-Banker master'!$E$2:$E$186,MATCH($A101,'E-Banker master'!$A$2:$A$186,0)),"")</f>
        <v>D</v>
      </c>
      <c r="AA101" t="str">
        <f>IFERROR(INDEX('E-Banker master'!$F$2:$F$186,MATCH($A101,'E-Banker master'!$A$2:$A$186,0)),"")</f>
        <v>S</v>
      </c>
      <c r="AB101">
        <f>IFERROR(INDEX('E-Banker master'!$G$2:$G$186,MATCH($A101,'E-Banker master'!$A$2:$A$186,0)),"")</f>
        <v>10</v>
      </c>
      <c r="AC101" s="427">
        <f>IFERROR(INDEX('E-Banker master'!$I$2:$I$186,MATCH($A101,'E-Banker master'!$A$2:$A$186,0)),"")</f>
        <v>108431000</v>
      </c>
      <c r="AD101" s="426">
        <f>IFERROR(INDEX('E-Banker master'!$J$2:$J$186,MATCH($A101,'E-Banker master'!$A$2:$A$186,0)),"")</f>
        <v>45448</v>
      </c>
      <c r="AE101" s="426">
        <f>IFERROR(INDEX('E-Banker master'!$K$2:$K$186,MATCH($A101,'E-Banker master'!$A$2:$A$186,0)),"")</f>
        <v>46909</v>
      </c>
      <c r="AF101">
        <f>IFERROR(INDEX('E-Banker master'!$L$2:$L$186,MATCH($A101,'E-Banker master'!$A$2:$A$186,0)),"")</f>
        <v>0</v>
      </c>
      <c r="AG101">
        <f>IFERROR(INDEX('E-Banker master'!$M$2:$M$186,MATCH($A101,'E-Banker master'!$A$2:$A$186,0)),"")</f>
        <v>0</v>
      </c>
      <c r="AH101" s="427">
        <f>IFERROR(INDEX('E-Banker master'!$N$2:$N$186,MATCH($A101,'E-Banker master'!$A$2:$A$186,0)),"")</f>
        <v>108431000</v>
      </c>
      <c r="AI101" s="427">
        <f>IFERROR(INDEX('E-Banker master'!$O$2:$O$186,MATCH($A101,'E-Banker master'!$A$2:$A$186,0)),"")</f>
        <v>1693230.38</v>
      </c>
      <c r="AJ101" s="427">
        <f>IFERROR(INDEX('E-Banker master'!$P$2:$P$186,MATCH($A101,'E-Banker master'!$A$2:$A$186,0)),"")</f>
        <v>112923348.17</v>
      </c>
      <c r="AK101" s="427">
        <f t="shared" si="8"/>
        <v>-23005.748837545514</v>
      </c>
      <c r="AL101">
        <v>97</v>
      </c>
      <c r="AM101" t="str">
        <f>HYPERLINK("#'Amortisation and Repayments'!C5347","block 97")</f>
        <v>block 97</v>
      </c>
      <c r="AN101">
        <f>Mapping!X101</f>
        <v>0</v>
      </c>
      <c r="AO101" s="440">
        <f>'Loan Book'!AS104</f>
        <v>1050000</v>
      </c>
      <c r="AP101" s="440">
        <f>'Loan Book'!AT104</f>
        <v>2381000</v>
      </c>
      <c r="AQ101" s="440"/>
      <c r="AR101" s="441">
        <f t="shared" si="7"/>
        <v>45448</v>
      </c>
      <c r="AS101" s="442" t="s">
        <v>977</v>
      </c>
      <c r="AT101" s="442" t="s">
        <v>978</v>
      </c>
      <c r="AU101" s="443">
        <f t="shared" si="9"/>
        <v>3431000</v>
      </c>
    </row>
    <row r="102" spans="1:47" x14ac:dyDescent="0.35">
      <c r="A102" t="str">
        <f>Mapping!J102</f>
        <v>000104420000063</v>
      </c>
      <c r="B102" t="str">
        <f>Mapping!K102</f>
        <v>High</v>
      </c>
      <c r="C102">
        <v>105</v>
      </c>
      <c r="D102" t="str">
        <f>'Loan Book'!E105</f>
        <v>Hortinet Foods Ltd MAIIC</v>
      </c>
      <c r="E102" t="str">
        <f>'Loan Book'!F105</f>
        <v>Debt</v>
      </c>
      <c r="F102" s="426">
        <f>'Loan Book'!G105</f>
        <v>45497</v>
      </c>
      <c r="G102" s="426">
        <f>'Loan Book'!H105</f>
        <v>46934</v>
      </c>
      <c r="H102">
        <f>'Loan Book'!I105</f>
        <v>4</v>
      </c>
      <c r="I102" t="str">
        <f>'Loan Book'!J105</f>
        <v>4 (Cap+Int)</v>
      </c>
      <c r="J102">
        <f>IF('Loan Book'!K105="","",IF('Loan Book'!K105&lt;1,'Loan Book'!K105*100,'Loan Book'!K105))</f>
        <v>10</v>
      </c>
      <c r="K102" s="427">
        <f>'Loan Book'!L105</f>
        <v>150000000</v>
      </c>
      <c r="L102" s="427">
        <f>'Loan Book'!M105</f>
        <v>150000000</v>
      </c>
      <c r="M102" s="427">
        <f>'Loan Book'!N105</f>
        <v>0</v>
      </c>
      <c r="N102" s="427">
        <f>'Loan Book'!O105</f>
        <v>150000000</v>
      </c>
      <c r="O102" s="427">
        <f>'Loan Book'!P105</f>
        <v>13762541.970117187</v>
      </c>
      <c r="P102" s="427">
        <f>'Loan Book'!Q105</f>
        <v>0</v>
      </c>
      <c r="Q102" s="427">
        <f>'Loan Book'!R105</f>
        <v>163762541.97011718</v>
      </c>
      <c r="R102" s="427">
        <f>'Loan Book'!S105</f>
        <v>0</v>
      </c>
      <c r="S102" s="427">
        <f>'Loan Book'!T105</f>
        <v>0</v>
      </c>
      <c r="T102" s="427">
        <f>'Loan Book'!U105</f>
        <v>0</v>
      </c>
      <c r="U102">
        <f>'Loan Book'!AC105</f>
        <v>0</v>
      </c>
      <c r="V102">
        <f>'Loan Book'!AE105</f>
        <v>0</v>
      </c>
      <c r="W102" t="str">
        <f>IFERROR(INDEX('E-Banker master'!$B$2:$B$186,MATCH($A102,'E-Banker master'!$A$2:$A$186,0)),"")</f>
        <v>HORTINET FOODS LTD</v>
      </c>
      <c r="X102">
        <f>IFERROR(INDEX('E-Banker master'!$C$2:$C$186,MATCH($A102,'E-Banker master'!$A$2:$A$186,0)),"")</f>
        <v>84</v>
      </c>
      <c r="Y102" t="str">
        <f>IFERROR(INDEX('E-Banker master'!$D$2:$D$186,MATCH($A102,'E-Banker master'!$A$2:$A$186,0)),"")</f>
        <v>1050101</v>
      </c>
      <c r="Z102" t="str">
        <f>IFERROR(INDEX('E-Banker master'!$E$2:$E$186,MATCH($A102,'E-Banker master'!$A$2:$A$186,0)),"")</f>
        <v>D</v>
      </c>
      <c r="AA102" t="str">
        <f>IFERROR(INDEX('E-Banker master'!$F$2:$F$186,MATCH($A102,'E-Banker master'!$A$2:$A$186,0)),"")</f>
        <v>P</v>
      </c>
      <c r="AB102">
        <f>IFERROR(INDEX('E-Banker master'!$G$2:$G$186,MATCH($A102,'E-Banker master'!$A$2:$A$186,0)),"")</f>
        <v>33.299999999999997</v>
      </c>
      <c r="AC102" s="427">
        <f>IFERROR(INDEX('E-Banker master'!$I$2:$I$186,MATCH($A102,'E-Banker master'!$A$2:$A$186,0)),"")</f>
        <v>150000000</v>
      </c>
      <c r="AD102" s="426">
        <f>IFERROR(INDEX('E-Banker master'!$J$2:$J$186,MATCH($A102,'E-Banker master'!$A$2:$A$186,0)),"")</f>
        <v>45489</v>
      </c>
      <c r="AE102" s="426">
        <f>IFERROR(INDEX('E-Banker master'!$K$2:$K$186,MATCH($A102,'E-Banker master'!$A$2:$A$186,0)),"")</f>
        <v>46950</v>
      </c>
      <c r="AF102">
        <f>IFERROR(INDEX('E-Banker master'!$L$2:$L$186,MATCH($A102,'E-Banker master'!$A$2:$A$186,0)),"")</f>
        <v>0</v>
      </c>
      <c r="AG102">
        <f>IFERROR(INDEX('E-Banker master'!$M$2:$M$186,MATCH($A102,'E-Banker master'!$A$2:$A$186,0)),"")</f>
        <v>0</v>
      </c>
      <c r="AH102" s="427">
        <f>IFERROR(INDEX('E-Banker master'!$N$2:$N$186,MATCH($A102,'E-Banker master'!$A$2:$A$186,0)),"")</f>
        <v>150000000</v>
      </c>
      <c r="AI102" s="427">
        <f>IFERROR(INDEX('E-Banker master'!$O$2:$O$186,MATCH($A102,'E-Banker master'!$A$2:$A$186,0)),"")</f>
        <v>1692093.19</v>
      </c>
      <c r="AJ102" s="427">
        <f>IFERROR(INDEX('E-Banker master'!$P$2:$P$186,MATCH($A102,'E-Banker master'!$A$2:$A$186,0)),"")</f>
        <v>164662573.22999999</v>
      </c>
      <c r="AK102" s="427">
        <f t="shared" si="8"/>
        <v>-900031.25988280773</v>
      </c>
      <c r="AL102">
        <v>98</v>
      </c>
      <c r="AM102" t="str">
        <f>HYPERLINK("#'Amortisation and Repayments'!C5414","block 98")</f>
        <v>block 98</v>
      </c>
      <c r="AN102">
        <f>Mapping!X102</f>
        <v>0</v>
      </c>
      <c r="AO102" s="440">
        <f>'Loan Book'!AS105</f>
        <v>4500000</v>
      </c>
      <c r="AP102" s="440">
        <f>'Loan Book'!AT105</f>
        <v>855500</v>
      </c>
      <c r="AQ102" s="440"/>
      <c r="AR102" s="441">
        <f t="shared" si="7"/>
        <v>45489</v>
      </c>
      <c r="AS102" s="442" t="s">
        <v>977</v>
      </c>
      <c r="AT102" s="442" t="s">
        <v>978</v>
      </c>
      <c r="AU102" s="443">
        <f t="shared" si="9"/>
        <v>5355500</v>
      </c>
    </row>
    <row r="103" spans="1:47" x14ac:dyDescent="0.35">
      <c r="A103" t="str">
        <f>Mapping!J103</f>
        <v>000104460000104</v>
      </c>
      <c r="B103" t="str">
        <f>Mapping!K103</f>
        <v>High</v>
      </c>
      <c r="C103">
        <v>106</v>
      </c>
      <c r="D103" t="str">
        <f>'Loan Book'!E106</f>
        <v>Chimwemwe Mafeni Transport</v>
      </c>
      <c r="E103" t="str">
        <f>'Loan Book'!F106</f>
        <v>Debt</v>
      </c>
      <c r="F103" s="426">
        <f>'Loan Book'!G106</f>
        <v>45567</v>
      </c>
      <c r="G103" s="426">
        <f>'Loan Book'!H106</f>
        <v>47299</v>
      </c>
      <c r="H103">
        <f>'Loan Book'!I106</f>
        <v>5</v>
      </c>
      <c r="I103" t="str">
        <f>'Loan Book'!J106</f>
        <v>12 (Cap+Int)</v>
      </c>
      <c r="J103">
        <f>IF('Loan Book'!K106="","",IF('Loan Book'!K106&lt;1,'Loan Book'!K106*100,'Loan Book'!K106))</f>
        <v>10</v>
      </c>
      <c r="K103" s="427">
        <f>'Loan Book'!L106</f>
        <v>200000000</v>
      </c>
      <c r="L103" s="427">
        <f>'Loan Book'!M106</f>
        <v>200000000</v>
      </c>
      <c r="M103" s="427">
        <f>'Loan Book'!N106</f>
        <v>0</v>
      </c>
      <c r="N103" s="427">
        <f>'Loan Book'!O106</f>
        <v>200000000</v>
      </c>
      <c r="O103" s="427">
        <f>'Loan Book'!P106</f>
        <v>1666666.6666666667</v>
      </c>
      <c r="P103" s="427">
        <f>'Loan Book'!Q106</f>
        <v>0</v>
      </c>
      <c r="Q103" s="427">
        <f>'Loan Book'!R106</f>
        <v>201666666.66666666</v>
      </c>
      <c r="R103" s="427">
        <f>'Loan Book'!S106</f>
        <v>0</v>
      </c>
      <c r="S103" s="427">
        <f>'Loan Book'!T106</f>
        <v>0</v>
      </c>
      <c r="T103" s="427">
        <f>'Loan Book'!U106</f>
        <v>0</v>
      </c>
      <c r="U103">
        <f>'Loan Book'!AC106</f>
        <v>0</v>
      </c>
      <c r="V103">
        <f>'Loan Book'!AE106</f>
        <v>0</v>
      </c>
      <c r="W103" t="str">
        <f>IFERROR(INDEX('E-Banker master'!$B$2:$B$186,MATCH($A103,'E-Banker master'!$A$2:$A$186,0)),"")</f>
        <v>CHimwemwe mafeni transport</v>
      </c>
      <c r="X103">
        <f>IFERROR(INDEX('E-Banker master'!$C$2:$C$186,MATCH($A103,'E-Banker master'!$A$2:$A$186,0)),"")</f>
        <v>92</v>
      </c>
      <c r="Y103" t="str">
        <f>IFERROR(INDEX('E-Banker master'!$D$2:$D$186,MATCH($A103,'E-Banker master'!$A$2:$A$186,0)),"")</f>
        <v>1050202</v>
      </c>
      <c r="Z103" t="str">
        <f>IFERROR(INDEX('E-Banker master'!$E$2:$E$186,MATCH($A103,'E-Banker master'!$A$2:$A$186,0)),"")</f>
        <v>A</v>
      </c>
      <c r="AA103" t="str">
        <f>IFERROR(INDEX('E-Banker master'!$F$2:$F$186,MATCH($A103,'E-Banker master'!$A$2:$A$186,0)),"")</f>
        <v>S</v>
      </c>
      <c r="AB103">
        <f>IFERROR(INDEX('E-Banker master'!$G$2:$G$186,MATCH($A103,'E-Banker master'!$A$2:$A$186,0)),"")</f>
        <v>10</v>
      </c>
      <c r="AC103" s="427">
        <f>IFERROR(INDEX('E-Banker master'!$I$2:$I$186,MATCH($A103,'E-Banker master'!$A$2:$A$186,0)),"")</f>
        <v>425000000</v>
      </c>
      <c r="AD103" s="426">
        <f>IFERROR(INDEX('E-Banker master'!$J$2:$J$186,MATCH($A103,'E-Banker master'!$A$2:$A$186,0)),"")</f>
        <v>45594</v>
      </c>
      <c r="AE103" s="426">
        <f>IFERROR(INDEX('E-Banker master'!$K$2:$K$186,MATCH($A103,'E-Banker master'!$A$2:$A$186,0)),"")</f>
        <v>47420</v>
      </c>
      <c r="AF103">
        <f>IFERROR(INDEX('E-Banker master'!$L$2:$L$186,MATCH($A103,'E-Banker master'!$A$2:$A$186,0)),"")</f>
        <v>12</v>
      </c>
      <c r="AG103">
        <f>IFERROR(INDEX('E-Banker master'!$M$2:$M$186,MATCH($A103,'E-Banker master'!$A$2:$A$186,0)),"")</f>
        <v>0</v>
      </c>
      <c r="AH103" s="427">
        <f>IFERROR(INDEX('E-Banker master'!$N$2:$N$186,MATCH($A103,'E-Banker master'!$A$2:$A$186,0)),"")</f>
        <v>0</v>
      </c>
      <c r="AI103" s="427">
        <f>IFERROR(INDEX('E-Banker master'!$O$2:$O$186,MATCH($A103,'E-Banker master'!$A$2:$A$186,0)),"")</f>
        <v>0</v>
      </c>
      <c r="AJ103" s="427">
        <f>IFERROR(INDEX('E-Banker master'!$P$2:$P$186,MATCH($A103,'E-Banker master'!$A$2:$A$186,0)),"")</f>
        <v>200235616.44</v>
      </c>
      <c r="AK103" s="427">
        <f t="shared" si="8"/>
        <v>1431050.2266666591</v>
      </c>
      <c r="AL103">
        <v>99</v>
      </c>
      <c r="AM103" t="str">
        <f>HYPERLINK("#'Amortisation and Repayments'!C5477","block 99")</f>
        <v>block 99</v>
      </c>
      <c r="AN103">
        <f>Mapping!X103</f>
        <v>0</v>
      </c>
      <c r="AO103" s="440">
        <f>'Loan Book'!AS106</f>
        <v>4250000</v>
      </c>
      <c r="AP103" s="440">
        <f>'Loan Book'!AT106</f>
        <v>0</v>
      </c>
      <c r="AQ103" s="440"/>
      <c r="AR103" s="441">
        <f t="shared" si="7"/>
        <v>45594</v>
      </c>
      <c r="AS103" s="442" t="s">
        <v>977</v>
      </c>
      <c r="AT103" s="442" t="s">
        <v>978</v>
      </c>
      <c r="AU103" s="443">
        <f t="shared" si="9"/>
        <v>4250000</v>
      </c>
    </row>
    <row r="104" spans="1:47" x14ac:dyDescent="0.35">
      <c r="A104" t="str">
        <f>Mapping!J104</f>
        <v>000104430000064</v>
      </c>
      <c r="B104" t="str">
        <f>Mapping!K104</f>
        <v>High</v>
      </c>
      <c r="C104">
        <v>107</v>
      </c>
      <c r="D104" t="str">
        <f>'Loan Book'!E107</f>
        <v>Agwenda Investment Limited</v>
      </c>
      <c r="E104" t="str">
        <f>'Loan Book'!F107</f>
        <v>Debt</v>
      </c>
      <c r="F104" s="426">
        <f>'Loan Book'!G107</f>
        <v>45587</v>
      </c>
      <c r="G104" s="426">
        <f>'Loan Book'!H107</f>
        <v>46326</v>
      </c>
      <c r="H104">
        <f>'Loan Book'!I107</f>
        <v>2</v>
      </c>
      <c r="I104" t="str">
        <f>'Loan Book'!J107</f>
        <v>3 (Cap+Int)</v>
      </c>
      <c r="J104">
        <f>IF('Loan Book'!K107="","",IF('Loan Book'!K107&lt;1,'Loan Book'!K107*100,'Loan Book'!K107))</f>
        <v>33</v>
      </c>
      <c r="K104" s="427">
        <f>'Loan Book'!L107</f>
        <v>50000000</v>
      </c>
      <c r="L104" s="427">
        <f>'Loan Book'!M107</f>
        <v>21295000</v>
      </c>
      <c r="M104" s="427">
        <f>'Loan Book'!N107</f>
        <v>28705000</v>
      </c>
      <c r="N104" s="427">
        <f>'Loan Book'!O107</f>
        <v>21295000</v>
      </c>
      <c r="O104" s="427">
        <f>'Loan Book'!P107</f>
        <v>195204.16666666666</v>
      </c>
      <c r="P104" s="427">
        <f>'Loan Book'!Q107</f>
        <v>0</v>
      </c>
      <c r="Q104" s="427">
        <f>'Loan Book'!R107</f>
        <v>21490204.166666668</v>
      </c>
      <c r="R104" s="427">
        <f>'Loan Book'!S107</f>
        <v>0</v>
      </c>
      <c r="S104" s="427">
        <f>'Loan Book'!T107</f>
        <v>0</v>
      </c>
      <c r="T104" s="427">
        <f>'Loan Book'!U107</f>
        <v>0</v>
      </c>
      <c r="U104">
        <f>'Loan Book'!AC107</f>
        <v>0</v>
      </c>
      <c r="V104">
        <f>'Loan Book'!AE107</f>
        <v>0</v>
      </c>
      <c r="W104" t="str">
        <f>IFERROR(INDEX('E-Banker master'!$B$2:$B$186,MATCH($A104,'E-Banker master'!$A$2:$A$186,0)),"")</f>
        <v xml:space="preserve">agwenda investments limited </v>
      </c>
      <c r="X104">
        <f>IFERROR(INDEX('E-Banker master'!$C$2:$C$186,MATCH($A104,'E-Banker master'!$A$2:$A$186,0)),"")</f>
        <v>86</v>
      </c>
      <c r="Y104" t="str">
        <f>IFERROR(INDEX('E-Banker master'!$D$2:$D$186,MATCH($A104,'E-Banker master'!$A$2:$A$186,0)),"")</f>
        <v>1050102</v>
      </c>
      <c r="Z104" t="str">
        <f>IFERROR(INDEX('E-Banker master'!$E$2:$E$186,MATCH($A104,'E-Banker master'!$A$2:$A$186,0)),"")</f>
        <v>A</v>
      </c>
      <c r="AA104" t="str">
        <f>IFERROR(INDEX('E-Banker master'!$F$2:$F$186,MATCH($A104,'E-Banker master'!$A$2:$A$186,0)),"")</f>
        <v>P</v>
      </c>
      <c r="AB104">
        <f>IFERROR(INDEX('E-Banker master'!$G$2:$G$186,MATCH($A104,'E-Banker master'!$A$2:$A$186,0)),"")</f>
        <v>28.9</v>
      </c>
      <c r="AC104" s="427">
        <f>IFERROR(INDEX('E-Banker master'!$I$2:$I$186,MATCH($A104,'E-Banker master'!$A$2:$A$186,0)),"")</f>
        <v>50000000</v>
      </c>
      <c r="AD104" s="426">
        <f>IFERROR(INDEX('E-Banker master'!$J$2:$J$186,MATCH($A104,'E-Banker master'!$A$2:$A$186,0)),"")</f>
        <v>45587</v>
      </c>
      <c r="AE104" s="426">
        <f>IFERROR(INDEX('E-Banker master'!$K$2:$K$186,MATCH($A104,'E-Banker master'!$A$2:$A$186,0)),"")</f>
        <v>46326</v>
      </c>
      <c r="AF104">
        <f>IFERROR(INDEX('E-Banker master'!$L$2:$L$186,MATCH($A104,'E-Banker master'!$A$2:$A$186,0)),"")</f>
        <v>4</v>
      </c>
      <c r="AG104">
        <f>IFERROR(INDEX('E-Banker master'!$M$2:$M$186,MATCH($A104,'E-Banker master'!$A$2:$A$186,0)),"")</f>
        <v>0</v>
      </c>
      <c r="AH104" s="427">
        <f>IFERROR(INDEX('E-Banker master'!$N$2:$N$186,MATCH($A104,'E-Banker master'!$A$2:$A$186,0)),"")</f>
        <v>0</v>
      </c>
      <c r="AI104" s="427">
        <f>IFERROR(INDEX('E-Banker master'!$O$2:$O$186,MATCH($A104,'E-Banker master'!$A$2:$A$186,0)),"")</f>
        <v>0</v>
      </c>
      <c r="AJ104" s="427">
        <f>IFERROR(INDEX('E-Banker master'!$P$2:$P$186,MATCH($A104,'E-Banker master'!$A$2:$A$186,0)),"")</f>
        <v>21295000</v>
      </c>
      <c r="AK104" s="427">
        <f t="shared" si="8"/>
        <v>195204.16666666791</v>
      </c>
      <c r="AL104">
        <v>100</v>
      </c>
      <c r="AM104" t="str">
        <f>HYPERLINK("#'Amortisation and Repayments'!C5553","block 100")</f>
        <v>block 100</v>
      </c>
      <c r="AN104">
        <f>Mapping!X104</f>
        <v>0</v>
      </c>
      <c r="AO104" s="440">
        <f>'Loan Book'!AS107</f>
        <v>1500000</v>
      </c>
      <c r="AP104" s="440">
        <f>'Loan Book'!AT107</f>
        <v>1205000</v>
      </c>
      <c r="AQ104" s="440"/>
      <c r="AR104" s="441">
        <f t="shared" si="7"/>
        <v>45587</v>
      </c>
      <c r="AS104" s="442" t="s">
        <v>977</v>
      </c>
      <c r="AT104" s="442" t="s">
        <v>978</v>
      </c>
      <c r="AU104" s="443">
        <f t="shared" si="9"/>
        <v>2705000</v>
      </c>
    </row>
    <row r="105" spans="1:47" x14ac:dyDescent="0.35">
      <c r="A105">
        <f>Mapping!J105</f>
        <v>0</v>
      </c>
      <c r="B105" t="str">
        <f>Mapping!K105</f>
        <v>Not matched</v>
      </c>
      <c r="C105">
        <v>111</v>
      </c>
      <c r="D105" t="str">
        <f>'Loan Book'!E111</f>
        <v>MMC Limited</v>
      </c>
      <c r="E105" t="str">
        <f>'Loan Book'!F111</f>
        <v>Equity</v>
      </c>
      <c r="F105" s="426">
        <f>'Loan Book'!G111</f>
        <v>44918</v>
      </c>
      <c r="G105" s="426">
        <f>'Loan Book'!H111</f>
        <v>0</v>
      </c>
      <c r="H105">
        <f>'Loan Book'!I111</f>
        <v>0</v>
      </c>
      <c r="I105">
        <f>'Loan Book'!J111</f>
        <v>0</v>
      </c>
      <c r="J105" t="str">
        <f>IF('Loan Book'!K111="","",IF('Loan Book'!K111&lt;1,'Loan Book'!K111*100,'Loan Book'!K111))</f>
        <v/>
      </c>
      <c r="K105" s="427">
        <f>'Loan Book'!L111</f>
        <v>819476000</v>
      </c>
      <c r="L105" s="427">
        <f>'Loan Book'!M111</f>
        <v>819476000</v>
      </c>
      <c r="M105" s="427">
        <f>'Loan Book'!N111</f>
        <v>0</v>
      </c>
      <c r="N105" s="427">
        <f>'Loan Book'!O111</f>
        <v>819476000</v>
      </c>
      <c r="O105" s="427">
        <f>'Loan Book'!P111</f>
        <v>0</v>
      </c>
      <c r="P105" s="427">
        <f>'Loan Book'!Q111</f>
        <v>0</v>
      </c>
      <c r="Q105" s="427">
        <f>'Loan Book'!R111</f>
        <v>819476000</v>
      </c>
      <c r="R105" s="427">
        <f>'Loan Book'!S111</f>
        <v>0</v>
      </c>
      <c r="S105" s="427">
        <f>'Loan Book'!T111</f>
        <v>0</v>
      </c>
      <c r="T105" s="427">
        <f>'Loan Book'!U111</f>
        <v>0</v>
      </c>
      <c r="U105">
        <f>'Loan Book'!AC111</f>
        <v>0</v>
      </c>
      <c r="V105">
        <f>'Loan Book'!AE111</f>
        <v>0</v>
      </c>
      <c r="W105" t="str">
        <f>IFERROR(INDEX('E-Banker master'!$B$2:$B$186,MATCH($A105,'E-Banker master'!$A$2:$A$186,0)),"")</f>
        <v/>
      </c>
      <c r="X105" t="str">
        <f>IFERROR(INDEX('E-Banker master'!$C$2:$C$186,MATCH($A105,'E-Banker master'!$A$2:$A$186,0)),"")</f>
        <v/>
      </c>
      <c r="Y105" t="str">
        <f>IFERROR(INDEX('E-Banker master'!$D$2:$D$186,MATCH($A105,'E-Banker master'!$A$2:$A$186,0)),"")</f>
        <v/>
      </c>
      <c r="Z105" t="str">
        <f>IFERROR(INDEX('E-Banker master'!$E$2:$E$186,MATCH($A105,'E-Banker master'!$A$2:$A$186,0)),"")</f>
        <v/>
      </c>
      <c r="AA105" t="str">
        <f>IFERROR(INDEX('E-Banker master'!$F$2:$F$186,MATCH($A105,'E-Banker master'!$A$2:$A$186,0)),"")</f>
        <v/>
      </c>
      <c r="AB105" t="str">
        <f>IFERROR(INDEX('E-Banker master'!$G$2:$G$186,MATCH($A105,'E-Banker master'!$A$2:$A$186,0)),"")</f>
        <v/>
      </c>
      <c r="AC105" s="427" t="str">
        <f>IFERROR(INDEX('E-Banker master'!$I$2:$I$186,MATCH($A105,'E-Banker master'!$A$2:$A$186,0)),"")</f>
        <v/>
      </c>
      <c r="AD105" s="426" t="str">
        <f>IFERROR(INDEX('E-Banker master'!$J$2:$J$186,MATCH($A105,'E-Banker master'!$A$2:$A$186,0)),"")</f>
        <v/>
      </c>
      <c r="AE105" s="426" t="str">
        <f>IFERROR(INDEX('E-Banker master'!$K$2:$K$186,MATCH($A105,'E-Banker master'!$A$2:$A$186,0)),"")</f>
        <v/>
      </c>
      <c r="AF105" t="str">
        <f>IFERROR(INDEX('E-Banker master'!$L$2:$L$186,MATCH($A105,'E-Banker master'!$A$2:$A$186,0)),"")</f>
        <v/>
      </c>
      <c r="AG105" t="str">
        <f>IFERROR(INDEX('E-Banker master'!$M$2:$M$186,MATCH($A105,'E-Banker master'!$A$2:$A$186,0)),"")</f>
        <v/>
      </c>
      <c r="AH105" s="427" t="str">
        <f>IFERROR(INDEX('E-Banker master'!$N$2:$N$186,MATCH($A105,'E-Banker master'!$A$2:$A$186,0)),"")</f>
        <v/>
      </c>
      <c r="AI105" s="427" t="str">
        <f>IFERROR(INDEX('E-Banker master'!$O$2:$O$186,MATCH($A105,'E-Banker master'!$A$2:$A$186,0)),"")</f>
        <v/>
      </c>
      <c r="AJ105" s="427" t="str">
        <f>IFERROR(INDEX('E-Banker master'!$P$2:$P$186,MATCH($A105,'E-Banker master'!$A$2:$A$186,0)),"")</f>
        <v/>
      </c>
      <c r="AK105" s="427" t="str">
        <f t="shared" si="8"/>
        <v/>
      </c>
      <c r="AN105">
        <f>Mapping!X105</f>
        <v>0</v>
      </c>
      <c r="AO105" s="440"/>
      <c r="AP105" s="440"/>
      <c r="AQ105" s="440"/>
      <c r="AR105" s="441"/>
      <c r="AS105" s="442"/>
      <c r="AT105" s="442"/>
      <c r="AU105" s="443" t="str">
        <f t="shared" si="9"/>
        <v/>
      </c>
    </row>
    <row r="106" spans="1:47" x14ac:dyDescent="0.35">
      <c r="A106">
        <f>Mapping!J106</f>
        <v>0</v>
      </c>
      <c r="B106" t="str">
        <f>Mapping!K106</f>
        <v>Not matched</v>
      </c>
      <c r="C106">
        <v>112</v>
      </c>
      <c r="D106" t="str">
        <f>'Loan Book'!E112</f>
        <v>Wi Jays Enterprises</v>
      </c>
      <c r="E106" t="str">
        <f>'Loan Book'!F112</f>
        <v>Equity</v>
      </c>
      <c r="F106" s="426">
        <f>'Loan Book'!G112</f>
        <v>44918</v>
      </c>
      <c r="G106" s="426">
        <f>'Loan Book'!H112</f>
        <v>0</v>
      </c>
      <c r="H106">
        <f>'Loan Book'!I112</f>
        <v>0</v>
      </c>
      <c r="I106">
        <f>'Loan Book'!J112</f>
        <v>0</v>
      </c>
      <c r="J106" t="str">
        <f>IF('Loan Book'!K112="","",IF('Loan Book'!K112&lt;1,'Loan Book'!K112*100,'Loan Book'!K112))</f>
        <v/>
      </c>
      <c r="K106" s="427">
        <f>'Loan Book'!L112</f>
        <v>177939650</v>
      </c>
      <c r="L106" s="427">
        <f>'Loan Book'!M112</f>
        <v>177939650</v>
      </c>
      <c r="M106" s="427">
        <f>'Loan Book'!N112</f>
        <v>0</v>
      </c>
      <c r="N106" s="427">
        <f>'Loan Book'!O112</f>
        <v>177939650</v>
      </c>
      <c r="O106" s="427">
        <f>'Loan Book'!P112</f>
        <v>32126085</v>
      </c>
      <c r="P106" s="427">
        <f>'Loan Book'!Q112</f>
        <v>0</v>
      </c>
      <c r="Q106" s="427">
        <f>'Loan Book'!R112</f>
        <v>210065735</v>
      </c>
      <c r="R106" s="427">
        <f>'Loan Book'!S112</f>
        <v>0</v>
      </c>
      <c r="S106" s="427">
        <f>'Loan Book'!T112</f>
        <v>0</v>
      </c>
      <c r="T106" s="427">
        <f>'Loan Book'!U112</f>
        <v>0</v>
      </c>
      <c r="U106">
        <f>'Loan Book'!AC112</f>
        <v>0</v>
      </c>
      <c r="V106">
        <f>'Loan Book'!AE112</f>
        <v>0</v>
      </c>
      <c r="W106" t="str">
        <f>IFERROR(INDEX('E-Banker master'!$B$2:$B$186,MATCH($A106,'E-Banker master'!$A$2:$A$186,0)),"")</f>
        <v/>
      </c>
      <c r="X106" t="str">
        <f>IFERROR(INDEX('E-Banker master'!$C$2:$C$186,MATCH($A106,'E-Banker master'!$A$2:$A$186,0)),"")</f>
        <v/>
      </c>
      <c r="Y106" t="str">
        <f>IFERROR(INDEX('E-Banker master'!$D$2:$D$186,MATCH($A106,'E-Banker master'!$A$2:$A$186,0)),"")</f>
        <v/>
      </c>
      <c r="Z106" t="str">
        <f>IFERROR(INDEX('E-Banker master'!$E$2:$E$186,MATCH($A106,'E-Banker master'!$A$2:$A$186,0)),"")</f>
        <v/>
      </c>
      <c r="AA106" t="str">
        <f>IFERROR(INDEX('E-Banker master'!$F$2:$F$186,MATCH($A106,'E-Banker master'!$A$2:$A$186,0)),"")</f>
        <v/>
      </c>
      <c r="AB106" t="str">
        <f>IFERROR(INDEX('E-Banker master'!$G$2:$G$186,MATCH($A106,'E-Banker master'!$A$2:$A$186,0)),"")</f>
        <v/>
      </c>
      <c r="AC106" s="427" t="str">
        <f>IFERROR(INDEX('E-Banker master'!$I$2:$I$186,MATCH($A106,'E-Banker master'!$A$2:$A$186,0)),"")</f>
        <v/>
      </c>
      <c r="AD106" s="426" t="str">
        <f>IFERROR(INDEX('E-Banker master'!$J$2:$J$186,MATCH($A106,'E-Banker master'!$A$2:$A$186,0)),"")</f>
        <v/>
      </c>
      <c r="AE106" s="426" t="str">
        <f>IFERROR(INDEX('E-Banker master'!$K$2:$K$186,MATCH($A106,'E-Banker master'!$A$2:$A$186,0)),"")</f>
        <v/>
      </c>
      <c r="AF106" t="str">
        <f>IFERROR(INDEX('E-Banker master'!$L$2:$L$186,MATCH($A106,'E-Banker master'!$A$2:$A$186,0)),"")</f>
        <v/>
      </c>
      <c r="AG106" t="str">
        <f>IFERROR(INDEX('E-Banker master'!$M$2:$M$186,MATCH($A106,'E-Banker master'!$A$2:$A$186,0)),"")</f>
        <v/>
      </c>
      <c r="AH106" s="427" t="str">
        <f>IFERROR(INDEX('E-Banker master'!$N$2:$N$186,MATCH($A106,'E-Banker master'!$A$2:$A$186,0)),"")</f>
        <v/>
      </c>
      <c r="AI106" s="427" t="str">
        <f>IFERROR(INDEX('E-Banker master'!$O$2:$O$186,MATCH($A106,'E-Banker master'!$A$2:$A$186,0)),"")</f>
        <v/>
      </c>
      <c r="AJ106" s="427" t="str">
        <f>IFERROR(INDEX('E-Banker master'!$P$2:$P$186,MATCH($A106,'E-Banker master'!$A$2:$A$186,0)),"")</f>
        <v/>
      </c>
      <c r="AK106" s="427" t="str">
        <f t="shared" si="8"/>
        <v/>
      </c>
      <c r="AN106">
        <f>Mapping!X106</f>
        <v>0</v>
      </c>
      <c r="AO106" s="440"/>
      <c r="AP106" s="440"/>
      <c r="AQ106" s="440"/>
      <c r="AR106" s="441"/>
      <c r="AS106" s="442"/>
      <c r="AT106" s="442"/>
      <c r="AU106" s="443" t="str">
        <f t="shared" si="9"/>
        <v/>
      </c>
    </row>
    <row r="107" spans="1:47" x14ac:dyDescent="0.35">
      <c r="A107">
        <f>Mapping!J107</f>
        <v>0</v>
      </c>
      <c r="B107" t="str">
        <f>Mapping!K107</f>
        <v>Not matched</v>
      </c>
      <c r="C107">
        <v>113</v>
      </c>
      <c r="D107" t="str">
        <f>'Loan Book'!E113</f>
        <v>Good Hope</v>
      </c>
      <c r="E107" t="str">
        <f>'Loan Book'!F113</f>
        <v>Equity</v>
      </c>
      <c r="F107" s="426">
        <f>'Loan Book'!G113</f>
        <v>45016</v>
      </c>
      <c r="G107" s="426">
        <f>'Loan Book'!H113</f>
        <v>0</v>
      </c>
      <c r="H107">
        <f>'Loan Book'!I113</f>
        <v>0</v>
      </c>
      <c r="I107">
        <f>'Loan Book'!J113</f>
        <v>0</v>
      </c>
      <c r="J107" t="str">
        <f>IF('Loan Book'!K113="","",IF('Loan Book'!K113&lt;1,'Loan Book'!K113*100,'Loan Book'!K113))</f>
        <v/>
      </c>
      <c r="K107" s="427">
        <f>'Loan Book'!L113</f>
        <v>1500000000</v>
      </c>
      <c r="L107" s="427">
        <f>'Loan Book'!M113</f>
        <v>1500000000</v>
      </c>
      <c r="M107" s="427">
        <f>'Loan Book'!N113</f>
        <v>0</v>
      </c>
      <c r="N107" s="427">
        <f>'Loan Book'!O113</f>
        <v>1500000000</v>
      </c>
      <c r="O107" s="427">
        <f>'Loan Book'!P113</f>
        <v>0</v>
      </c>
      <c r="P107" s="427">
        <f>'Loan Book'!Q113</f>
        <v>-124375000</v>
      </c>
      <c r="Q107" s="427">
        <f>'Loan Book'!R113</f>
        <v>1375625000</v>
      </c>
      <c r="R107" s="427">
        <f>'Loan Book'!S113</f>
        <v>0</v>
      </c>
      <c r="S107" s="427">
        <f>'Loan Book'!T113</f>
        <v>0</v>
      </c>
      <c r="T107" s="427">
        <f>'Loan Book'!U113</f>
        <v>0</v>
      </c>
      <c r="U107">
        <f>'Loan Book'!AC113</f>
        <v>0</v>
      </c>
      <c r="V107">
        <f>'Loan Book'!AE113</f>
        <v>0</v>
      </c>
      <c r="W107" t="str">
        <f>IFERROR(INDEX('E-Banker master'!$B$2:$B$186,MATCH($A107,'E-Banker master'!$A$2:$A$186,0)),"")</f>
        <v/>
      </c>
      <c r="X107" t="str">
        <f>IFERROR(INDEX('E-Banker master'!$C$2:$C$186,MATCH($A107,'E-Banker master'!$A$2:$A$186,0)),"")</f>
        <v/>
      </c>
      <c r="Y107" t="str">
        <f>IFERROR(INDEX('E-Banker master'!$D$2:$D$186,MATCH($A107,'E-Banker master'!$A$2:$A$186,0)),"")</f>
        <v/>
      </c>
      <c r="Z107" t="str">
        <f>IFERROR(INDEX('E-Banker master'!$E$2:$E$186,MATCH($A107,'E-Banker master'!$A$2:$A$186,0)),"")</f>
        <v/>
      </c>
      <c r="AA107" t="str">
        <f>IFERROR(INDEX('E-Banker master'!$F$2:$F$186,MATCH($A107,'E-Banker master'!$A$2:$A$186,0)),"")</f>
        <v/>
      </c>
      <c r="AB107" t="str">
        <f>IFERROR(INDEX('E-Banker master'!$G$2:$G$186,MATCH($A107,'E-Banker master'!$A$2:$A$186,0)),"")</f>
        <v/>
      </c>
      <c r="AC107" s="427" t="str">
        <f>IFERROR(INDEX('E-Banker master'!$I$2:$I$186,MATCH($A107,'E-Banker master'!$A$2:$A$186,0)),"")</f>
        <v/>
      </c>
      <c r="AD107" s="426" t="str">
        <f>IFERROR(INDEX('E-Banker master'!$J$2:$J$186,MATCH($A107,'E-Banker master'!$A$2:$A$186,0)),"")</f>
        <v/>
      </c>
      <c r="AE107" s="426" t="str">
        <f>IFERROR(INDEX('E-Banker master'!$K$2:$K$186,MATCH($A107,'E-Banker master'!$A$2:$A$186,0)),"")</f>
        <v/>
      </c>
      <c r="AF107" t="str">
        <f>IFERROR(INDEX('E-Banker master'!$L$2:$L$186,MATCH($A107,'E-Banker master'!$A$2:$A$186,0)),"")</f>
        <v/>
      </c>
      <c r="AG107" t="str">
        <f>IFERROR(INDEX('E-Banker master'!$M$2:$M$186,MATCH($A107,'E-Banker master'!$A$2:$A$186,0)),"")</f>
        <v/>
      </c>
      <c r="AH107" s="427" t="str">
        <f>IFERROR(INDEX('E-Banker master'!$N$2:$N$186,MATCH($A107,'E-Banker master'!$A$2:$A$186,0)),"")</f>
        <v/>
      </c>
      <c r="AI107" s="427" t="str">
        <f>IFERROR(INDEX('E-Banker master'!$O$2:$O$186,MATCH($A107,'E-Banker master'!$A$2:$A$186,0)),"")</f>
        <v/>
      </c>
      <c r="AJ107" s="427" t="str">
        <f>IFERROR(INDEX('E-Banker master'!$P$2:$P$186,MATCH($A107,'E-Banker master'!$A$2:$A$186,0)),"")</f>
        <v/>
      </c>
      <c r="AK107" s="427" t="str">
        <f t="shared" si="8"/>
        <v/>
      </c>
      <c r="AN107">
        <f>Mapping!X107</f>
        <v>0</v>
      </c>
      <c r="AO107" s="440"/>
      <c r="AP107" s="440"/>
      <c r="AQ107" s="440"/>
      <c r="AR107" s="441"/>
      <c r="AS107" s="442"/>
      <c r="AT107" s="442"/>
      <c r="AU107" s="443" t="str">
        <f t="shared" si="9"/>
        <v/>
      </c>
    </row>
    <row r="108" spans="1:47" x14ac:dyDescent="0.35">
      <c r="A108" t="str">
        <f>Mapping!J108</f>
        <v>000104470000004</v>
      </c>
      <c r="B108" t="str">
        <f>Mapping!K108</f>
        <v>High</v>
      </c>
      <c r="C108">
        <v>114</v>
      </c>
      <c r="D108" t="str">
        <f>'Loan Book'!E114</f>
        <v>NASCOMEX Limited</v>
      </c>
      <c r="E108" t="str">
        <f>'Loan Book'!F114</f>
        <v>Equity</v>
      </c>
      <c r="F108" s="426">
        <f>'Loan Book'!G114</f>
        <v>45443</v>
      </c>
      <c r="G108" s="426">
        <f>'Loan Book'!H114</f>
        <v>0</v>
      </c>
      <c r="H108">
        <f>'Loan Book'!I114</f>
        <v>0</v>
      </c>
      <c r="I108">
        <f>'Loan Book'!J114</f>
        <v>0</v>
      </c>
      <c r="J108" t="str">
        <f>IF('Loan Book'!K114="","",IF('Loan Book'!K114&lt;1,'Loan Book'!K114*100,'Loan Book'!K114))</f>
        <v/>
      </c>
      <c r="K108" s="427">
        <f>'Loan Book'!L114</f>
        <v>2500000000</v>
      </c>
      <c r="L108" s="427">
        <f>'Loan Book'!M114</f>
        <v>2500000000</v>
      </c>
      <c r="M108" s="427">
        <f>'Loan Book'!N114</f>
        <v>0</v>
      </c>
      <c r="N108" s="427">
        <f>'Loan Book'!O114</f>
        <v>2500000000</v>
      </c>
      <c r="O108" s="427">
        <f>'Loan Book'!P114</f>
        <v>0</v>
      </c>
      <c r="P108" s="427">
        <f>'Loan Book'!Q114</f>
        <v>0</v>
      </c>
      <c r="Q108" s="427">
        <f>'Loan Book'!R114</f>
        <v>2500000000</v>
      </c>
      <c r="R108" s="427">
        <f>'Loan Book'!S114</f>
        <v>0</v>
      </c>
      <c r="S108" s="427">
        <f>'Loan Book'!T114</f>
        <v>0</v>
      </c>
      <c r="T108" s="427">
        <f>'Loan Book'!U114</f>
        <v>0</v>
      </c>
      <c r="U108">
        <f>'Loan Book'!AC114</f>
        <v>0</v>
      </c>
      <c r="V108">
        <f>'Loan Book'!AE114</f>
        <v>0</v>
      </c>
      <c r="W108" t="str">
        <f>IFERROR(INDEX('E-Banker master'!$B$2:$B$186,MATCH($A108,'E-Banker master'!$A$2:$A$186,0)),"")</f>
        <v>NASCOMEX Limited</v>
      </c>
      <c r="X108">
        <f>IFERROR(INDEX('E-Banker master'!$C$2:$C$186,MATCH($A108,'E-Banker master'!$A$2:$A$186,0)),"")</f>
        <v>94</v>
      </c>
      <c r="Y108" t="str">
        <f>IFERROR(INDEX('E-Banker master'!$D$2:$D$186,MATCH($A108,'E-Banker master'!$A$2:$A$186,0)),"")</f>
        <v>3065</v>
      </c>
      <c r="Z108" t="str">
        <f>IFERROR(INDEX('E-Banker master'!$E$2:$E$186,MATCH($A108,'E-Banker master'!$A$2:$A$186,0)),"")</f>
        <v>A</v>
      </c>
      <c r="AA108" t="str">
        <f>IFERROR(INDEX('E-Banker master'!$F$2:$F$186,MATCH($A108,'E-Banker master'!$A$2:$A$186,0)),"")</f>
        <v>S</v>
      </c>
      <c r="AB108">
        <f>IFERROR(INDEX('E-Banker master'!$G$2:$G$186,MATCH($A108,'E-Banker master'!$A$2:$A$186,0)),"")</f>
        <v>19</v>
      </c>
      <c r="AC108" s="427">
        <f>IFERROR(INDEX('E-Banker master'!$I$2:$I$186,MATCH($A108,'E-Banker master'!$A$2:$A$186,0)),"")</f>
        <v>2500000000</v>
      </c>
      <c r="AD108" s="426">
        <f>IFERROR(INDEX('E-Banker master'!$J$2:$J$186,MATCH($A108,'E-Banker master'!$A$2:$A$186,0)),"")</f>
        <v>45376</v>
      </c>
      <c r="AE108" s="426">
        <f>IFERROR(INDEX('E-Banker master'!$K$2:$K$186,MATCH($A108,'E-Banker master'!$A$2:$A$186,0)),"")</f>
        <v>49027</v>
      </c>
      <c r="AF108">
        <f>IFERROR(INDEX('E-Banker master'!$L$2:$L$186,MATCH($A108,'E-Banker master'!$A$2:$A$186,0)),"")</f>
        <v>0</v>
      </c>
      <c r="AG108">
        <f>IFERROR(INDEX('E-Banker master'!$M$2:$M$186,MATCH($A108,'E-Banker master'!$A$2:$A$186,0)),"")</f>
        <v>0</v>
      </c>
      <c r="AH108" s="427">
        <f>IFERROR(INDEX('E-Banker master'!$N$2:$N$186,MATCH($A108,'E-Banker master'!$A$2:$A$186,0)),"")</f>
        <v>0</v>
      </c>
      <c r="AI108" s="427">
        <f>IFERROR(INDEX('E-Banker master'!$O$2:$O$186,MATCH($A108,'E-Banker master'!$A$2:$A$186,0)),"")</f>
        <v>0</v>
      </c>
      <c r="AJ108" s="427">
        <f>IFERROR(INDEX('E-Banker master'!$P$2:$P$186,MATCH($A108,'E-Banker master'!$A$2:$A$186,0)),"")</f>
        <v>0</v>
      </c>
      <c r="AK108" s="427">
        <f t="shared" si="8"/>
        <v>2500000000</v>
      </c>
      <c r="AN108">
        <f>Mapping!X108</f>
        <v>0</v>
      </c>
      <c r="AO108" s="440"/>
      <c r="AP108" s="440"/>
      <c r="AQ108" s="440"/>
      <c r="AR108" s="441"/>
      <c r="AS108" s="442"/>
      <c r="AT108" s="442"/>
      <c r="AU108" s="443" t="str">
        <f t="shared" si="9"/>
        <v/>
      </c>
    </row>
    <row r="109" spans="1:47" x14ac:dyDescent="0.35">
      <c r="A109" t="str">
        <f>Mapping!J109</f>
        <v>000104430000057</v>
      </c>
      <c r="B109" t="str">
        <f>Mapping!K109</f>
        <v>High</v>
      </c>
      <c r="C109">
        <v>115</v>
      </c>
      <c r="D109" t="str">
        <f>'Loan Book'!E115</f>
        <v>Natures Gift</v>
      </c>
      <c r="E109" t="str">
        <f>'Loan Book'!F115</f>
        <v>Equity</v>
      </c>
      <c r="F109" s="426">
        <f>'Loan Book'!G115</f>
        <v>45446</v>
      </c>
      <c r="G109" s="426">
        <f>'Loan Book'!H115</f>
        <v>0</v>
      </c>
      <c r="H109">
        <f>'Loan Book'!I115</f>
        <v>0</v>
      </c>
      <c r="I109">
        <f>'Loan Book'!J115</f>
        <v>0</v>
      </c>
      <c r="J109" t="str">
        <f>IF('Loan Book'!K115="","",IF('Loan Book'!K115&lt;1,'Loan Book'!K115*100,'Loan Book'!K115))</f>
        <v/>
      </c>
      <c r="K109" s="427">
        <f>'Loan Book'!L115</f>
        <v>500000000</v>
      </c>
      <c r="L109" s="427">
        <f>'Loan Book'!M115</f>
        <v>500000000</v>
      </c>
      <c r="M109" s="427">
        <f>'Loan Book'!N115</f>
        <v>0</v>
      </c>
      <c r="N109" s="427">
        <f>'Loan Book'!O115</f>
        <v>500000000</v>
      </c>
      <c r="O109" s="427">
        <f>'Loan Book'!P115</f>
        <v>0</v>
      </c>
      <c r="P109" s="427">
        <f>'Loan Book'!Q115</f>
        <v>0</v>
      </c>
      <c r="Q109" s="427">
        <f>'Loan Book'!R115</f>
        <v>500000000</v>
      </c>
      <c r="R109" s="427">
        <f>'Loan Book'!S115</f>
        <v>0</v>
      </c>
      <c r="S109" s="427">
        <f>'Loan Book'!T115</f>
        <v>0</v>
      </c>
      <c r="T109" s="427">
        <f>'Loan Book'!U115</f>
        <v>0</v>
      </c>
      <c r="U109">
        <f>'Loan Book'!AC115</f>
        <v>0</v>
      </c>
      <c r="V109">
        <f>'Loan Book'!AE115</f>
        <v>0</v>
      </c>
      <c r="W109" t="str">
        <f>IFERROR(INDEX('E-Banker master'!$B$2:$B$186,MATCH($A109,'E-Banker master'!$A$2:$A$186,0)),"")</f>
        <v>NATURES GIFT LIMITED</v>
      </c>
      <c r="X109">
        <f>IFERROR(INDEX('E-Banker master'!$C$2:$C$186,MATCH($A109,'E-Banker master'!$A$2:$A$186,0)),"")</f>
        <v>86</v>
      </c>
      <c r="Y109" t="str">
        <f>IFERROR(INDEX('E-Banker master'!$D$2:$D$186,MATCH($A109,'E-Banker master'!$A$2:$A$186,0)),"")</f>
        <v>1050102</v>
      </c>
      <c r="Z109" t="str">
        <f>IFERROR(INDEX('E-Banker master'!$E$2:$E$186,MATCH($A109,'E-Banker master'!$A$2:$A$186,0)),"")</f>
        <v>C</v>
      </c>
      <c r="AA109" t="str">
        <f>IFERROR(INDEX('E-Banker master'!$F$2:$F$186,MATCH($A109,'E-Banker master'!$A$2:$A$186,0)),"")</f>
        <v>P</v>
      </c>
      <c r="AB109">
        <f>IFERROR(INDEX('E-Banker master'!$G$2:$G$186,MATCH($A109,'E-Banker master'!$A$2:$A$186,0)),"")</f>
        <v>13</v>
      </c>
      <c r="AC109" s="427">
        <f>IFERROR(INDEX('E-Banker master'!$I$2:$I$186,MATCH($A109,'E-Banker master'!$A$2:$A$186,0)),"")</f>
        <v>500000000</v>
      </c>
      <c r="AD109" s="426">
        <f>IFERROR(INDEX('E-Banker master'!$J$2:$J$186,MATCH($A109,'E-Banker master'!$A$2:$A$186,0)),"")</f>
        <v>45446</v>
      </c>
      <c r="AE109" s="426">
        <f>IFERROR(INDEX('E-Banker master'!$K$2:$K$186,MATCH($A109,'E-Banker master'!$A$2:$A$186,0)),"")</f>
        <v>47272</v>
      </c>
      <c r="AF109">
        <f>IFERROR(INDEX('E-Banker master'!$L$2:$L$186,MATCH($A109,'E-Banker master'!$A$2:$A$186,0)),"")</f>
        <v>0</v>
      </c>
      <c r="AG109">
        <f>IFERROR(INDEX('E-Banker master'!$M$2:$M$186,MATCH($A109,'E-Banker master'!$A$2:$A$186,0)),"")</f>
        <v>0</v>
      </c>
      <c r="AH109" s="427">
        <f>IFERROR(INDEX('E-Banker master'!$N$2:$N$186,MATCH($A109,'E-Banker master'!$A$2:$A$186,0)),"")</f>
        <v>0</v>
      </c>
      <c r="AI109" s="427">
        <f>IFERROR(INDEX('E-Banker master'!$O$2:$O$186,MATCH($A109,'E-Banker master'!$A$2:$A$186,0)),"")</f>
        <v>0</v>
      </c>
      <c r="AJ109" s="427">
        <f>IFERROR(INDEX('E-Banker master'!$P$2:$P$186,MATCH($A109,'E-Banker master'!$A$2:$A$186,0)),"")</f>
        <v>0</v>
      </c>
      <c r="AK109" s="427">
        <f t="shared" si="8"/>
        <v>500000000</v>
      </c>
      <c r="AN109">
        <f>Mapping!X109</f>
        <v>0</v>
      </c>
      <c r="AO109" s="440"/>
      <c r="AP109" s="440"/>
      <c r="AQ109" s="440"/>
      <c r="AR109" s="441"/>
      <c r="AS109" s="442"/>
      <c r="AT109" s="442"/>
      <c r="AU109" s="443" t="str">
        <f t="shared" si="9"/>
        <v/>
      </c>
    </row>
    <row r="110" spans="1:47" x14ac:dyDescent="0.35">
      <c r="A110" t="str">
        <f>Mapping!J110</f>
        <v>000104430000060</v>
      </c>
      <c r="B110" t="str">
        <f>Mapping!K110</f>
        <v>High</v>
      </c>
      <c r="C110">
        <v>116</v>
      </c>
      <c r="D110" t="str">
        <f>'Loan Book'!E116</f>
        <v>Small Farm Cities Africa Ltd</v>
      </c>
      <c r="E110" t="str">
        <f>'Loan Book'!F116</f>
        <v>Equity</v>
      </c>
      <c r="F110" s="426">
        <f>'Loan Book'!G116</f>
        <v>45488</v>
      </c>
      <c r="G110" s="426">
        <f>'Loan Book'!H116</f>
        <v>0</v>
      </c>
      <c r="H110">
        <f>'Loan Book'!I116</f>
        <v>0</v>
      </c>
      <c r="I110">
        <f>'Loan Book'!J116</f>
        <v>0</v>
      </c>
      <c r="J110" t="str">
        <f>IF('Loan Book'!K116="","",IF('Loan Book'!K116&lt;1,'Loan Book'!K116*100,'Loan Book'!K116))</f>
        <v/>
      </c>
      <c r="K110" s="427">
        <f>'Loan Book'!L116</f>
        <v>250000000</v>
      </c>
      <c r="L110" s="427">
        <f>'Loan Book'!M116</f>
        <v>250000000</v>
      </c>
      <c r="M110" s="427">
        <f>'Loan Book'!N116</f>
        <v>0</v>
      </c>
      <c r="N110" s="427">
        <f>'Loan Book'!O116</f>
        <v>250000000</v>
      </c>
      <c r="O110" s="427">
        <f>'Loan Book'!P116</f>
        <v>0</v>
      </c>
      <c r="P110" s="427">
        <f>'Loan Book'!Q116</f>
        <v>0</v>
      </c>
      <c r="Q110" s="427">
        <f>'Loan Book'!R116</f>
        <v>250000000</v>
      </c>
      <c r="R110" s="427">
        <f>'Loan Book'!S116</f>
        <v>0</v>
      </c>
      <c r="S110" s="427">
        <f>'Loan Book'!T116</f>
        <v>0</v>
      </c>
      <c r="T110" s="427">
        <f>'Loan Book'!U116</f>
        <v>0</v>
      </c>
      <c r="U110">
        <f>'Loan Book'!AC116</f>
        <v>0</v>
      </c>
      <c r="V110">
        <f>'Loan Book'!AE116</f>
        <v>0</v>
      </c>
      <c r="W110" t="str">
        <f>IFERROR(INDEX('E-Banker master'!$B$2:$B$186,MATCH($A110,'E-Banker master'!$A$2:$A$186,0)),"")</f>
        <v>SMALL FARM CITIES AFRICA LIMITED</v>
      </c>
      <c r="X110">
        <f>IFERROR(INDEX('E-Banker master'!$C$2:$C$186,MATCH($A110,'E-Banker master'!$A$2:$A$186,0)),"")</f>
        <v>86</v>
      </c>
      <c r="Y110" t="str">
        <f>IFERROR(INDEX('E-Banker master'!$D$2:$D$186,MATCH($A110,'E-Banker master'!$A$2:$A$186,0)),"")</f>
        <v>1050102</v>
      </c>
      <c r="Z110" t="str">
        <f>IFERROR(INDEX('E-Banker master'!$E$2:$E$186,MATCH($A110,'E-Banker master'!$A$2:$A$186,0)),"")</f>
        <v>C</v>
      </c>
      <c r="AA110" t="str">
        <f>IFERROR(INDEX('E-Banker master'!$F$2:$F$186,MATCH($A110,'E-Banker master'!$A$2:$A$186,0)),"")</f>
        <v>P</v>
      </c>
      <c r="AB110">
        <f>IFERROR(INDEX('E-Banker master'!$G$2:$G$186,MATCH($A110,'E-Banker master'!$A$2:$A$186,0)),"")</f>
        <v>0</v>
      </c>
      <c r="AC110" s="427">
        <f>IFERROR(INDEX('E-Banker master'!$I$2:$I$186,MATCH($A110,'E-Banker master'!$A$2:$A$186,0)),"")</f>
        <v>250000000</v>
      </c>
      <c r="AD110" s="426">
        <f>IFERROR(INDEX('E-Banker master'!$J$2:$J$186,MATCH($A110,'E-Banker master'!$A$2:$A$186,0)),"")</f>
        <v>45474</v>
      </c>
      <c r="AE110" s="426">
        <f>IFERROR(INDEX('E-Banker master'!$K$2:$K$186,MATCH($A110,'E-Banker master'!$A$2:$A$186,0)),"")</f>
        <v>45778</v>
      </c>
      <c r="AF110">
        <f>IFERROR(INDEX('E-Banker master'!$L$2:$L$186,MATCH($A110,'E-Banker master'!$A$2:$A$186,0)),"")</f>
        <v>0</v>
      </c>
      <c r="AG110">
        <f>IFERROR(INDEX('E-Banker master'!$M$2:$M$186,MATCH($A110,'E-Banker master'!$A$2:$A$186,0)),"")</f>
        <v>0</v>
      </c>
      <c r="AH110" s="427">
        <f>IFERROR(INDEX('E-Banker master'!$N$2:$N$186,MATCH($A110,'E-Banker master'!$A$2:$A$186,0)),"")</f>
        <v>0</v>
      </c>
      <c r="AI110" s="427">
        <f>IFERROR(INDEX('E-Banker master'!$O$2:$O$186,MATCH($A110,'E-Banker master'!$A$2:$A$186,0)),"")</f>
        <v>0</v>
      </c>
      <c r="AJ110" s="427">
        <f>IFERROR(INDEX('E-Banker master'!$P$2:$P$186,MATCH($A110,'E-Banker master'!$A$2:$A$186,0)),"")</f>
        <v>0</v>
      </c>
      <c r="AK110" s="427">
        <f t="shared" si="8"/>
        <v>250000000</v>
      </c>
      <c r="AN110">
        <f>Mapping!X110</f>
        <v>0</v>
      </c>
      <c r="AO110" s="440"/>
      <c r="AP110" s="440"/>
      <c r="AQ110" s="440"/>
      <c r="AR110" s="441"/>
      <c r="AS110" s="442"/>
      <c r="AT110" s="442"/>
      <c r="AU110" s="443" t="str">
        <f t="shared" si="9"/>
        <v/>
      </c>
    </row>
    <row r="111" spans="1:47" x14ac:dyDescent="0.35">
      <c r="AO111" s="440"/>
      <c r="AP111" s="440"/>
      <c r="AQ111" s="440"/>
      <c r="AR111" s="441"/>
      <c r="AS111" s="442"/>
      <c r="AT111" s="442"/>
      <c r="AU111" s="443" t="str">
        <f t="shared" si="9"/>
        <v/>
      </c>
    </row>
    <row r="112" spans="1:47" x14ac:dyDescent="0.35">
      <c r="A112" t="s">
        <v>237</v>
      </c>
      <c r="AO112" s="440"/>
      <c r="AP112" s="440"/>
      <c r="AQ112" s="440"/>
      <c r="AR112" s="441"/>
      <c r="AS112" s="442"/>
      <c r="AT112" s="442"/>
      <c r="AU112" s="443" t="str">
        <f t="shared" si="9"/>
        <v/>
      </c>
    </row>
  </sheetData>
  <dataValidations count="2">
    <dataValidation type="list" allowBlank="1" showErrorMessage="1" errorTitle="Y or N" error="Type Y or N" sqref="AS2:AS112" xr:uid="{00000000-0002-0000-0500-000000000000}">
      <formula1>"Y,N"</formula1>
    </dataValidation>
    <dataValidation type="decimal" operator="greaterThanOrEqual" allowBlank="1" showErrorMessage="1" errorTitle="Amount" error="A fee is a number of kwacha, zero or more" sqref="AO2:AQ112" xr:uid="{00000000-0002-0000-0500-000001000000}">
      <formula1>0</formula1>
    </dataValidation>
  </dataValidation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Q103"/>
  <sheetViews>
    <sheetView workbookViewId="0">
      <pane ySplit="1" topLeftCell="A2" activePane="bottomLeft" state="frozen"/>
      <selection pane="bottomLeft"/>
    </sheetView>
  </sheetViews>
  <sheetFormatPr defaultRowHeight="14.5" x14ac:dyDescent="0.35"/>
  <cols>
    <col min="1" max="1" width="18" customWidth="1"/>
    <col min="2" max="2" width="36" customWidth="1"/>
    <col min="3" max="7" width="18" customWidth="1"/>
    <col min="8" max="8" width="36" customWidth="1"/>
    <col min="9" max="17" width="18" customWidth="1"/>
  </cols>
  <sheetData>
    <row r="1" spans="1:17" ht="42" customHeight="1" x14ac:dyDescent="0.35">
      <c r="A1" s="425" t="s">
        <v>227</v>
      </c>
      <c r="B1" s="425" t="s">
        <v>238</v>
      </c>
      <c r="C1" s="425" t="s">
        <v>239</v>
      </c>
      <c r="D1" s="425" t="s">
        <v>240</v>
      </c>
      <c r="E1" s="425" t="s">
        <v>241</v>
      </c>
      <c r="F1" s="425" t="s">
        <v>228</v>
      </c>
      <c r="G1" s="425" t="s">
        <v>37</v>
      </c>
      <c r="H1" s="425" t="s">
        <v>39</v>
      </c>
      <c r="I1" s="425" t="s">
        <v>190</v>
      </c>
      <c r="J1" s="425" t="s">
        <v>242</v>
      </c>
      <c r="K1" s="425" t="s">
        <v>243</v>
      </c>
      <c r="L1" s="425" t="s">
        <v>244</v>
      </c>
      <c r="M1" s="425" t="s">
        <v>245</v>
      </c>
      <c r="N1" s="425" t="s">
        <v>246</v>
      </c>
      <c r="O1" s="425" t="s">
        <v>247</v>
      </c>
      <c r="P1" s="425" t="s">
        <v>248</v>
      </c>
      <c r="Q1" s="425" t="s">
        <v>249</v>
      </c>
    </row>
    <row r="2" spans="1:17" x14ac:dyDescent="0.35">
      <c r="A2">
        <v>1</v>
      </c>
      <c r="B2" t="str">
        <f>'Amortisation and Repayments'!C4</f>
        <v>Chikho Hotel Armortization</v>
      </c>
      <c r="C2" s="427">
        <f>'Amortisation and Repayments'!D6</f>
        <v>607931248.68072712</v>
      </c>
      <c r="D2">
        <f>IF('Amortisation and Repayments'!D7&lt;1,'Amortisation and Repayments'!D7*100,'Amortisation and Repayments'!D7)</f>
        <v>19.27</v>
      </c>
      <c r="E2">
        <v>4</v>
      </c>
      <c r="F2" t="str">
        <f>HYPERLINK("#'Amortisation and Repayments'!C4","open")</f>
        <v>open</v>
      </c>
      <c r="G2">
        <v>5</v>
      </c>
      <c r="H2" t="str">
        <f>'Loan Book'!E5</f>
        <v>Chikho Hotel Limited</v>
      </c>
      <c r="I2" t="str">
        <f>Mapping!J2</f>
        <v>000104430000001</v>
      </c>
      <c r="J2" t="s">
        <v>250</v>
      </c>
      <c r="K2" t="s">
        <v>251</v>
      </c>
      <c r="L2" t="s">
        <v>252</v>
      </c>
      <c r="M2" t="s">
        <v>253</v>
      </c>
      <c r="N2" t="s">
        <v>254</v>
      </c>
      <c r="O2" s="427" t="s">
        <v>255</v>
      </c>
      <c r="P2" t="s">
        <v>250</v>
      </c>
      <c r="Q2" t="s">
        <v>256</v>
      </c>
    </row>
    <row r="3" spans="1:17" x14ac:dyDescent="0.35">
      <c r="A3">
        <v>2</v>
      </c>
      <c r="B3" t="str">
        <f>'Amortisation and Repayments'!C41</f>
        <v>Edgeview Academy Armortization</v>
      </c>
      <c r="C3" s="427">
        <f>'Amortisation and Repayments'!D44</f>
        <v>331395845.48046201</v>
      </c>
      <c r="D3">
        <f>IF('Amortisation and Repayments'!D45&lt;1,'Amortisation and Repayments'!D45*100,'Amortisation and Repayments'!D45)</f>
        <v>19.989999999999998</v>
      </c>
      <c r="E3">
        <v>41</v>
      </c>
      <c r="F3" t="str">
        <f>HYPERLINK("#'Amortisation and Repayments'!C41","open")</f>
        <v>open</v>
      </c>
      <c r="G3">
        <v>6</v>
      </c>
      <c r="H3" t="str">
        <f>'Loan Book'!E6</f>
        <v>Edge View Academy Limited</v>
      </c>
      <c r="I3" t="str">
        <f>Mapping!J3</f>
        <v>000104430000002</v>
      </c>
      <c r="J3" t="s">
        <v>250</v>
      </c>
      <c r="K3" t="s">
        <v>257</v>
      </c>
      <c r="L3" t="s">
        <v>258</v>
      </c>
      <c r="M3" t="s">
        <v>253</v>
      </c>
      <c r="N3" t="s">
        <v>259</v>
      </c>
      <c r="O3" s="427" t="s">
        <v>260</v>
      </c>
      <c r="P3" t="s">
        <v>261</v>
      </c>
      <c r="Q3" t="s">
        <v>262</v>
      </c>
    </row>
    <row r="4" spans="1:17" x14ac:dyDescent="0.35">
      <c r="A4">
        <v>3</v>
      </c>
      <c r="B4" t="str">
        <f>'Amortisation and Repayments'!C204</f>
        <v>Micholess Creamery</v>
      </c>
      <c r="C4" s="427">
        <f>'Amortisation and Repayments'!D206</f>
        <v>15760000</v>
      </c>
      <c r="D4">
        <f>IF('Amortisation and Repayments'!D207&lt;1,'Amortisation and Repayments'!D207*100,'Amortisation and Repayments'!D207)</f>
        <v>20.100000000000001</v>
      </c>
      <c r="E4">
        <v>204</v>
      </c>
      <c r="F4" t="str">
        <f>HYPERLINK("#'Amortisation and Repayments'!C204","open")</f>
        <v>open</v>
      </c>
      <c r="G4">
        <v>7</v>
      </c>
      <c r="H4" t="str">
        <f>'Loan Book'!E7</f>
        <v>Micholess Creamery</v>
      </c>
      <c r="I4" t="str">
        <f>Mapping!J4</f>
        <v>000104420000003</v>
      </c>
      <c r="J4" t="s">
        <v>261</v>
      </c>
      <c r="K4" t="s">
        <v>263</v>
      </c>
      <c r="L4" t="s">
        <v>264</v>
      </c>
      <c r="M4" t="s">
        <v>265</v>
      </c>
      <c r="N4" t="s">
        <v>266</v>
      </c>
      <c r="O4" s="427" t="s">
        <v>267</v>
      </c>
      <c r="P4" t="s">
        <v>261</v>
      </c>
      <c r="Q4" t="s">
        <v>268</v>
      </c>
    </row>
    <row r="5" spans="1:17" x14ac:dyDescent="0.35">
      <c r="A5">
        <v>4</v>
      </c>
      <c r="B5" t="str">
        <f>'Amortisation and Repayments'!C244</f>
        <v>COMSIV</v>
      </c>
      <c r="C5" s="427">
        <f>'Amortisation and Repayments'!D246</f>
        <v>309523514</v>
      </c>
      <c r="D5">
        <f>IF('Amortisation and Repayments'!D247&lt;1,'Amortisation and Repayments'!D247*100,'Amortisation and Repayments'!D247)</f>
        <v>20.200000000000003</v>
      </c>
      <c r="E5">
        <v>244</v>
      </c>
      <c r="F5" t="str">
        <f>HYPERLINK("#'Amortisation and Repayments'!C244","open")</f>
        <v>open</v>
      </c>
      <c r="G5">
        <v>8</v>
      </c>
      <c r="H5" t="str">
        <f>'Loan Book'!E8</f>
        <v>COMSIV Limited</v>
      </c>
      <c r="I5" t="str">
        <f>Mapping!J5</f>
        <v>000104430000004</v>
      </c>
      <c r="J5" t="s">
        <v>261</v>
      </c>
      <c r="K5" t="s">
        <v>269</v>
      </c>
      <c r="L5" t="s">
        <v>270</v>
      </c>
      <c r="M5" t="s">
        <v>271</v>
      </c>
      <c r="N5" t="s">
        <v>254</v>
      </c>
      <c r="O5" s="427" t="s">
        <v>272</v>
      </c>
      <c r="P5" t="s">
        <v>261</v>
      </c>
      <c r="Q5" t="s">
        <v>256</v>
      </c>
    </row>
    <row r="6" spans="1:17" x14ac:dyDescent="0.35">
      <c r="A6">
        <v>5</v>
      </c>
      <c r="B6" t="str">
        <f>'Amortisation and Repayments'!C282</f>
        <v>MUSECO Armortization</v>
      </c>
      <c r="C6" s="427">
        <f>'Amortisation and Repayments'!D284</f>
        <v>405097989.86827958</v>
      </c>
      <c r="D6">
        <f>IF('Amortisation and Repayments'!D285&lt;1,'Amortisation and Repayments'!D285*100,'Amortisation and Repayments'!D285)</f>
        <v>18.350000000000001</v>
      </c>
      <c r="E6">
        <v>282</v>
      </c>
      <c r="F6" t="str">
        <f>HYPERLINK("#'Amortisation and Repayments'!C282","open")</f>
        <v>open</v>
      </c>
      <c r="G6">
        <v>9</v>
      </c>
      <c r="H6" t="str">
        <f>'Loan Book'!E9</f>
        <v>MUSECO</v>
      </c>
      <c r="I6" t="str">
        <f>Mapping!J6</f>
        <v>000104420000005</v>
      </c>
      <c r="J6" t="s">
        <v>250</v>
      </c>
      <c r="K6" t="s">
        <v>257</v>
      </c>
      <c r="L6" t="s">
        <v>273</v>
      </c>
      <c r="M6" t="s">
        <v>274</v>
      </c>
      <c r="N6" t="s">
        <v>275</v>
      </c>
      <c r="O6" s="427" t="s">
        <v>267</v>
      </c>
      <c r="P6" t="s">
        <v>261</v>
      </c>
      <c r="Q6" t="s">
        <v>256</v>
      </c>
    </row>
    <row r="7" spans="1:17" x14ac:dyDescent="0.35">
      <c r="A7">
        <v>6</v>
      </c>
      <c r="B7" t="str">
        <f>'Amortisation and Repayments'!C357</f>
        <v>Nsanama Women Cassava Cooperative</v>
      </c>
      <c r="C7" s="427">
        <f>'Amortisation and Repayments'!D359</f>
        <v>12055000</v>
      </c>
      <c r="D7">
        <f>IF('Amortisation and Repayments'!D360&lt;1,'Amortisation and Repayments'!D360*100,'Amortisation and Repayments'!D360)</f>
        <v>19.82</v>
      </c>
      <c r="E7">
        <v>357</v>
      </c>
      <c r="F7" t="str">
        <f>HYPERLINK("#'Amortisation and Repayments'!C357","open")</f>
        <v>open</v>
      </c>
      <c r="G7">
        <v>10</v>
      </c>
      <c r="H7" t="str">
        <f>'Loan Book'!E10</f>
        <v>Nsanama Women Cooperatives</v>
      </c>
      <c r="I7" t="str">
        <f>Mapping!J7</f>
        <v>000104420000006</v>
      </c>
      <c r="J7" t="s">
        <v>261</v>
      </c>
      <c r="K7" t="s">
        <v>276</v>
      </c>
      <c r="L7" t="s">
        <v>277</v>
      </c>
      <c r="M7" t="s">
        <v>278</v>
      </c>
      <c r="N7" t="s">
        <v>279</v>
      </c>
      <c r="O7" s="427" t="s">
        <v>267</v>
      </c>
      <c r="P7" t="s">
        <v>261</v>
      </c>
      <c r="Q7" t="s">
        <v>280</v>
      </c>
    </row>
    <row r="8" spans="1:17" x14ac:dyDescent="0.35">
      <c r="A8">
        <v>7</v>
      </c>
      <c r="B8" t="str">
        <f>'Amortisation and Repayments'!C399</f>
        <v>Lenziemill Armortization</v>
      </c>
      <c r="C8" s="427">
        <f>'Amortisation and Repayments'!D401</f>
        <v>297400000</v>
      </c>
      <c r="D8">
        <f>IF('Amortisation and Repayments'!D402&lt;1,'Amortisation and Repayments'!D402*100,'Amortisation and Repayments'!D402)</f>
        <v>20.100000000000001</v>
      </c>
      <c r="E8">
        <v>399</v>
      </c>
      <c r="F8" t="str">
        <f>HYPERLINK("#'Amortisation and Repayments'!C399","open")</f>
        <v>open</v>
      </c>
      <c r="G8">
        <v>11</v>
      </c>
      <c r="H8" t="str">
        <f>'Loan Book'!E11</f>
        <v>LENZIEMILL MILLING LIMITED</v>
      </c>
      <c r="I8" t="str">
        <f>Mapping!J8</f>
        <v>000104420000007</v>
      </c>
      <c r="J8" t="s">
        <v>261</v>
      </c>
      <c r="K8" t="s">
        <v>257</v>
      </c>
      <c r="L8" t="s">
        <v>281</v>
      </c>
      <c r="M8" t="s">
        <v>282</v>
      </c>
      <c r="N8" t="s">
        <v>283</v>
      </c>
      <c r="O8" s="427" t="s">
        <v>284</v>
      </c>
      <c r="P8" t="s">
        <v>261</v>
      </c>
      <c r="Q8" t="s">
        <v>256</v>
      </c>
    </row>
    <row r="9" spans="1:17" x14ac:dyDescent="0.35">
      <c r="A9">
        <v>8</v>
      </c>
      <c r="B9" t="str">
        <f>'Amortisation and Repayments'!C489</f>
        <v>Corran Farming Ltd</v>
      </c>
      <c r="C9" s="427">
        <f>'Amortisation and Repayments'!D491</f>
        <v>477502871.56999999</v>
      </c>
      <c r="D9">
        <f>IF('Amortisation and Repayments'!D492&lt;1,'Amortisation and Repayments'!D492*100,'Amortisation and Repayments'!D492)</f>
        <v>20</v>
      </c>
      <c r="E9">
        <v>489</v>
      </c>
      <c r="F9" t="str">
        <f>HYPERLINK("#'Amortisation and Repayments'!C489","open")</f>
        <v>open</v>
      </c>
      <c r="G9">
        <v>12</v>
      </c>
      <c r="H9" t="str">
        <f>'Loan Book'!E12</f>
        <v>Corran Farming Limited</v>
      </c>
      <c r="I9" t="str">
        <f>Mapping!J9</f>
        <v>000104430000008</v>
      </c>
      <c r="J9" t="s">
        <v>250</v>
      </c>
      <c r="K9" t="s">
        <v>285</v>
      </c>
      <c r="L9" t="s">
        <v>286</v>
      </c>
      <c r="M9" t="s">
        <v>287</v>
      </c>
      <c r="N9" t="s">
        <v>288</v>
      </c>
      <c r="O9" s="427" t="s">
        <v>289</v>
      </c>
      <c r="P9" t="s">
        <v>261</v>
      </c>
      <c r="Q9" t="s">
        <v>268</v>
      </c>
    </row>
    <row r="10" spans="1:17" x14ac:dyDescent="0.35">
      <c r="A10">
        <v>9</v>
      </c>
      <c r="B10" t="str">
        <f>'Amortisation and Repayments'!C553</f>
        <v>Mach Milk</v>
      </c>
      <c r="C10" s="427">
        <f>'Amortisation and Repayments'!D555</f>
        <v>81075926.780000001</v>
      </c>
      <c r="D10">
        <f>IF('Amortisation and Repayments'!D556&lt;1,'Amortisation and Repayments'!D556*100,'Amortisation and Repayments'!D556)</f>
        <v>20.7</v>
      </c>
      <c r="E10">
        <v>553</v>
      </c>
      <c r="F10" t="str">
        <f>HYPERLINK("#'Amortisation and Repayments'!C553","open")</f>
        <v>open</v>
      </c>
      <c r="G10">
        <v>13</v>
      </c>
      <c r="H10" t="str">
        <f>'Loan Book'!E13</f>
        <v>Mach Milk Limited</v>
      </c>
      <c r="I10" t="str">
        <f>Mapping!J10</f>
        <v>000104420000009</v>
      </c>
      <c r="J10" t="s">
        <v>261</v>
      </c>
      <c r="K10" t="s">
        <v>257</v>
      </c>
      <c r="L10" t="s">
        <v>290</v>
      </c>
      <c r="M10" t="s">
        <v>291</v>
      </c>
      <c r="N10" t="s">
        <v>292</v>
      </c>
      <c r="O10" s="427" t="s">
        <v>293</v>
      </c>
      <c r="P10" t="s">
        <v>261</v>
      </c>
      <c r="Q10" t="s">
        <v>256</v>
      </c>
    </row>
    <row r="11" spans="1:17" x14ac:dyDescent="0.35">
      <c r="A11">
        <v>10</v>
      </c>
      <c r="B11" t="str">
        <f>'Amortisation and Repayments'!C616</f>
        <v>Natures Gift</v>
      </c>
      <c r="C11" s="427">
        <f>'Amortisation and Repayments'!D618</f>
        <v>80000000</v>
      </c>
      <c r="D11">
        <f>IF('Amortisation and Repayments'!D619&lt;1,'Amortisation and Repayments'!D619*100,'Amortisation and Repayments'!D619)</f>
        <v>18</v>
      </c>
      <c r="E11">
        <v>616</v>
      </c>
      <c r="F11" t="str">
        <f>HYPERLINK("#'Amortisation and Repayments'!C616","open")</f>
        <v>open</v>
      </c>
      <c r="G11">
        <v>14</v>
      </c>
      <c r="H11" t="str">
        <f>'Loan Book'!E14</f>
        <v>Nature's Gift Limited</v>
      </c>
      <c r="I11" t="str">
        <f>Mapping!J11</f>
        <v>000104420000010</v>
      </c>
      <c r="J11" t="s">
        <v>261</v>
      </c>
      <c r="K11" t="s">
        <v>285</v>
      </c>
      <c r="L11" t="s">
        <v>294</v>
      </c>
      <c r="M11" t="s">
        <v>295</v>
      </c>
      <c r="N11" t="s">
        <v>296</v>
      </c>
      <c r="O11" s="427" t="s">
        <v>297</v>
      </c>
      <c r="P11" t="s">
        <v>261</v>
      </c>
      <c r="Q11" t="s">
        <v>298</v>
      </c>
    </row>
    <row r="12" spans="1:17" x14ac:dyDescent="0.35">
      <c r="A12">
        <v>11</v>
      </c>
      <c r="B12" t="str">
        <f>'Amortisation and Repayments'!C692</f>
        <v>Kajikhomele</v>
      </c>
      <c r="C12" s="427">
        <f>'Amortisation and Repayments'!D694</f>
        <v>51552500</v>
      </c>
      <c r="D12">
        <f>IF('Amortisation and Repayments'!D695&lt;1,'Amortisation and Repayments'!D695*100,'Amortisation and Repayments'!D695)</f>
        <v>19</v>
      </c>
      <c r="E12">
        <v>692</v>
      </c>
      <c r="F12" t="str">
        <f>HYPERLINK("#'Amortisation and Repayments'!C692","open")</f>
        <v>open</v>
      </c>
      <c r="G12">
        <v>16</v>
      </c>
      <c r="H12" t="str">
        <f>'Loan Book'!E16</f>
        <v>Kajikhomele Foundation Ltd</v>
      </c>
      <c r="I12" t="str">
        <f>Mapping!J13</f>
        <v>000104420000011</v>
      </c>
      <c r="J12" t="s">
        <v>261</v>
      </c>
      <c r="K12" t="s">
        <v>299</v>
      </c>
      <c r="L12" t="s">
        <v>300</v>
      </c>
      <c r="M12" t="s">
        <v>301</v>
      </c>
      <c r="N12" t="s">
        <v>302</v>
      </c>
      <c r="O12" s="427" t="s">
        <v>303</v>
      </c>
      <c r="P12" t="s">
        <v>261</v>
      </c>
      <c r="Q12" t="s">
        <v>268</v>
      </c>
    </row>
    <row r="13" spans="1:17" x14ac:dyDescent="0.35">
      <c r="A13">
        <v>12</v>
      </c>
      <c r="B13" t="str">
        <f>'Amortisation and Repayments'!C756</f>
        <v>Natures Gift</v>
      </c>
      <c r="C13" s="427">
        <f>'Amortisation and Repayments'!D758</f>
        <v>85000000</v>
      </c>
      <c r="D13">
        <f>IF('Amortisation and Repayments'!D759&lt;1,'Amortisation and Repayments'!D759*100,'Amortisation and Repayments'!D759)</f>
        <v>18</v>
      </c>
      <c r="E13">
        <v>756</v>
      </c>
      <c r="F13" t="str">
        <f>HYPERLINK("#'Amortisation and Repayments'!C756","open")</f>
        <v>open</v>
      </c>
      <c r="G13">
        <v>15</v>
      </c>
      <c r="H13" t="str">
        <f>'Loan Book'!E15</f>
        <v>Nature's Gift Limited</v>
      </c>
      <c r="I13" t="str">
        <f>Mapping!J12</f>
        <v>000104420000012</v>
      </c>
      <c r="J13" t="s">
        <v>261</v>
      </c>
      <c r="K13" t="s">
        <v>257</v>
      </c>
      <c r="L13" t="s">
        <v>304</v>
      </c>
      <c r="M13" t="s">
        <v>305</v>
      </c>
      <c r="N13" t="s">
        <v>306</v>
      </c>
      <c r="O13" s="427" t="s">
        <v>307</v>
      </c>
      <c r="P13" t="s">
        <v>261</v>
      </c>
      <c r="Q13" t="s">
        <v>298</v>
      </c>
    </row>
    <row r="14" spans="1:17" x14ac:dyDescent="0.35">
      <c r="A14">
        <v>13</v>
      </c>
      <c r="B14" t="str">
        <f>'Amortisation and Repayments'!C830</f>
        <v>Ndagha Sustainable Foods Ltd</v>
      </c>
      <c r="C14" s="427">
        <f>'Amortisation and Repayments'!D832</f>
        <v>10000000</v>
      </c>
      <c r="D14">
        <f>IF('Amortisation and Repayments'!D833&lt;1,'Amortisation and Repayments'!D833*100,'Amortisation and Repayments'!D833)</f>
        <v>10</v>
      </c>
      <c r="E14">
        <v>830</v>
      </c>
      <c r="F14" t="str">
        <f>HYPERLINK("#'Amortisation and Repayments'!C830","open")</f>
        <v>open</v>
      </c>
      <c r="G14">
        <v>18</v>
      </c>
      <c r="H14" t="str">
        <f>'Loan Book'!E18</f>
        <v>Ndagha Sustainable Food Ltd</v>
      </c>
      <c r="I14" t="str">
        <f>Mapping!J15</f>
        <v>000104450000013</v>
      </c>
      <c r="J14" t="s">
        <v>261</v>
      </c>
      <c r="K14" t="s">
        <v>263</v>
      </c>
      <c r="L14" t="s">
        <v>270</v>
      </c>
      <c r="M14" t="s">
        <v>271</v>
      </c>
      <c r="N14" t="s">
        <v>254</v>
      </c>
      <c r="O14" s="427" t="s">
        <v>308</v>
      </c>
      <c r="P14" t="s">
        <v>261</v>
      </c>
      <c r="Q14" t="s">
        <v>309</v>
      </c>
    </row>
    <row r="15" spans="1:17" x14ac:dyDescent="0.35">
      <c r="A15">
        <v>14</v>
      </c>
      <c r="B15" t="str">
        <f>'Amortisation and Repayments'!C871</f>
        <v>Ecogen Limited</v>
      </c>
      <c r="C15" s="427">
        <f>'Amortisation and Repayments'!D873</f>
        <v>20000000</v>
      </c>
      <c r="D15">
        <f>IF('Amortisation and Repayments'!D874&lt;1,'Amortisation and Repayments'!D874*100,'Amortisation and Repayments'!D874)</f>
        <v>10</v>
      </c>
      <c r="E15">
        <v>871</v>
      </c>
      <c r="F15" t="str">
        <f>HYPERLINK("#'Amortisation and Repayments'!C871","open")</f>
        <v>open</v>
      </c>
      <c r="G15">
        <v>19</v>
      </c>
      <c r="H15" t="str">
        <f>'Loan Book'!E19</f>
        <v>Ecogen Ltd</v>
      </c>
      <c r="I15" t="str">
        <f>Mapping!J16</f>
        <v>000104460000014</v>
      </c>
      <c r="J15" t="s">
        <v>261</v>
      </c>
      <c r="K15" t="s">
        <v>263</v>
      </c>
      <c r="L15" t="s">
        <v>270</v>
      </c>
      <c r="M15" t="s">
        <v>271</v>
      </c>
      <c r="N15" t="s">
        <v>254</v>
      </c>
      <c r="O15" s="427" t="s">
        <v>310</v>
      </c>
      <c r="P15" t="s">
        <v>261</v>
      </c>
      <c r="Q15" t="s">
        <v>256</v>
      </c>
    </row>
    <row r="16" spans="1:17" x14ac:dyDescent="0.35">
      <c r="A16">
        <v>15</v>
      </c>
      <c r="B16" t="str">
        <f>'Amortisation and Repayments'!C911</f>
        <v>Zaithwa Farms</v>
      </c>
      <c r="C16" s="427">
        <f>'Amortisation and Repayments'!D913</f>
        <v>10000000</v>
      </c>
      <c r="D16">
        <f>IF('Amortisation and Repayments'!D914&lt;1,'Amortisation and Repayments'!D914*100,'Amortisation and Repayments'!D914)</f>
        <v>10</v>
      </c>
      <c r="E16">
        <v>911</v>
      </c>
      <c r="F16" t="str">
        <f>HYPERLINK("#'Amortisation and Repayments'!C911","open")</f>
        <v>open</v>
      </c>
      <c r="G16">
        <v>20</v>
      </c>
      <c r="H16" t="str">
        <f>'Loan Book'!E20</f>
        <v>Zaithwa Farms</v>
      </c>
      <c r="I16" t="str">
        <f>Mapping!J17</f>
        <v>000104450000015</v>
      </c>
      <c r="J16" t="s">
        <v>261</v>
      </c>
      <c r="K16" t="s">
        <v>263</v>
      </c>
      <c r="L16" t="s">
        <v>270</v>
      </c>
      <c r="M16" t="s">
        <v>271</v>
      </c>
      <c r="N16" t="s">
        <v>254</v>
      </c>
      <c r="O16" s="427" t="s">
        <v>308</v>
      </c>
      <c r="P16" t="s">
        <v>261</v>
      </c>
      <c r="Q16" t="s">
        <v>256</v>
      </c>
    </row>
    <row r="17" spans="1:17" x14ac:dyDescent="0.35">
      <c r="A17">
        <v>16</v>
      </c>
      <c r="B17" t="str">
        <f>'Amortisation and Repayments'!C951</f>
        <v>Beaulaland Food Processors</v>
      </c>
      <c r="C17" s="427">
        <f>'Amortisation and Repayments'!D953</f>
        <v>23616000</v>
      </c>
      <c r="D17">
        <f>IF('Amortisation and Repayments'!D954&lt;1,'Amortisation and Repayments'!D954*100,'Amortisation and Repayments'!D954)</f>
        <v>10</v>
      </c>
      <c r="E17">
        <v>951</v>
      </c>
      <c r="F17" t="str">
        <f>HYPERLINK("#'Amortisation and Repayments'!C951","open")</f>
        <v>open</v>
      </c>
      <c r="G17">
        <v>21</v>
      </c>
      <c r="H17" t="str">
        <f>'Loan Book'!E21</f>
        <v>Beualaland Food Processors</v>
      </c>
      <c r="I17" t="str">
        <f>Mapping!J18</f>
        <v>000104450000016</v>
      </c>
      <c r="J17" t="s">
        <v>261</v>
      </c>
      <c r="K17" t="s">
        <v>263</v>
      </c>
      <c r="L17" t="s">
        <v>311</v>
      </c>
      <c r="M17" t="s">
        <v>312</v>
      </c>
      <c r="N17" t="s">
        <v>313</v>
      </c>
      <c r="O17" s="427" t="s">
        <v>314</v>
      </c>
      <c r="P17" t="s">
        <v>261</v>
      </c>
      <c r="Q17" t="s">
        <v>298</v>
      </c>
    </row>
    <row r="18" spans="1:17" x14ac:dyDescent="0.35">
      <c r="A18">
        <v>17</v>
      </c>
      <c r="B18" t="str">
        <f>'Amortisation and Repayments'!C1004</f>
        <v>Steel Base Furnitures</v>
      </c>
      <c r="C18" s="427">
        <f>'Amortisation and Repayments'!D1006</f>
        <v>14677500</v>
      </c>
      <c r="D18">
        <f>IF('Amortisation and Repayments'!D1007&lt;1,'Amortisation and Repayments'!D1007*100,'Amortisation and Repayments'!D1007)</f>
        <v>10</v>
      </c>
      <c r="E18">
        <v>1004</v>
      </c>
      <c r="F18" t="str">
        <f>HYPERLINK("#'Amortisation and Repayments'!C1004","open")</f>
        <v>open</v>
      </c>
      <c r="G18">
        <v>22</v>
      </c>
      <c r="H18" t="str">
        <f>'Loan Book'!E22</f>
        <v>Steel Base Furnitures</v>
      </c>
      <c r="I18" t="str">
        <f>Mapping!J19</f>
        <v>000104460000017</v>
      </c>
      <c r="J18" t="s">
        <v>261</v>
      </c>
      <c r="K18" t="s">
        <v>263</v>
      </c>
      <c r="L18" t="s">
        <v>264</v>
      </c>
      <c r="M18" t="s">
        <v>315</v>
      </c>
      <c r="N18" t="s">
        <v>316</v>
      </c>
      <c r="O18" s="427" t="s">
        <v>267</v>
      </c>
      <c r="P18" t="s">
        <v>261</v>
      </c>
      <c r="Q18" t="s">
        <v>256</v>
      </c>
    </row>
    <row r="19" spans="1:17" x14ac:dyDescent="0.35">
      <c r="A19">
        <v>18</v>
      </c>
      <c r="B19" t="str">
        <f>'Amortisation and Repayments'!C1044</f>
        <v>Maluso Cooperative Union</v>
      </c>
      <c r="C19" s="427">
        <f>'Amortisation and Repayments'!D1046</f>
        <v>11511500</v>
      </c>
      <c r="D19">
        <f>IF('Amortisation and Repayments'!D1047&lt;1,'Amortisation and Repayments'!D1047*100,'Amortisation and Repayments'!D1047)</f>
        <v>10</v>
      </c>
      <c r="E19">
        <v>1044</v>
      </c>
      <c r="F19" t="str">
        <f>HYPERLINK("#'Amortisation and Repayments'!C1044","open")</f>
        <v>open</v>
      </c>
      <c r="G19">
        <v>17</v>
      </c>
      <c r="H19" t="str">
        <f>'Loan Book'!E17</f>
        <v>Maluso Cooperative Union (MCU)</v>
      </c>
      <c r="I19" t="str">
        <f>Mapping!J14</f>
        <v>000104450000012</v>
      </c>
      <c r="J19" t="s">
        <v>261</v>
      </c>
      <c r="K19" t="s">
        <v>263</v>
      </c>
      <c r="L19" t="s">
        <v>270</v>
      </c>
      <c r="M19" t="s">
        <v>271</v>
      </c>
      <c r="N19" t="s">
        <v>254</v>
      </c>
      <c r="O19" s="427" t="s">
        <v>317</v>
      </c>
      <c r="P19" t="s">
        <v>261</v>
      </c>
      <c r="Q19" t="s">
        <v>256</v>
      </c>
    </row>
    <row r="20" spans="1:17" x14ac:dyDescent="0.35">
      <c r="A20">
        <v>19</v>
      </c>
      <c r="B20" t="str">
        <f>'Amortisation and Repayments'!C1083</f>
        <v>Muddy Boots</v>
      </c>
      <c r="C20" s="427">
        <f>'Amortisation and Repayments'!D1085</f>
        <v>13000000</v>
      </c>
      <c r="D20">
        <f>IF('Amortisation and Repayments'!D1086&lt;1,'Amortisation and Repayments'!D1086*100,'Amortisation and Repayments'!D1086)</f>
        <v>10</v>
      </c>
      <c r="E20">
        <v>1083</v>
      </c>
      <c r="F20" t="str">
        <f>HYPERLINK("#'Amortisation and Repayments'!C1083","open")</f>
        <v>open</v>
      </c>
      <c r="G20">
        <v>23</v>
      </c>
      <c r="H20" t="str">
        <f>'Loan Book'!E23</f>
        <v>Muddy Boots</v>
      </c>
      <c r="I20" t="str">
        <f>Mapping!J20</f>
        <v>000104450000018</v>
      </c>
      <c r="J20" t="s">
        <v>261</v>
      </c>
      <c r="K20" t="s">
        <v>263</v>
      </c>
      <c r="L20" t="s">
        <v>270</v>
      </c>
      <c r="M20" t="s">
        <v>318</v>
      </c>
      <c r="N20" t="s">
        <v>316</v>
      </c>
      <c r="O20" s="427" t="s">
        <v>319</v>
      </c>
      <c r="P20" t="s">
        <v>250</v>
      </c>
      <c r="Q20" t="s">
        <v>256</v>
      </c>
    </row>
    <row r="21" spans="1:17" x14ac:dyDescent="0.35">
      <c r="A21">
        <v>20</v>
      </c>
      <c r="B21" t="str">
        <f>'Amortisation and Repayments'!C1124</f>
        <v>Zanzi Entertainment</v>
      </c>
      <c r="C21" s="427">
        <f>'Amortisation and Repayments'!D1126</f>
        <v>24000000</v>
      </c>
      <c r="D21">
        <f>IF('Amortisation and Repayments'!D1127&lt;1,'Amortisation and Repayments'!D1127*100,'Amortisation and Repayments'!D1127)</f>
        <v>10</v>
      </c>
      <c r="E21">
        <v>1124</v>
      </c>
      <c r="F21" t="str">
        <f>HYPERLINK("#'Amortisation and Repayments'!C1124","open")</f>
        <v>open</v>
      </c>
      <c r="G21">
        <v>24</v>
      </c>
      <c r="H21" t="str">
        <f>'Loan Book'!E24</f>
        <v>Zanzi Entertainment Ltd</v>
      </c>
      <c r="I21" t="str">
        <f>Mapping!J21</f>
        <v>000104460000019</v>
      </c>
      <c r="J21" t="s">
        <v>261</v>
      </c>
      <c r="K21" t="s">
        <v>263</v>
      </c>
      <c r="L21" t="s">
        <v>264</v>
      </c>
      <c r="M21" t="s">
        <v>320</v>
      </c>
      <c r="N21" t="s">
        <v>321</v>
      </c>
      <c r="O21" s="427" t="s">
        <v>322</v>
      </c>
      <c r="P21" t="s">
        <v>250</v>
      </c>
      <c r="Q21" t="s">
        <v>256</v>
      </c>
    </row>
    <row r="22" spans="1:17" x14ac:dyDescent="0.35">
      <c r="A22">
        <v>21</v>
      </c>
      <c r="B22" t="str">
        <f>'Amortisation and Repayments'!C1164</f>
        <v>Kayola Processors</v>
      </c>
      <c r="C22" s="427">
        <f>'Amortisation and Repayments'!D1166</f>
        <v>20400000</v>
      </c>
      <c r="D22">
        <f>IF('Amortisation and Repayments'!D1167&lt;1,'Amortisation and Repayments'!D1167*100,'Amortisation and Repayments'!D1167)</f>
        <v>10</v>
      </c>
      <c r="E22">
        <v>1164</v>
      </c>
      <c r="F22" t="str">
        <f>HYPERLINK("#'Amortisation and Repayments'!C1164","open")</f>
        <v>open</v>
      </c>
      <c r="G22">
        <v>25</v>
      </c>
      <c r="H22" t="str">
        <f>'Loan Book'!E25</f>
        <v>Kayola Processors</v>
      </c>
      <c r="I22" t="str">
        <f>Mapping!J22</f>
        <v>000104450000020</v>
      </c>
      <c r="J22" t="s">
        <v>261</v>
      </c>
      <c r="K22" t="s">
        <v>263</v>
      </c>
      <c r="L22" t="s">
        <v>311</v>
      </c>
      <c r="M22" t="s">
        <v>323</v>
      </c>
      <c r="N22" t="s">
        <v>324</v>
      </c>
      <c r="O22" s="427" t="s">
        <v>319</v>
      </c>
      <c r="P22" t="s">
        <v>261</v>
      </c>
      <c r="Q22" t="s">
        <v>256</v>
      </c>
    </row>
    <row r="23" spans="1:17" x14ac:dyDescent="0.35">
      <c r="A23">
        <v>22</v>
      </c>
      <c r="B23" t="str">
        <f>'Amortisation and Repayments'!C1237</f>
        <v>Mwachisosa</v>
      </c>
      <c r="C23" s="427">
        <f>'Amortisation and Repayments'!D1239</f>
        <v>12500000</v>
      </c>
      <c r="D23">
        <f>IF('Amortisation and Repayments'!D1240&lt;1,'Amortisation and Repayments'!D1240*100,'Amortisation and Repayments'!D1240)</f>
        <v>10</v>
      </c>
      <c r="E23">
        <v>1237</v>
      </c>
      <c r="F23" t="str">
        <f>HYPERLINK("#'Amortisation and Repayments'!C1237","open")</f>
        <v>open</v>
      </c>
      <c r="G23">
        <v>27</v>
      </c>
      <c r="H23" t="str">
        <f>'Loan Book'!E27</f>
        <v>Mwachisosa Women Producers &amp; Marketing Co</v>
      </c>
      <c r="I23" t="str">
        <f>Mapping!J24</f>
        <v>000104450000022</v>
      </c>
      <c r="J23" t="s">
        <v>261</v>
      </c>
      <c r="K23" t="s">
        <v>263</v>
      </c>
      <c r="L23" t="s">
        <v>325</v>
      </c>
      <c r="M23" t="s">
        <v>326</v>
      </c>
      <c r="N23" t="s">
        <v>327</v>
      </c>
      <c r="O23" s="427" t="s">
        <v>267</v>
      </c>
      <c r="P23" t="s">
        <v>261</v>
      </c>
      <c r="Q23" t="s">
        <v>256</v>
      </c>
    </row>
    <row r="24" spans="1:17" x14ac:dyDescent="0.35">
      <c r="A24">
        <v>23</v>
      </c>
      <c r="B24" t="str">
        <f>'Amortisation and Repayments'!C1438</f>
        <v>Allied Bricks</v>
      </c>
      <c r="C24" s="427">
        <f>'Amortisation and Repayments'!D1440</f>
        <v>12000000</v>
      </c>
      <c r="D24">
        <f>IF('Amortisation and Repayments'!D1441&lt;1,'Amortisation and Repayments'!D1441*100,'Amortisation and Repayments'!D1441)</f>
        <v>10</v>
      </c>
      <c r="E24">
        <v>1438</v>
      </c>
      <c r="F24" t="str">
        <f>HYPERLINK("#'Amortisation and Repayments'!C1438","open")</f>
        <v>open</v>
      </c>
      <c r="G24">
        <v>29</v>
      </c>
      <c r="H24" t="str">
        <f>'Loan Book'!E29</f>
        <v>Allied Bricks and Blocks Limited</v>
      </c>
      <c r="I24" t="str">
        <f>Mapping!J26</f>
        <v>000104460000024</v>
      </c>
      <c r="J24" t="s">
        <v>261</v>
      </c>
      <c r="K24" t="s">
        <v>263</v>
      </c>
      <c r="L24" t="s">
        <v>328</v>
      </c>
      <c r="M24" t="s">
        <v>329</v>
      </c>
      <c r="N24" t="s">
        <v>302</v>
      </c>
      <c r="O24" s="427" t="s">
        <v>267</v>
      </c>
      <c r="P24" t="s">
        <v>261</v>
      </c>
      <c r="Q24" t="s">
        <v>256</v>
      </c>
    </row>
    <row r="25" spans="1:17" x14ac:dyDescent="0.35">
      <c r="A25">
        <v>24</v>
      </c>
      <c r="B25" t="str">
        <f>'Amortisation and Repayments'!C1504</f>
        <v>Lapani Farms</v>
      </c>
      <c r="C25" s="427">
        <f>'Amortisation and Repayments'!D1506</f>
        <v>10900000</v>
      </c>
      <c r="D25">
        <f>IF('Amortisation and Repayments'!D1507&lt;1,'Amortisation and Repayments'!D1507*100,'Amortisation and Repayments'!D1507)</f>
        <v>10</v>
      </c>
      <c r="E25">
        <v>1504</v>
      </c>
      <c r="F25" t="str">
        <f>HYPERLINK("#'Amortisation and Repayments'!C1504","open")</f>
        <v>open</v>
      </c>
      <c r="G25">
        <v>30</v>
      </c>
      <c r="H25" t="str">
        <f>'Loan Book'!E30</f>
        <v>Lapani Farms</v>
      </c>
      <c r="I25" t="str">
        <f>Mapping!J27</f>
        <v>000104450000025</v>
      </c>
      <c r="J25" t="s">
        <v>261</v>
      </c>
      <c r="K25" t="s">
        <v>263</v>
      </c>
      <c r="L25" t="s">
        <v>270</v>
      </c>
      <c r="M25" t="s">
        <v>329</v>
      </c>
      <c r="N25" t="s">
        <v>330</v>
      </c>
      <c r="O25" s="427" t="s">
        <v>319</v>
      </c>
      <c r="P25" t="s">
        <v>261</v>
      </c>
      <c r="Q25" t="s">
        <v>256</v>
      </c>
    </row>
    <row r="26" spans="1:17" x14ac:dyDescent="0.35">
      <c r="A26">
        <v>25</v>
      </c>
      <c r="B26" t="str">
        <f>'Amortisation and Repayments'!C1544</f>
        <v>Mawindo Enterprise</v>
      </c>
      <c r="C26" s="427">
        <f>'Amortisation and Repayments'!D1546</f>
        <v>20000000</v>
      </c>
      <c r="D26">
        <f>IF('Amortisation and Repayments'!D1547&lt;1,'Amortisation and Repayments'!D1547*100,'Amortisation and Repayments'!D1547)</f>
        <v>10</v>
      </c>
      <c r="E26">
        <v>1544</v>
      </c>
      <c r="F26" t="str">
        <f>HYPERLINK("#'Amortisation and Repayments'!C1544","open")</f>
        <v>open</v>
      </c>
      <c r="G26">
        <v>31</v>
      </c>
      <c r="H26" t="str">
        <f>'Loan Book'!E31</f>
        <v>Mawindo Enterprise</v>
      </c>
      <c r="I26" t="str">
        <f>Mapping!J28</f>
        <v>000104450000026</v>
      </c>
      <c r="J26" t="s">
        <v>261</v>
      </c>
      <c r="K26" t="s">
        <v>263</v>
      </c>
      <c r="L26" t="s">
        <v>270</v>
      </c>
      <c r="M26" t="s">
        <v>329</v>
      </c>
      <c r="N26" t="s">
        <v>330</v>
      </c>
      <c r="O26" s="427" t="s">
        <v>317</v>
      </c>
      <c r="P26" t="s">
        <v>261</v>
      </c>
      <c r="Q26" t="s">
        <v>256</v>
      </c>
    </row>
    <row r="27" spans="1:17" x14ac:dyDescent="0.35">
      <c r="A27">
        <v>26</v>
      </c>
      <c r="B27" t="str">
        <f>'Amortisation and Repayments'!C1584</f>
        <v>L J Traders &amp; Suppliers</v>
      </c>
      <c r="C27" s="427">
        <f>'Amortisation and Repayments'!D1586</f>
        <v>10000000</v>
      </c>
      <c r="D27">
        <f>IF('Amortisation and Repayments'!D1587&lt;1,'Amortisation and Repayments'!D1587*100,'Amortisation and Repayments'!D1587)</f>
        <v>10</v>
      </c>
      <c r="E27">
        <v>1584</v>
      </c>
      <c r="F27" t="str">
        <f>HYPERLINK("#'Amortisation and Repayments'!C1584","open")</f>
        <v>open</v>
      </c>
      <c r="G27">
        <v>32</v>
      </c>
      <c r="H27" t="str">
        <f>'Loan Book'!E32</f>
        <v>L J Traders &amp; Suppliers</v>
      </c>
      <c r="I27" t="str">
        <f>Mapping!J29</f>
        <v>000104450000027</v>
      </c>
      <c r="J27" t="s">
        <v>261</v>
      </c>
      <c r="K27" t="s">
        <v>263</v>
      </c>
      <c r="L27" t="s">
        <v>270</v>
      </c>
      <c r="M27" t="s">
        <v>329</v>
      </c>
      <c r="N27" t="s">
        <v>330</v>
      </c>
      <c r="O27" s="427" t="s">
        <v>331</v>
      </c>
      <c r="P27" t="s">
        <v>261</v>
      </c>
      <c r="Q27" t="s">
        <v>256</v>
      </c>
    </row>
    <row r="28" spans="1:17" x14ac:dyDescent="0.35">
      <c r="A28">
        <v>27</v>
      </c>
      <c r="B28" t="str">
        <f>'Amortisation and Repayments'!C1624</f>
        <v>Chikwendeni General Dealers</v>
      </c>
      <c r="C28" s="427">
        <f>'Amortisation and Repayments'!D1626</f>
        <v>24000000</v>
      </c>
      <c r="D28">
        <f>IF('Amortisation and Repayments'!D1627&lt;1,'Amortisation and Repayments'!D1627*100,'Amortisation and Repayments'!D1627)</f>
        <v>10</v>
      </c>
      <c r="E28">
        <v>1624</v>
      </c>
      <c r="F28" t="str">
        <f>HYPERLINK("#'Amortisation and Repayments'!C1624","open")</f>
        <v>open</v>
      </c>
      <c r="G28">
        <v>33</v>
      </c>
      <c r="H28" t="str">
        <f>'Loan Book'!E33</f>
        <v>Chikwendeni General Dealers</v>
      </c>
      <c r="I28" t="str">
        <f>Mapping!J30</f>
        <v>000104450000028</v>
      </c>
      <c r="J28" t="s">
        <v>261</v>
      </c>
      <c r="K28" t="s">
        <v>263</v>
      </c>
      <c r="L28" t="s">
        <v>270</v>
      </c>
      <c r="M28" t="s">
        <v>329</v>
      </c>
      <c r="N28" t="s">
        <v>330</v>
      </c>
      <c r="O28" s="427" t="s">
        <v>332</v>
      </c>
      <c r="P28" t="s">
        <v>261</v>
      </c>
      <c r="Q28" t="s">
        <v>256</v>
      </c>
    </row>
    <row r="29" spans="1:17" x14ac:dyDescent="0.35">
      <c r="A29">
        <v>28</v>
      </c>
      <c r="B29" t="str">
        <f>'Amortisation and Repayments'!C1664</f>
        <v>Agwenda Investment Ltd</v>
      </c>
      <c r="C29" s="427">
        <f>'Amortisation and Repayments'!D1666</f>
        <v>24000000</v>
      </c>
      <c r="D29">
        <f>IF('Amortisation and Repayments'!D1667&lt;1,'Amortisation and Repayments'!D1667*100,'Amortisation and Repayments'!D1667)</f>
        <v>10</v>
      </c>
      <c r="E29">
        <v>1664</v>
      </c>
      <c r="F29" t="str">
        <f>HYPERLINK("#'Amortisation and Repayments'!C1664","open")</f>
        <v>open</v>
      </c>
      <c r="G29">
        <v>34</v>
      </c>
      <c r="H29" t="str">
        <f>'Loan Book'!E34</f>
        <v>Agwenda Investment Ltd</v>
      </c>
      <c r="I29" t="str">
        <f>Mapping!J31</f>
        <v>000104460000029</v>
      </c>
      <c r="J29" t="s">
        <v>261</v>
      </c>
      <c r="K29" t="s">
        <v>263</v>
      </c>
      <c r="L29" t="s">
        <v>264</v>
      </c>
      <c r="M29" t="s">
        <v>333</v>
      </c>
      <c r="N29" t="s">
        <v>334</v>
      </c>
      <c r="O29" s="427" t="s">
        <v>335</v>
      </c>
      <c r="P29" t="s">
        <v>261</v>
      </c>
      <c r="Q29" t="s">
        <v>256</v>
      </c>
    </row>
    <row r="30" spans="1:17" x14ac:dyDescent="0.35">
      <c r="A30">
        <v>29</v>
      </c>
      <c r="B30" t="str">
        <f>'Amortisation and Repayments'!C1705</f>
        <v>Perisha Agro &amp; Packaging Enterprise</v>
      </c>
      <c r="C30" s="427">
        <f>'Amortisation and Repayments'!D1707</f>
        <v>12000000</v>
      </c>
      <c r="D30">
        <f>IF('Amortisation and Repayments'!D1708&lt;1,'Amortisation and Repayments'!D1708*100,'Amortisation and Repayments'!D1708)</f>
        <v>10</v>
      </c>
      <c r="E30">
        <v>1705</v>
      </c>
      <c r="F30" t="str">
        <f>HYPERLINK("#'Amortisation and Repayments'!C1705","open")</f>
        <v>open</v>
      </c>
      <c r="G30">
        <v>35</v>
      </c>
      <c r="H30" t="str">
        <f>'Loan Book'!E35</f>
        <v>Perisha Agro and packaging Enterprise</v>
      </c>
      <c r="I30" t="str">
        <f>Mapping!J32</f>
        <v>000104450000030</v>
      </c>
      <c r="J30" t="s">
        <v>261</v>
      </c>
      <c r="K30" t="s">
        <v>263</v>
      </c>
      <c r="L30" t="s">
        <v>336</v>
      </c>
      <c r="M30" t="s">
        <v>333</v>
      </c>
      <c r="N30" t="s">
        <v>337</v>
      </c>
      <c r="O30" s="427" t="s">
        <v>338</v>
      </c>
      <c r="P30" t="s">
        <v>261</v>
      </c>
      <c r="Q30" t="s">
        <v>256</v>
      </c>
    </row>
    <row r="31" spans="1:17" x14ac:dyDescent="0.35">
      <c r="A31">
        <v>30</v>
      </c>
      <c r="B31" t="str">
        <f>'Amortisation and Repayments'!C1749</f>
        <v>Pamela Investments</v>
      </c>
      <c r="C31" s="427">
        <f>'Amortisation and Repayments'!D1751</f>
        <v>10000000</v>
      </c>
      <c r="D31">
        <f>IF('Amortisation and Repayments'!D1752&lt;1,'Amortisation and Repayments'!D1752*100,'Amortisation and Repayments'!D1752)</f>
        <v>10</v>
      </c>
      <c r="E31">
        <v>1749</v>
      </c>
      <c r="F31" t="str">
        <f>HYPERLINK("#'Amortisation and Repayments'!C1749","open")</f>
        <v>open</v>
      </c>
      <c r="G31">
        <v>36</v>
      </c>
      <c r="H31" t="str">
        <f>'Loan Book'!E36</f>
        <v>Pamela Investments</v>
      </c>
      <c r="I31" t="str">
        <f>Mapping!J33</f>
        <v>000104460000031</v>
      </c>
      <c r="J31" t="s">
        <v>261</v>
      </c>
      <c r="K31" t="s">
        <v>263</v>
      </c>
      <c r="L31" t="s">
        <v>264</v>
      </c>
      <c r="M31" t="s">
        <v>339</v>
      </c>
      <c r="N31" t="s">
        <v>334</v>
      </c>
      <c r="O31" s="427" t="s">
        <v>340</v>
      </c>
      <c r="P31" t="s">
        <v>261</v>
      </c>
      <c r="Q31" t="s">
        <v>256</v>
      </c>
    </row>
    <row r="32" spans="1:17" x14ac:dyDescent="0.35">
      <c r="A32">
        <v>31</v>
      </c>
      <c r="B32" t="str">
        <f>'Amortisation and Repayments'!C1790</f>
        <v>African Honey Products</v>
      </c>
      <c r="C32" s="427">
        <f>'Amortisation and Repayments'!D1792</f>
        <v>50000000</v>
      </c>
      <c r="D32">
        <f>IF('Amortisation and Repayments'!D1793&lt;1,'Amortisation and Repayments'!D1793*100,'Amortisation and Repayments'!D1793)</f>
        <v>21.5</v>
      </c>
      <c r="E32">
        <v>1790</v>
      </c>
      <c r="F32" t="str">
        <f>HYPERLINK("#'Amortisation and Repayments'!C1790","open")</f>
        <v>open</v>
      </c>
      <c r="G32">
        <v>37</v>
      </c>
      <c r="H32" t="str">
        <f>'Loan Book'!E37</f>
        <v>African Honey products Industries</v>
      </c>
      <c r="I32" t="str">
        <f>Mapping!J34</f>
        <v>000104420000032</v>
      </c>
      <c r="J32" t="s">
        <v>261</v>
      </c>
      <c r="K32" t="s">
        <v>257</v>
      </c>
      <c r="L32" t="s">
        <v>294</v>
      </c>
      <c r="M32" t="s">
        <v>341</v>
      </c>
      <c r="N32" t="s">
        <v>342</v>
      </c>
      <c r="O32" s="427" t="s">
        <v>343</v>
      </c>
      <c r="P32" t="s">
        <v>261</v>
      </c>
      <c r="Q32" t="s">
        <v>268</v>
      </c>
    </row>
    <row r="33" spans="1:17" x14ac:dyDescent="0.35">
      <c r="A33">
        <v>32</v>
      </c>
      <c r="B33" t="str">
        <f>'Amortisation and Repayments'!C1868</f>
        <v>MMM Investments</v>
      </c>
      <c r="C33" s="427">
        <f>'Amortisation and Repayments'!D1870</f>
        <v>10000000</v>
      </c>
      <c r="D33">
        <f>IF('Amortisation and Repayments'!D1871&lt;1,'Amortisation and Repayments'!D1871*100,'Amortisation and Repayments'!D1871)</f>
        <v>10</v>
      </c>
      <c r="E33">
        <v>1868</v>
      </c>
      <c r="F33" t="str">
        <f>HYPERLINK("#'Amortisation and Repayments'!C1868","open")</f>
        <v>open</v>
      </c>
      <c r="G33">
        <v>39</v>
      </c>
      <c r="H33" t="str">
        <f>'Loan Book'!E39</f>
        <v>MMM Investments</v>
      </c>
      <c r="I33" t="str">
        <f>Mapping!J36</f>
        <v>000104450000034</v>
      </c>
      <c r="J33" t="s">
        <v>261</v>
      </c>
      <c r="K33" t="s">
        <v>263</v>
      </c>
      <c r="L33" t="s">
        <v>270</v>
      </c>
      <c r="M33" t="s">
        <v>344</v>
      </c>
      <c r="N33" t="s">
        <v>334</v>
      </c>
      <c r="O33" s="427" t="s">
        <v>267</v>
      </c>
      <c r="P33" t="s">
        <v>261</v>
      </c>
      <c r="Q33" t="s">
        <v>256</v>
      </c>
    </row>
    <row r="34" spans="1:17" x14ac:dyDescent="0.35">
      <c r="A34">
        <v>33</v>
      </c>
      <c r="B34" t="str">
        <f>'Amortisation and Repayments'!C1915</f>
        <v>Sekuru Enterprise</v>
      </c>
      <c r="C34" s="427">
        <f>'Amortisation and Repayments'!D1917</f>
        <v>10000000</v>
      </c>
      <c r="D34">
        <f>IF('Amortisation and Repayments'!D1918&lt;1,'Amortisation and Repayments'!D1918*100,'Amortisation and Repayments'!D1918)</f>
        <v>10</v>
      </c>
      <c r="E34">
        <v>1915</v>
      </c>
      <c r="F34" t="str">
        <f>HYPERLINK("#'Amortisation and Repayments'!C1915","open")</f>
        <v>open</v>
      </c>
      <c r="G34">
        <v>40</v>
      </c>
      <c r="H34" t="str">
        <f>'Loan Book'!E40</f>
        <v>Sekuru Enterprise</v>
      </c>
      <c r="I34" t="str">
        <f>Mapping!J37</f>
        <v>000104450000035</v>
      </c>
      <c r="J34" t="s">
        <v>261</v>
      </c>
      <c r="K34" t="s">
        <v>263</v>
      </c>
      <c r="L34" t="s">
        <v>264</v>
      </c>
      <c r="M34" t="s">
        <v>344</v>
      </c>
      <c r="N34" t="s">
        <v>345</v>
      </c>
      <c r="O34" s="427" t="s">
        <v>346</v>
      </c>
      <c r="P34" t="s">
        <v>261</v>
      </c>
      <c r="Q34" t="s">
        <v>256</v>
      </c>
    </row>
    <row r="35" spans="1:17" x14ac:dyDescent="0.35">
      <c r="A35">
        <v>34</v>
      </c>
      <c r="B35" t="str">
        <f>'Amortisation and Repayments'!C1958</f>
        <v>Agribusiness Solutions Ltd</v>
      </c>
      <c r="C35" s="427">
        <f>'Amortisation and Repayments'!D1960</f>
        <v>24000000</v>
      </c>
      <c r="D35">
        <f>IF('Amortisation and Repayments'!D1961&lt;1,'Amortisation and Repayments'!D1961*100,'Amortisation and Repayments'!D1961)</f>
        <v>10</v>
      </c>
      <c r="E35">
        <v>1958</v>
      </c>
      <c r="F35" t="str">
        <f>HYPERLINK("#'Amortisation and Repayments'!C1958","open")</f>
        <v>open</v>
      </c>
      <c r="G35">
        <v>41</v>
      </c>
      <c r="H35" t="str">
        <f>'Loan Book'!E41</f>
        <v>Agribusiness Solutions Ltd</v>
      </c>
      <c r="I35" t="str">
        <f>Mapping!J38</f>
        <v>000104450000036</v>
      </c>
      <c r="J35" t="s">
        <v>261</v>
      </c>
      <c r="K35" t="s">
        <v>263</v>
      </c>
      <c r="L35" t="s">
        <v>264</v>
      </c>
      <c r="M35" t="s">
        <v>179</v>
      </c>
      <c r="N35" t="s">
        <v>345</v>
      </c>
      <c r="O35" s="427" t="s">
        <v>347</v>
      </c>
      <c r="P35" t="s">
        <v>261</v>
      </c>
      <c r="Q35" t="s">
        <v>256</v>
      </c>
    </row>
    <row r="36" spans="1:17" x14ac:dyDescent="0.35">
      <c r="A36">
        <v>35</v>
      </c>
      <c r="B36" t="str">
        <f>'Amortisation and Repayments'!C2002</f>
        <v>Favoured Farms</v>
      </c>
      <c r="C36" s="427">
        <f>'Amortisation and Repayments'!D2004</f>
        <v>10000000</v>
      </c>
      <c r="D36">
        <f>IF('Amortisation and Repayments'!D2005&lt;1,'Amortisation and Repayments'!D2005*100,'Amortisation and Repayments'!D2005)</f>
        <v>10</v>
      </c>
      <c r="E36">
        <v>2002</v>
      </c>
      <c r="F36" t="str">
        <f>HYPERLINK("#'Amortisation and Repayments'!C2002","open")</f>
        <v>open</v>
      </c>
      <c r="G36">
        <v>42</v>
      </c>
      <c r="H36" t="str">
        <f>'Loan Book'!E42</f>
        <v>Favoured Farms</v>
      </c>
      <c r="I36">
        <f>Mapping!J39</f>
        <v>0</v>
      </c>
      <c r="J36" t="s">
        <v>261</v>
      </c>
      <c r="K36" t="s">
        <v>263</v>
      </c>
      <c r="L36" t="s">
        <v>264</v>
      </c>
      <c r="M36" t="s">
        <v>179</v>
      </c>
      <c r="N36" t="s">
        <v>345</v>
      </c>
      <c r="O36" s="427" t="s">
        <v>348</v>
      </c>
      <c r="P36" t="s">
        <v>261</v>
      </c>
      <c r="Q36" t="s">
        <v>256</v>
      </c>
    </row>
    <row r="37" spans="1:17" x14ac:dyDescent="0.35">
      <c r="A37">
        <v>36</v>
      </c>
      <c r="B37" t="str">
        <f>'Amortisation and Repayments'!C2043</f>
        <v>Tac Maz Investment</v>
      </c>
      <c r="C37" s="427">
        <f>'Amortisation and Repayments'!D2045</f>
        <v>10000000</v>
      </c>
      <c r="D37">
        <f>IF('Amortisation and Repayments'!D2046&lt;1,'Amortisation and Repayments'!D2046*100,'Amortisation and Repayments'!D2046)</f>
        <v>10</v>
      </c>
      <c r="E37">
        <v>2043</v>
      </c>
      <c r="F37" t="str">
        <f>HYPERLINK("#'Amortisation and Repayments'!C2043","open")</f>
        <v>open</v>
      </c>
      <c r="G37">
        <v>43</v>
      </c>
      <c r="H37" t="str">
        <f>'Loan Book'!E43</f>
        <v>Tac-Maz Investment</v>
      </c>
      <c r="I37" t="str">
        <f>Mapping!J40</f>
        <v>000104450000038</v>
      </c>
      <c r="J37" t="s">
        <v>261</v>
      </c>
      <c r="K37" t="s">
        <v>263</v>
      </c>
      <c r="L37" t="s">
        <v>349</v>
      </c>
      <c r="M37" t="s">
        <v>179</v>
      </c>
      <c r="N37" t="s">
        <v>324</v>
      </c>
      <c r="O37" s="427" t="s">
        <v>267</v>
      </c>
      <c r="P37" t="s">
        <v>261</v>
      </c>
      <c r="Q37" t="s">
        <v>256</v>
      </c>
    </row>
    <row r="38" spans="1:17" x14ac:dyDescent="0.35">
      <c r="A38">
        <v>37</v>
      </c>
      <c r="B38" t="str">
        <f>'Amortisation and Repayments'!C2091</f>
        <v>G &amp; S Home Mart and Agrodealer</v>
      </c>
      <c r="C38" s="427">
        <f>'Amortisation and Repayments'!D2093</f>
        <v>7000000</v>
      </c>
      <c r="D38">
        <f>IF('Amortisation and Repayments'!D2094&lt;1,'Amortisation and Repayments'!D2094*100,'Amortisation and Repayments'!D2094)</f>
        <v>10</v>
      </c>
      <c r="E38">
        <v>2091</v>
      </c>
      <c r="F38" t="str">
        <f>HYPERLINK("#'Amortisation and Repayments'!C2091","open")</f>
        <v>open</v>
      </c>
      <c r="G38">
        <v>44</v>
      </c>
      <c r="H38" t="str">
        <f>'Loan Book'!E44</f>
        <v>G &amp; S Home Mart &amp; Agrodealer</v>
      </c>
      <c r="I38" t="str">
        <f>Mapping!J41</f>
        <v>000104450000039</v>
      </c>
      <c r="J38" t="s">
        <v>261</v>
      </c>
      <c r="K38" t="s">
        <v>263</v>
      </c>
      <c r="L38" t="s">
        <v>264</v>
      </c>
      <c r="M38" t="s">
        <v>179</v>
      </c>
      <c r="N38" t="s">
        <v>345</v>
      </c>
      <c r="O38" s="427" t="s">
        <v>350</v>
      </c>
      <c r="P38" t="s">
        <v>261</v>
      </c>
      <c r="Q38" t="s">
        <v>256</v>
      </c>
    </row>
    <row r="39" spans="1:17" x14ac:dyDescent="0.35">
      <c r="A39">
        <v>38</v>
      </c>
      <c r="B39" t="str">
        <f>'Amortisation and Repayments'!C2133</f>
        <v>Ziweto Enterprise</v>
      </c>
      <c r="C39" s="427">
        <f>'Amortisation and Repayments'!D2135</f>
        <v>152910000</v>
      </c>
      <c r="D39">
        <f>IF('Amortisation and Repayments'!D2136&lt;1,'Amortisation and Repayments'!D2136*100,'Amortisation and Repayments'!D2136)</f>
        <v>20.75</v>
      </c>
      <c r="E39">
        <v>2133</v>
      </c>
      <c r="F39" t="str">
        <f>HYPERLINK("#'Amortisation and Repayments'!C2133","open")</f>
        <v>open</v>
      </c>
      <c r="G39">
        <v>45</v>
      </c>
      <c r="H39" t="str">
        <f>'Loan Book'!E45</f>
        <v>Ziweto Enterprise</v>
      </c>
      <c r="I39" t="str">
        <f>Mapping!J42</f>
        <v>000104420000040</v>
      </c>
      <c r="J39" t="s">
        <v>261</v>
      </c>
      <c r="K39" t="s">
        <v>351</v>
      </c>
      <c r="L39" t="s">
        <v>300</v>
      </c>
      <c r="M39" t="s">
        <v>352</v>
      </c>
      <c r="N39" t="s">
        <v>275</v>
      </c>
      <c r="O39" s="427" t="s">
        <v>353</v>
      </c>
      <c r="P39" t="s">
        <v>261</v>
      </c>
      <c r="Q39" t="s">
        <v>256</v>
      </c>
    </row>
    <row r="40" spans="1:17" x14ac:dyDescent="0.35">
      <c r="A40">
        <v>39</v>
      </c>
      <c r="B40" t="str">
        <f>'Amortisation and Repayments'!C2198</f>
        <v>First draw down</v>
      </c>
      <c r="C40" s="427">
        <f>'Amortisation and Repayments'!D2199</f>
        <v>4546920</v>
      </c>
      <c r="D40">
        <f>IF('Amortisation and Repayments'!D2200&lt;1,'Amortisation and Repayments'!D2200*100,'Amortisation and Repayments'!D2200)</f>
        <v>10</v>
      </c>
      <c r="E40">
        <v>2198</v>
      </c>
      <c r="F40" t="str">
        <f>HYPERLINK("#'Amortisation and Repayments'!C2198","open")</f>
        <v>open</v>
      </c>
      <c r="J40" t="s">
        <v>261</v>
      </c>
      <c r="K40" t="s">
        <v>263</v>
      </c>
      <c r="L40" t="s">
        <v>264</v>
      </c>
      <c r="M40" t="s">
        <v>354</v>
      </c>
      <c r="N40" t="s">
        <v>345</v>
      </c>
      <c r="O40" s="427" t="s">
        <v>267</v>
      </c>
      <c r="P40" t="s">
        <v>261</v>
      </c>
      <c r="Q40" t="s">
        <v>355</v>
      </c>
    </row>
    <row r="41" spans="1:17" x14ac:dyDescent="0.35">
      <c r="A41">
        <v>40</v>
      </c>
      <c r="B41" t="str">
        <f>'Amortisation and Repayments'!C2238</f>
        <v>First draw down</v>
      </c>
      <c r="C41" s="427">
        <f>'Amortisation and Repayments'!D2239</f>
        <v>5635580</v>
      </c>
      <c r="D41">
        <f>IF('Amortisation and Repayments'!D2240&lt;1,'Amortisation and Repayments'!D2240*100,'Amortisation and Repayments'!D2240)</f>
        <v>10</v>
      </c>
      <c r="E41">
        <v>2238</v>
      </c>
      <c r="F41" t="str">
        <f>HYPERLINK("#'Amortisation and Repayments'!C2238","open")</f>
        <v>open</v>
      </c>
      <c r="J41" t="s">
        <v>261</v>
      </c>
      <c r="K41" t="s">
        <v>263</v>
      </c>
      <c r="L41" t="s">
        <v>264</v>
      </c>
      <c r="M41" t="s">
        <v>356</v>
      </c>
      <c r="N41" t="s">
        <v>357</v>
      </c>
      <c r="O41" s="427" t="s">
        <v>358</v>
      </c>
      <c r="P41" t="s">
        <v>261</v>
      </c>
      <c r="Q41" t="s">
        <v>355</v>
      </c>
    </row>
    <row r="42" spans="1:17" x14ac:dyDescent="0.35">
      <c r="A42">
        <v>41</v>
      </c>
      <c r="B42" t="str">
        <f>'Amortisation and Repayments'!C2279</f>
        <v>First draw down</v>
      </c>
      <c r="C42" s="427">
        <f>'Amortisation and Repayments'!D2280</f>
        <v>11423340</v>
      </c>
      <c r="D42">
        <f>IF('Amortisation and Repayments'!D2281&lt;1,'Amortisation and Repayments'!D2281*100,'Amortisation and Repayments'!D2281)</f>
        <v>10</v>
      </c>
      <c r="E42">
        <v>2279</v>
      </c>
      <c r="F42" t="str">
        <f>HYPERLINK("#'Amortisation and Repayments'!C2279","open")</f>
        <v>open</v>
      </c>
      <c r="G42">
        <v>47</v>
      </c>
      <c r="H42" t="str">
        <f>'Loan Book'!E47</f>
        <v>Zikometso Smallholder Farmers Association</v>
      </c>
      <c r="I42" t="str">
        <f>Mapping!J44</f>
        <v>000104450000042</v>
      </c>
      <c r="J42" t="s">
        <v>261</v>
      </c>
      <c r="K42" t="s">
        <v>263</v>
      </c>
      <c r="L42" t="s">
        <v>264</v>
      </c>
      <c r="M42" t="s">
        <v>356</v>
      </c>
      <c r="N42" t="s">
        <v>357</v>
      </c>
      <c r="O42" s="427" t="s">
        <v>359</v>
      </c>
      <c r="P42" t="s">
        <v>261</v>
      </c>
      <c r="Q42" t="s">
        <v>360</v>
      </c>
    </row>
    <row r="43" spans="1:17" x14ac:dyDescent="0.35">
      <c r="A43">
        <v>42</v>
      </c>
      <c r="B43" t="str">
        <f>'Amortisation and Repayments'!C2318</f>
        <v>The Food Empire</v>
      </c>
      <c r="C43" s="427">
        <f>'Amortisation and Repayments'!D2320</f>
        <v>154724500</v>
      </c>
      <c r="D43">
        <f>IF('Amortisation and Repayments'!D2321&lt;1,'Amortisation and Repayments'!D2321*100,'Amortisation and Repayments'!D2321)</f>
        <v>21.9</v>
      </c>
      <c r="E43">
        <v>2318</v>
      </c>
      <c r="F43" t="str">
        <f>HYPERLINK("#'Amortisation and Repayments'!C2318","open")</f>
        <v>open</v>
      </c>
      <c r="G43">
        <v>48</v>
      </c>
      <c r="H43" t="str">
        <f>'Loan Book'!E48</f>
        <v>The Food Empire Limited</v>
      </c>
      <c r="I43" t="str">
        <f>Mapping!J45</f>
        <v>000104420000043</v>
      </c>
      <c r="J43" t="s">
        <v>261</v>
      </c>
      <c r="K43" t="s">
        <v>257</v>
      </c>
      <c r="L43" t="s">
        <v>300</v>
      </c>
      <c r="M43" t="s">
        <v>361</v>
      </c>
      <c r="N43" t="s">
        <v>362</v>
      </c>
      <c r="O43" s="427" t="s">
        <v>363</v>
      </c>
      <c r="P43" t="s">
        <v>261</v>
      </c>
      <c r="Q43" t="s">
        <v>256</v>
      </c>
    </row>
    <row r="44" spans="1:17" x14ac:dyDescent="0.35">
      <c r="A44">
        <v>43</v>
      </c>
      <c r="B44" t="str">
        <f>'Amortisation and Repayments'!C2384</f>
        <v>Global Seeds Ltd</v>
      </c>
      <c r="C44" s="427">
        <f>'Amortisation and Repayments'!D2386</f>
        <v>103225546</v>
      </c>
      <c r="D44">
        <f>IF('Amortisation and Repayments'!D2387&lt;1,'Amortisation and Repayments'!D2387*100,'Amortisation and Repayments'!D2387)</f>
        <v>21.9</v>
      </c>
      <c r="E44">
        <v>2384</v>
      </c>
      <c r="F44" t="str">
        <f>HYPERLINK("#'Amortisation and Repayments'!C2384","open")</f>
        <v>open</v>
      </c>
      <c r="G44">
        <v>49</v>
      </c>
      <c r="H44" t="str">
        <f>'Loan Book'!E49</f>
        <v>Global Seeds Ltd</v>
      </c>
      <c r="I44" t="str">
        <f>Mapping!J46</f>
        <v>000104420000044</v>
      </c>
      <c r="J44" t="s">
        <v>261</v>
      </c>
      <c r="K44" t="s">
        <v>351</v>
      </c>
      <c r="L44" t="s">
        <v>311</v>
      </c>
      <c r="M44" t="s">
        <v>364</v>
      </c>
      <c r="N44" t="s">
        <v>292</v>
      </c>
      <c r="O44" s="427" t="s">
        <v>365</v>
      </c>
      <c r="P44" t="s">
        <v>261</v>
      </c>
      <c r="Q44" t="s">
        <v>256</v>
      </c>
    </row>
    <row r="45" spans="1:17" x14ac:dyDescent="0.35">
      <c r="A45">
        <v>44</v>
      </c>
      <c r="B45" t="str">
        <f>'Amortisation and Repayments'!C2437</f>
        <v>Walusiya</v>
      </c>
      <c r="C45" s="427">
        <f>'Amortisation and Repayments'!D2439</f>
        <v>10000000</v>
      </c>
      <c r="D45">
        <f>IF('Amortisation and Repayments'!D2440&lt;1,'Amortisation and Repayments'!D2440*100,'Amortisation and Repayments'!D2440)</f>
        <v>10</v>
      </c>
      <c r="E45">
        <v>2437</v>
      </c>
      <c r="F45" t="str">
        <f>HYPERLINK("#'Amortisation and Repayments'!C2437","open")</f>
        <v>open</v>
      </c>
      <c r="G45">
        <v>50</v>
      </c>
      <c r="H45" t="str">
        <f>'Loan Book'!E50</f>
        <v>Walusiya Investment</v>
      </c>
      <c r="I45" t="str">
        <f>Mapping!J47</f>
        <v>000104450000045</v>
      </c>
      <c r="J45" t="s">
        <v>261</v>
      </c>
      <c r="K45" t="s">
        <v>263</v>
      </c>
      <c r="L45" t="s">
        <v>264</v>
      </c>
      <c r="M45" t="s">
        <v>366</v>
      </c>
      <c r="N45" t="s">
        <v>367</v>
      </c>
      <c r="O45" s="427" t="s">
        <v>338</v>
      </c>
      <c r="P45" t="s">
        <v>261</v>
      </c>
      <c r="Q45" t="s">
        <v>256</v>
      </c>
    </row>
    <row r="46" spans="1:17" x14ac:dyDescent="0.35">
      <c r="A46">
        <v>45</v>
      </c>
      <c r="B46" t="str">
        <f>'Amortisation and Repayments'!C2478</f>
        <v>G &amp; T General Dealers</v>
      </c>
      <c r="C46" s="427">
        <f>'Amortisation and Repayments'!D2480</f>
        <v>12000000</v>
      </c>
      <c r="D46">
        <f>IF('Amortisation and Repayments'!D2481&lt;1,'Amortisation and Repayments'!D2481*100,'Amortisation and Repayments'!D2481)</f>
        <v>10</v>
      </c>
      <c r="E46">
        <v>2478</v>
      </c>
      <c r="F46" t="str">
        <f>HYPERLINK("#'Amortisation and Repayments'!C2478","open")</f>
        <v>open</v>
      </c>
      <c r="G46">
        <v>51</v>
      </c>
      <c r="H46" t="str">
        <f>'Loan Book'!E51</f>
        <v>G&amp;T General Dealers</v>
      </c>
      <c r="I46" t="str">
        <f>Mapping!J48</f>
        <v>000104450000046</v>
      </c>
      <c r="J46" t="s">
        <v>261</v>
      </c>
      <c r="K46" t="s">
        <v>263</v>
      </c>
      <c r="L46" t="s">
        <v>264</v>
      </c>
      <c r="M46" t="s">
        <v>366</v>
      </c>
      <c r="N46" t="s">
        <v>367</v>
      </c>
      <c r="O46" s="427" t="s">
        <v>368</v>
      </c>
      <c r="P46" t="s">
        <v>261</v>
      </c>
      <c r="Q46" t="s">
        <v>256</v>
      </c>
    </row>
    <row r="47" spans="1:17" x14ac:dyDescent="0.35">
      <c r="A47">
        <v>46</v>
      </c>
      <c r="B47" t="str">
        <f>'Amortisation and Repayments'!C2519</f>
        <v>Rose Harris Investment</v>
      </c>
      <c r="C47" s="427">
        <f>'Amortisation and Repayments'!D2521</f>
        <v>24000000</v>
      </c>
      <c r="D47">
        <f>IF('Amortisation and Repayments'!D2522&lt;1,'Amortisation and Repayments'!D2522*100,'Amortisation and Repayments'!D2522)</f>
        <v>10</v>
      </c>
      <c r="E47">
        <v>2519</v>
      </c>
      <c r="F47" t="str">
        <f>HYPERLINK("#'Amortisation and Repayments'!C2519","open")</f>
        <v>open</v>
      </c>
      <c r="G47">
        <v>52</v>
      </c>
      <c r="H47" t="str">
        <f>'Loan Book'!E52</f>
        <v>Rose Harris Investment</v>
      </c>
      <c r="I47" t="str">
        <f>Mapping!J49</f>
        <v>000104450000047</v>
      </c>
      <c r="J47" t="s">
        <v>261</v>
      </c>
      <c r="K47" t="s">
        <v>263</v>
      </c>
      <c r="L47" t="s">
        <v>264</v>
      </c>
      <c r="M47" t="s">
        <v>369</v>
      </c>
      <c r="N47" t="s">
        <v>367</v>
      </c>
      <c r="O47" s="427" t="s">
        <v>267</v>
      </c>
      <c r="P47" t="s">
        <v>261</v>
      </c>
      <c r="Q47" t="s">
        <v>256</v>
      </c>
    </row>
    <row r="48" spans="1:17" x14ac:dyDescent="0.35">
      <c r="A48">
        <v>47</v>
      </c>
      <c r="B48" t="str">
        <f>'Amortisation and Repayments'!C2561</f>
        <v>Kaning'a General Dealer</v>
      </c>
      <c r="C48" s="427">
        <f>'Amortisation and Repayments'!D2563</f>
        <v>24000000</v>
      </c>
      <c r="D48">
        <f>IF('Amortisation and Repayments'!D2564&lt;1,'Amortisation and Repayments'!D2564*100,'Amortisation and Repayments'!D2564)</f>
        <v>10</v>
      </c>
      <c r="E48">
        <v>2561</v>
      </c>
      <c r="F48" t="str">
        <f>HYPERLINK("#'Amortisation and Repayments'!C2561","open")</f>
        <v>open</v>
      </c>
      <c r="G48">
        <v>53</v>
      </c>
      <c r="H48" t="str">
        <f>'Loan Book'!E53</f>
        <v>Kaning'a General Dealer</v>
      </c>
      <c r="I48" t="str">
        <f>Mapping!J50</f>
        <v>000104450000048</v>
      </c>
      <c r="J48" t="s">
        <v>261</v>
      </c>
      <c r="K48" t="s">
        <v>263</v>
      </c>
      <c r="L48" t="s">
        <v>264</v>
      </c>
      <c r="M48" t="s">
        <v>370</v>
      </c>
      <c r="N48" t="s">
        <v>367</v>
      </c>
      <c r="O48" s="427" t="s">
        <v>371</v>
      </c>
      <c r="P48" t="s">
        <v>261</v>
      </c>
      <c r="Q48" t="s">
        <v>256</v>
      </c>
    </row>
    <row r="49" spans="1:17" x14ac:dyDescent="0.35">
      <c r="A49">
        <v>48</v>
      </c>
      <c r="B49" t="str">
        <f>'Amortisation and Repayments'!C2605</f>
        <v>Uchi Conservation Ltd</v>
      </c>
      <c r="C49" s="427">
        <f>'Amortisation and Repayments'!D2607</f>
        <v>10000000</v>
      </c>
      <c r="D49">
        <f>IF('Amortisation and Repayments'!D2608&lt;1,'Amortisation and Repayments'!D2608*100,'Amortisation and Repayments'!D2608)</f>
        <v>10</v>
      </c>
      <c r="E49">
        <v>2605</v>
      </c>
      <c r="F49" t="str">
        <f>HYPERLINK("#'Amortisation and Repayments'!C2605","open")</f>
        <v>open</v>
      </c>
      <c r="G49">
        <v>54</v>
      </c>
      <c r="H49" t="str">
        <f>'Loan Book'!E54</f>
        <v>Uchi Conservation Limited</v>
      </c>
      <c r="I49" t="str">
        <f>Mapping!J51</f>
        <v>000104450000049</v>
      </c>
      <c r="J49" t="s">
        <v>261</v>
      </c>
      <c r="K49" t="s">
        <v>263</v>
      </c>
      <c r="L49" t="s">
        <v>264</v>
      </c>
      <c r="M49" t="s">
        <v>372</v>
      </c>
      <c r="N49" t="s">
        <v>373</v>
      </c>
      <c r="O49" s="427" t="s">
        <v>267</v>
      </c>
      <c r="P49" t="s">
        <v>261</v>
      </c>
      <c r="Q49" t="s">
        <v>256</v>
      </c>
    </row>
    <row r="50" spans="1:17" x14ac:dyDescent="0.35">
      <c r="A50">
        <v>49</v>
      </c>
      <c r="B50" t="str">
        <f>'Amortisation and Repayments'!C2647</f>
        <v>Greendom Farming</v>
      </c>
      <c r="C50" s="427">
        <f>'Amortisation and Repayments'!D2649</f>
        <v>10000000</v>
      </c>
      <c r="D50">
        <f>IF('Amortisation and Repayments'!D2650&lt;1,'Amortisation and Repayments'!D2650*100,'Amortisation and Repayments'!D2650)</f>
        <v>10</v>
      </c>
      <c r="E50">
        <v>2647</v>
      </c>
      <c r="F50" t="str">
        <f>HYPERLINK("#'Amortisation and Repayments'!C2647","open")</f>
        <v>open</v>
      </c>
      <c r="G50">
        <v>55</v>
      </c>
      <c r="H50" t="str">
        <f>'Loan Book'!E55</f>
        <v>Greendom Farming</v>
      </c>
      <c r="I50" t="str">
        <f>Mapping!J52</f>
        <v>000104450000050</v>
      </c>
      <c r="J50" t="s">
        <v>261</v>
      </c>
      <c r="K50" t="s">
        <v>263</v>
      </c>
      <c r="L50" t="s">
        <v>264</v>
      </c>
      <c r="M50" t="s">
        <v>374</v>
      </c>
      <c r="N50" t="s">
        <v>373</v>
      </c>
      <c r="O50" s="427" t="s">
        <v>375</v>
      </c>
      <c r="P50" t="s">
        <v>261</v>
      </c>
      <c r="Q50" t="s">
        <v>256</v>
      </c>
    </row>
    <row r="51" spans="1:17" x14ac:dyDescent="0.35">
      <c r="A51">
        <v>50</v>
      </c>
      <c r="B51" t="str">
        <f>'Amortisation and Repayments'!C2692</f>
        <v>JAT Investments</v>
      </c>
      <c r="C51" s="427">
        <f>'Amortisation and Repayments'!D2694</f>
        <v>24000000</v>
      </c>
      <c r="D51">
        <f>IF('Amortisation and Repayments'!D2695&lt;1,'Amortisation and Repayments'!D2695*100,'Amortisation and Repayments'!D2695)</f>
        <v>10</v>
      </c>
      <c r="E51">
        <v>2692</v>
      </c>
      <c r="F51" t="str">
        <f>HYPERLINK("#'Amortisation and Repayments'!C2692","open")</f>
        <v>open</v>
      </c>
      <c r="G51">
        <v>56</v>
      </c>
      <c r="H51" t="str">
        <f>'Loan Book'!E56</f>
        <v>JAT Investments</v>
      </c>
      <c r="I51" t="str">
        <f>Mapping!J53</f>
        <v>000104450000051</v>
      </c>
      <c r="J51" t="s">
        <v>261</v>
      </c>
      <c r="K51" t="s">
        <v>263</v>
      </c>
      <c r="L51" t="s">
        <v>264</v>
      </c>
      <c r="M51" t="s">
        <v>376</v>
      </c>
      <c r="N51" t="s">
        <v>373</v>
      </c>
      <c r="O51" s="427" t="s">
        <v>267</v>
      </c>
      <c r="P51" t="s">
        <v>261</v>
      </c>
      <c r="Q51" t="s">
        <v>256</v>
      </c>
    </row>
    <row r="52" spans="1:17" x14ac:dyDescent="0.35">
      <c r="A52">
        <v>51</v>
      </c>
      <c r="B52" t="str">
        <f>'Amortisation and Repayments'!C2739</f>
        <v>Kambewu Organic Fertilizer Investments</v>
      </c>
      <c r="C52" s="427">
        <f>'Amortisation and Repayments'!D2741</f>
        <v>11138947</v>
      </c>
      <c r="D52">
        <f>IF('Amortisation and Repayments'!D2742&lt;1,'Amortisation and Repayments'!D2742*100,'Amortisation and Repayments'!D2742)</f>
        <v>24.6</v>
      </c>
      <c r="E52">
        <v>2739</v>
      </c>
      <c r="F52" t="str">
        <f>HYPERLINK("#'Amortisation and Repayments'!C2739","open")</f>
        <v>open</v>
      </c>
      <c r="G52">
        <v>57</v>
      </c>
      <c r="H52" t="str">
        <f>'Loan Book'!E57</f>
        <v>Kambewu Organic Fertilizer Investments</v>
      </c>
      <c r="I52" t="str">
        <f>Mapping!J54</f>
        <v>000104420000052</v>
      </c>
      <c r="J52" t="s">
        <v>261</v>
      </c>
      <c r="K52" t="s">
        <v>251</v>
      </c>
      <c r="L52" t="s">
        <v>300</v>
      </c>
      <c r="M52" t="s">
        <v>377</v>
      </c>
      <c r="N52" t="s">
        <v>378</v>
      </c>
      <c r="O52" s="427" t="s">
        <v>379</v>
      </c>
      <c r="P52" t="s">
        <v>261</v>
      </c>
      <c r="Q52" t="s">
        <v>268</v>
      </c>
    </row>
    <row r="53" spans="1:17" x14ac:dyDescent="0.35">
      <c r="A53">
        <v>52</v>
      </c>
      <c r="B53" t="str">
        <f>'Amortisation and Repayments'!C2809</f>
        <v>Kwithu Producers</v>
      </c>
      <c r="C53" s="427">
        <f>'Amortisation and Repayments'!D2811</f>
        <v>90900000</v>
      </c>
      <c r="D53">
        <f>IF('Amortisation and Repayments'!D2812&lt;1,'Amortisation and Repayments'!D2812*100,'Amortisation and Repayments'!D2812)</f>
        <v>10</v>
      </c>
      <c r="E53">
        <v>2809</v>
      </c>
      <c r="F53" t="str">
        <f>HYPERLINK("#'Amortisation and Repayments'!C2809","open")</f>
        <v>open</v>
      </c>
      <c r="G53">
        <v>58</v>
      </c>
      <c r="H53" t="str">
        <f>'Loan Book'!E58</f>
        <v>Kwithu Producers and Marketing Cooperativ</v>
      </c>
      <c r="I53" t="str">
        <f>Mapping!J55</f>
        <v>000104450000053</v>
      </c>
      <c r="J53" t="s">
        <v>261</v>
      </c>
      <c r="K53" t="s">
        <v>263</v>
      </c>
      <c r="L53" t="s">
        <v>311</v>
      </c>
      <c r="M53" t="s">
        <v>380</v>
      </c>
      <c r="N53" t="s">
        <v>381</v>
      </c>
      <c r="O53" s="427" t="s">
        <v>382</v>
      </c>
      <c r="P53" t="s">
        <v>261</v>
      </c>
      <c r="Q53" t="s">
        <v>256</v>
      </c>
    </row>
    <row r="54" spans="1:17" x14ac:dyDescent="0.35">
      <c r="A54">
        <v>53</v>
      </c>
      <c r="B54" t="str">
        <f>'Amortisation and Repayments'!C2864</f>
        <v>VNC Bricks</v>
      </c>
      <c r="C54" s="427">
        <f>'Amortisation and Repayments'!D2866</f>
        <v>200000000</v>
      </c>
      <c r="D54">
        <f>IF('Amortisation and Repayments'!D2867&lt;1,'Amortisation and Repayments'!D2867*100,'Amortisation and Repayments'!D2867)</f>
        <v>25.3</v>
      </c>
      <c r="E54">
        <v>2864</v>
      </c>
      <c r="F54" t="str">
        <f>HYPERLINK("#'Amortisation and Repayments'!C2864","open")</f>
        <v>open</v>
      </c>
      <c r="G54">
        <v>59</v>
      </c>
      <c r="H54" t="str">
        <f>'Loan Book'!E59</f>
        <v>VNC Bricks &amp; Construction Group Ltd</v>
      </c>
      <c r="I54" t="str">
        <f>Mapping!J56</f>
        <v>000104430000054</v>
      </c>
      <c r="J54" t="s">
        <v>261</v>
      </c>
      <c r="K54" t="s">
        <v>351</v>
      </c>
      <c r="L54" t="s">
        <v>300</v>
      </c>
      <c r="M54" t="s">
        <v>383</v>
      </c>
      <c r="N54" t="s">
        <v>384</v>
      </c>
      <c r="O54" s="427" t="s">
        <v>284</v>
      </c>
      <c r="P54" t="s">
        <v>261</v>
      </c>
      <c r="Q54" t="s">
        <v>256</v>
      </c>
    </row>
    <row r="55" spans="1:17" x14ac:dyDescent="0.35">
      <c r="A55">
        <v>54</v>
      </c>
      <c r="B55" t="str">
        <f>'Amortisation and Repayments'!C2930</f>
        <v>RUO Textiles</v>
      </c>
      <c r="C55" s="427">
        <f>'Amortisation and Repayments'!D2932</f>
        <v>70000000</v>
      </c>
      <c r="D55">
        <f>IF('Amortisation and Repayments'!D2933&lt;1,'Amortisation and Repayments'!D2933*100,'Amortisation and Repayments'!D2933)</f>
        <v>10</v>
      </c>
      <c r="E55">
        <v>2930</v>
      </c>
      <c r="F55" t="str">
        <f>HYPERLINK("#'Amortisation and Repayments'!C2930","open")</f>
        <v>open</v>
      </c>
      <c r="G55">
        <v>60</v>
      </c>
      <c r="H55" t="str">
        <f>'Loan Book'!E60</f>
        <v>Ruo Textiles Limited</v>
      </c>
      <c r="I55" t="str">
        <f>Mapping!J57</f>
        <v>000104460000055</v>
      </c>
      <c r="J55" t="s">
        <v>261</v>
      </c>
      <c r="K55" t="s">
        <v>263</v>
      </c>
      <c r="L55" t="s">
        <v>311</v>
      </c>
      <c r="M55" t="s">
        <v>383</v>
      </c>
      <c r="N55" t="s">
        <v>381</v>
      </c>
      <c r="O55" s="427" t="s">
        <v>385</v>
      </c>
      <c r="P55" t="s">
        <v>261</v>
      </c>
      <c r="Q55" t="s">
        <v>256</v>
      </c>
    </row>
    <row r="56" spans="1:17" x14ac:dyDescent="0.35">
      <c r="A56">
        <v>55</v>
      </c>
      <c r="B56" t="str">
        <f>'Amortisation and Repayments'!C2982</f>
        <v>UNDON Business Solutions</v>
      </c>
      <c r="C56" s="427">
        <f>'Amortisation and Repayments'!D2984</f>
        <v>133814780</v>
      </c>
      <c r="D56">
        <f>IF('Amortisation and Repayments'!D2985&lt;1,'Amortisation and Repayments'!D2985*100,'Amortisation and Repayments'!D2985)</f>
        <v>10</v>
      </c>
      <c r="E56">
        <v>2982</v>
      </c>
      <c r="F56" t="str">
        <f>HYPERLINK("#'Amortisation and Repayments'!C2982","open")</f>
        <v>open</v>
      </c>
      <c r="G56">
        <v>41</v>
      </c>
      <c r="H56" t="str">
        <f>'Loan Book'!E41</f>
        <v>Agribusiness Solutions Ltd</v>
      </c>
      <c r="I56" t="str">
        <f>Mapping!J38</f>
        <v>000104450000036</v>
      </c>
      <c r="J56" t="s">
        <v>261</v>
      </c>
      <c r="K56" t="s">
        <v>263</v>
      </c>
      <c r="L56" t="s">
        <v>281</v>
      </c>
      <c r="M56" t="s">
        <v>386</v>
      </c>
      <c r="N56" t="s">
        <v>288</v>
      </c>
      <c r="O56" s="427" t="s">
        <v>387</v>
      </c>
      <c r="P56" t="s">
        <v>261</v>
      </c>
      <c r="Q56" t="s">
        <v>388</v>
      </c>
    </row>
    <row r="57" spans="1:17" x14ac:dyDescent="0.35">
      <c r="A57">
        <v>56</v>
      </c>
      <c r="B57" t="str">
        <f>'Amortisation and Repayments'!C3073</f>
        <v>Debs Agro Dealer</v>
      </c>
      <c r="C57" s="427">
        <f>'Amortisation and Repayments'!D3075</f>
        <v>24000000</v>
      </c>
      <c r="D57">
        <f>IF('Amortisation and Repayments'!D3076&lt;1,'Amortisation and Repayments'!D3076*100,'Amortisation and Repayments'!D3076)</f>
        <v>10</v>
      </c>
      <c r="E57">
        <v>3073</v>
      </c>
      <c r="F57" t="str">
        <f>HYPERLINK("#'Amortisation and Repayments'!C3073","open")</f>
        <v>open</v>
      </c>
      <c r="G57">
        <v>62</v>
      </c>
      <c r="H57" t="str">
        <f>'Loan Book'!E62</f>
        <v>Debs Agrodealers</v>
      </c>
      <c r="I57" t="str">
        <f>Mapping!J59</f>
        <v>000104450000057</v>
      </c>
      <c r="J57" t="s">
        <v>261</v>
      </c>
      <c r="K57" t="s">
        <v>263</v>
      </c>
      <c r="L57" t="s">
        <v>304</v>
      </c>
      <c r="M57" t="s">
        <v>389</v>
      </c>
      <c r="N57" t="s">
        <v>324</v>
      </c>
      <c r="O57" s="427" t="s">
        <v>390</v>
      </c>
      <c r="P57" t="s">
        <v>261</v>
      </c>
      <c r="Q57" t="s">
        <v>391</v>
      </c>
    </row>
    <row r="58" spans="1:17" x14ac:dyDescent="0.35">
      <c r="A58">
        <v>57</v>
      </c>
      <c r="B58" t="str">
        <f>'Amortisation and Repayments'!C3157</f>
        <v>BenCal Technologies</v>
      </c>
      <c r="C58" s="427">
        <f>'Amortisation and Repayments'!D3159</f>
        <v>153974500</v>
      </c>
      <c r="D58">
        <f>IF('Amortisation and Repayments'!D3160&lt;1,'Amortisation and Repayments'!D3160*100,'Amortisation and Repayments'!D3160)</f>
        <v>10</v>
      </c>
      <c r="E58">
        <v>3157</v>
      </c>
      <c r="F58" t="str">
        <f>HYPERLINK("#'Amortisation and Repayments'!C3157","open")</f>
        <v>open</v>
      </c>
      <c r="G58">
        <v>64</v>
      </c>
      <c r="H58" t="str">
        <f>'Loan Book'!E64</f>
        <v>BenCal Technologies Ltd</v>
      </c>
      <c r="I58" t="str">
        <f>Mapping!J61</f>
        <v>000104460000059</v>
      </c>
      <c r="J58" t="s">
        <v>261</v>
      </c>
      <c r="K58" t="s">
        <v>263</v>
      </c>
      <c r="L58" t="s">
        <v>294</v>
      </c>
      <c r="M58" t="s">
        <v>392</v>
      </c>
      <c r="N58" t="s">
        <v>324</v>
      </c>
      <c r="O58" s="427" t="s">
        <v>393</v>
      </c>
      <c r="P58" t="s">
        <v>261</v>
      </c>
      <c r="Q58" t="s">
        <v>256</v>
      </c>
    </row>
    <row r="59" spans="1:17" x14ac:dyDescent="0.35">
      <c r="A59">
        <v>58</v>
      </c>
      <c r="B59" t="str">
        <f>'Amortisation and Repayments'!C3235</f>
        <v>Chuma Mkandawire T/A Chikoma Estates</v>
      </c>
      <c r="C59" s="427">
        <f>'Amortisation and Repayments'!D3237</f>
        <v>20000000</v>
      </c>
      <c r="D59">
        <f>IF('Amortisation and Repayments'!D3238&lt;1,'Amortisation and Repayments'!D3238*100,'Amortisation and Repayments'!D3238)</f>
        <v>10</v>
      </c>
      <c r="E59">
        <v>3235</v>
      </c>
      <c r="F59" t="str">
        <f>HYPERLINK("#'Amortisation and Repayments'!C3235","open")</f>
        <v>open</v>
      </c>
      <c r="G59">
        <v>65</v>
      </c>
      <c r="H59" t="str">
        <f>'Loan Book'!E65</f>
        <v>Chuma Mkandawire TA Chikoma Estates</v>
      </c>
      <c r="I59" t="str">
        <f>Mapping!J62</f>
        <v>000104450000082</v>
      </c>
      <c r="J59" t="s">
        <v>261</v>
      </c>
      <c r="K59" t="s">
        <v>263</v>
      </c>
      <c r="L59" t="s">
        <v>257</v>
      </c>
      <c r="M59" t="s">
        <v>394</v>
      </c>
      <c r="N59" t="s">
        <v>395</v>
      </c>
      <c r="O59" s="427" t="s">
        <v>396</v>
      </c>
      <c r="P59" t="s">
        <v>261</v>
      </c>
      <c r="Q59" t="s">
        <v>397</v>
      </c>
    </row>
    <row r="60" spans="1:17" x14ac:dyDescent="0.35">
      <c r="A60">
        <v>59</v>
      </c>
      <c r="B60" t="str">
        <f>'Amortisation and Repayments'!C3264</f>
        <v>Imani Investments</v>
      </c>
      <c r="C60" s="427">
        <f>'Amortisation and Repayments'!D3266</f>
        <v>24000000</v>
      </c>
      <c r="D60">
        <f>IF('Amortisation and Repayments'!D3267&lt;1,'Amortisation and Repayments'!D3267*100,'Amortisation and Repayments'!D3267)</f>
        <v>10</v>
      </c>
      <c r="E60">
        <v>3264</v>
      </c>
      <c r="F60" t="str">
        <f>HYPERLINK("#'Amortisation and Repayments'!C3264","open")</f>
        <v>open</v>
      </c>
      <c r="G60">
        <v>66</v>
      </c>
      <c r="H60" t="str">
        <f>'Loan Book'!E66</f>
        <v>Imani Investments</v>
      </c>
      <c r="I60" t="str">
        <f>Mapping!J63</f>
        <v>000104460000061</v>
      </c>
      <c r="J60" t="s">
        <v>261</v>
      </c>
      <c r="K60" t="s">
        <v>263</v>
      </c>
      <c r="L60" t="s">
        <v>264</v>
      </c>
      <c r="M60" t="s">
        <v>398</v>
      </c>
      <c r="N60" t="s">
        <v>399</v>
      </c>
      <c r="O60" s="427" t="s">
        <v>400</v>
      </c>
      <c r="P60" t="s">
        <v>261</v>
      </c>
      <c r="Q60" t="s">
        <v>256</v>
      </c>
    </row>
    <row r="61" spans="1:17" x14ac:dyDescent="0.35">
      <c r="A61">
        <v>60</v>
      </c>
      <c r="B61" t="str">
        <f>'Amortisation and Repayments'!C3304</f>
        <v>Happie Foods</v>
      </c>
      <c r="C61" s="427">
        <f>'Amortisation and Repayments'!D3306</f>
        <v>257860750</v>
      </c>
      <c r="D61">
        <f>IF('Amortisation and Repayments'!D3307&lt;1,'Amortisation and Repayments'!D3307*100,'Amortisation and Repayments'!D3307)</f>
        <v>25.3</v>
      </c>
      <c r="E61">
        <v>3304</v>
      </c>
      <c r="F61" t="str">
        <f>HYPERLINK("#'Amortisation and Repayments'!C3304","open")</f>
        <v>open</v>
      </c>
      <c r="G61">
        <v>67</v>
      </c>
      <c r="H61" t="str">
        <f>'Loan Book'!E67</f>
        <v>Happie Foods Limited</v>
      </c>
      <c r="I61" t="str">
        <f>Mapping!J64</f>
        <v>000104420000062</v>
      </c>
      <c r="J61" t="s">
        <v>261</v>
      </c>
      <c r="K61" t="s">
        <v>351</v>
      </c>
      <c r="L61" t="s">
        <v>300</v>
      </c>
      <c r="M61" t="s">
        <v>401</v>
      </c>
      <c r="N61" t="s">
        <v>384</v>
      </c>
      <c r="O61" s="427" t="s">
        <v>267</v>
      </c>
      <c r="P61" t="s">
        <v>261</v>
      </c>
      <c r="Q61" t="s">
        <v>256</v>
      </c>
    </row>
    <row r="62" spans="1:17" x14ac:dyDescent="0.35">
      <c r="A62">
        <v>61</v>
      </c>
      <c r="B62" t="str">
        <f>'Amortisation and Repayments'!C3370</f>
        <v>Msusa Investments Ltd</v>
      </c>
      <c r="C62" s="427">
        <f>'Amortisation and Repayments'!D3372</f>
        <v>250000000</v>
      </c>
      <c r="D62">
        <f>IF('Amortisation and Repayments'!D3373&lt;1,'Amortisation and Repayments'!D3373*100,'Amortisation and Repayments'!D3373)</f>
        <v>10</v>
      </c>
      <c r="E62">
        <v>3370</v>
      </c>
      <c r="F62" t="str">
        <f>HYPERLINK("#'Amortisation and Repayments'!C3370","open")</f>
        <v>open</v>
      </c>
      <c r="G62">
        <v>68</v>
      </c>
      <c r="H62" t="str">
        <f>'Loan Book'!E68</f>
        <v>Msusa Investments Ltd</v>
      </c>
      <c r="I62" t="str">
        <f>Mapping!J65</f>
        <v>000104450000063</v>
      </c>
      <c r="J62" t="s">
        <v>261</v>
      </c>
      <c r="K62" t="s">
        <v>263</v>
      </c>
      <c r="L62" t="s">
        <v>300</v>
      </c>
      <c r="M62" t="s">
        <v>402</v>
      </c>
      <c r="N62" t="s">
        <v>403</v>
      </c>
      <c r="O62" s="427" t="s">
        <v>404</v>
      </c>
      <c r="P62" t="s">
        <v>261</v>
      </c>
      <c r="Q62" t="s">
        <v>256</v>
      </c>
    </row>
    <row r="63" spans="1:17" x14ac:dyDescent="0.35">
      <c r="A63">
        <v>62</v>
      </c>
      <c r="B63" t="str">
        <f>'Amortisation and Repayments'!C3436</f>
        <v>Gibson Grays Cane Furniture</v>
      </c>
      <c r="C63" s="427">
        <f>'Amortisation and Repayments'!D3438</f>
        <v>30000000</v>
      </c>
      <c r="D63">
        <f>IF('Amortisation and Repayments'!D3439&lt;1,'Amortisation and Repayments'!D3439*100,'Amortisation and Repayments'!D3439)</f>
        <v>10</v>
      </c>
      <c r="E63">
        <v>3436</v>
      </c>
      <c r="F63" t="str">
        <f>HYPERLINK("#'Amortisation and Repayments'!C3436","open")</f>
        <v>open</v>
      </c>
      <c r="G63">
        <v>69</v>
      </c>
      <c r="H63" t="str">
        <f>'Loan Book'!E69</f>
        <v>Gibson Gray Cane Furniture</v>
      </c>
      <c r="I63" t="str">
        <f>Mapping!J66</f>
        <v>000104460000064</v>
      </c>
      <c r="J63" t="s">
        <v>261</v>
      </c>
      <c r="K63" t="s">
        <v>263</v>
      </c>
      <c r="L63" t="s">
        <v>270</v>
      </c>
      <c r="M63" t="s">
        <v>405</v>
      </c>
      <c r="N63" t="s">
        <v>327</v>
      </c>
      <c r="O63" s="427" t="s">
        <v>406</v>
      </c>
      <c r="P63" t="s">
        <v>261</v>
      </c>
      <c r="Q63" t="s">
        <v>309</v>
      </c>
    </row>
    <row r="64" spans="1:17" x14ac:dyDescent="0.35">
      <c r="A64">
        <v>63</v>
      </c>
      <c r="B64" t="str">
        <f>'Amortisation and Repayments'!C3474</f>
        <v>House of Men Clothing</v>
      </c>
      <c r="C64" s="427">
        <f>'Amortisation and Repayments'!D3476</f>
        <v>50000000</v>
      </c>
      <c r="D64">
        <f>IF('Amortisation and Repayments'!D3477&lt;1,'Amortisation and Repayments'!D3477*100,'Amortisation and Repayments'!D3477)</f>
        <v>10</v>
      </c>
      <c r="E64">
        <v>3474</v>
      </c>
      <c r="F64" t="str">
        <f>HYPERLINK("#'Amortisation and Repayments'!C3474","open")</f>
        <v>open</v>
      </c>
      <c r="G64">
        <v>70</v>
      </c>
      <c r="H64" t="str">
        <f>'Loan Book'!E70</f>
        <v>House of Men Clothing</v>
      </c>
      <c r="I64" t="str">
        <f>Mapping!J67</f>
        <v>000104460000065</v>
      </c>
      <c r="J64" t="s">
        <v>261</v>
      </c>
      <c r="K64" t="s">
        <v>263</v>
      </c>
      <c r="L64" t="s">
        <v>300</v>
      </c>
      <c r="M64" t="s">
        <v>407</v>
      </c>
      <c r="N64" t="s">
        <v>408</v>
      </c>
      <c r="O64" s="427" t="s">
        <v>409</v>
      </c>
      <c r="P64" t="s">
        <v>261</v>
      </c>
      <c r="Q64" t="s">
        <v>256</v>
      </c>
    </row>
    <row r="65" spans="1:17" x14ac:dyDescent="0.35">
      <c r="A65">
        <v>64</v>
      </c>
      <c r="B65" t="str">
        <f>'Amortisation and Repayments'!C3540</f>
        <v>Mphanga Holdings Ltd</v>
      </c>
      <c r="C65" s="427">
        <f>'Amortisation and Repayments'!D3542</f>
        <v>150000000</v>
      </c>
      <c r="D65">
        <f>IF('Amortisation and Repayments'!D3543&lt;1,'Amortisation and Repayments'!D3543*100,'Amortisation and Repayments'!D3543)</f>
        <v>10</v>
      </c>
      <c r="E65">
        <v>3540</v>
      </c>
      <c r="F65" t="str">
        <f>HYPERLINK("#'Amortisation and Repayments'!C3540","open")</f>
        <v>open</v>
      </c>
      <c r="G65">
        <v>71</v>
      </c>
      <c r="H65" t="str">
        <f>'Loan Book'!E71</f>
        <v>Mphanga Hodings Limited</v>
      </c>
      <c r="I65" t="str">
        <f>Mapping!J68</f>
        <v>000104460000066</v>
      </c>
      <c r="J65" t="s">
        <v>261</v>
      </c>
      <c r="K65" t="s">
        <v>263</v>
      </c>
      <c r="L65" t="s">
        <v>264</v>
      </c>
      <c r="M65" t="s">
        <v>407</v>
      </c>
      <c r="N65" t="s">
        <v>302</v>
      </c>
      <c r="O65" s="427" t="s">
        <v>410</v>
      </c>
      <c r="P65" t="s">
        <v>261</v>
      </c>
      <c r="Q65" t="s">
        <v>262</v>
      </c>
    </row>
    <row r="66" spans="1:17" x14ac:dyDescent="0.35">
      <c r="A66">
        <v>65</v>
      </c>
      <c r="B66" t="str">
        <f>'Amortisation and Repayments'!C3582</f>
        <v>Teren Agro Ltd</v>
      </c>
      <c r="C66" s="427">
        <f>'Amortisation and Repayments'!D3584</f>
        <v>30000000</v>
      </c>
      <c r="D66">
        <f>IF('Amortisation and Repayments'!D3585&lt;1,'Amortisation and Repayments'!D3585*100,'Amortisation and Repayments'!D3585)</f>
        <v>10</v>
      </c>
      <c r="E66">
        <v>3582</v>
      </c>
      <c r="F66" t="str">
        <f>HYPERLINK("#'Amortisation and Repayments'!C3582","open")</f>
        <v>open</v>
      </c>
      <c r="G66">
        <v>72</v>
      </c>
      <c r="H66" t="str">
        <f>'Loan Book'!E72</f>
        <v>Teren Agro Limited</v>
      </c>
      <c r="I66" t="str">
        <f>Mapping!J69</f>
        <v>000104450000067</v>
      </c>
      <c r="J66" t="s">
        <v>261</v>
      </c>
      <c r="K66" t="s">
        <v>263</v>
      </c>
      <c r="L66" t="s">
        <v>264</v>
      </c>
      <c r="M66" t="s">
        <v>411</v>
      </c>
      <c r="N66" t="s">
        <v>302</v>
      </c>
      <c r="O66" s="427" t="s">
        <v>267</v>
      </c>
      <c r="P66" t="s">
        <v>261</v>
      </c>
      <c r="Q66" t="s">
        <v>256</v>
      </c>
    </row>
    <row r="67" spans="1:17" x14ac:dyDescent="0.35">
      <c r="A67">
        <v>66</v>
      </c>
      <c r="B67" t="str">
        <f>'Amortisation and Repayments'!C3626</f>
        <v>The Food Empire</v>
      </c>
      <c r="C67" s="427">
        <f>'Amortisation and Repayments'!D3628</f>
        <v>250000000</v>
      </c>
      <c r="D67">
        <f>IF('Amortisation and Repayments'!D3629&lt;1,'Amortisation and Repayments'!D3629*100,'Amortisation and Repayments'!D3629)</f>
        <v>10</v>
      </c>
      <c r="E67">
        <v>3626</v>
      </c>
      <c r="F67" t="str">
        <f>HYPERLINK("#'Amortisation and Repayments'!C3626","open")</f>
        <v>open</v>
      </c>
      <c r="G67">
        <v>73</v>
      </c>
      <c r="H67" t="str">
        <f>'Loan Book'!E73</f>
        <v>The Food Empire</v>
      </c>
      <c r="I67" t="str">
        <f>Mapping!J70</f>
        <v>000104450000068</v>
      </c>
      <c r="J67" t="s">
        <v>261</v>
      </c>
      <c r="K67" t="s">
        <v>263</v>
      </c>
      <c r="L67" t="s">
        <v>300</v>
      </c>
      <c r="M67" t="s">
        <v>412</v>
      </c>
      <c r="N67" t="s">
        <v>413</v>
      </c>
      <c r="O67" s="427" t="s">
        <v>303</v>
      </c>
      <c r="P67" t="s">
        <v>261</v>
      </c>
      <c r="Q67" t="s">
        <v>256</v>
      </c>
    </row>
    <row r="68" spans="1:17" x14ac:dyDescent="0.35">
      <c r="A68">
        <v>67</v>
      </c>
      <c r="B68" t="str">
        <f>'Amortisation and Repayments'!C3692</f>
        <v>Chisitu Tea Blenders</v>
      </c>
      <c r="C68" s="427">
        <f>'Amortisation and Repayments'!D3694</f>
        <v>200000000</v>
      </c>
      <c r="D68">
        <f>IF('Amortisation and Repayments'!D3695&lt;1,'Amortisation and Repayments'!D3695*100,'Amortisation and Repayments'!D3695)</f>
        <v>10</v>
      </c>
      <c r="E68">
        <v>3692</v>
      </c>
      <c r="F68" t="str">
        <f>HYPERLINK("#'Amortisation and Repayments'!C3692","open")</f>
        <v>open</v>
      </c>
      <c r="G68">
        <v>74</v>
      </c>
      <c r="H68" t="str">
        <f>'Loan Book'!E74</f>
        <v>Chisitu Tea Blenders and Packers Ltd</v>
      </c>
      <c r="I68" t="str">
        <f>Mapping!J71</f>
        <v>000104450000069</v>
      </c>
      <c r="J68" t="s">
        <v>261</v>
      </c>
      <c r="K68" t="s">
        <v>263</v>
      </c>
      <c r="L68" t="s">
        <v>300</v>
      </c>
      <c r="M68" t="s">
        <v>414</v>
      </c>
      <c r="N68" t="s">
        <v>413</v>
      </c>
      <c r="O68" s="427" t="s">
        <v>415</v>
      </c>
      <c r="P68" t="s">
        <v>261</v>
      </c>
      <c r="Q68" t="s">
        <v>256</v>
      </c>
    </row>
    <row r="69" spans="1:17" x14ac:dyDescent="0.35">
      <c r="A69">
        <v>68</v>
      </c>
      <c r="B69" t="str">
        <f>'Amortisation and Repayments'!C3758</f>
        <v>Mchinji SACCO</v>
      </c>
      <c r="C69" s="427">
        <f>'Amortisation and Repayments'!D3760</f>
        <v>50000000</v>
      </c>
      <c r="D69">
        <f>IF('Amortisation and Repayments'!D3761&lt;1,'Amortisation and Repayments'!D3761*100,'Amortisation and Repayments'!D3761)</f>
        <v>10</v>
      </c>
      <c r="E69">
        <v>3758</v>
      </c>
      <c r="F69" t="str">
        <f>HYPERLINK("#'Amortisation and Repayments'!C3758","open")</f>
        <v>open</v>
      </c>
      <c r="G69">
        <v>75</v>
      </c>
      <c r="H69" t="str">
        <f>'Loan Book'!E75</f>
        <v>Mchinji Civil Servants SACCO</v>
      </c>
      <c r="I69" t="str">
        <f>Mapping!J72</f>
        <v>000104460000070</v>
      </c>
      <c r="J69" t="s">
        <v>261</v>
      </c>
      <c r="K69" t="s">
        <v>263</v>
      </c>
      <c r="L69" t="s">
        <v>264</v>
      </c>
      <c r="M69" t="s">
        <v>414</v>
      </c>
      <c r="N69" t="s">
        <v>416</v>
      </c>
      <c r="O69" s="427" t="s">
        <v>267</v>
      </c>
      <c r="P69" t="s">
        <v>261</v>
      </c>
      <c r="Q69" t="s">
        <v>268</v>
      </c>
    </row>
    <row r="70" spans="1:17" x14ac:dyDescent="0.35">
      <c r="A70">
        <v>69</v>
      </c>
      <c r="B70" t="str">
        <f>'Amortisation and Repayments'!C3799</f>
        <v>Pamela Investments</v>
      </c>
      <c r="C70" s="427">
        <f>'Amortisation and Repayments'!D3801</f>
        <v>30000000</v>
      </c>
      <c r="D70">
        <f>IF('Amortisation and Repayments'!D3802&lt;1,'Amortisation and Repayments'!D3802*100,'Amortisation and Repayments'!D3802)</f>
        <v>10</v>
      </c>
      <c r="E70">
        <v>3799</v>
      </c>
      <c r="F70" t="str">
        <f>HYPERLINK("#'Amortisation and Repayments'!C3799","open")</f>
        <v>open</v>
      </c>
      <c r="G70">
        <v>79</v>
      </c>
      <c r="H70" t="str">
        <f>'Loan Book'!E79</f>
        <v>Pamela Investments</v>
      </c>
      <c r="I70" t="str">
        <f>Mapping!J76</f>
        <v>000104450000074</v>
      </c>
      <c r="J70" t="s">
        <v>261</v>
      </c>
      <c r="K70" t="s">
        <v>263</v>
      </c>
      <c r="L70" t="s">
        <v>264</v>
      </c>
      <c r="M70" t="s">
        <v>417</v>
      </c>
      <c r="N70" t="s">
        <v>416</v>
      </c>
      <c r="O70" s="427" t="s">
        <v>400</v>
      </c>
      <c r="P70" t="s">
        <v>261</v>
      </c>
      <c r="Q70" t="s">
        <v>256</v>
      </c>
    </row>
    <row r="71" spans="1:17" x14ac:dyDescent="0.35">
      <c r="A71">
        <v>70</v>
      </c>
      <c r="B71" t="str">
        <f>'Amortisation and Repayments'!C3841</f>
        <v>Design Management Consultants Limited</v>
      </c>
      <c r="C71" s="427">
        <f>'Amortisation and Repayments'!D3843</f>
        <v>236401400</v>
      </c>
      <c r="D71">
        <f>IF('Amortisation and Repayments'!D3844&lt;1,'Amortisation and Repayments'!D3844*100,'Amortisation and Repayments'!D3844)</f>
        <v>10</v>
      </c>
      <c r="E71">
        <v>3841</v>
      </c>
      <c r="F71" t="str">
        <f>HYPERLINK("#'Amortisation and Repayments'!C3841","open")</f>
        <v>open</v>
      </c>
      <c r="G71">
        <v>76</v>
      </c>
      <c r="H71" t="str">
        <f>'Loan Book'!E76</f>
        <v>Design Management Consultants Ltd</v>
      </c>
      <c r="I71" t="str">
        <f>Mapping!J73</f>
        <v>000104460000071</v>
      </c>
      <c r="J71" t="s">
        <v>261</v>
      </c>
      <c r="K71" t="s">
        <v>263</v>
      </c>
      <c r="L71" t="s">
        <v>300</v>
      </c>
      <c r="M71" t="s">
        <v>418</v>
      </c>
      <c r="N71" t="s">
        <v>413</v>
      </c>
      <c r="O71" s="427" t="s">
        <v>419</v>
      </c>
      <c r="P71" t="s">
        <v>261</v>
      </c>
      <c r="Q71" t="s">
        <v>256</v>
      </c>
    </row>
    <row r="72" spans="1:17" x14ac:dyDescent="0.35">
      <c r="A72">
        <v>71</v>
      </c>
      <c r="B72" t="str">
        <f>'Amortisation and Repayments'!C3907</f>
        <v>Jescal Enterprise</v>
      </c>
      <c r="C72" s="427">
        <f>'Amortisation and Repayments'!D3909</f>
        <v>15000000</v>
      </c>
      <c r="D72">
        <f>IF('Amortisation and Repayments'!D3910&lt;1,'Amortisation and Repayments'!D3910*100,'Amortisation and Repayments'!D3910)</f>
        <v>10</v>
      </c>
      <c r="E72">
        <v>3907</v>
      </c>
      <c r="F72" t="str">
        <f>HYPERLINK("#'Amortisation and Repayments'!C3907","open")</f>
        <v>open</v>
      </c>
      <c r="G72">
        <v>77</v>
      </c>
      <c r="H72" t="str">
        <f>'Loan Book'!E77</f>
        <v>Jescal Enterprise</v>
      </c>
      <c r="I72" t="str">
        <f>Mapping!J74</f>
        <v>000104450000072</v>
      </c>
      <c r="J72" t="s">
        <v>261</v>
      </c>
      <c r="K72" t="s">
        <v>263</v>
      </c>
      <c r="L72" t="s">
        <v>264</v>
      </c>
      <c r="M72" t="s">
        <v>418</v>
      </c>
      <c r="N72" t="s">
        <v>416</v>
      </c>
      <c r="O72" s="427" t="s">
        <v>420</v>
      </c>
      <c r="P72" t="s">
        <v>261</v>
      </c>
      <c r="Q72" t="s">
        <v>256</v>
      </c>
    </row>
    <row r="73" spans="1:17" x14ac:dyDescent="0.35">
      <c r="A73">
        <v>72</v>
      </c>
      <c r="B73" t="str">
        <f>'Amortisation and Repayments'!C3949</f>
        <v>Mosa Limited Company</v>
      </c>
      <c r="C73" s="427">
        <f>'Amortisation and Repayments'!D3951</f>
        <v>21417000</v>
      </c>
      <c r="D73">
        <f>IF('Amortisation and Repayments'!D3952&lt;1,'Amortisation and Repayments'!D3952*100,'Amortisation and Repayments'!D3952)</f>
        <v>10</v>
      </c>
      <c r="E73">
        <v>3949</v>
      </c>
      <c r="F73" t="str">
        <f>HYPERLINK("#'Amortisation and Repayments'!C3949","open")</f>
        <v>open</v>
      </c>
      <c r="G73">
        <v>78</v>
      </c>
      <c r="H73" t="str">
        <f>'Loan Book'!E78</f>
        <v>Mosa Limited Company</v>
      </c>
      <c r="I73" t="str">
        <f>Mapping!J75</f>
        <v>000104460000073</v>
      </c>
      <c r="J73" t="s">
        <v>261</v>
      </c>
      <c r="K73" t="s">
        <v>263</v>
      </c>
      <c r="L73" t="s">
        <v>264</v>
      </c>
      <c r="M73" t="s">
        <v>418</v>
      </c>
      <c r="N73" t="s">
        <v>416</v>
      </c>
      <c r="O73" s="427" t="s">
        <v>335</v>
      </c>
      <c r="P73" t="s">
        <v>261</v>
      </c>
      <c r="Q73" t="s">
        <v>256</v>
      </c>
    </row>
    <row r="74" spans="1:17" x14ac:dyDescent="0.35">
      <c r="A74">
        <v>73</v>
      </c>
      <c r="B74" t="str">
        <f>'Amortisation and Repayments'!C3991</f>
        <v>Global Seeds</v>
      </c>
      <c r="C74" s="427">
        <f>'Amortisation and Repayments'!D3993</f>
        <v>250000000</v>
      </c>
      <c r="D74">
        <f>IF('Amortisation and Repayments'!D3994&lt;1,'Amortisation and Repayments'!D3994*100,'Amortisation and Repayments'!D3994)</f>
        <v>10</v>
      </c>
      <c r="E74">
        <v>3991</v>
      </c>
      <c r="F74" t="str">
        <f>HYPERLINK("#'Amortisation and Repayments'!C3991","open")</f>
        <v>open</v>
      </c>
      <c r="G74">
        <v>80</v>
      </c>
      <c r="H74" t="str">
        <f>'Loan Book'!E80</f>
        <v>Global Seeds Limited FInES</v>
      </c>
      <c r="I74" t="str">
        <f>Mapping!J77</f>
        <v>000104460000075</v>
      </c>
      <c r="J74" t="s">
        <v>261</v>
      </c>
      <c r="K74" t="s">
        <v>263</v>
      </c>
      <c r="L74" t="s">
        <v>300</v>
      </c>
      <c r="M74" t="s">
        <v>421</v>
      </c>
      <c r="N74" t="s">
        <v>422</v>
      </c>
      <c r="O74" s="427" t="s">
        <v>423</v>
      </c>
      <c r="P74" t="s">
        <v>261</v>
      </c>
      <c r="Q74" t="s">
        <v>256</v>
      </c>
    </row>
    <row r="75" spans="1:17" x14ac:dyDescent="0.35">
      <c r="A75">
        <v>74</v>
      </c>
      <c r="B75" t="str">
        <f>'Amortisation and Repayments'!C4056</f>
        <v>Beualaland Food Processors</v>
      </c>
      <c r="C75" s="427">
        <f>'Amortisation and Repayments'!D4058</f>
        <v>30000000</v>
      </c>
      <c r="D75">
        <f>IF('Amortisation and Repayments'!D4059&lt;1,'Amortisation and Repayments'!D4059*100,'Amortisation and Repayments'!D4059)</f>
        <v>10</v>
      </c>
      <c r="E75">
        <v>4056</v>
      </c>
      <c r="F75" t="str">
        <f>HYPERLINK("#'Amortisation and Repayments'!C4056","open")</f>
        <v>open</v>
      </c>
      <c r="G75">
        <v>81</v>
      </c>
      <c r="H75" t="str">
        <f>'Loan Book'!E81</f>
        <v>Beaulaland Food Processors</v>
      </c>
      <c r="I75" t="str">
        <f>Mapping!J78</f>
        <v>000104450000076</v>
      </c>
      <c r="J75" t="s">
        <v>261</v>
      </c>
      <c r="K75" t="s">
        <v>263</v>
      </c>
      <c r="L75" t="s">
        <v>311</v>
      </c>
      <c r="M75" t="s">
        <v>424</v>
      </c>
      <c r="N75" t="s">
        <v>425</v>
      </c>
      <c r="O75" s="427" t="s">
        <v>267</v>
      </c>
      <c r="P75" t="s">
        <v>261</v>
      </c>
      <c r="Q75" t="s">
        <v>298</v>
      </c>
    </row>
    <row r="76" spans="1:17" x14ac:dyDescent="0.35">
      <c r="A76">
        <v>75</v>
      </c>
      <c r="B76" t="str">
        <f>'Amortisation and Repayments'!C4109</f>
        <v>Kwithu Kitchens 2</v>
      </c>
      <c r="C76" s="427">
        <f>'Amortisation and Repayments'!D4111</f>
        <v>164000000</v>
      </c>
      <c r="D76">
        <f>IF('Amortisation and Repayments'!D4112&lt;1,'Amortisation and Repayments'!D4112*100,'Amortisation and Repayments'!D4112)</f>
        <v>10</v>
      </c>
      <c r="E76">
        <v>4109</v>
      </c>
      <c r="F76" t="str">
        <f>HYPERLINK("#'Amortisation and Repayments'!C4109","open")</f>
        <v>open</v>
      </c>
      <c r="G76">
        <v>82</v>
      </c>
      <c r="H76" t="str">
        <f>'Loan Book'!E82</f>
        <v>Kwithu Producers and Marketing Co 2</v>
      </c>
      <c r="I76" t="str">
        <f>Mapping!J79</f>
        <v>000104450000077</v>
      </c>
      <c r="J76" t="s">
        <v>261</v>
      </c>
      <c r="K76" t="s">
        <v>263</v>
      </c>
      <c r="L76" t="s">
        <v>300</v>
      </c>
      <c r="M76" t="s">
        <v>426</v>
      </c>
      <c r="N76" t="s">
        <v>427</v>
      </c>
      <c r="O76" s="427" t="s">
        <v>428</v>
      </c>
      <c r="P76" t="s">
        <v>261</v>
      </c>
      <c r="Q76" t="s">
        <v>429</v>
      </c>
    </row>
    <row r="77" spans="1:17" x14ac:dyDescent="0.35">
      <c r="A77">
        <v>76</v>
      </c>
      <c r="B77" t="str">
        <f>'Amortisation and Repayments'!C4173</f>
        <v>Green Pharmacy</v>
      </c>
      <c r="C77" s="427">
        <f>'Amortisation and Repayments'!D4175</f>
        <v>22000000</v>
      </c>
      <c r="D77">
        <f>IF('Amortisation and Repayments'!D4176&lt;1,'Amortisation and Repayments'!D4176*100,'Amortisation and Repayments'!D4176)</f>
        <v>10</v>
      </c>
      <c r="E77">
        <v>4173</v>
      </c>
      <c r="F77" t="str">
        <f>HYPERLINK("#'Amortisation and Repayments'!C4173","open")</f>
        <v>open</v>
      </c>
      <c r="G77">
        <v>83</v>
      </c>
      <c r="H77" t="str">
        <f>'Loan Book'!E83</f>
        <v>Green Pharmacy</v>
      </c>
      <c r="I77" t="str">
        <f>Mapping!J80</f>
        <v>000104460000078</v>
      </c>
      <c r="J77" t="s">
        <v>261</v>
      </c>
      <c r="K77" t="s">
        <v>263</v>
      </c>
      <c r="L77" t="s">
        <v>311</v>
      </c>
      <c r="M77" t="s">
        <v>430</v>
      </c>
      <c r="N77" t="s">
        <v>283</v>
      </c>
      <c r="O77" s="427" t="s">
        <v>431</v>
      </c>
      <c r="P77" t="s">
        <v>261</v>
      </c>
      <c r="Q77" t="s">
        <v>256</v>
      </c>
    </row>
    <row r="78" spans="1:17" x14ac:dyDescent="0.35">
      <c r="A78">
        <v>77</v>
      </c>
      <c r="B78" t="str">
        <f>'Amortisation and Repayments'!C4224</f>
        <v>Lilongwe Private Clinic</v>
      </c>
      <c r="C78" s="427">
        <f>'Amortisation and Repayments'!D4226</f>
        <v>150000000</v>
      </c>
      <c r="D78">
        <f>IF('Amortisation and Repayments'!D4227&lt;1,'Amortisation and Repayments'!D4227*100,'Amortisation and Repayments'!D4227)</f>
        <v>10</v>
      </c>
      <c r="E78">
        <v>4224</v>
      </c>
      <c r="F78" t="str">
        <f>HYPERLINK("#'Amortisation and Repayments'!C4224","open")</f>
        <v>open</v>
      </c>
      <c r="G78">
        <v>84</v>
      </c>
      <c r="H78" t="str">
        <f>'Loan Book'!E84</f>
        <v>Lilongwe Private Clinic</v>
      </c>
      <c r="I78" t="str">
        <f>Mapping!J81</f>
        <v>000104460000079</v>
      </c>
      <c r="J78" t="s">
        <v>261</v>
      </c>
      <c r="K78" t="s">
        <v>263</v>
      </c>
      <c r="L78" t="s">
        <v>300</v>
      </c>
      <c r="M78" t="s">
        <v>432</v>
      </c>
      <c r="N78" t="s">
        <v>427</v>
      </c>
      <c r="O78" s="427" t="s">
        <v>433</v>
      </c>
      <c r="P78" t="s">
        <v>261</v>
      </c>
      <c r="Q78" t="s">
        <v>256</v>
      </c>
    </row>
    <row r="79" spans="1:17" x14ac:dyDescent="0.35">
      <c r="A79">
        <v>78</v>
      </c>
      <c r="B79" t="str">
        <f>'Amortisation and Repayments'!C4286</f>
        <v>F&amp; K Construction</v>
      </c>
      <c r="C79" s="427">
        <f>'Amortisation and Repayments'!D4288</f>
        <v>120000000</v>
      </c>
      <c r="D79">
        <f>IF('Amortisation and Repayments'!D4289&lt;1,'Amortisation and Repayments'!D4289*100,'Amortisation and Repayments'!D4289)</f>
        <v>10</v>
      </c>
      <c r="E79">
        <v>4286</v>
      </c>
      <c r="F79" t="str">
        <f>HYPERLINK("#'Amortisation and Repayments'!C4286","open")</f>
        <v>open</v>
      </c>
      <c r="G79">
        <v>85</v>
      </c>
      <c r="H79" t="str">
        <f>'Loan Book'!E85</f>
        <v>F&amp;K Construction</v>
      </c>
      <c r="I79" t="str">
        <f>Mapping!J82</f>
        <v>000104460000080</v>
      </c>
      <c r="J79" t="s">
        <v>261</v>
      </c>
      <c r="K79" t="s">
        <v>263</v>
      </c>
      <c r="L79" t="s">
        <v>300</v>
      </c>
      <c r="M79" t="s">
        <v>432</v>
      </c>
      <c r="N79" t="s">
        <v>427</v>
      </c>
      <c r="O79" s="427" t="s">
        <v>434</v>
      </c>
      <c r="P79" t="s">
        <v>261</v>
      </c>
      <c r="Q79" t="s">
        <v>256</v>
      </c>
    </row>
    <row r="80" spans="1:17" x14ac:dyDescent="0.35">
      <c r="A80">
        <v>79</v>
      </c>
      <c r="B80" t="str">
        <f>'Amortisation and Repayments'!C4351</f>
        <v>Sanwecka Tech Company</v>
      </c>
      <c r="C80" s="427">
        <f>'Amortisation and Repayments'!D4353</f>
        <v>60000000</v>
      </c>
      <c r="D80">
        <f>IF('Amortisation and Repayments'!D4354&lt;1,'Amortisation and Repayments'!D4354*100,'Amortisation and Repayments'!D4354)</f>
        <v>10</v>
      </c>
      <c r="E80">
        <v>4351</v>
      </c>
      <c r="F80" t="str">
        <f>HYPERLINK("#'Amortisation and Repayments'!C4351","open")</f>
        <v>open</v>
      </c>
      <c r="G80">
        <v>86</v>
      </c>
      <c r="H80" t="str">
        <f>'Loan Book'!E86</f>
        <v>Sanwecka Tech Companions</v>
      </c>
      <c r="I80" t="str">
        <f>Mapping!J83</f>
        <v>000104460000081</v>
      </c>
      <c r="J80" t="s">
        <v>261</v>
      </c>
      <c r="K80" t="s">
        <v>263</v>
      </c>
      <c r="L80" t="s">
        <v>311</v>
      </c>
      <c r="M80" t="s">
        <v>435</v>
      </c>
      <c r="N80" t="s">
        <v>378</v>
      </c>
      <c r="O80" s="427" t="s">
        <v>436</v>
      </c>
      <c r="P80" t="s">
        <v>261</v>
      </c>
      <c r="Q80" t="s">
        <v>256</v>
      </c>
    </row>
    <row r="81" spans="1:17" x14ac:dyDescent="0.35">
      <c r="A81">
        <v>80</v>
      </c>
      <c r="B81" t="str">
        <f>'Amortisation and Repayments'!C4404</f>
        <v>Chuma Mkandawire T/A Chikoma Estates</v>
      </c>
      <c r="C81" s="427">
        <f>'Amortisation and Repayments'!D4406</f>
        <v>30000000</v>
      </c>
      <c r="D81">
        <f>IF('Amortisation and Repayments'!D4407&lt;1,'Amortisation and Repayments'!D4407*100,'Amortisation and Repayments'!D4407)</f>
        <v>10</v>
      </c>
      <c r="E81">
        <v>4404</v>
      </c>
      <c r="F81" t="str">
        <f>HYPERLINK("#'Amortisation and Repayments'!C4404","open")</f>
        <v>open</v>
      </c>
      <c r="G81">
        <v>87</v>
      </c>
      <c r="H81" t="str">
        <f>'Loan Book'!E87</f>
        <v>Chuma Chikomanya</v>
      </c>
      <c r="I81" t="str">
        <f>Mapping!J84</f>
        <v>000104450000060</v>
      </c>
      <c r="J81" t="s">
        <v>261</v>
      </c>
      <c r="K81" t="s">
        <v>263</v>
      </c>
      <c r="L81" t="s">
        <v>299</v>
      </c>
      <c r="M81" t="s">
        <v>437</v>
      </c>
      <c r="N81" t="s">
        <v>373</v>
      </c>
      <c r="O81" s="427" t="s">
        <v>438</v>
      </c>
      <c r="P81" t="s">
        <v>261</v>
      </c>
      <c r="Q81" t="s">
        <v>439</v>
      </c>
    </row>
    <row r="82" spans="1:17" x14ac:dyDescent="0.35">
      <c r="A82">
        <v>81</v>
      </c>
      <c r="B82" t="str">
        <f>'Amortisation and Repayments'!C4432</f>
        <v>DR PRINT</v>
      </c>
      <c r="C82" s="427">
        <f>'Amortisation and Repayments'!D4434</f>
        <v>120000000</v>
      </c>
      <c r="D82">
        <f>IF('Amortisation and Repayments'!D4435&lt;1,'Amortisation and Repayments'!D4435*100,'Amortisation and Repayments'!D4435)</f>
        <v>10</v>
      </c>
      <c r="E82">
        <v>4432</v>
      </c>
      <c r="F82" t="str">
        <f>HYPERLINK("#'Amortisation and Repayments'!C4432","open")</f>
        <v>open</v>
      </c>
      <c r="G82">
        <v>88</v>
      </c>
      <c r="H82" t="str">
        <f>'Loan Book'!E88</f>
        <v>DR PRINT</v>
      </c>
      <c r="I82" t="str">
        <f>Mapping!J85</f>
        <v>000104460000083</v>
      </c>
      <c r="J82" t="s">
        <v>261</v>
      </c>
      <c r="K82" t="s">
        <v>263</v>
      </c>
      <c r="L82" t="s">
        <v>300</v>
      </c>
      <c r="M82" t="s">
        <v>440</v>
      </c>
      <c r="N82" t="s">
        <v>441</v>
      </c>
      <c r="O82" s="427" t="s">
        <v>442</v>
      </c>
      <c r="P82" t="s">
        <v>261</v>
      </c>
      <c r="Q82" t="s">
        <v>256</v>
      </c>
    </row>
    <row r="83" spans="1:17" x14ac:dyDescent="0.35">
      <c r="A83">
        <v>82</v>
      </c>
      <c r="B83" t="str">
        <f>'Amortisation and Repayments'!C4498</f>
        <v>Ziweto Zathanzi Veternary shop</v>
      </c>
      <c r="C83" s="427">
        <f>'Amortisation and Repayments'!D4500</f>
        <v>10000000</v>
      </c>
      <c r="D83">
        <f>IF('Amortisation and Repayments'!D4501&lt;1,'Amortisation and Repayments'!D4501*100,'Amortisation and Repayments'!D4501)</f>
        <v>10</v>
      </c>
      <c r="E83">
        <v>4498</v>
      </c>
      <c r="F83" t="str">
        <f>HYPERLINK("#'Amortisation and Repayments'!C4498","open")</f>
        <v>open</v>
      </c>
      <c r="G83">
        <v>89</v>
      </c>
      <c r="H83" t="str">
        <f>'Loan Book'!E89</f>
        <v>Ziweto Zathanzi Veterinary Shop</v>
      </c>
      <c r="I83" t="str">
        <f>Mapping!J86</f>
        <v>000104450000084</v>
      </c>
      <c r="J83" t="s">
        <v>261</v>
      </c>
      <c r="K83" t="s">
        <v>263</v>
      </c>
      <c r="L83" t="s">
        <v>264</v>
      </c>
      <c r="M83" t="s">
        <v>443</v>
      </c>
      <c r="N83" t="s">
        <v>288</v>
      </c>
      <c r="O83" s="427" t="s">
        <v>444</v>
      </c>
      <c r="P83" t="s">
        <v>261</v>
      </c>
      <c r="Q83" t="s">
        <v>309</v>
      </c>
    </row>
    <row r="84" spans="1:17" x14ac:dyDescent="0.35">
      <c r="A84">
        <v>83</v>
      </c>
      <c r="B84" t="str">
        <f>'Amortisation and Repayments'!C4539</f>
        <v xml:space="preserve">MMC Limited </v>
      </c>
      <c r="C84" s="427">
        <f>'Amortisation and Repayments'!D4541</f>
        <v>144500000</v>
      </c>
      <c r="D84">
        <f>IF('Amortisation and Repayments'!D4542&lt;1,'Amortisation and Repayments'!D4542*100,'Amortisation and Repayments'!D4542)</f>
        <v>10</v>
      </c>
      <c r="E84">
        <v>4539</v>
      </c>
      <c r="F84" t="str">
        <f>HYPERLINK("#'Amortisation and Repayments'!C4539","open")</f>
        <v>open</v>
      </c>
      <c r="G84">
        <v>90</v>
      </c>
      <c r="H84" t="str">
        <f>'Loan Book'!E90</f>
        <v>MMC Limited</v>
      </c>
      <c r="I84" t="str">
        <f>Mapping!J87</f>
        <v>000104450000085</v>
      </c>
      <c r="J84" t="s">
        <v>261</v>
      </c>
      <c r="K84" t="s">
        <v>263</v>
      </c>
      <c r="L84" t="s">
        <v>311</v>
      </c>
      <c r="M84" t="s">
        <v>445</v>
      </c>
      <c r="N84" t="s">
        <v>384</v>
      </c>
      <c r="O84" s="427" t="s">
        <v>446</v>
      </c>
      <c r="P84" t="s">
        <v>261</v>
      </c>
      <c r="Q84" t="s">
        <v>256</v>
      </c>
    </row>
    <row r="85" spans="1:17" x14ac:dyDescent="0.35">
      <c r="A85">
        <v>84</v>
      </c>
      <c r="B85" t="str">
        <f>'Amortisation and Repayments'!C4591</f>
        <v>Chambaika Milling Company</v>
      </c>
      <c r="C85" s="427">
        <f>'Amortisation and Repayments'!D4593</f>
        <v>350660000</v>
      </c>
      <c r="D85">
        <f>IF('Amortisation and Repayments'!D4594&lt;1,'Amortisation and Repayments'!D4594*100,'Amortisation and Repayments'!D4594)</f>
        <v>10</v>
      </c>
      <c r="E85">
        <v>4591</v>
      </c>
      <c r="F85" t="str">
        <f>HYPERLINK("#'Amortisation and Repayments'!C4591","open")</f>
        <v>open</v>
      </c>
      <c r="G85">
        <v>91</v>
      </c>
      <c r="H85" t="str">
        <f>'Loan Book'!E91</f>
        <v>Chambaika Milling Company</v>
      </c>
      <c r="I85" t="str">
        <f>Mapping!J88</f>
        <v>000104450000086</v>
      </c>
      <c r="J85" t="s">
        <v>261</v>
      </c>
      <c r="K85" t="s">
        <v>263</v>
      </c>
      <c r="L85" t="s">
        <v>273</v>
      </c>
      <c r="M85" t="s">
        <v>447</v>
      </c>
      <c r="N85" t="s">
        <v>448</v>
      </c>
      <c r="O85" s="427" t="s">
        <v>449</v>
      </c>
      <c r="P85" t="s">
        <v>261</v>
      </c>
      <c r="Q85" t="s">
        <v>256</v>
      </c>
    </row>
    <row r="86" spans="1:17" x14ac:dyDescent="0.35">
      <c r="A86">
        <v>85</v>
      </c>
      <c r="B86" t="str">
        <f>'Amortisation and Repayments'!C4667</f>
        <v>Kings Foundation School</v>
      </c>
      <c r="C86" s="427">
        <f>'Amortisation and Repayments'!D4669</f>
        <v>200000000</v>
      </c>
      <c r="D86">
        <f>IF('Amortisation and Repayments'!D4670&lt;1,'Amortisation and Repayments'!D4670*100,'Amortisation and Repayments'!D4670)</f>
        <v>10</v>
      </c>
      <c r="E86">
        <v>4667</v>
      </c>
      <c r="F86" t="str">
        <f>HYPERLINK("#'Amortisation and Repayments'!C4667","open")</f>
        <v>open</v>
      </c>
      <c r="G86">
        <v>92</v>
      </c>
      <c r="H86" t="str">
        <f>'Loan Book'!E92</f>
        <v>Kings Foundationn Schools</v>
      </c>
      <c r="I86" t="str">
        <f>Mapping!J89</f>
        <v>000104460000087</v>
      </c>
      <c r="J86" t="s">
        <v>261</v>
      </c>
      <c r="K86" t="s">
        <v>263</v>
      </c>
      <c r="L86" t="s">
        <v>290</v>
      </c>
      <c r="M86" t="s">
        <v>447</v>
      </c>
      <c r="N86" t="s">
        <v>450</v>
      </c>
      <c r="O86" s="427" t="s">
        <v>451</v>
      </c>
      <c r="P86" t="s">
        <v>261</v>
      </c>
      <c r="Q86" t="s">
        <v>298</v>
      </c>
    </row>
    <row r="87" spans="1:17" x14ac:dyDescent="0.35">
      <c r="A87">
        <v>86</v>
      </c>
      <c r="B87" t="str">
        <f>'Amortisation and Repayments'!C4731</f>
        <v>Malasha Briquettes Limited</v>
      </c>
      <c r="C87" s="427">
        <f>'Amortisation and Repayments'!D4733</f>
        <v>17000000</v>
      </c>
      <c r="D87">
        <f>IF('Amortisation and Repayments'!D4734&lt;1,'Amortisation and Repayments'!D4734*100,'Amortisation and Repayments'!D4734)</f>
        <v>10</v>
      </c>
      <c r="E87">
        <v>4731</v>
      </c>
      <c r="F87" t="str">
        <f>HYPERLINK("#'Amortisation and Repayments'!C4731","open")</f>
        <v>open</v>
      </c>
      <c r="G87">
        <v>93</v>
      </c>
      <c r="H87" t="str">
        <f>'Loan Book'!E93</f>
        <v>Malasha Briquettes Limited</v>
      </c>
      <c r="I87" t="str">
        <f>Mapping!J90</f>
        <v>000104460000088</v>
      </c>
      <c r="J87" t="s">
        <v>261</v>
      </c>
      <c r="K87" t="s">
        <v>263</v>
      </c>
      <c r="L87" t="s">
        <v>270</v>
      </c>
      <c r="M87" t="s">
        <v>447</v>
      </c>
      <c r="N87" t="s">
        <v>381</v>
      </c>
      <c r="O87" s="427" t="s">
        <v>359</v>
      </c>
      <c r="P87" t="s">
        <v>261</v>
      </c>
      <c r="Q87" t="s">
        <v>256</v>
      </c>
    </row>
    <row r="88" spans="1:17" x14ac:dyDescent="0.35">
      <c r="A88">
        <v>87</v>
      </c>
      <c r="B88" t="str">
        <f>'Amortisation and Repayments'!C4769</f>
        <v>Lehome Investment Limited</v>
      </c>
      <c r="C88" s="427">
        <f>'Amortisation and Repayments'!D4771</f>
        <v>150000000</v>
      </c>
      <c r="D88">
        <f>IF('Amortisation and Repayments'!D4772&lt;1,'Amortisation and Repayments'!D4772*100,'Amortisation and Repayments'!D4772)</f>
        <v>10</v>
      </c>
      <c r="E88">
        <v>4769</v>
      </c>
      <c r="F88" t="str">
        <f>HYPERLINK("#'Amortisation and Repayments'!C4769","open")</f>
        <v>open</v>
      </c>
      <c r="G88">
        <v>94</v>
      </c>
      <c r="H88" t="str">
        <f>'Loan Book'!E94</f>
        <v>Lehome Investment Limited</v>
      </c>
      <c r="I88" t="str">
        <f>Mapping!J91</f>
        <v>000104460000089</v>
      </c>
      <c r="J88" t="s">
        <v>261</v>
      </c>
      <c r="K88" t="s">
        <v>263</v>
      </c>
      <c r="L88" t="s">
        <v>290</v>
      </c>
      <c r="M88" t="s">
        <v>452</v>
      </c>
      <c r="N88" t="s">
        <v>450</v>
      </c>
      <c r="O88" s="427" t="s">
        <v>453</v>
      </c>
      <c r="P88" t="s">
        <v>261</v>
      </c>
      <c r="Q88" t="s">
        <v>256</v>
      </c>
    </row>
    <row r="89" spans="1:17" x14ac:dyDescent="0.35">
      <c r="A89">
        <v>88</v>
      </c>
      <c r="B89" t="str">
        <f>'Amortisation and Repayments'!C4834</f>
        <v>JAT Investments</v>
      </c>
      <c r="C89" s="427">
        <f>'Amortisation and Repayments'!D4836</f>
        <v>130000000</v>
      </c>
      <c r="D89">
        <f>IF('Amortisation and Repayments'!D4837&lt;1,'Amortisation and Repayments'!D4837*100,'Amortisation and Repayments'!D4837)</f>
        <v>10</v>
      </c>
      <c r="E89">
        <v>4834</v>
      </c>
      <c r="F89" t="str">
        <f>HYPERLINK("#'Amortisation and Repayments'!C4834","open")</f>
        <v>open</v>
      </c>
      <c r="G89">
        <v>95</v>
      </c>
      <c r="H89" t="str">
        <f>'Loan Book'!E95</f>
        <v>JAT Investments</v>
      </c>
      <c r="I89" t="str">
        <f>Mapping!J92</f>
        <v>000104450000090</v>
      </c>
      <c r="J89" t="s">
        <v>261</v>
      </c>
      <c r="K89" t="s">
        <v>263</v>
      </c>
      <c r="L89" t="s">
        <v>290</v>
      </c>
      <c r="M89" t="s">
        <v>454</v>
      </c>
      <c r="N89" t="s">
        <v>450</v>
      </c>
      <c r="O89" s="427" t="s">
        <v>455</v>
      </c>
      <c r="P89" t="s">
        <v>261</v>
      </c>
      <c r="Q89" t="s">
        <v>256</v>
      </c>
    </row>
    <row r="90" spans="1:17" x14ac:dyDescent="0.35">
      <c r="A90">
        <v>89</v>
      </c>
      <c r="B90" t="str">
        <f>'Amortisation and Repayments'!C4896</f>
        <v>Chanje Investments</v>
      </c>
      <c r="C90" s="427">
        <f>'Amortisation and Repayments'!D4898</f>
        <v>200000000</v>
      </c>
      <c r="D90">
        <f>IF('Amortisation and Repayments'!D4899&lt;1,'Amortisation and Repayments'!D4899*100,'Amortisation and Repayments'!D4899)</f>
        <v>10</v>
      </c>
      <c r="E90">
        <v>4896</v>
      </c>
      <c r="F90" t="str">
        <f>HYPERLINK("#'Amortisation and Repayments'!C4896","open")</f>
        <v>open</v>
      </c>
      <c r="G90">
        <v>96</v>
      </c>
      <c r="H90" t="str">
        <f>'Loan Book'!E96</f>
        <v>Chanje Investments</v>
      </c>
      <c r="I90" t="str">
        <f>Mapping!J93</f>
        <v>000104450000091</v>
      </c>
      <c r="J90" t="s">
        <v>261</v>
      </c>
      <c r="K90" t="s">
        <v>263</v>
      </c>
      <c r="L90" t="s">
        <v>300</v>
      </c>
      <c r="M90" t="s">
        <v>395</v>
      </c>
      <c r="N90" t="s">
        <v>456</v>
      </c>
      <c r="O90" s="427" t="s">
        <v>457</v>
      </c>
      <c r="P90" t="s">
        <v>261</v>
      </c>
      <c r="Q90" t="s">
        <v>256</v>
      </c>
    </row>
    <row r="91" spans="1:17" x14ac:dyDescent="0.35">
      <c r="A91">
        <v>90</v>
      </c>
      <c r="B91" t="str">
        <f>'Amortisation and Repayments'!C4962</f>
        <v>FAVOA Innovations and Investments Group</v>
      </c>
      <c r="C91" s="427">
        <f>'Amortisation and Repayments'!D4964</f>
        <v>30000000</v>
      </c>
      <c r="D91">
        <f>IF('Amortisation and Repayments'!D4965&lt;1,'Amortisation and Repayments'!D4965*100,'Amortisation and Repayments'!D4965)</f>
        <v>10</v>
      </c>
      <c r="E91">
        <v>4962</v>
      </c>
      <c r="F91" t="str">
        <f>HYPERLINK("#'Amortisation and Repayments'!C4962","open")</f>
        <v>open</v>
      </c>
      <c r="G91">
        <v>97</v>
      </c>
      <c r="H91" t="str">
        <f>'Loan Book'!E97</f>
        <v>FAVOA Innovation &amp; Investments Group</v>
      </c>
      <c r="I91" t="str">
        <f>Mapping!J94</f>
        <v>000104460000092</v>
      </c>
      <c r="J91" t="s">
        <v>261</v>
      </c>
      <c r="K91" t="s">
        <v>263</v>
      </c>
      <c r="L91" t="s">
        <v>264</v>
      </c>
      <c r="M91" t="s">
        <v>458</v>
      </c>
      <c r="N91" t="s">
        <v>306</v>
      </c>
      <c r="O91" s="427" t="s">
        <v>459</v>
      </c>
      <c r="P91" t="s">
        <v>261</v>
      </c>
      <c r="Q91" t="s">
        <v>309</v>
      </c>
    </row>
    <row r="92" spans="1:17" x14ac:dyDescent="0.35">
      <c r="A92">
        <v>91</v>
      </c>
      <c r="B92" t="str">
        <f>'Amortisation and Repayments'!C5002</f>
        <v>Diference Construction</v>
      </c>
      <c r="C92" s="427">
        <f>'Amortisation and Repayments'!D5004</f>
        <v>120000000</v>
      </c>
      <c r="D92">
        <f>IF('Amortisation and Repayments'!D5005&lt;1,'Amortisation and Repayments'!D5005*100,'Amortisation and Repayments'!D5005)</f>
        <v>10</v>
      </c>
      <c r="E92">
        <v>5002</v>
      </c>
      <c r="F92" t="str">
        <f>HYPERLINK("#'Amortisation and Repayments'!C5002","open")</f>
        <v>open</v>
      </c>
      <c r="G92">
        <v>98</v>
      </c>
      <c r="H92" t="str">
        <f>'Loan Book'!E98</f>
        <v>Difference Construction</v>
      </c>
      <c r="I92" t="str">
        <f>Mapping!J95</f>
        <v>000104460000093</v>
      </c>
      <c r="J92" t="s">
        <v>261</v>
      </c>
      <c r="K92" t="s">
        <v>263</v>
      </c>
      <c r="L92" t="s">
        <v>311</v>
      </c>
      <c r="M92" t="s">
        <v>460</v>
      </c>
      <c r="N92" t="s">
        <v>461</v>
      </c>
      <c r="O92" s="427" t="s">
        <v>365</v>
      </c>
      <c r="P92" t="s">
        <v>261</v>
      </c>
      <c r="Q92" t="s">
        <v>309</v>
      </c>
    </row>
    <row r="93" spans="1:17" x14ac:dyDescent="0.35">
      <c r="A93">
        <v>92</v>
      </c>
      <c r="B93" t="str">
        <f>'Amortisation and Repayments'!C5054</f>
        <v>Favoured Farms</v>
      </c>
      <c r="C93" s="427">
        <f>'Amortisation and Repayments'!D5056</f>
        <v>30000000</v>
      </c>
      <c r="D93">
        <f>IF('Amortisation and Repayments'!D5057&lt;1,'Amortisation and Repayments'!D5057*100,'Amortisation and Repayments'!D5057)</f>
        <v>10</v>
      </c>
      <c r="E93">
        <v>5054</v>
      </c>
      <c r="F93" t="str">
        <f>HYPERLINK("#'Amortisation and Repayments'!C5054","open")</f>
        <v>open</v>
      </c>
      <c r="G93">
        <v>99</v>
      </c>
      <c r="H93" t="str">
        <f>'Loan Book'!E99</f>
        <v>Favoured Farms</v>
      </c>
      <c r="I93" t="str">
        <f>Mapping!J96</f>
        <v>000104450000037</v>
      </c>
      <c r="J93" t="s">
        <v>261</v>
      </c>
      <c r="K93" t="s">
        <v>263</v>
      </c>
      <c r="L93" t="s">
        <v>264</v>
      </c>
      <c r="M93" t="s">
        <v>462</v>
      </c>
      <c r="N93" t="s">
        <v>296</v>
      </c>
      <c r="O93" s="427" t="s">
        <v>463</v>
      </c>
      <c r="P93" t="s">
        <v>261</v>
      </c>
      <c r="Q93" t="s">
        <v>256</v>
      </c>
    </row>
    <row r="94" spans="1:17" x14ac:dyDescent="0.35">
      <c r="A94">
        <v>93</v>
      </c>
      <c r="B94" t="str">
        <f>'Amortisation and Repayments'!C5094</f>
        <v>Hortinet Foods Ltd</v>
      </c>
      <c r="C94" s="427">
        <f>'Amortisation and Repayments'!D5096</f>
        <v>50000000</v>
      </c>
      <c r="D94">
        <f>IF('Amortisation and Repayments'!D5097&lt;1,'Amortisation and Repayments'!D5097*100,'Amortisation and Repayments'!D5097)</f>
        <v>10</v>
      </c>
      <c r="E94">
        <v>5094</v>
      </c>
      <c r="F94" t="str">
        <f>HYPERLINK("#'Amortisation and Repayments'!C5094","open")</f>
        <v>open</v>
      </c>
      <c r="G94">
        <v>100</v>
      </c>
      <c r="H94" t="str">
        <f>'Loan Book'!E100</f>
        <v>Hortinet Foods Limited</v>
      </c>
      <c r="I94" t="str">
        <f>Mapping!J97</f>
        <v>000104450000095</v>
      </c>
      <c r="J94" t="s">
        <v>261</v>
      </c>
      <c r="K94" t="s">
        <v>263</v>
      </c>
      <c r="L94" t="s">
        <v>264</v>
      </c>
      <c r="M94" t="s">
        <v>464</v>
      </c>
      <c r="N94" t="s">
        <v>296</v>
      </c>
      <c r="O94" s="427" t="s">
        <v>465</v>
      </c>
      <c r="P94" t="s">
        <v>261</v>
      </c>
      <c r="Q94" t="s">
        <v>256</v>
      </c>
    </row>
    <row r="95" spans="1:17" x14ac:dyDescent="0.35">
      <c r="A95">
        <v>94</v>
      </c>
      <c r="B95" t="str">
        <f>'Amortisation and Repayments'!C5132</f>
        <v>7 ARTS HOLDINGS Limited</v>
      </c>
      <c r="C95" s="427">
        <f>'Amortisation and Repayments'!D5134</f>
        <v>65000000</v>
      </c>
      <c r="D95">
        <f>IF('Amortisation and Repayments'!D5135&lt;1,'Amortisation and Repayments'!D5135*100,'Amortisation and Repayments'!D5135)</f>
        <v>10</v>
      </c>
      <c r="E95">
        <v>5132</v>
      </c>
      <c r="F95" t="str">
        <f>HYPERLINK("#'Amortisation and Repayments'!C5132","open")</f>
        <v>open</v>
      </c>
      <c r="G95">
        <v>101</v>
      </c>
      <c r="H95" t="str">
        <f>'Loan Book'!E101</f>
        <v>7 Arts Holdings Limited</v>
      </c>
      <c r="I95" t="str">
        <f>Mapping!J98</f>
        <v>000104460000096</v>
      </c>
      <c r="J95" t="s">
        <v>261</v>
      </c>
      <c r="K95" t="s">
        <v>263</v>
      </c>
      <c r="L95" t="s">
        <v>294</v>
      </c>
      <c r="M95" t="s">
        <v>464</v>
      </c>
      <c r="N95" t="s">
        <v>466</v>
      </c>
      <c r="O95" s="427" t="s">
        <v>467</v>
      </c>
      <c r="P95" t="s">
        <v>261</v>
      </c>
      <c r="Q95" t="s">
        <v>256</v>
      </c>
    </row>
    <row r="96" spans="1:17" x14ac:dyDescent="0.35">
      <c r="A96">
        <v>95</v>
      </c>
      <c r="B96" t="str">
        <f>'Amortisation and Repayments'!C5208</f>
        <v>Ifracon Limited</v>
      </c>
      <c r="C96" s="427">
        <f>'Amortisation and Repayments'!D5210</f>
        <v>362090000</v>
      </c>
      <c r="D96">
        <f>IF('Amortisation and Repayments'!D5211&lt;1,'Amortisation and Repayments'!D5211*100,'Amortisation and Repayments'!D5211)</f>
        <v>32.9</v>
      </c>
      <c r="E96">
        <v>5208</v>
      </c>
      <c r="F96" t="str">
        <f>HYPERLINK("#'Amortisation and Repayments'!C5208","open")</f>
        <v>open</v>
      </c>
      <c r="G96">
        <v>102</v>
      </c>
      <c r="H96" t="str">
        <f>'Loan Book'!E102</f>
        <v>Infracon Limited</v>
      </c>
      <c r="I96" t="str">
        <f>Mapping!J99</f>
        <v>000104430000062</v>
      </c>
      <c r="J96" t="s">
        <v>261</v>
      </c>
      <c r="K96" t="s">
        <v>276</v>
      </c>
      <c r="L96" t="s">
        <v>294</v>
      </c>
      <c r="M96" t="s">
        <v>468</v>
      </c>
      <c r="N96" t="s">
        <v>466</v>
      </c>
      <c r="O96" s="427" t="s">
        <v>469</v>
      </c>
      <c r="P96" t="s">
        <v>261</v>
      </c>
      <c r="Q96" t="s">
        <v>470</v>
      </c>
    </row>
    <row r="97" spans="1:17" x14ac:dyDescent="0.35">
      <c r="A97">
        <v>96</v>
      </c>
      <c r="B97" t="str">
        <f>'Amortisation and Repayments'!C5284</f>
        <v>Infraworks Development LLC</v>
      </c>
      <c r="C97" s="427">
        <f>'Amortisation and Repayments'!D5286</f>
        <v>400000000</v>
      </c>
      <c r="D97">
        <f>IF('Amortisation and Repayments'!D5287&lt;1,'Amortisation and Repayments'!D5287*100,'Amortisation and Repayments'!D5287)</f>
        <v>10</v>
      </c>
      <c r="E97">
        <v>5284</v>
      </c>
      <c r="F97" t="str">
        <f>HYPERLINK("#'Amortisation and Repayments'!C5284","open")</f>
        <v>open</v>
      </c>
      <c r="G97">
        <v>103</v>
      </c>
      <c r="H97" t="str">
        <f>'Loan Book'!E103</f>
        <v>Infraworks Development Ltd</v>
      </c>
      <c r="I97" t="str">
        <f>Mapping!J100</f>
        <v>000104460000098</v>
      </c>
      <c r="J97" t="s">
        <v>261</v>
      </c>
      <c r="K97" t="s">
        <v>263</v>
      </c>
      <c r="L97" t="s">
        <v>300</v>
      </c>
      <c r="M97" t="s">
        <v>471</v>
      </c>
      <c r="N97" t="s">
        <v>472</v>
      </c>
      <c r="O97" s="427" t="s">
        <v>267</v>
      </c>
      <c r="P97" t="s">
        <v>261</v>
      </c>
      <c r="Q97" t="s">
        <v>473</v>
      </c>
    </row>
    <row r="98" spans="1:17" x14ac:dyDescent="0.35">
      <c r="A98">
        <v>97</v>
      </c>
      <c r="B98" t="str">
        <f>'Amortisation and Repayments'!C5347</f>
        <v>Bio Energy Resource Limited</v>
      </c>
      <c r="C98" s="427">
        <f>'Amortisation and Repayments'!D5349</f>
        <v>108431000</v>
      </c>
      <c r="D98">
        <f>IF('Amortisation and Repayments'!D5350&lt;1,'Amortisation and Repayments'!D5350*100,'Amortisation and Repayments'!D5350)</f>
        <v>10</v>
      </c>
      <c r="E98">
        <v>5347</v>
      </c>
      <c r="F98" t="str">
        <f>HYPERLINK("#'Amortisation and Repayments'!C5347","open")</f>
        <v>open</v>
      </c>
      <c r="G98">
        <v>104</v>
      </c>
      <c r="H98" t="str">
        <f>'Loan Book'!E104</f>
        <v>Bio-Energy Resources Limited</v>
      </c>
      <c r="I98" t="str">
        <f>Mapping!J101</f>
        <v>000104460000099</v>
      </c>
      <c r="J98" t="s">
        <v>261</v>
      </c>
      <c r="K98" t="s">
        <v>263</v>
      </c>
      <c r="L98" t="s">
        <v>290</v>
      </c>
      <c r="M98" t="s">
        <v>474</v>
      </c>
      <c r="N98" t="s">
        <v>472</v>
      </c>
      <c r="O98" s="427" t="s">
        <v>475</v>
      </c>
      <c r="P98" t="s">
        <v>261</v>
      </c>
      <c r="Q98" t="s">
        <v>262</v>
      </c>
    </row>
    <row r="99" spans="1:17" x14ac:dyDescent="0.35">
      <c r="A99">
        <v>98</v>
      </c>
      <c r="B99" t="str">
        <f>'Amortisation and Repayments'!C5414</f>
        <v>Hortinet Foods Ltd</v>
      </c>
      <c r="C99" s="427">
        <f>'Amortisation and Repayments'!D5416</f>
        <v>150000000</v>
      </c>
      <c r="D99">
        <f>IF('Amortisation and Repayments'!D5417&lt;1,'Amortisation and Repayments'!D5417*100,'Amortisation and Repayments'!D5417)</f>
        <v>33</v>
      </c>
      <c r="E99">
        <v>5414</v>
      </c>
      <c r="F99" t="str">
        <f>HYPERLINK("#'Amortisation and Repayments'!C5414","open")</f>
        <v>open</v>
      </c>
      <c r="G99">
        <v>105</v>
      </c>
      <c r="H99" t="str">
        <f>'Loan Book'!E105</f>
        <v>Hortinet Foods Ltd MAIIC</v>
      </c>
      <c r="I99" t="str">
        <f>Mapping!J102</f>
        <v>000104420000063</v>
      </c>
      <c r="J99" t="s">
        <v>261</v>
      </c>
      <c r="K99" t="s">
        <v>263</v>
      </c>
      <c r="L99" t="s">
        <v>290</v>
      </c>
      <c r="M99" t="s">
        <v>476</v>
      </c>
      <c r="N99" t="s">
        <v>477</v>
      </c>
      <c r="O99" s="427" t="s">
        <v>297</v>
      </c>
      <c r="P99" t="s">
        <v>261</v>
      </c>
      <c r="Q99" t="s">
        <v>256</v>
      </c>
    </row>
    <row r="100" spans="1:17" x14ac:dyDescent="0.35">
      <c r="A100">
        <v>99</v>
      </c>
      <c r="B100" t="str">
        <f>'Amortisation and Repayments'!C5477</f>
        <v>Chimwemwe Mafeni Transport</v>
      </c>
      <c r="C100" s="427">
        <f>'Amortisation and Repayments'!D5479</f>
        <v>200000000</v>
      </c>
      <c r="D100">
        <f>IF('Amortisation and Repayments'!D5480&lt;1,'Amortisation and Repayments'!D5480*100,'Amortisation and Repayments'!D5480)</f>
        <v>10</v>
      </c>
      <c r="E100">
        <v>5477</v>
      </c>
      <c r="F100" t="str">
        <f>HYPERLINK("#'Amortisation and Repayments'!C5477","open")</f>
        <v>open</v>
      </c>
      <c r="G100">
        <v>106</v>
      </c>
      <c r="H100" t="str">
        <f>'Loan Book'!E106</f>
        <v>Chimwemwe Mafeni Transport</v>
      </c>
      <c r="I100" t="str">
        <f>Mapping!J103</f>
        <v>000104460000104</v>
      </c>
      <c r="J100" t="s">
        <v>261</v>
      </c>
      <c r="K100" t="s">
        <v>263</v>
      </c>
      <c r="L100" t="s">
        <v>273</v>
      </c>
      <c r="M100" t="s">
        <v>478</v>
      </c>
      <c r="N100" t="s">
        <v>479</v>
      </c>
      <c r="O100" s="427" t="s">
        <v>480</v>
      </c>
      <c r="P100" t="s">
        <v>261</v>
      </c>
      <c r="Q100" t="s">
        <v>256</v>
      </c>
    </row>
    <row r="101" spans="1:17" x14ac:dyDescent="0.35">
      <c r="A101">
        <v>100</v>
      </c>
      <c r="B101" t="str">
        <f>'Amortisation and Repayments'!C5553</f>
        <v>Agwenda Investment Limited</v>
      </c>
      <c r="C101" s="427">
        <f>'Amortisation and Repayments'!D5555</f>
        <v>21295000</v>
      </c>
      <c r="D101">
        <f>IF('Amortisation and Repayments'!D5556&lt;1,'Amortisation and Repayments'!D5556*100,'Amortisation and Repayments'!D5556)</f>
        <v>33</v>
      </c>
      <c r="E101">
        <v>5553</v>
      </c>
      <c r="F101" t="str">
        <f>HYPERLINK("#'Amortisation and Repayments'!C5553","open")</f>
        <v>open</v>
      </c>
      <c r="G101">
        <v>107</v>
      </c>
      <c r="H101" t="str">
        <f>'Loan Book'!E107</f>
        <v>Agwenda Investment Limited</v>
      </c>
      <c r="I101" t="str">
        <f>Mapping!J104</f>
        <v>000104430000064</v>
      </c>
      <c r="J101" t="s">
        <v>261</v>
      </c>
      <c r="K101" t="s">
        <v>263</v>
      </c>
      <c r="L101" t="s">
        <v>264</v>
      </c>
      <c r="M101" t="s">
        <v>481</v>
      </c>
      <c r="N101" t="s">
        <v>283</v>
      </c>
      <c r="O101" s="427" t="s">
        <v>359</v>
      </c>
      <c r="P101" t="s">
        <v>261</v>
      </c>
      <c r="Q101" t="s">
        <v>256</v>
      </c>
    </row>
    <row r="103" spans="1:17" x14ac:dyDescent="0.35">
      <c r="A103" t="s">
        <v>482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Q187"/>
  <sheetViews>
    <sheetView workbookViewId="0">
      <pane ySplit="1" topLeftCell="A2" activePane="bottomLeft" state="frozen"/>
      <selection pane="bottomLeft"/>
    </sheetView>
  </sheetViews>
  <sheetFormatPr defaultRowHeight="14.5" x14ac:dyDescent="0.35"/>
  <cols>
    <col min="1" max="17" width="18" customWidth="1"/>
  </cols>
  <sheetData>
    <row r="1" spans="1:17" ht="42" customHeight="1" x14ac:dyDescent="0.35">
      <c r="A1" s="425" t="s">
        <v>483</v>
      </c>
      <c r="B1" s="425" t="s">
        <v>484</v>
      </c>
      <c r="C1" s="425" t="s">
        <v>215</v>
      </c>
      <c r="D1" s="425" t="s">
        <v>216</v>
      </c>
      <c r="E1" s="425" t="s">
        <v>193</v>
      </c>
      <c r="F1" s="425" t="s">
        <v>217</v>
      </c>
      <c r="G1" s="425" t="s">
        <v>218</v>
      </c>
      <c r="H1" s="425" t="s">
        <v>191</v>
      </c>
      <c r="I1" s="425" t="s">
        <v>192</v>
      </c>
      <c r="J1" s="425" t="s">
        <v>219</v>
      </c>
      <c r="K1" s="425" t="s">
        <v>220</v>
      </c>
      <c r="L1" s="425" t="s">
        <v>221</v>
      </c>
      <c r="M1" s="425" t="s">
        <v>222</v>
      </c>
      <c r="N1" s="425" t="s">
        <v>223</v>
      </c>
      <c r="O1" s="425" t="s">
        <v>224</v>
      </c>
      <c r="P1" s="425" t="s">
        <v>225</v>
      </c>
      <c r="Q1" s="425" t="s">
        <v>485</v>
      </c>
    </row>
    <row r="2" spans="1:17" x14ac:dyDescent="0.35">
      <c r="A2" t="s">
        <v>67</v>
      </c>
      <c r="B2" t="s">
        <v>486</v>
      </c>
      <c r="C2">
        <v>84</v>
      </c>
      <c r="D2" t="s">
        <v>487</v>
      </c>
      <c r="E2" t="s">
        <v>488</v>
      </c>
      <c r="F2" t="s">
        <v>489</v>
      </c>
      <c r="G2">
        <v>20.2</v>
      </c>
      <c r="H2" s="426">
        <v>44040</v>
      </c>
      <c r="I2">
        <v>20000000</v>
      </c>
      <c r="J2" s="426">
        <v>44040</v>
      </c>
      <c r="K2" s="426">
        <v>44769</v>
      </c>
      <c r="L2">
        <v>6</v>
      </c>
      <c r="M2">
        <v>6</v>
      </c>
      <c r="N2">
        <v>18240000</v>
      </c>
      <c r="O2">
        <v>1004624.69</v>
      </c>
      <c r="Q2" s="426">
        <v>44040</v>
      </c>
    </row>
    <row r="3" spans="1:17" x14ac:dyDescent="0.35">
      <c r="A3" t="s">
        <v>69</v>
      </c>
      <c r="B3" t="s">
        <v>490</v>
      </c>
      <c r="C3">
        <v>84</v>
      </c>
      <c r="D3" t="s">
        <v>487</v>
      </c>
      <c r="E3" t="s">
        <v>491</v>
      </c>
      <c r="F3" t="s">
        <v>492</v>
      </c>
      <c r="G3">
        <v>30.35</v>
      </c>
      <c r="H3" s="426">
        <v>43964</v>
      </c>
      <c r="I3">
        <v>370000000</v>
      </c>
      <c r="J3" s="426">
        <v>43964</v>
      </c>
      <c r="K3" s="426">
        <v>46225</v>
      </c>
      <c r="L3">
        <v>13</v>
      </c>
      <c r="M3">
        <v>0</v>
      </c>
      <c r="N3">
        <v>405097989.86000001</v>
      </c>
      <c r="O3">
        <v>237378159.63999999</v>
      </c>
      <c r="P3">
        <v>399243507.06999999</v>
      </c>
      <c r="Q3" s="426">
        <v>44035</v>
      </c>
    </row>
    <row r="4" spans="1:17" x14ac:dyDescent="0.35">
      <c r="A4" t="s">
        <v>70</v>
      </c>
      <c r="B4" t="s">
        <v>493</v>
      </c>
      <c r="C4">
        <v>84</v>
      </c>
      <c r="D4" t="s">
        <v>487</v>
      </c>
      <c r="E4" t="s">
        <v>491</v>
      </c>
      <c r="F4" t="s">
        <v>492</v>
      </c>
      <c r="G4">
        <v>31.82</v>
      </c>
      <c r="H4" s="426">
        <v>44076</v>
      </c>
      <c r="I4">
        <v>17000000</v>
      </c>
      <c r="J4" s="426">
        <v>44076</v>
      </c>
      <c r="K4" s="426">
        <v>44805</v>
      </c>
      <c r="L4">
        <v>6</v>
      </c>
      <c r="M4">
        <v>0</v>
      </c>
      <c r="N4">
        <v>12055000</v>
      </c>
      <c r="O4">
        <v>2792906.89</v>
      </c>
      <c r="P4">
        <v>13568451.130000001</v>
      </c>
      <c r="Q4" s="426">
        <v>44076</v>
      </c>
    </row>
    <row r="5" spans="1:17" x14ac:dyDescent="0.35">
      <c r="A5" t="s">
        <v>71</v>
      </c>
      <c r="B5" t="s">
        <v>494</v>
      </c>
      <c r="C5">
        <v>84</v>
      </c>
      <c r="D5" t="s">
        <v>487</v>
      </c>
      <c r="E5" t="s">
        <v>495</v>
      </c>
      <c r="F5" t="s">
        <v>492</v>
      </c>
      <c r="G5">
        <v>32</v>
      </c>
      <c r="H5" s="426">
        <v>44075</v>
      </c>
      <c r="I5">
        <v>460000000</v>
      </c>
      <c r="J5" s="426">
        <v>44075</v>
      </c>
      <c r="K5" s="426">
        <v>45901</v>
      </c>
      <c r="L5">
        <v>6</v>
      </c>
      <c r="M5">
        <v>0</v>
      </c>
      <c r="N5">
        <v>297400000</v>
      </c>
      <c r="O5">
        <v>219654186.91999999</v>
      </c>
      <c r="P5">
        <v>167976520.65000001</v>
      </c>
      <c r="Q5" s="426">
        <v>44075</v>
      </c>
    </row>
    <row r="6" spans="1:17" x14ac:dyDescent="0.35">
      <c r="A6" t="s">
        <v>73</v>
      </c>
      <c r="B6" t="s">
        <v>496</v>
      </c>
      <c r="C6">
        <v>84</v>
      </c>
      <c r="D6" t="s">
        <v>487</v>
      </c>
      <c r="E6" t="s">
        <v>491</v>
      </c>
      <c r="F6" t="s">
        <v>492</v>
      </c>
      <c r="G6">
        <v>33.9</v>
      </c>
      <c r="H6" s="426">
        <v>44117</v>
      </c>
      <c r="I6">
        <v>65023440</v>
      </c>
      <c r="J6" s="426">
        <v>44117</v>
      </c>
      <c r="K6" s="426">
        <v>45760</v>
      </c>
      <c r="L6">
        <v>6</v>
      </c>
      <c r="M6">
        <v>0</v>
      </c>
      <c r="N6">
        <v>81075926.780000001</v>
      </c>
      <c r="O6">
        <v>56575015.299999997</v>
      </c>
      <c r="P6">
        <v>135070553.40000001</v>
      </c>
      <c r="Q6" s="426">
        <v>44117</v>
      </c>
    </row>
    <row r="7" spans="1:17" x14ac:dyDescent="0.35">
      <c r="A7" t="s">
        <v>74</v>
      </c>
      <c r="B7" t="s">
        <v>497</v>
      </c>
      <c r="C7">
        <v>84</v>
      </c>
      <c r="D7" t="s">
        <v>487</v>
      </c>
      <c r="E7" t="s">
        <v>488</v>
      </c>
      <c r="F7" t="s">
        <v>489</v>
      </c>
      <c r="G7">
        <v>26.8</v>
      </c>
      <c r="H7" s="426">
        <v>44307</v>
      </c>
      <c r="I7">
        <v>80000000</v>
      </c>
      <c r="J7" s="426">
        <v>44307</v>
      </c>
      <c r="K7" s="426">
        <v>46133</v>
      </c>
      <c r="L7">
        <v>0</v>
      </c>
      <c r="M7">
        <v>0</v>
      </c>
      <c r="N7">
        <v>80000000</v>
      </c>
      <c r="O7">
        <v>46627490.100000001</v>
      </c>
      <c r="P7">
        <v>50784761.799999997</v>
      </c>
      <c r="Q7" s="426">
        <v>44307</v>
      </c>
    </row>
    <row r="8" spans="1:17" x14ac:dyDescent="0.35">
      <c r="A8" t="s">
        <v>76</v>
      </c>
      <c r="B8" t="s">
        <v>498</v>
      </c>
      <c r="C8">
        <v>84</v>
      </c>
      <c r="D8" t="s">
        <v>487</v>
      </c>
      <c r="E8" t="s">
        <v>491</v>
      </c>
      <c r="F8" t="s">
        <v>492</v>
      </c>
      <c r="G8">
        <v>32.299999999999997</v>
      </c>
      <c r="H8" s="426">
        <v>44266</v>
      </c>
      <c r="I8">
        <v>96552500</v>
      </c>
      <c r="J8" s="426">
        <v>44266</v>
      </c>
      <c r="K8" s="426">
        <v>45727</v>
      </c>
      <c r="L8">
        <v>12</v>
      </c>
      <c r="M8">
        <v>12</v>
      </c>
      <c r="N8">
        <v>96552500</v>
      </c>
      <c r="O8">
        <v>75812661.709999993</v>
      </c>
      <c r="P8">
        <v>162085543.34</v>
      </c>
      <c r="Q8" s="426">
        <v>44266</v>
      </c>
    </row>
    <row r="9" spans="1:17" x14ac:dyDescent="0.35">
      <c r="A9" t="s">
        <v>75</v>
      </c>
      <c r="B9" t="s">
        <v>497</v>
      </c>
      <c r="C9">
        <v>84</v>
      </c>
      <c r="D9" t="s">
        <v>487</v>
      </c>
      <c r="E9" t="s">
        <v>488</v>
      </c>
      <c r="F9" t="s">
        <v>489</v>
      </c>
      <c r="G9">
        <v>26.5</v>
      </c>
      <c r="H9" s="426">
        <v>44400</v>
      </c>
      <c r="I9">
        <v>85000000</v>
      </c>
      <c r="J9" s="426">
        <v>44400</v>
      </c>
      <c r="K9" s="426">
        <v>46226</v>
      </c>
      <c r="L9">
        <v>0</v>
      </c>
      <c r="M9">
        <v>0</v>
      </c>
      <c r="N9">
        <v>85000000</v>
      </c>
      <c r="O9">
        <v>45506488.990000002</v>
      </c>
      <c r="P9">
        <v>42742352.289999999</v>
      </c>
      <c r="Q9" s="426">
        <v>44400</v>
      </c>
    </row>
    <row r="10" spans="1:17" x14ac:dyDescent="0.35">
      <c r="A10" t="s">
        <v>97</v>
      </c>
      <c r="B10" t="s">
        <v>499</v>
      </c>
      <c r="C10">
        <v>84</v>
      </c>
      <c r="D10" t="s">
        <v>487</v>
      </c>
      <c r="E10" t="s">
        <v>488</v>
      </c>
      <c r="F10" t="s">
        <v>489</v>
      </c>
      <c r="G10">
        <v>29.2</v>
      </c>
      <c r="H10" s="426">
        <v>44699</v>
      </c>
      <c r="I10">
        <v>104979420</v>
      </c>
      <c r="J10" s="426">
        <v>44699</v>
      </c>
      <c r="K10" s="426">
        <v>46525</v>
      </c>
      <c r="L10">
        <v>0</v>
      </c>
      <c r="M10">
        <v>0</v>
      </c>
      <c r="N10">
        <v>104979420</v>
      </c>
      <c r="O10">
        <v>61336125.579999998</v>
      </c>
      <c r="P10">
        <v>108314465.95999999</v>
      </c>
      <c r="Q10" s="426">
        <v>44699</v>
      </c>
    </row>
    <row r="11" spans="1:17" x14ac:dyDescent="0.35">
      <c r="A11" t="s">
        <v>106</v>
      </c>
      <c r="B11" t="s">
        <v>500</v>
      </c>
      <c r="C11">
        <v>84</v>
      </c>
      <c r="D11" t="s">
        <v>487</v>
      </c>
      <c r="E11" t="s">
        <v>501</v>
      </c>
      <c r="F11" t="s">
        <v>489</v>
      </c>
      <c r="G11">
        <v>30.95</v>
      </c>
      <c r="H11" s="426">
        <v>44761</v>
      </c>
      <c r="I11">
        <v>152910000</v>
      </c>
      <c r="J11" s="426">
        <v>44761</v>
      </c>
      <c r="K11" s="426">
        <v>46221</v>
      </c>
      <c r="L11">
        <v>12</v>
      </c>
      <c r="M11">
        <v>0</v>
      </c>
      <c r="Q11" s="426">
        <v>44761</v>
      </c>
    </row>
    <row r="12" spans="1:17" x14ac:dyDescent="0.35">
      <c r="A12" t="s">
        <v>109</v>
      </c>
      <c r="B12" t="s">
        <v>502</v>
      </c>
      <c r="C12">
        <v>84</v>
      </c>
      <c r="D12" t="s">
        <v>487</v>
      </c>
      <c r="E12" t="s">
        <v>503</v>
      </c>
      <c r="F12" t="s">
        <v>492</v>
      </c>
      <c r="G12">
        <v>0</v>
      </c>
      <c r="H12" s="426">
        <v>44746</v>
      </c>
      <c r="I12">
        <v>154724500</v>
      </c>
      <c r="J12" s="426">
        <v>44746</v>
      </c>
      <c r="K12" s="426">
        <v>46207</v>
      </c>
      <c r="L12">
        <v>0</v>
      </c>
      <c r="M12">
        <v>0</v>
      </c>
      <c r="N12">
        <v>154724500</v>
      </c>
      <c r="O12">
        <v>79996060.140000001</v>
      </c>
      <c r="P12">
        <v>101427841.37</v>
      </c>
      <c r="Q12" s="426">
        <v>44746</v>
      </c>
    </row>
    <row r="13" spans="1:17" x14ac:dyDescent="0.35">
      <c r="A13" t="s">
        <v>110</v>
      </c>
      <c r="B13" t="s">
        <v>504</v>
      </c>
      <c r="C13">
        <v>84</v>
      </c>
      <c r="D13" t="s">
        <v>487</v>
      </c>
      <c r="E13" t="s">
        <v>501</v>
      </c>
      <c r="F13" t="s">
        <v>489</v>
      </c>
      <c r="G13">
        <v>33.700000000000003</v>
      </c>
      <c r="H13" s="426">
        <v>44803</v>
      </c>
      <c r="I13">
        <v>103225546</v>
      </c>
      <c r="J13" s="426">
        <v>44803</v>
      </c>
      <c r="K13" s="426">
        <v>45898</v>
      </c>
      <c r="L13">
        <v>0</v>
      </c>
      <c r="M13">
        <v>0</v>
      </c>
      <c r="Q13" s="426">
        <v>44803</v>
      </c>
    </row>
    <row r="14" spans="1:17" x14ac:dyDescent="0.35">
      <c r="A14" t="s">
        <v>118</v>
      </c>
      <c r="B14" t="s">
        <v>505</v>
      </c>
      <c r="C14">
        <v>84</v>
      </c>
      <c r="D14" t="s">
        <v>487</v>
      </c>
      <c r="E14" t="s">
        <v>488</v>
      </c>
      <c r="F14" t="s">
        <v>489</v>
      </c>
      <c r="G14">
        <v>28.8</v>
      </c>
      <c r="H14" s="426">
        <v>44789</v>
      </c>
      <c r="I14">
        <v>103166500</v>
      </c>
      <c r="J14" s="426">
        <v>44789</v>
      </c>
      <c r="K14" s="426">
        <v>46250</v>
      </c>
      <c r="L14">
        <v>12</v>
      </c>
      <c r="M14">
        <v>12</v>
      </c>
      <c r="N14">
        <v>103166500</v>
      </c>
      <c r="O14">
        <v>54797857.670000002</v>
      </c>
      <c r="P14">
        <v>172069095.46000001</v>
      </c>
      <c r="Q14" s="426">
        <v>44789</v>
      </c>
    </row>
    <row r="15" spans="1:17" x14ac:dyDescent="0.35">
      <c r="A15" t="s">
        <v>129</v>
      </c>
      <c r="B15" t="s">
        <v>506</v>
      </c>
      <c r="C15">
        <v>84</v>
      </c>
      <c r="D15" t="s">
        <v>487</v>
      </c>
      <c r="E15" t="s">
        <v>488</v>
      </c>
      <c r="F15" t="s">
        <v>489</v>
      </c>
      <c r="G15">
        <v>29.2</v>
      </c>
      <c r="H15" s="426">
        <v>44818</v>
      </c>
      <c r="I15">
        <v>257860750</v>
      </c>
      <c r="J15" s="426">
        <v>44818</v>
      </c>
      <c r="K15" s="426">
        <v>46279</v>
      </c>
      <c r="L15">
        <v>8</v>
      </c>
      <c r="M15">
        <v>8</v>
      </c>
      <c r="N15">
        <v>257860750</v>
      </c>
      <c r="O15">
        <v>72305459.260000005</v>
      </c>
      <c r="P15">
        <v>135721912.31999999</v>
      </c>
      <c r="Q15" s="426">
        <v>44818</v>
      </c>
    </row>
    <row r="16" spans="1:17" x14ac:dyDescent="0.35">
      <c r="A16" t="s">
        <v>168</v>
      </c>
      <c r="B16" t="s">
        <v>507</v>
      </c>
      <c r="C16">
        <v>84</v>
      </c>
      <c r="D16" t="s">
        <v>487</v>
      </c>
      <c r="E16" t="s">
        <v>491</v>
      </c>
      <c r="F16" t="s">
        <v>492</v>
      </c>
      <c r="G16">
        <v>33.299999999999997</v>
      </c>
      <c r="H16" s="426">
        <v>45489</v>
      </c>
      <c r="I16">
        <v>150000000</v>
      </c>
      <c r="J16" s="426">
        <v>45489</v>
      </c>
      <c r="K16" s="426">
        <v>46950</v>
      </c>
      <c r="L16">
        <v>0</v>
      </c>
      <c r="M16">
        <v>0</v>
      </c>
      <c r="N16">
        <v>150000000</v>
      </c>
      <c r="O16">
        <v>1692093.19</v>
      </c>
      <c r="P16">
        <v>164662573.22999999</v>
      </c>
      <c r="Q16" s="426">
        <v>45489</v>
      </c>
    </row>
    <row r="17" spans="1:17" x14ac:dyDescent="0.35">
      <c r="A17" t="s">
        <v>508</v>
      </c>
      <c r="B17" t="s">
        <v>509</v>
      </c>
      <c r="C17">
        <v>84</v>
      </c>
      <c r="D17" t="s">
        <v>487</v>
      </c>
      <c r="E17" t="s">
        <v>488</v>
      </c>
      <c r="F17" t="s">
        <v>492</v>
      </c>
      <c r="G17">
        <v>29.2</v>
      </c>
      <c r="H17" s="426">
        <v>45903</v>
      </c>
      <c r="I17">
        <v>250000000</v>
      </c>
      <c r="J17" s="426">
        <v>45903</v>
      </c>
      <c r="K17" s="426">
        <v>47729</v>
      </c>
      <c r="L17">
        <v>0</v>
      </c>
      <c r="M17">
        <v>0</v>
      </c>
      <c r="Q17" s="426">
        <v>45903</v>
      </c>
    </row>
    <row r="18" spans="1:17" x14ac:dyDescent="0.35">
      <c r="A18" t="s">
        <v>63</v>
      </c>
      <c r="B18" t="s">
        <v>510</v>
      </c>
      <c r="C18">
        <v>86</v>
      </c>
      <c r="D18" t="s">
        <v>511</v>
      </c>
      <c r="E18" t="s">
        <v>501</v>
      </c>
      <c r="F18" t="s">
        <v>489</v>
      </c>
      <c r="G18">
        <v>30.8</v>
      </c>
      <c r="H18" s="426">
        <v>44652</v>
      </c>
      <c r="I18">
        <v>620855897.53999996</v>
      </c>
      <c r="J18" s="426">
        <v>44652</v>
      </c>
      <c r="K18" s="426">
        <v>47026</v>
      </c>
      <c r="L18">
        <v>0</v>
      </c>
      <c r="M18">
        <v>0</v>
      </c>
      <c r="Q18" s="426">
        <v>44470</v>
      </c>
    </row>
    <row r="19" spans="1:17" x14ac:dyDescent="0.35">
      <c r="A19" t="s">
        <v>66</v>
      </c>
      <c r="B19" t="s">
        <v>512</v>
      </c>
      <c r="C19">
        <v>86</v>
      </c>
      <c r="D19" t="s">
        <v>511</v>
      </c>
      <c r="E19" t="s">
        <v>488</v>
      </c>
      <c r="F19" t="s">
        <v>489</v>
      </c>
      <c r="G19">
        <v>31.09</v>
      </c>
      <c r="H19" s="426">
        <v>43894</v>
      </c>
      <c r="I19">
        <v>300000000</v>
      </c>
      <c r="J19" s="426">
        <v>43894</v>
      </c>
      <c r="K19" s="426">
        <v>45720</v>
      </c>
      <c r="L19">
        <v>12</v>
      </c>
      <c r="M19">
        <v>0</v>
      </c>
      <c r="N19">
        <v>331395845.48000002</v>
      </c>
      <c r="O19">
        <v>207471430.41999999</v>
      </c>
      <c r="P19">
        <v>378644731.35000002</v>
      </c>
      <c r="Q19" s="426">
        <v>43894</v>
      </c>
    </row>
    <row r="20" spans="1:17" x14ac:dyDescent="0.35">
      <c r="A20" t="s">
        <v>68</v>
      </c>
      <c r="B20" t="s">
        <v>513</v>
      </c>
      <c r="C20">
        <v>86</v>
      </c>
      <c r="D20" t="s">
        <v>511</v>
      </c>
      <c r="E20" t="s">
        <v>495</v>
      </c>
      <c r="F20" t="s">
        <v>489</v>
      </c>
      <c r="G20">
        <v>33.299999999999997</v>
      </c>
      <c r="H20" s="426">
        <v>44525</v>
      </c>
      <c r="I20">
        <v>309523514</v>
      </c>
      <c r="J20" s="426">
        <v>44525</v>
      </c>
      <c r="K20" s="426">
        <v>45255</v>
      </c>
      <c r="L20">
        <v>0</v>
      </c>
      <c r="M20">
        <v>0</v>
      </c>
      <c r="N20">
        <v>309523514</v>
      </c>
      <c r="O20">
        <v>32916948.489999998</v>
      </c>
      <c r="P20">
        <v>8318966.4900000002</v>
      </c>
      <c r="Q20" s="426">
        <v>44525</v>
      </c>
    </row>
    <row r="21" spans="1:17" x14ac:dyDescent="0.35">
      <c r="A21" t="s">
        <v>72</v>
      </c>
      <c r="B21" t="s">
        <v>514</v>
      </c>
      <c r="C21">
        <v>86</v>
      </c>
      <c r="D21" t="s">
        <v>511</v>
      </c>
      <c r="E21" t="s">
        <v>501</v>
      </c>
      <c r="F21" t="s">
        <v>489</v>
      </c>
      <c r="G21">
        <v>32.1</v>
      </c>
      <c r="H21" s="426">
        <v>44501</v>
      </c>
      <c r="I21">
        <v>395623962</v>
      </c>
      <c r="J21" s="426">
        <v>44501</v>
      </c>
      <c r="K21" s="426">
        <v>46012</v>
      </c>
      <c r="L21">
        <v>6</v>
      </c>
      <c r="M21">
        <v>0</v>
      </c>
      <c r="Q21" s="426">
        <v>44187</v>
      </c>
    </row>
    <row r="22" spans="1:17" x14ac:dyDescent="0.35">
      <c r="A22" t="s">
        <v>86</v>
      </c>
      <c r="B22" t="s">
        <v>515</v>
      </c>
      <c r="C22">
        <v>86</v>
      </c>
      <c r="D22" t="s">
        <v>511</v>
      </c>
      <c r="E22" t="s">
        <v>501</v>
      </c>
      <c r="F22" t="s">
        <v>489</v>
      </c>
      <c r="G22">
        <v>9.4600000000000009</v>
      </c>
      <c r="H22" s="426">
        <v>44631</v>
      </c>
      <c r="I22">
        <v>881153952.35000002</v>
      </c>
      <c r="J22" s="426">
        <v>44631</v>
      </c>
      <c r="K22" s="426">
        <v>46822</v>
      </c>
      <c r="L22">
        <v>9</v>
      </c>
      <c r="M22">
        <v>9</v>
      </c>
      <c r="Q22" s="426">
        <v>44631</v>
      </c>
    </row>
    <row r="23" spans="1:17" x14ac:dyDescent="0.35">
      <c r="A23" t="s">
        <v>120</v>
      </c>
      <c r="B23" t="s">
        <v>516</v>
      </c>
      <c r="C23">
        <v>86</v>
      </c>
      <c r="D23" t="s">
        <v>511</v>
      </c>
      <c r="E23" t="s">
        <v>491</v>
      </c>
      <c r="F23" t="s">
        <v>489</v>
      </c>
      <c r="G23">
        <v>29.2</v>
      </c>
      <c r="H23" s="426">
        <v>44853</v>
      </c>
      <c r="I23">
        <v>20000000</v>
      </c>
      <c r="J23" s="426">
        <v>44853</v>
      </c>
      <c r="K23" s="426">
        <v>46314</v>
      </c>
      <c r="L23">
        <v>0</v>
      </c>
      <c r="M23">
        <v>0</v>
      </c>
      <c r="N23">
        <v>200000000</v>
      </c>
      <c r="O23">
        <v>97264936.480000004</v>
      </c>
      <c r="P23">
        <v>235751878.34999999</v>
      </c>
      <c r="Q23" s="426">
        <v>44853</v>
      </c>
    </row>
    <row r="24" spans="1:17" x14ac:dyDescent="0.35">
      <c r="A24" t="s">
        <v>195</v>
      </c>
      <c r="B24" t="s">
        <v>517</v>
      </c>
      <c r="C24">
        <v>86</v>
      </c>
      <c r="D24" t="s">
        <v>511</v>
      </c>
      <c r="E24" t="s">
        <v>501</v>
      </c>
      <c r="F24" t="s">
        <v>492</v>
      </c>
      <c r="G24">
        <v>0</v>
      </c>
      <c r="H24" s="426">
        <v>45446</v>
      </c>
      <c r="I24">
        <v>1762000051</v>
      </c>
      <c r="J24" s="426">
        <v>45446</v>
      </c>
      <c r="K24" s="426">
        <v>48002</v>
      </c>
      <c r="L24">
        <v>0</v>
      </c>
      <c r="M24">
        <v>0</v>
      </c>
      <c r="Q24" s="426">
        <v>45446</v>
      </c>
    </row>
    <row r="25" spans="1:17" x14ac:dyDescent="0.35">
      <c r="A25" t="s">
        <v>196</v>
      </c>
      <c r="B25" t="s">
        <v>518</v>
      </c>
      <c r="C25">
        <v>86</v>
      </c>
      <c r="D25" t="s">
        <v>511</v>
      </c>
      <c r="E25" t="s">
        <v>501</v>
      </c>
      <c r="F25" t="s">
        <v>492</v>
      </c>
      <c r="G25">
        <v>13</v>
      </c>
      <c r="H25" s="426">
        <v>45446</v>
      </c>
      <c r="I25">
        <v>481899500</v>
      </c>
      <c r="J25" s="426">
        <v>45446</v>
      </c>
      <c r="K25" s="426">
        <v>47272</v>
      </c>
      <c r="L25">
        <v>0</v>
      </c>
      <c r="M25">
        <v>0</v>
      </c>
    </row>
    <row r="26" spans="1:17" x14ac:dyDescent="0.35">
      <c r="A26" t="s">
        <v>172</v>
      </c>
      <c r="B26" t="s">
        <v>518</v>
      </c>
      <c r="C26">
        <v>86</v>
      </c>
      <c r="D26" t="s">
        <v>511</v>
      </c>
      <c r="E26" t="s">
        <v>501</v>
      </c>
      <c r="F26" t="s">
        <v>492</v>
      </c>
      <c r="G26">
        <v>13</v>
      </c>
      <c r="H26" s="426">
        <v>45446</v>
      </c>
      <c r="I26">
        <v>500000000</v>
      </c>
      <c r="J26" s="426">
        <v>45446</v>
      </c>
      <c r="K26" s="426">
        <v>47272</v>
      </c>
      <c r="L26">
        <v>0</v>
      </c>
      <c r="M26">
        <v>0</v>
      </c>
      <c r="Q26" s="426">
        <v>45446</v>
      </c>
    </row>
    <row r="27" spans="1:17" x14ac:dyDescent="0.35">
      <c r="A27" t="s">
        <v>197</v>
      </c>
      <c r="B27" t="s">
        <v>519</v>
      </c>
      <c r="C27">
        <v>86</v>
      </c>
      <c r="D27" t="s">
        <v>511</v>
      </c>
      <c r="E27" t="s">
        <v>501</v>
      </c>
      <c r="F27" t="s">
        <v>492</v>
      </c>
      <c r="G27">
        <v>10</v>
      </c>
      <c r="H27" s="426">
        <v>45448</v>
      </c>
      <c r="I27">
        <v>50000000</v>
      </c>
      <c r="J27" s="426">
        <v>45448</v>
      </c>
      <c r="K27" s="426">
        <v>46178</v>
      </c>
      <c r="L27">
        <v>0</v>
      </c>
      <c r="M27">
        <v>0</v>
      </c>
    </row>
    <row r="28" spans="1:17" x14ac:dyDescent="0.35">
      <c r="A28" t="s">
        <v>198</v>
      </c>
      <c r="B28" t="s">
        <v>520</v>
      </c>
      <c r="C28">
        <v>86</v>
      </c>
      <c r="D28" t="s">
        <v>511</v>
      </c>
      <c r="E28" t="s">
        <v>501</v>
      </c>
      <c r="F28" t="s">
        <v>492</v>
      </c>
      <c r="G28">
        <v>33.299999999999997</v>
      </c>
      <c r="H28" s="426">
        <v>45421</v>
      </c>
      <c r="I28">
        <v>265656500</v>
      </c>
      <c r="J28" s="426">
        <v>45421</v>
      </c>
      <c r="K28" s="426">
        <v>47238</v>
      </c>
      <c r="L28">
        <v>0</v>
      </c>
      <c r="M28">
        <v>0</v>
      </c>
      <c r="Q28" s="426">
        <v>45421</v>
      </c>
    </row>
    <row r="29" spans="1:17" x14ac:dyDescent="0.35">
      <c r="A29" t="s">
        <v>173</v>
      </c>
      <c r="B29" t="s">
        <v>521</v>
      </c>
      <c r="C29">
        <v>86</v>
      </c>
      <c r="D29" t="s">
        <v>511</v>
      </c>
      <c r="E29" t="s">
        <v>501</v>
      </c>
      <c r="F29" t="s">
        <v>492</v>
      </c>
      <c r="G29">
        <v>0</v>
      </c>
      <c r="H29" s="426">
        <v>45474</v>
      </c>
      <c r="I29">
        <v>250000000</v>
      </c>
      <c r="J29" s="426">
        <v>45474</v>
      </c>
      <c r="K29" s="426">
        <v>45778</v>
      </c>
      <c r="L29">
        <v>0</v>
      </c>
      <c r="M29">
        <v>0</v>
      </c>
      <c r="Q29" s="426">
        <v>45474</v>
      </c>
    </row>
    <row r="30" spans="1:17" x14ac:dyDescent="0.35">
      <c r="A30" t="s">
        <v>124</v>
      </c>
      <c r="B30" t="s">
        <v>522</v>
      </c>
      <c r="C30">
        <v>86</v>
      </c>
      <c r="D30" t="s">
        <v>511</v>
      </c>
      <c r="E30" t="s">
        <v>491</v>
      </c>
      <c r="F30" t="s">
        <v>492</v>
      </c>
      <c r="G30">
        <v>32</v>
      </c>
      <c r="H30" s="426">
        <v>44970</v>
      </c>
      <c r="I30">
        <v>53391150</v>
      </c>
      <c r="J30" s="426">
        <v>44970</v>
      </c>
      <c r="K30" s="426">
        <v>45701</v>
      </c>
      <c r="L30">
        <v>0</v>
      </c>
      <c r="M30">
        <v>0</v>
      </c>
      <c r="N30">
        <v>53391150</v>
      </c>
      <c r="O30">
        <v>17540998.41</v>
      </c>
      <c r="P30">
        <v>66920142.200000003</v>
      </c>
      <c r="Q30" s="426">
        <v>44970</v>
      </c>
    </row>
    <row r="31" spans="1:17" x14ac:dyDescent="0.35">
      <c r="A31" t="s">
        <v>165</v>
      </c>
      <c r="B31" t="s">
        <v>523</v>
      </c>
      <c r="C31">
        <v>86</v>
      </c>
      <c r="D31" t="s">
        <v>511</v>
      </c>
      <c r="E31" t="s">
        <v>488</v>
      </c>
      <c r="F31" t="s">
        <v>489</v>
      </c>
      <c r="G31">
        <v>29.2</v>
      </c>
      <c r="H31" s="426">
        <v>45425</v>
      </c>
      <c r="I31">
        <v>627746500</v>
      </c>
      <c r="J31" s="426">
        <v>45425</v>
      </c>
      <c r="K31" s="426">
        <v>47238</v>
      </c>
      <c r="L31">
        <v>0</v>
      </c>
      <c r="M31">
        <v>0</v>
      </c>
      <c r="N31">
        <v>627746500</v>
      </c>
      <c r="O31">
        <v>41452059.159999996</v>
      </c>
      <c r="P31">
        <v>726418591.95000005</v>
      </c>
      <c r="Q31" s="426">
        <v>45425</v>
      </c>
    </row>
    <row r="32" spans="1:17" x14ac:dyDescent="0.35">
      <c r="A32" t="s">
        <v>524</v>
      </c>
      <c r="B32" t="s">
        <v>525</v>
      </c>
      <c r="C32">
        <v>86</v>
      </c>
      <c r="D32" t="s">
        <v>511</v>
      </c>
      <c r="E32" t="s">
        <v>501</v>
      </c>
      <c r="F32" t="s">
        <v>492</v>
      </c>
      <c r="G32">
        <v>30</v>
      </c>
      <c r="H32" s="426">
        <v>45586</v>
      </c>
      <c r="I32">
        <v>8000000</v>
      </c>
      <c r="J32" s="426">
        <v>45586</v>
      </c>
      <c r="K32" s="426">
        <v>46681</v>
      </c>
      <c r="L32">
        <v>0</v>
      </c>
      <c r="M32">
        <v>0</v>
      </c>
    </row>
    <row r="33" spans="1:17" x14ac:dyDescent="0.35">
      <c r="A33" t="s">
        <v>170</v>
      </c>
      <c r="B33" t="s">
        <v>526</v>
      </c>
      <c r="C33">
        <v>86</v>
      </c>
      <c r="D33" t="s">
        <v>511</v>
      </c>
      <c r="E33" t="s">
        <v>488</v>
      </c>
      <c r="F33" t="s">
        <v>492</v>
      </c>
      <c r="G33">
        <v>28.9</v>
      </c>
      <c r="H33" s="426">
        <v>45587</v>
      </c>
      <c r="I33">
        <v>50000000</v>
      </c>
      <c r="J33" s="426">
        <v>45587</v>
      </c>
      <c r="K33" s="426">
        <v>46326</v>
      </c>
      <c r="L33">
        <v>4</v>
      </c>
      <c r="M33">
        <v>0</v>
      </c>
      <c r="P33">
        <v>21295000</v>
      </c>
      <c r="Q33" s="426">
        <v>45587</v>
      </c>
    </row>
    <row r="34" spans="1:17" x14ac:dyDescent="0.35">
      <c r="A34" t="s">
        <v>527</v>
      </c>
      <c r="B34" t="s">
        <v>528</v>
      </c>
      <c r="C34">
        <v>86</v>
      </c>
      <c r="D34" t="s">
        <v>511</v>
      </c>
      <c r="E34" t="s">
        <v>501</v>
      </c>
      <c r="F34" t="s">
        <v>492</v>
      </c>
      <c r="G34">
        <v>25</v>
      </c>
      <c r="H34" s="426">
        <v>45600</v>
      </c>
      <c r="I34">
        <v>74000000</v>
      </c>
      <c r="J34" s="426">
        <v>45600</v>
      </c>
      <c r="K34" s="426">
        <v>45965</v>
      </c>
      <c r="L34">
        <v>0</v>
      </c>
      <c r="M34">
        <v>0</v>
      </c>
    </row>
    <row r="35" spans="1:17" x14ac:dyDescent="0.35">
      <c r="A35" t="s">
        <v>529</v>
      </c>
      <c r="B35" t="s">
        <v>530</v>
      </c>
      <c r="C35">
        <v>86</v>
      </c>
      <c r="D35" t="s">
        <v>511</v>
      </c>
      <c r="E35" t="s">
        <v>501</v>
      </c>
      <c r="F35" t="s">
        <v>492</v>
      </c>
      <c r="G35">
        <v>25</v>
      </c>
      <c r="H35" s="426">
        <v>45608</v>
      </c>
      <c r="I35">
        <v>60000000</v>
      </c>
      <c r="J35" s="426">
        <v>45608</v>
      </c>
      <c r="K35" s="426">
        <v>46703</v>
      </c>
      <c r="L35">
        <v>0</v>
      </c>
      <c r="M35">
        <v>0</v>
      </c>
    </row>
    <row r="36" spans="1:17" x14ac:dyDescent="0.35">
      <c r="A36" t="s">
        <v>531</v>
      </c>
      <c r="B36" t="s">
        <v>532</v>
      </c>
      <c r="C36">
        <v>86</v>
      </c>
      <c r="D36" t="s">
        <v>511</v>
      </c>
      <c r="E36" t="s">
        <v>501</v>
      </c>
      <c r="F36" t="s">
        <v>492</v>
      </c>
      <c r="G36">
        <v>33</v>
      </c>
      <c r="H36" s="426">
        <v>45616</v>
      </c>
      <c r="I36">
        <v>200</v>
      </c>
      <c r="J36" s="426">
        <v>45616</v>
      </c>
      <c r="K36" s="426">
        <v>47077</v>
      </c>
      <c r="L36">
        <v>0</v>
      </c>
      <c r="M36">
        <v>0</v>
      </c>
    </row>
    <row r="37" spans="1:17" x14ac:dyDescent="0.35">
      <c r="A37" t="s">
        <v>533</v>
      </c>
      <c r="B37" t="s">
        <v>534</v>
      </c>
      <c r="C37">
        <v>86</v>
      </c>
      <c r="D37" t="s">
        <v>511</v>
      </c>
      <c r="E37" t="s">
        <v>488</v>
      </c>
      <c r="F37" t="s">
        <v>492</v>
      </c>
      <c r="G37">
        <v>29.2</v>
      </c>
      <c r="H37" s="426">
        <v>45518</v>
      </c>
      <c r="I37">
        <v>200000000</v>
      </c>
      <c r="J37" s="426">
        <v>45518</v>
      </c>
      <c r="K37" s="426">
        <v>46979</v>
      </c>
      <c r="L37">
        <v>0</v>
      </c>
      <c r="M37">
        <v>0</v>
      </c>
      <c r="Q37" s="426">
        <v>45518</v>
      </c>
    </row>
    <row r="38" spans="1:17" x14ac:dyDescent="0.35">
      <c r="A38" t="s">
        <v>535</v>
      </c>
      <c r="B38" t="s">
        <v>536</v>
      </c>
      <c r="C38">
        <v>86</v>
      </c>
      <c r="D38" t="s">
        <v>511</v>
      </c>
      <c r="E38" t="s">
        <v>488</v>
      </c>
      <c r="F38" t="s">
        <v>492</v>
      </c>
      <c r="G38">
        <v>25.7</v>
      </c>
      <c r="H38" s="426">
        <v>45635</v>
      </c>
      <c r="I38">
        <v>400000000</v>
      </c>
      <c r="J38" s="426">
        <v>45635</v>
      </c>
      <c r="K38" s="426">
        <v>46365</v>
      </c>
      <c r="L38">
        <v>0</v>
      </c>
      <c r="M38">
        <v>0</v>
      </c>
      <c r="Q38" s="426">
        <v>45649</v>
      </c>
    </row>
    <row r="39" spans="1:17" x14ac:dyDescent="0.35">
      <c r="A39" t="s">
        <v>537</v>
      </c>
      <c r="B39" t="s">
        <v>538</v>
      </c>
      <c r="C39">
        <v>86</v>
      </c>
      <c r="D39" t="s">
        <v>511</v>
      </c>
      <c r="E39" t="s">
        <v>488</v>
      </c>
      <c r="F39" t="s">
        <v>492</v>
      </c>
      <c r="G39">
        <v>27.2</v>
      </c>
      <c r="H39" s="426">
        <v>45635</v>
      </c>
      <c r="I39">
        <v>500000000</v>
      </c>
      <c r="J39" s="426">
        <v>45635</v>
      </c>
      <c r="K39" s="426">
        <v>47461</v>
      </c>
      <c r="L39">
        <v>0</v>
      </c>
      <c r="M39">
        <v>0</v>
      </c>
      <c r="Q39" s="426">
        <v>45635</v>
      </c>
    </row>
    <row r="40" spans="1:17" x14ac:dyDescent="0.35">
      <c r="A40" t="s">
        <v>539</v>
      </c>
      <c r="B40" t="s">
        <v>540</v>
      </c>
      <c r="C40">
        <v>86</v>
      </c>
      <c r="D40" t="s">
        <v>511</v>
      </c>
      <c r="E40" t="s">
        <v>488</v>
      </c>
      <c r="F40" t="s">
        <v>492</v>
      </c>
      <c r="G40">
        <v>26.1</v>
      </c>
      <c r="H40" s="426">
        <v>45763</v>
      </c>
      <c r="I40">
        <v>1045291724</v>
      </c>
      <c r="J40" s="426">
        <v>45763</v>
      </c>
      <c r="K40" s="426">
        <v>47589</v>
      </c>
      <c r="L40">
        <v>0</v>
      </c>
      <c r="M40">
        <v>0</v>
      </c>
      <c r="Q40" s="426">
        <v>45763</v>
      </c>
    </row>
    <row r="41" spans="1:17" x14ac:dyDescent="0.35">
      <c r="A41" t="s">
        <v>541</v>
      </c>
      <c r="B41" t="s">
        <v>542</v>
      </c>
      <c r="C41">
        <v>86</v>
      </c>
      <c r="D41" t="s">
        <v>511</v>
      </c>
      <c r="E41" t="s">
        <v>491</v>
      </c>
      <c r="F41" t="s">
        <v>492</v>
      </c>
      <c r="G41">
        <v>0</v>
      </c>
      <c r="H41" s="426">
        <v>45769</v>
      </c>
      <c r="I41">
        <v>1046210000</v>
      </c>
      <c r="J41" s="426">
        <v>45769</v>
      </c>
      <c r="K41" s="426">
        <v>46134</v>
      </c>
      <c r="L41">
        <v>0</v>
      </c>
      <c r="M41">
        <v>0</v>
      </c>
      <c r="Q41" s="426">
        <v>45769</v>
      </c>
    </row>
    <row r="42" spans="1:17" x14ac:dyDescent="0.35">
      <c r="A42" t="s">
        <v>543</v>
      </c>
      <c r="B42" t="s">
        <v>544</v>
      </c>
      <c r="C42">
        <v>86</v>
      </c>
      <c r="D42" t="s">
        <v>511</v>
      </c>
      <c r="E42" t="s">
        <v>488</v>
      </c>
      <c r="F42" t="s">
        <v>492</v>
      </c>
      <c r="G42">
        <v>26.2</v>
      </c>
      <c r="H42" s="426">
        <v>45770</v>
      </c>
      <c r="I42">
        <v>500000000</v>
      </c>
      <c r="J42" s="426">
        <v>45770</v>
      </c>
      <c r="K42" s="426">
        <v>46500</v>
      </c>
      <c r="L42">
        <v>0</v>
      </c>
      <c r="M42">
        <v>0</v>
      </c>
      <c r="Q42" s="426">
        <v>45770</v>
      </c>
    </row>
    <row r="43" spans="1:17" x14ac:dyDescent="0.35">
      <c r="A43" t="s">
        <v>545</v>
      </c>
      <c r="B43" t="s">
        <v>546</v>
      </c>
      <c r="C43">
        <v>86</v>
      </c>
      <c r="D43" t="s">
        <v>511</v>
      </c>
      <c r="E43" t="s">
        <v>488</v>
      </c>
      <c r="F43" t="s">
        <v>492</v>
      </c>
      <c r="G43">
        <v>26.1</v>
      </c>
      <c r="H43" s="426">
        <v>45777</v>
      </c>
      <c r="I43">
        <v>300000000</v>
      </c>
      <c r="J43" s="426">
        <v>45777</v>
      </c>
      <c r="K43" s="426">
        <v>46507</v>
      </c>
      <c r="L43">
        <v>0</v>
      </c>
      <c r="M43">
        <v>0</v>
      </c>
      <c r="Q43" s="426">
        <v>45777</v>
      </c>
    </row>
    <row r="44" spans="1:17" x14ac:dyDescent="0.35">
      <c r="A44" t="s">
        <v>547</v>
      </c>
      <c r="B44" t="s">
        <v>548</v>
      </c>
      <c r="C44">
        <v>86</v>
      </c>
      <c r="D44" t="s">
        <v>511</v>
      </c>
      <c r="E44" t="s">
        <v>488</v>
      </c>
      <c r="F44" t="s">
        <v>492</v>
      </c>
      <c r="G44">
        <v>28.2</v>
      </c>
      <c r="H44" s="426">
        <v>45761</v>
      </c>
      <c r="I44">
        <v>100000000</v>
      </c>
      <c r="J44" s="426">
        <v>45761</v>
      </c>
      <c r="K44" s="426">
        <v>46491</v>
      </c>
      <c r="L44">
        <v>0</v>
      </c>
      <c r="M44">
        <v>0</v>
      </c>
      <c r="Q44" s="426">
        <v>45761</v>
      </c>
    </row>
    <row r="45" spans="1:17" x14ac:dyDescent="0.35">
      <c r="A45" t="s">
        <v>549</v>
      </c>
      <c r="B45" t="s">
        <v>550</v>
      </c>
      <c r="C45">
        <v>86</v>
      </c>
      <c r="D45" t="s">
        <v>511</v>
      </c>
      <c r="E45" t="s">
        <v>488</v>
      </c>
      <c r="F45" t="s">
        <v>492</v>
      </c>
      <c r="G45">
        <v>29.2</v>
      </c>
      <c r="H45" s="426">
        <v>45764</v>
      </c>
      <c r="I45">
        <v>150000000</v>
      </c>
      <c r="J45" s="426">
        <v>45764</v>
      </c>
      <c r="K45" s="426">
        <v>47590</v>
      </c>
      <c r="L45">
        <v>0</v>
      </c>
      <c r="M45">
        <v>0</v>
      </c>
      <c r="Q45" s="426">
        <v>45764</v>
      </c>
    </row>
    <row r="46" spans="1:17" x14ac:dyDescent="0.35">
      <c r="A46" t="s">
        <v>551</v>
      </c>
      <c r="B46" t="s">
        <v>552</v>
      </c>
      <c r="C46">
        <v>86</v>
      </c>
      <c r="D46" t="s">
        <v>511</v>
      </c>
      <c r="E46" t="s">
        <v>491</v>
      </c>
      <c r="F46" t="s">
        <v>492</v>
      </c>
      <c r="G46">
        <v>26.2</v>
      </c>
      <c r="H46" s="426">
        <v>45813</v>
      </c>
      <c r="I46">
        <v>160000000</v>
      </c>
      <c r="J46" s="426">
        <v>45813</v>
      </c>
      <c r="K46" s="426">
        <v>47639</v>
      </c>
      <c r="L46">
        <v>0</v>
      </c>
      <c r="M46">
        <v>0</v>
      </c>
      <c r="Q46" s="426">
        <v>45813</v>
      </c>
    </row>
    <row r="47" spans="1:17" x14ac:dyDescent="0.35">
      <c r="A47" t="s">
        <v>553</v>
      </c>
      <c r="B47" t="s">
        <v>554</v>
      </c>
      <c r="C47">
        <v>86</v>
      </c>
      <c r="D47" t="s">
        <v>511</v>
      </c>
      <c r="E47" t="s">
        <v>488</v>
      </c>
      <c r="F47" t="s">
        <v>492</v>
      </c>
      <c r="G47">
        <v>27.6</v>
      </c>
      <c r="H47" s="426">
        <v>45805</v>
      </c>
      <c r="I47">
        <v>50000000</v>
      </c>
      <c r="J47" s="426">
        <v>45805</v>
      </c>
      <c r="K47" s="426">
        <v>46170</v>
      </c>
      <c r="L47">
        <v>0</v>
      </c>
      <c r="M47">
        <v>0</v>
      </c>
      <c r="Q47" s="426">
        <v>45805</v>
      </c>
    </row>
    <row r="48" spans="1:17" x14ac:dyDescent="0.35">
      <c r="A48" t="s">
        <v>555</v>
      </c>
      <c r="B48" t="s">
        <v>556</v>
      </c>
      <c r="C48">
        <v>86</v>
      </c>
      <c r="D48" t="s">
        <v>511</v>
      </c>
      <c r="E48" t="s">
        <v>488</v>
      </c>
      <c r="F48" t="s">
        <v>492</v>
      </c>
      <c r="G48">
        <v>28.2</v>
      </c>
      <c r="H48" s="426">
        <v>45799</v>
      </c>
      <c r="I48">
        <v>100000000</v>
      </c>
      <c r="J48" s="426">
        <v>45799</v>
      </c>
      <c r="K48" s="426">
        <v>46529</v>
      </c>
      <c r="L48">
        <v>0</v>
      </c>
      <c r="M48">
        <v>0</v>
      </c>
      <c r="Q48" s="426">
        <v>45799</v>
      </c>
    </row>
    <row r="49" spans="1:17" x14ac:dyDescent="0.35">
      <c r="A49" t="s">
        <v>557</v>
      </c>
      <c r="B49" t="s">
        <v>558</v>
      </c>
      <c r="C49">
        <v>86</v>
      </c>
      <c r="D49" t="s">
        <v>511</v>
      </c>
      <c r="E49" t="s">
        <v>491</v>
      </c>
      <c r="F49" t="s">
        <v>492</v>
      </c>
      <c r="G49">
        <v>33.200000000000003</v>
      </c>
      <c r="H49" s="426">
        <v>45804</v>
      </c>
      <c r="I49">
        <v>50000000</v>
      </c>
      <c r="J49" s="426">
        <v>45804</v>
      </c>
      <c r="K49" s="426">
        <v>46534</v>
      </c>
      <c r="L49">
        <v>0</v>
      </c>
      <c r="M49">
        <v>0</v>
      </c>
      <c r="Q49" s="426">
        <v>45804</v>
      </c>
    </row>
    <row r="50" spans="1:17" x14ac:dyDescent="0.35">
      <c r="A50" t="s">
        <v>559</v>
      </c>
      <c r="B50" t="s">
        <v>560</v>
      </c>
      <c r="C50">
        <v>86</v>
      </c>
      <c r="D50" t="s">
        <v>511</v>
      </c>
      <c r="E50" t="s">
        <v>488</v>
      </c>
      <c r="F50" t="s">
        <v>492</v>
      </c>
      <c r="G50">
        <v>26.9</v>
      </c>
      <c r="H50" s="426">
        <v>45862</v>
      </c>
      <c r="I50">
        <v>1000000000</v>
      </c>
      <c r="J50" s="426">
        <v>45862</v>
      </c>
      <c r="K50" s="426">
        <v>46592</v>
      </c>
      <c r="L50">
        <v>0</v>
      </c>
      <c r="M50">
        <v>0</v>
      </c>
    </row>
    <row r="51" spans="1:17" x14ac:dyDescent="0.35">
      <c r="A51" t="s">
        <v>561</v>
      </c>
      <c r="B51" t="s">
        <v>560</v>
      </c>
      <c r="C51">
        <v>86</v>
      </c>
      <c r="D51" t="s">
        <v>511</v>
      </c>
      <c r="E51" t="s">
        <v>488</v>
      </c>
      <c r="F51" t="s">
        <v>492</v>
      </c>
      <c r="G51">
        <v>27.1</v>
      </c>
      <c r="H51" s="426">
        <v>45796</v>
      </c>
      <c r="I51">
        <v>1046111250</v>
      </c>
      <c r="J51" s="426">
        <v>45796</v>
      </c>
      <c r="K51" s="426">
        <v>46526</v>
      </c>
      <c r="L51">
        <v>0</v>
      </c>
      <c r="M51">
        <v>0</v>
      </c>
      <c r="Q51" s="426">
        <v>45796</v>
      </c>
    </row>
    <row r="52" spans="1:17" x14ac:dyDescent="0.35">
      <c r="A52" t="s">
        <v>562</v>
      </c>
      <c r="B52" t="s">
        <v>563</v>
      </c>
      <c r="C52">
        <v>86</v>
      </c>
      <c r="D52" t="s">
        <v>511</v>
      </c>
      <c r="E52" t="s">
        <v>488</v>
      </c>
      <c r="F52" t="s">
        <v>492</v>
      </c>
      <c r="G52">
        <v>28.8</v>
      </c>
      <c r="H52" s="426">
        <v>45874</v>
      </c>
      <c r="I52">
        <v>209270000</v>
      </c>
      <c r="J52" s="426">
        <v>45874</v>
      </c>
      <c r="K52" s="426">
        <v>46970</v>
      </c>
      <c r="L52">
        <v>0</v>
      </c>
      <c r="M52">
        <v>0</v>
      </c>
    </row>
    <row r="53" spans="1:17" x14ac:dyDescent="0.35">
      <c r="A53" t="s">
        <v>564</v>
      </c>
      <c r="B53" t="s">
        <v>565</v>
      </c>
      <c r="C53">
        <v>86</v>
      </c>
      <c r="D53" t="s">
        <v>511</v>
      </c>
      <c r="E53" t="s">
        <v>488</v>
      </c>
      <c r="F53" t="s">
        <v>492</v>
      </c>
      <c r="G53">
        <v>27.1</v>
      </c>
      <c r="H53" s="426">
        <v>45853</v>
      </c>
      <c r="I53">
        <v>314900900</v>
      </c>
      <c r="J53" s="426">
        <v>45853</v>
      </c>
      <c r="K53" s="426">
        <v>47679</v>
      </c>
      <c r="L53">
        <v>0</v>
      </c>
      <c r="M53">
        <v>0</v>
      </c>
      <c r="Q53" s="426">
        <v>45853</v>
      </c>
    </row>
    <row r="54" spans="1:17" x14ac:dyDescent="0.35">
      <c r="A54" t="s">
        <v>566</v>
      </c>
      <c r="B54" t="s">
        <v>567</v>
      </c>
      <c r="C54">
        <v>86</v>
      </c>
      <c r="D54" t="s">
        <v>511</v>
      </c>
      <c r="E54" t="s">
        <v>488</v>
      </c>
      <c r="F54" t="s">
        <v>492</v>
      </c>
      <c r="G54">
        <v>29</v>
      </c>
      <c r="H54" s="426">
        <v>45853</v>
      </c>
      <c r="I54">
        <v>1047653000</v>
      </c>
      <c r="J54" s="426">
        <v>45853</v>
      </c>
      <c r="K54" s="426">
        <v>46583</v>
      </c>
      <c r="L54">
        <v>0</v>
      </c>
      <c r="M54">
        <v>0</v>
      </c>
      <c r="Q54" s="426">
        <v>45853</v>
      </c>
    </row>
    <row r="55" spans="1:17" x14ac:dyDescent="0.35">
      <c r="A55" t="s">
        <v>568</v>
      </c>
      <c r="B55" t="s">
        <v>569</v>
      </c>
      <c r="C55">
        <v>86</v>
      </c>
      <c r="D55" t="s">
        <v>511</v>
      </c>
      <c r="E55" t="s">
        <v>488</v>
      </c>
      <c r="F55" t="s">
        <v>492</v>
      </c>
      <c r="G55">
        <v>27.2</v>
      </c>
      <c r="H55" s="426">
        <v>45846</v>
      </c>
      <c r="I55">
        <v>250000000</v>
      </c>
      <c r="J55" s="426">
        <v>45846</v>
      </c>
      <c r="K55" s="426">
        <v>46942</v>
      </c>
      <c r="L55">
        <v>0</v>
      </c>
      <c r="M55">
        <v>0</v>
      </c>
      <c r="Q55" s="426">
        <v>45846</v>
      </c>
    </row>
    <row r="56" spans="1:17" x14ac:dyDescent="0.35">
      <c r="A56" t="s">
        <v>570</v>
      </c>
      <c r="B56" t="s">
        <v>563</v>
      </c>
      <c r="C56">
        <v>86</v>
      </c>
      <c r="D56" t="s">
        <v>511</v>
      </c>
      <c r="E56" t="s">
        <v>488</v>
      </c>
      <c r="F56" t="s">
        <v>492</v>
      </c>
      <c r="G56">
        <v>29.2</v>
      </c>
      <c r="H56" s="426">
        <v>45861</v>
      </c>
      <c r="I56">
        <v>209336236</v>
      </c>
      <c r="J56" s="426">
        <v>45861</v>
      </c>
      <c r="K56" s="426">
        <v>46957</v>
      </c>
      <c r="L56">
        <v>0</v>
      </c>
      <c r="M56">
        <v>0</v>
      </c>
      <c r="Q56" s="426">
        <v>45861</v>
      </c>
    </row>
    <row r="57" spans="1:17" x14ac:dyDescent="0.35">
      <c r="A57" t="s">
        <v>571</v>
      </c>
      <c r="B57" t="s">
        <v>572</v>
      </c>
      <c r="C57">
        <v>86</v>
      </c>
      <c r="D57" t="s">
        <v>511</v>
      </c>
      <c r="E57" t="s">
        <v>488</v>
      </c>
      <c r="F57" t="s">
        <v>492</v>
      </c>
      <c r="G57">
        <v>27.9</v>
      </c>
      <c r="H57" s="426">
        <v>45959</v>
      </c>
      <c r="I57">
        <v>300000000</v>
      </c>
      <c r="J57" s="426">
        <v>45959</v>
      </c>
      <c r="K57" s="426">
        <v>48150</v>
      </c>
      <c r="L57">
        <v>0</v>
      </c>
      <c r="M57">
        <v>0</v>
      </c>
    </row>
    <row r="58" spans="1:17" x14ac:dyDescent="0.35">
      <c r="A58" t="s">
        <v>573</v>
      </c>
      <c r="B58" t="s">
        <v>572</v>
      </c>
      <c r="C58">
        <v>86</v>
      </c>
      <c r="D58" t="s">
        <v>511</v>
      </c>
      <c r="E58" t="s">
        <v>488</v>
      </c>
      <c r="F58" t="s">
        <v>492</v>
      </c>
      <c r="G58">
        <v>28.2</v>
      </c>
      <c r="H58" s="426">
        <v>45824</v>
      </c>
      <c r="I58">
        <v>300000000</v>
      </c>
      <c r="J58" s="426">
        <v>45824</v>
      </c>
      <c r="K58" s="426">
        <v>48015</v>
      </c>
      <c r="L58">
        <v>0</v>
      </c>
      <c r="M58">
        <v>0</v>
      </c>
      <c r="Q58" s="426">
        <v>45824</v>
      </c>
    </row>
    <row r="59" spans="1:17" x14ac:dyDescent="0.35">
      <c r="A59" t="s">
        <v>199</v>
      </c>
      <c r="B59" t="s">
        <v>574</v>
      </c>
      <c r="C59">
        <v>88</v>
      </c>
      <c r="D59" t="s">
        <v>575</v>
      </c>
      <c r="E59" t="s">
        <v>501</v>
      </c>
      <c r="F59" t="s">
        <v>576</v>
      </c>
      <c r="G59">
        <v>0</v>
      </c>
      <c r="H59" s="426">
        <v>45383</v>
      </c>
      <c r="I59">
        <v>0</v>
      </c>
      <c r="J59" s="429"/>
      <c r="K59" s="429"/>
      <c r="L59">
        <v>0</v>
      </c>
      <c r="M59">
        <v>0</v>
      </c>
    </row>
    <row r="60" spans="1:17" x14ac:dyDescent="0.35">
      <c r="A60" t="s">
        <v>577</v>
      </c>
      <c r="B60" t="s">
        <v>578</v>
      </c>
      <c r="C60">
        <v>88</v>
      </c>
      <c r="D60" t="s">
        <v>575</v>
      </c>
      <c r="E60" t="s">
        <v>488</v>
      </c>
      <c r="F60" t="s">
        <v>576</v>
      </c>
      <c r="G60">
        <v>19</v>
      </c>
      <c r="H60" s="426">
        <v>45566</v>
      </c>
      <c r="I60">
        <v>69000000</v>
      </c>
      <c r="J60" s="426">
        <v>45589</v>
      </c>
      <c r="K60" s="426">
        <v>45801</v>
      </c>
      <c r="L60">
        <v>0</v>
      </c>
      <c r="M60">
        <v>0</v>
      </c>
    </row>
    <row r="61" spans="1:17" x14ac:dyDescent="0.35">
      <c r="A61" t="s">
        <v>579</v>
      </c>
      <c r="B61" t="s">
        <v>580</v>
      </c>
      <c r="C61">
        <v>88</v>
      </c>
      <c r="D61" t="s">
        <v>575</v>
      </c>
      <c r="E61" t="s">
        <v>501</v>
      </c>
      <c r="F61" t="s">
        <v>576</v>
      </c>
      <c r="G61">
        <v>24</v>
      </c>
      <c r="H61" s="426">
        <v>45566</v>
      </c>
      <c r="I61">
        <v>3000000</v>
      </c>
      <c r="J61" s="426">
        <v>45589</v>
      </c>
      <c r="K61" s="426">
        <v>47173</v>
      </c>
      <c r="L61">
        <v>0</v>
      </c>
      <c r="M61">
        <v>0</v>
      </c>
    </row>
    <row r="62" spans="1:17" x14ac:dyDescent="0.35">
      <c r="A62" t="s">
        <v>581</v>
      </c>
      <c r="B62" t="s">
        <v>582</v>
      </c>
      <c r="C62">
        <v>88</v>
      </c>
      <c r="D62" t="s">
        <v>575</v>
      </c>
      <c r="E62" t="s">
        <v>501</v>
      </c>
      <c r="F62" t="s">
        <v>576</v>
      </c>
      <c r="G62">
        <v>19</v>
      </c>
      <c r="H62" s="426">
        <v>45614</v>
      </c>
      <c r="I62">
        <v>300000000</v>
      </c>
      <c r="J62" s="426">
        <v>45614</v>
      </c>
      <c r="K62" s="426">
        <v>46708</v>
      </c>
      <c r="L62">
        <v>0</v>
      </c>
      <c r="M62">
        <v>0</v>
      </c>
    </row>
    <row r="63" spans="1:17" x14ac:dyDescent="0.35">
      <c r="A63" t="s">
        <v>583</v>
      </c>
      <c r="B63" t="s">
        <v>584</v>
      </c>
      <c r="C63">
        <v>88</v>
      </c>
      <c r="D63" t="s">
        <v>575</v>
      </c>
      <c r="E63" t="s">
        <v>501</v>
      </c>
      <c r="F63" t="s">
        <v>576</v>
      </c>
      <c r="G63">
        <v>19</v>
      </c>
      <c r="H63" s="426">
        <v>45614</v>
      </c>
      <c r="I63">
        <v>800000000</v>
      </c>
      <c r="J63" s="426">
        <v>45614</v>
      </c>
      <c r="K63" s="426">
        <v>46343</v>
      </c>
      <c r="L63">
        <v>0</v>
      </c>
      <c r="M63">
        <v>0</v>
      </c>
    </row>
    <row r="64" spans="1:17" x14ac:dyDescent="0.35">
      <c r="A64" t="s">
        <v>77</v>
      </c>
      <c r="B64" t="s">
        <v>585</v>
      </c>
      <c r="C64">
        <v>90</v>
      </c>
      <c r="D64" t="s">
        <v>586</v>
      </c>
      <c r="E64" t="s">
        <v>488</v>
      </c>
      <c r="F64" t="s">
        <v>576</v>
      </c>
      <c r="G64">
        <v>10</v>
      </c>
      <c r="H64" s="426">
        <v>44552</v>
      </c>
      <c r="I64">
        <v>11511500</v>
      </c>
      <c r="J64" s="426">
        <v>44553</v>
      </c>
      <c r="K64" s="426">
        <v>45282</v>
      </c>
      <c r="L64">
        <v>3</v>
      </c>
      <c r="M64">
        <v>3</v>
      </c>
      <c r="N64">
        <v>11511500</v>
      </c>
      <c r="O64">
        <v>1430309.63</v>
      </c>
      <c r="Q64" s="426">
        <v>44553</v>
      </c>
    </row>
    <row r="65" spans="1:17" x14ac:dyDescent="0.35">
      <c r="A65" t="s">
        <v>78</v>
      </c>
      <c r="B65" t="s">
        <v>587</v>
      </c>
      <c r="C65">
        <v>90</v>
      </c>
      <c r="D65" t="s">
        <v>586</v>
      </c>
      <c r="E65" t="s">
        <v>501</v>
      </c>
      <c r="F65" t="s">
        <v>576</v>
      </c>
      <c r="G65">
        <v>10</v>
      </c>
      <c r="H65" s="426">
        <v>44552</v>
      </c>
      <c r="I65">
        <v>10000000</v>
      </c>
      <c r="J65" s="426">
        <v>44554</v>
      </c>
      <c r="K65" s="426">
        <v>45283</v>
      </c>
      <c r="L65">
        <v>0</v>
      </c>
      <c r="M65">
        <v>0</v>
      </c>
      <c r="Q65" s="426">
        <v>44554</v>
      </c>
    </row>
    <row r="66" spans="1:17" x14ac:dyDescent="0.35">
      <c r="A66" t="s">
        <v>80</v>
      </c>
      <c r="B66" t="s">
        <v>588</v>
      </c>
      <c r="C66">
        <v>90</v>
      </c>
      <c r="D66" t="s">
        <v>586</v>
      </c>
      <c r="E66" t="s">
        <v>491</v>
      </c>
      <c r="F66" t="s">
        <v>576</v>
      </c>
      <c r="G66">
        <v>10</v>
      </c>
      <c r="H66" s="426">
        <v>44547</v>
      </c>
      <c r="I66">
        <v>10000000</v>
      </c>
      <c r="J66" s="426">
        <v>44551</v>
      </c>
      <c r="K66" s="426">
        <v>45280</v>
      </c>
      <c r="L66">
        <v>0</v>
      </c>
      <c r="M66">
        <v>0</v>
      </c>
      <c r="N66">
        <v>10000000</v>
      </c>
      <c r="O66">
        <v>1104919.31</v>
      </c>
      <c r="P66">
        <v>11387182.140000001</v>
      </c>
      <c r="Q66" s="426">
        <v>44551</v>
      </c>
    </row>
    <row r="67" spans="1:17" x14ac:dyDescent="0.35">
      <c r="A67" t="s">
        <v>81</v>
      </c>
      <c r="B67" t="s">
        <v>589</v>
      </c>
      <c r="C67">
        <v>90</v>
      </c>
      <c r="D67" t="s">
        <v>586</v>
      </c>
      <c r="E67" t="s">
        <v>501</v>
      </c>
      <c r="F67" t="s">
        <v>576</v>
      </c>
      <c r="G67">
        <v>10</v>
      </c>
      <c r="H67" s="426">
        <v>44573</v>
      </c>
      <c r="I67">
        <v>23616000</v>
      </c>
      <c r="J67" s="426">
        <v>44208</v>
      </c>
      <c r="K67" s="426">
        <v>45302</v>
      </c>
      <c r="L67">
        <v>3</v>
      </c>
      <c r="M67">
        <v>3</v>
      </c>
      <c r="Q67" s="426">
        <v>44208</v>
      </c>
    </row>
    <row r="68" spans="1:17" x14ac:dyDescent="0.35">
      <c r="A68" t="s">
        <v>83</v>
      </c>
      <c r="B68" t="s">
        <v>590</v>
      </c>
      <c r="C68">
        <v>90</v>
      </c>
      <c r="D68" t="s">
        <v>586</v>
      </c>
      <c r="E68" t="s">
        <v>501</v>
      </c>
      <c r="F68" t="s">
        <v>576</v>
      </c>
      <c r="G68">
        <v>10</v>
      </c>
      <c r="H68" s="426">
        <v>44593</v>
      </c>
      <c r="I68">
        <v>13000000</v>
      </c>
      <c r="J68" s="426">
        <v>44230</v>
      </c>
      <c r="K68" s="426">
        <v>44959</v>
      </c>
      <c r="L68">
        <v>0</v>
      </c>
      <c r="M68">
        <v>0</v>
      </c>
      <c r="Q68" s="426">
        <v>44230</v>
      </c>
    </row>
    <row r="69" spans="1:17" x14ac:dyDescent="0.35">
      <c r="A69" t="s">
        <v>85</v>
      </c>
      <c r="B69" t="s">
        <v>591</v>
      </c>
      <c r="C69">
        <v>90</v>
      </c>
      <c r="D69" t="s">
        <v>586</v>
      </c>
      <c r="E69" t="s">
        <v>495</v>
      </c>
      <c r="F69" t="s">
        <v>576</v>
      </c>
      <c r="G69">
        <v>10</v>
      </c>
      <c r="H69" s="426">
        <v>45352</v>
      </c>
      <c r="I69">
        <v>12543063.039999999</v>
      </c>
      <c r="J69" s="426">
        <v>45352</v>
      </c>
      <c r="K69" s="426">
        <v>45716</v>
      </c>
      <c r="L69">
        <v>3</v>
      </c>
      <c r="M69">
        <v>3</v>
      </c>
      <c r="N69">
        <v>12543065</v>
      </c>
      <c r="O69">
        <v>470669.82</v>
      </c>
      <c r="P69">
        <v>6954076.1699999999</v>
      </c>
      <c r="Q69" s="426">
        <v>44609</v>
      </c>
    </row>
    <row r="70" spans="1:17" x14ac:dyDescent="0.35">
      <c r="A70" t="s">
        <v>87</v>
      </c>
      <c r="B70" t="s">
        <v>592</v>
      </c>
      <c r="C70">
        <v>90</v>
      </c>
      <c r="D70" t="s">
        <v>586</v>
      </c>
      <c r="E70" t="s">
        <v>495</v>
      </c>
      <c r="F70" t="s">
        <v>576</v>
      </c>
      <c r="G70">
        <v>10</v>
      </c>
      <c r="H70" s="426">
        <v>44641</v>
      </c>
      <c r="I70">
        <v>13270993.890000001</v>
      </c>
      <c r="J70" s="426">
        <v>45230</v>
      </c>
      <c r="K70" s="426">
        <v>45717</v>
      </c>
      <c r="L70">
        <v>3</v>
      </c>
      <c r="M70">
        <v>3</v>
      </c>
      <c r="N70">
        <v>12500000</v>
      </c>
      <c r="O70">
        <v>2243037.37</v>
      </c>
      <c r="P70">
        <v>10117945.74</v>
      </c>
      <c r="Q70" s="426">
        <v>44644</v>
      </c>
    </row>
    <row r="71" spans="1:17" x14ac:dyDescent="0.35">
      <c r="A71" t="s">
        <v>88</v>
      </c>
      <c r="B71" t="s">
        <v>497</v>
      </c>
      <c r="C71">
        <v>90</v>
      </c>
      <c r="D71" t="s">
        <v>586</v>
      </c>
      <c r="E71" t="s">
        <v>495</v>
      </c>
      <c r="F71" t="s">
        <v>576</v>
      </c>
      <c r="G71">
        <v>10</v>
      </c>
      <c r="H71" s="426">
        <v>44673</v>
      </c>
      <c r="I71">
        <v>24600000</v>
      </c>
      <c r="J71" s="426">
        <v>44673</v>
      </c>
      <c r="K71" s="426">
        <v>45768</v>
      </c>
      <c r="L71">
        <v>0</v>
      </c>
      <c r="M71">
        <v>0</v>
      </c>
      <c r="N71">
        <v>24600000</v>
      </c>
      <c r="O71">
        <v>3747686.47</v>
      </c>
      <c r="P71">
        <v>9471253.0399999991</v>
      </c>
      <c r="Q71" s="426">
        <v>44673</v>
      </c>
    </row>
    <row r="72" spans="1:17" x14ac:dyDescent="0.35">
      <c r="A72" t="s">
        <v>90</v>
      </c>
      <c r="B72" t="s">
        <v>593</v>
      </c>
      <c r="C72">
        <v>90</v>
      </c>
      <c r="D72" t="s">
        <v>586</v>
      </c>
      <c r="E72" t="s">
        <v>501</v>
      </c>
      <c r="F72" t="s">
        <v>576</v>
      </c>
      <c r="G72">
        <v>10</v>
      </c>
      <c r="H72" s="426">
        <v>44713</v>
      </c>
      <c r="I72">
        <v>10900000</v>
      </c>
      <c r="J72" s="426">
        <v>44715</v>
      </c>
      <c r="K72" s="426">
        <v>45445</v>
      </c>
      <c r="L72">
        <v>3</v>
      </c>
      <c r="M72">
        <v>3</v>
      </c>
      <c r="Q72" s="426">
        <v>44715</v>
      </c>
    </row>
    <row r="73" spans="1:17" x14ac:dyDescent="0.35">
      <c r="A73" t="s">
        <v>91</v>
      </c>
      <c r="B73" t="s">
        <v>594</v>
      </c>
      <c r="C73">
        <v>90</v>
      </c>
      <c r="D73" t="s">
        <v>586</v>
      </c>
      <c r="E73" t="s">
        <v>501</v>
      </c>
      <c r="F73" t="s">
        <v>576</v>
      </c>
      <c r="G73">
        <v>10</v>
      </c>
      <c r="H73" s="426">
        <v>44713</v>
      </c>
      <c r="I73">
        <v>20000000</v>
      </c>
      <c r="J73" s="426">
        <v>44715</v>
      </c>
      <c r="K73" s="426">
        <v>45445</v>
      </c>
      <c r="L73">
        <v>3</v>
      </c>
      <c r="M73">
        <v>3</v>
      </c>
      <c r="Q73" s="426">
        <v>44715</v>
      </c>
    </row>
    <row r="74" spans="1:17" x14ac:dyDescent="0.35">
      <c r="A74" t="s">
        <v>92</v>
      </c>
      <c r="B74" t="s">
        <v>595</v>
      </c>
      <c r="C74">
        <v>90</v>
      </c>
      <c r="D74" t="s">
        <v>586</v>
      </c>
      <c r="E74" t="s">
        <v>501</v>
      </c>
      <c r="F74" t="s">
        <v>576</v>
      </c>
      <c r="G74">
        <v>10</v>
      </c>
      <c r="H74" s="426">
        <v>44713</v>
      </c>
      <c r="I74">
        <v>10000000</v>
      </c>
      <c r="J74" s="426">
        <v>44715</v>
      </c>
      <c r="K74" s="426">
        <v>45445</v>
      </c>
      <c r="L74">
        <v>3</v>
      </c>
      <c r="M74">
        <v>3</v>
      </c>
      <c r="Q74" s="426">
        <v>44715</v>
      </c>
    </row>
    <row r="75" spans="1:17" x14ac:dyDescent="0.35">
      <c r="A75" t="s">
        <v>93</v>
      </c>
      <c r="B75" t="s">
        <v>596</v>
      </c>
      <c r="C75">
        <v>90</v>
      </c>
      <c r="D75" t="s">
        <v>586</v>
      </c>
      <c r="E75" t="s">
        <v>501</v>
      </c>
      <c r="F75" t="s">
        <v>576</v>
      </c>
      <c r="G75">
        <v>10</v>
      </c>
      <c r="H75" s="426">
        <v>44713</v>
      </c>
      <c r="I75">
        <v>24000000</v>
      </c>
      <c r="J75" s="426">
        <v>44715</v>
      </c>
      <c r="K75" s="426">
        <v>45445</v>
      </c>
      <c r="L75">
        <v>3</v>
      </c>
      <c r="M75">
        <v>3</v>
      </c>
      <c r="Q75" s="426">
        <v>44715</v>
      </c>
    </row>
    <row r="76" spans="1:17" x14ac:dyDescent="0.35">
      <c r="A76" t="s">
        <v>95</v>
      </c>
      <c r="B76" t="s">
        <v>597</v>
      </c>
      <c r="C76">
        <v>90</v>
      </c>
      <c r="D76" t="s">
        <v>586</v>
      </c>
      <c r="E76" t="s">
        <v>495</v>
      </c>
      <c r="F76" t="s">
        <v>576</v>
      </c>
      <c r="G76">
        <v>10</v>
      </c>
      <c r="H76" s="426">
        <v>44713</v>
      </c>
      <c r="I76">
        <v>12000000</v>
      </c>
      <c r="J76" s="426">
        <v>44728</v>
      </c>
      <c r="K76" s="426">
        <v>45565</v>
      </c>
      <c r="L76">
        <v>3</v>
      </c>
      <c r="M76">
        <v>3</v>
      </c>
      <c r="N76">
        <v>12000000</v>
      </c>
      <c r="O76">
        <v>1849609.36</v>
      </c>
      <c r="P76">
        <v>1358.4</v>
      </c>
      <c r="Q76" s="426">
        <v>44728</v>
      </c>
    </row>
    <row r="77" spans="1:17" x14ac:dyDescent="0.35">
      <c r="A77" t="s">
        <v>98</v>
      </c>
      <c r="B77" t="s">
        <v>598</v>
      </c>
      <c r="C77">
        <v>90</v>
      </c>
      <c r="D77" t="s">
        <v>586</v>
      </c>
      <c r="E77" t="s">
        <v>491</v>
      </c>
      <c r="F77" t="s">
        <v>576</v>
      </c>
      <c r="G77">
        <v>10</v>
      </c>
      <c r="H77" s="426">
        <v>44742</v>
      </c>
      <c r="I77">
        <v>12000000</v>
      </c>
      <c r="J77" s="426">
        <v>44747</v>
      </c>
      <c r="K77" s="426">
        <v>45477</v>
      </c>
      <c r="L77">
        <v>3</v>
      </c>
      <c r="M77">
        <v>3</v>
      </c>
      <c r="N77">
        <v>12000000</v>
      </c>
      <c r="O77">
        <v>1482649.53</v>
      </c>
      <c r="P77">
        <v>-83.07</v>
      </c>
      <c r="Q77" s="426">
        <v>44747</v>
      </c>
    </row>
    <row r="78" spans="1:17" x14ac:dyDescent="0.35">
      <c r="A78" t="s">
        <v>99</v>
      </c>
      <c r="B78" t="s">
        <v>599</v>
      </c>
      <c r="C78">
        <v>90</v>
      </c>
      <c r="D78" t="s">
        <v>586</v>
      </c>
      <c r="E78" t="s">
        <v>495</v>
      </c>
      <c r="F78" t="s">
        <v>576</v>
      </c>
      <c r="G78">
        <v>10</v>
      </c>
      <c r="H78" s="426">
        <v>44746</v>
      </c>
      <c r="I78">
        <v>10000000</v>
      </c>
      <c r="J78" s="426">
        <v>44749</v>
      </c>
      <c r="K78" s="426">
        <v>45113</v>
      </c>
      <c r="L78">
        <v>3</v>
      </c>
      <c r="M78">
        <v>3</v>
      </c>
      <c r="N78">
        <v>10000000</v>
      </c>
      <c r="O78">
        <v>781375.07</v>
      </c>
      <c r="P78">
        <v>268800.7</v>
      </c>
      <c r="Q78" s="426">
        <v>44749</v>
      </c>
    </row>
    <row r="79" spans="1:17" x14ac:dyDescent="0.35">
      <c r="A79" t="s">
        <v>100</v>
      </c>
      <c r="B79" t="s">
        <v>600</v>
      </c>
      <c r="C79">
        <v>90</v>
      </c>
      <c r="D79" t="s">
        <v>586</v>
      </c>
      <c r="E79" t="s">
        <v>501</v>
      </c>
      <c r="F79" t="s">
        <v>576</v>
      </c>
      <c r="G79">
        <v>10</v>
      </c>
      <c r="H79" s="426">
        <v>44746</v>
      </c>
      <c r="I79">
        <v>10000000</v>
      </c>
      <c r="J79" s="426">
        <v>44749</v>
      </c>
      <c r="K79" s="426">
        <v>45479</v>
      </c>
      <c r="L79">
        <v>3</v>
      </c>
      <c r="M79">
        <v>3</v>
      </c>
      <c r="Q79" s="426">
        <v>44749</v>
      </c>
    </row>
    <row r="80" spans="1:17" x14ac:dyDescent="0.35">
      <c r="A80" t="s">
        <v>101</v>
      </c>
      <c r="B80" t="s">
        <v>601</v>
      </c>
      <c r="C80">
        <v>90</v>
      </c>
      <c r="D80" t="s">
        <v>586</v>
      </c>
      <c r="E80" t="s">
        <v>501</v>
      </c>
      <c r="F80" t="s">
        <v>576</v>
      </c>
      <c r="G80">
        <v>10</v>
      </c>
      <c r="H80" s="426">
        <v>44753</v>
      </c>
      <c r="I80">
        <v>24000000</v>
      </c>
      <c r="J80" s="426">
        <v>44755</v>
      </c>
      <c r="K80" s="426">
        <v>45485</v>
      </c>
      <c r="L80">
        <v>3</v>
      </c>
      <c r="M80">
        <v>3</v>
      </c>
      <c r="Q80" s="426">
        <v>44755</v>
      </c>
    </row>
    <row r="81" spans="1:17" x14ac:dyDescent="0.35">
      <c r="A81" t="s">
        <v>162</v>
      </c>
      <c r="B81" t="s">
        <v>177</v>
      </c>
      <c r="C81">
        <v>90</v>
      </c>
      <c r="D81" t="s">
        <v>586</v>
      </c>
      <c r="E81" t="s">
        <v>491</v>
      </c>
      <c r="F81" t="s">
        <v>576</v>
      </c>
      <c r="G81">
        <v>10</v>
      </c>
      <c r="H81" s="426">
        <v>45407</v>
      </c>
      <c r="I81">
        <v>30000000</v>
      </c>
      <c r="J81" s="426">
        <v>45407</v>
      </c>
      <c r="K81" s="426">
        <v>46142</v>
      </c>
      <c r="L81">
        <v>3</v>
      </c>
      <c r="M81">
        <v>3</v>
      </c>
      <c r="N81">
        <v>30000000</v>
      </c>
      <c r="O81">
        <v>807527.81</v>
      </c>
      <c r="P81">
        <v>27353908.27</v>
      </c>
      <c r="Q81" s="426">
        <v>44755</v>
      </c>
    </row>
    <row r="82" spans="1:17" x14ac:dyDescent="0.35">
      <c r="A82" t="s">
        <v>104</v>
      </c>
      <c r="B82" t="s">
        <v>602</v>
      </c>
      <c r="C82">
        <v>90</v>
      </c>
      <c r="D82" t="s">
        <v>586</v>
      </c>
      <c r="E82" t="s">
        <v>495</v>
      </c>
      <c r="F82" t="s">
        <v>576</v>
      </c>
      <c r="G82">
        <v>10</v>
      </c>
      <c r="H82" s="426">
        <v>44754</v>
      </c>
      <c r="I82">
        <v>10000000</v>
      </c>
      <c r="J82" s="426">
        <v>44755</v>
      </c>
      <c r="K82" s="426">
        <v>45485</v>
      </c>
      <c r="L82">
        <v>3</v>
      </c>
      <c r="M82">
        <v>3</v>
      </c>
      <c r="N82">
        <v>10000000</v>
      </c>
      <c r="O82">
        <v>1771854.1</v>
      </c>
      <c r="P82">
        <v>5917617.5</v>
      </c>
      <c r="Q82" s="426">
        <v>44755</v>
      </c>
    </row>
    <row r="83" spans="1:17" x14ac:dyDescent="0.35">
      <c r="A83" t="s">
        <v>105</v>
      </c>
      <c r="B83" t="s">
        <v>603</v>
      </c>
      <c r="C83">
        <v>90</v>
      </c>
      <c r="D83" t="s">
        <v>586</v>
      </c>
      <c r="E83" t="s">
        <v>501</v>
      </c>
      <c r="F83" t="s">
        <v>576</v>
      </c>
      <c r="G83">
        <v>10</v>
      </c>
      <c r="H83" s="426">
        <v>44754</v>
      </c>
      <c r="I83">
        <v>10000000</v>
      </c>
      <c r="J83" s="426">
        <v>44755</v>
      </c>
      <c r="K83" s="426">
        <v>45485</v>
      </c>
      <c r="L83">
        <v>3</v>
      </c>
      <c r="M83">
        <v>3</v>
      </c>
      <c r="Q83" s="426">
        <v>44755</v>
      </c>
    </row>
    <row r="84" spans="1:17" x14ac:dyDescent="0.35">
      <c r="A84" t="s">
        <v>107</v>
      </c>
      <c r="B84" t="s">
        <v>604</v>
      </c>
      <c r="C84">
        <v>90</v>
      </c>
      <c r="D84" t="s">
        <v>586</v>
      </c>
      <c r="E84" t="s">
        <v>495</v>
      </c>
      <c r="F84" t="s">
        <v>576</v>
      </c>
      <c r="G84">
        <v>10</v>
      </c>
      <c r="H84" s="426">
        <v>44785</v>
      </c>
      <c r="I84">
        <v>12000000</v>
      </c>
      <c r="J84" s="426">
        <v>44775</v>
      </c>
      <c r="K84" s="426">
        <v>45505</v>
      </c>
      <c r="L84">
        <v>0</v>
      </c>
      <c r="M84">
        <v>0</v>
      </c>
      <c r="N84">
        <v>12000000</v>
      </c>
      <c r="O84">
        <v>1543533.22</v>
      </c>
      <c r="P84">
        <v>4496798.6900000004</v>
      </c>
      <c r="Q84" s="426">
        <v>44775</v>
      </c>
    </row>
    <row r="85" spans="1:17" x14ac:dyDescent="0.35">
      <c r="A85" t="s">
        <v>108</v>
      </c>
      <c r="B85" t="s">
        <v>605</v>
      </c>
      <c r="C85">
        <v>90</v>
      </c>
      <c r="D85" t="s">
        <v>586</v>
      </c>
      <c r="E85" t="s">
        <v>495</v>
      </c>
      <c r="F85" t="s">
        <v>576</v>
      </c>
      <c r="G85">
        <v>10</v>
      </c>
      <c r="H85" s="426">
        <v>44785</v>
      </c>
      <c r="I85">
        <v>24000000</v>
      </c>
      <c r="J85" s="426">
        <v>44775</v>
      </c>
      <c r="K85" s="426">
        <v>45505</v>
      </c>
      <c r="L85">
        <v>3</v>
      </c>
      <c r="M85">
        <v>3</v>
      </c>
      <c r="N85">
        <v>11423340</v>
      </c>
      <c r="O85">
        <v>1489447.76</v>
      </c>
      <c r="P85">
        <v>8338.1200000000008</v>
      </c>
      <c r="Q85" s="426">
        <v>44775</v>
      </c>
    </row>
    <row r="86" spans="1:17" x14ac:dyDescent="0.35">
      <c r="A86" t="s">
        <v>111</v>
      </c>
      <c r="B86" t="s">
        <v>606</v>
      </c>
      <c r="C86">
        <v>90</v>
      </c>
      <c r="D86" t="s">
        <v>586</v>
      </c>
      <c r="E86" t="s">
        <v>495</v>
      </c>
      <c r="F86" t="s">
        <v>576</v>
      </c>
      <c r="G86">
        <v>10</v>
      </c>
      <c r="H86" s="426">
        <v>44841</v>
      </c>
      <c r="I86">
        <v>10000000</v>
      </c>
      <c r="J86" s="426">
        <v>44844</v>
      </c>
      <c r="K86" s="426">
        <v>45574</v>
      </c>
      <c r="L86">
        <v>3</v>
      </c>
      <c r="M86">
        <v>3</v>
      </c>
      <c r="N86">
        <v>10000000</v>
      </c>
      <c r="O86">
        <v>1270903.74</v>
      </c>
      <c r="P86">
        <v>9371307</v>
      </c>
      <c r="Q86" s="426">
        <v>44844</v>
      </c>
    </row>
    <row r="87" spans="1:17" x14ac:dyDescent="0.35">
      <c r="A87" t="s">
        <v>112</v>
      </c>
      <c r="B87" t="s">
        <v>607</v>
      </c>
      <c r="C87">
        <v>90</v>
      </c>
      <c r="D87" t="s">
        <v>586</v>
      </c>
      <c r="E87" t="s">
        <v>495</v>
      </c>
      <c r="F87" t="s">
        <v>576</v>
      </c>
      <c r="G87">
        <v>10</v>
      </c>
      <c r="H87" s="426">
        <v>44713</v>
      </c>
      <c r="I87">
        <v>12000000</v>
      </c>
      <c r="J87" s="426">
        <v>44844</v>
      </c>
      <c r="K87" s="426">
        <v>45574</v>
      </c>
      <c r="L87">
        <v>3</v>
      </c>
      <c r="M87">
        <v>3</v>
      </c>
      <c r="N87">
        <v>12000000</v>
      </c>
      <c r="O87">
        <v>1509229.2</v>
      </c>
      <c r="P87">
        <v>7207695.9500000002</v>
      </c>
      <c r="Q87" s="426">
        <v>44844</v>
      </c>
    </row>
    <row r="88" spans="1:17" x14ac:dyDescent="0.35">
      <c r="A88" t="s">
        <v>113</v>
      </c>
      <c r="B88" t="s">
        <v>608</v>
      </c>
      <c r="C88">
        <v>90</v>
      </c>
      <c r="D88" t="s">
        <v>586</v>
      </c>
      <c r="E88" t="s">
        <v>501</v>
      </c>
      <c r="F88" t="s">
        <v>576</v>
      </c>
      <c r="G88">
        <v>10</v>
      </c>
      <c r="H88" s="426">
        <v>44847</v>
      </c>
      <c r="I88">
        <v>24000000</v>
      </c>
      <c r="J88" s="426">
        <v>44852</v>
      </c>
      <c r="K88" s="426">
        <v>45582</v>
      </c>
      <c r="L88">
        <v>3</v>
      </c>
      <c r="M88">
        <v>3</v>
      </c>
      <c r="Q88" s="426">
        <v>44852</v>
      </c>
    </row>
    <row r="89" spans="1:17" x14ac:dyDescent="0.35">
      <c r="A89" t="s">
        <v>114</v>
      </c>
      <c r="B89" t="s">
        <v>609</v>
      </c>
      <c r="C89">
        <v>90</v>
      </c>
      <c r="D89" t="s">
        <v>586</v>
      </c>
      <c r="E89" t="s">
        <v>495</v>
      </c>
      <c r="F89" t="s">
        <v>576</v>
      </c>
      <c r="G89">
        <v>10</v>
      </c>
      <c r="H89" s="426">
        <v>44860</v>
      </c>
      <c r="I89">
        <v>24000000</v>
      </c>
      <c r="J89" s="426">
        <v>44861</v>
      </c>
      <c r="K89" s="426">
        <v>45591</v>
      </c>
      <c r="L89">
        <v>3</v>
      </c>
      <c r="M89">
        <v>3</v>
      </c>
      <c r="N89">
        <v>24000000</v>
      </c>
      <c r="O89">
        <v>2895712.86</v>
      </c>
      <c r="P89">
        <v>1685.92</v>
      </c>
      <c r="Q89" s="426">
        <v>44861</v>
      </c>
    </row>
    <row r="90" spans="1:17" x14ac:dyDescent="0.35">
      <c r="A90" t="s">
        <v>115</v>
      </c>
      <c r="B90" t="s">
        <v>610</v>
      </c>
      <c r="C90">
        <v>90</v>
      </c>
      <c r="D90" t="s">
        <v>586</v>
      </c>
      <c r="E90" t="s">
        <v>491</v>
      </c>
      <c r="F90" t="s">
        <v>576</v>
      </c>
      <c r="G90">
        <v>10</v>
      </c>
      <c r="H90" s="426">
        <v>44866</v>
      </c>
      <c r="I90">
        <v>10000000</v>
      </c>
      <c r="J90" s="426">
        <v>44867</v>
      </c>
      <c r="K90" s="426">
        <v>45597</v>
      </c>
      <c r="L90">
        <v>6</v>
      </c>
      <c r="M90">
        <v>6</v>
      </c>
      <c r="N90">
        <v>10000000</v>
      </c>
      <c r="O90">
        <v>1264076.73</v>
      </c>
      <c r="P90">
        <v>6882460.2000000002</v>
      </c>
      <c r="Q90" s="426">
        <v>44867</v>
      </c>
    </row>
    <row r="91" spans="1:17" x14ac:dyDescent="0.35">
      <c r="A91" t="s">
        <v>116</v>
      </c>
      <c r="B91" t="s">
        <v>611</v>
      </c>
      <c r="C91">
        <v>90</v>
      </c>
      <c r="D91" t="s">
        <v>586</v>
      </c>
      <c r="E91" t="s">
        <v>491</v>
      </c>
      <c r="F91" t="s">
        <v>576</v>
      </c>
      <c r="G91">
        <v>10</v>
      </c>
      <c r="H91" s="426">
        <v>44866</v>
      </c>
      <c r="I91">
        <v>10000000</v>
      </c>
      <c r="J91" s="426">
        <v>44874</v>
      </c>
      <c r="K91" s="426">
        <v>45604</v>
      </c>
      <c r="L91">
        <v>3</v>
      </c>
      <c r="M91">
        <v>3</v>
      </c>
      <c r="N91">
        <v>10000000</v>
      </c>
      <c r="O91">
        <v>1242349.3799999999</v>
      </c>
      <c r="P91">
        <v>1072059.3799999999</v>
      </c>
      <c r="Q91" s="426">
        <v>44874</v>
      </c>
    </row>
    <row r="92" spans="1:17" x14ac:dyDescent="0.35">
      <c r="A92" t="s">
        <v>117</v>
      </c>
      <c r="B92" t="s">
        <v>612</v>
      </c>
      <c r="C92">
        <v>90</v>
      </c>
      <c r="D92" t="s">
        <v>586</v>
      </c>
      <c r="E92" t="s">
        <v>501</v>
      </c>
      <c r="F92" t="s">
        <v>576</v>
      </c>
      <c r="G92">
        <v>10</v>
      </c>
      <c r="H92" s="426">
        <v>44873</v>
      </c>
      <c r="I92">
        <v>24000000</v>
      </c>
      <c r="J92" s="426">
        <v>44875</v>
      </c>
      <c r="K92" s="426">
        <v>45605</v>
      </c>
      <c r="L92">
        <v>3</v>
      </c>
      <c r="M92">
        <v>3</v>
      </c>
      <c r="Q92" s="426">
        <v>44875</v>
      </c>
    </row>
    <row r="93" spans="1:17" x14ac:dyDescent="0.35">
      <c r="A93" t="s">
        <v>119</v>
      </c>
      <c r="B93" t="s">
        <v>613</v>
      </c>
      <c r="C93">
        <v>90</v>
      </c>
      <c r="D93" t="s">
        <v>586</v>
      </c>
      <c r="E93" t="s">
        <v>503</v>
      </c>
      <c r="F93" t="s">
        <v>576</v>
      </c>
      <c r="G93">
        <v>10</v>
      </c>
      <c r="H93" s="426">
        <v>44949</v>
      </c>
      <c r="I93">
        <v>90900000</v>
      </c>
      <c r="J93" s="426">
        <v>44950</v>
      </c>
      <c r="K93" s="426">
        <v>46045</v>
      </c>
      <c r="L93">
        <v>3</v>
      </c>
      <c r="M93">
        <v>0</v>
      </c>
      <c r="N93">
        <v>90900000</v>
      </c>
      <c r="O93">
        <v>11648615.529999999</v>
      </c>
      <c r="P93">
        <v>44388654.57</v>
      </c>
      <c r="Q93" s="426">
        <v>44950</v>
      </c>
    </row>
    <row r="94" spans="1:17" x14ac:dyDescent="0.35">
      <c r="A94" t="s">
        <v>122</v>
      </c>
      <c r="B94" t="s">
        <v>614</v>
      </c>
      <c r="C94">
        <v>90</v>
      </c>
      <c r="D94" t="s">
        <v>586</v>
      </c>
      <c r="E94" t="s">
        <v>488</v>
      </c>
      <c r="F94" t="s">
        <v>576</v>
      </c>
      <c r="G94">
        <v>10</v>
      </c>
      <c r="H94" s="426">
        <v>44939</v>
      </c>
      <c r="I94">
        <v>134253000</v>
      </c>
      <c r="J94" s="426">
        <v>44959</v>
      </c>
      <c r="K94" s="426">
        <v>47150</v>
      </c>
      <c r="L94">
        <v>12</v>
      </c>
      <c r="M94">
        <v>12</v>
      </c>
      <c r="N94">
        <v>134253000</v>
      </c>
      <c r="O94">
        <v>21316880.460000001</v>
      </c>
      <c r="P94">
        <v>135843297.22999999</v>
      </c>
      <c r="Q94" s="426">
        <v>44959</v>
      </c>
    </row>
    <row r="95" spans="1:17" x14ac:dyDescent="0.35">
      <c r="A95" t="s">
        <v>123</v>
      </c>
      <c r="B95" t="s">
        <v>615</v>
      </c>
      <c r="C95">
        <v>90</v>
      </c>
      <c r="D95" t="s">
        <v>586</v>
      </c>
      <c r="E95" t="s">
        <v>491</v>
      </c>
      <c r="F95" t="s">
        <v>576</v>
      </c>
      <c r="G95">
        <v>10</v>
      </c>
      <c r="H95" s="426">
        <v>44963</v>
      </c>
      <c r="I95">
        <v>24000000</v>
      </c>
      <c r="J95" s="426">
        <v>44964</v>
      </c>
      <c r="K95" s="426">
        <v>45694</v>
      </c>
      <c r="L95">
        <v>3</v>
      </c>
      <c r="M95">
        <v>3</v>
      </c>
      <c r="N95">
        <v>24000000</v>
      </c>
      <c r="O95">
        <v>2805386.64</v>
      </c>
      <c r="P95">
        <v>7670357.5599999996</v>
      </c>
      <c r="Q95" s="426">
        <v>44964</v>
      </c>
    </row>
    <row r="96" spans="1:17" x14ac:dyDescent="0.35">
      <c r="A96" t="s">
        <v>150</v>
      </c>
      <c r="B96" t="s">
        <v>616</v>
      </c>
      <c r="C96">
        <v>90</v>
      </c>
      <c r="D96" t="s">
        <v>586</v>
      </c>
      <c r="E96" t="s">
        <v>495</v>
      </c>
      <c r="F96" t="s">
        <v>576</v>
      </c>
      <c r="G96">
        <v>10</v>
      </c>
      <c r="H96" s="426">
        <v>45261</v>
      </c>
      <c r="I96">
        <v>30000000</v>
      </c>
      <c r="J96" s="426">
        <v>45260</v>
      </c>
      <c r="K96" s="426">
        <v>45626</v>
      </c>
      <c r="L96">
        <v>0</v>
      </c>
      <c r="M96">
        <v>0</v>
      </c>
      <c r="N96">
        <v>30000000</v>
      </c>
      <c r="O96">
        <v>1433540.13</v>
      </c>
      <c r="P96">
        <v>32232512.18</v>
      </c>
      <c r="Q96" s="426">
        <v>44985</v>
      </c>
    </row>
    <row r="97" spans="1:17" x14ac:dyDescent="0.35">
      <c r="A97" t="s">
        <v>130</v>
      </c>
      <c r="B97" t="s">
        <v>617</v>
      </c>
      <c r="C97">
        <v>90</v>
      </c>
      <c r="D97" t="s">
        <v>586</v>
      </c>
      <c r="E97" t="s">
        <v>488</v>
      </c>
      <c r="F97" t="s">
        <v>576</v>
      </c>
      <c r="G97">
        <v>10</v>
      </c>
      <c r="H97" s="426">
        <v>45034</v>
      </c>
      <c r="I97">
        <v>250000000</v>
      </c>
      <c r="J97" s="426">
        <v>45034</v>
      </c>
      <c r="K97" s="426">
        <v>46494</v>
      </c>
      <c r="L97">
        <v>6</v>
      </c>
      <c r="M97">
        <v>0</v>
      </c>
      <c r="N97">
        <v>250000000</v>
      </c>
      <c r="O97">
        <v>30624506.41</v>
      </c>
      <c r="P97">
        <v>195249240.19999999</v>
      </c>
      <c r="Q97" s="426">
        <v>45034</v>
      </c>
    </row>
    <row r="98" spans="1:17" x14ac:dyDescent="0.35">
      <c r="A98" t="s">
        <v>134</v>
      </c>
      <c r="B98" t="s">
        <v>618</v>
      </c>
      <c r="C98">
        <v>90</v>
      </c>
      <c r="D98" t="s">
        <v>586</v>
      </c>
      <c r="E98" t="s">
        <v>491</v>
      </c>
      <c r="F98" t="s">
        <v>576</v>
      </c>
      <c r="G98">
        <v>10</v>
      </c>
      <c r="H98" s="426">
        <v>45064</v>
      </c>
      <c r="I98">
        <v>30000000</v>
      </c>
      <c r="J98" s="426">
        <v>45065</v>
      </c>
      <c r="K98" s="426">
        <v>45795</v>
      </c>
      <c r="L98">
        <v>3</v>
      </c>
      <c r="M98">
        <v>3</v>
      </c>
      <c r="N98">
        <v>30000000</v>
      </c>
      <c r="O98">
        <v>3057998.89</v>
      </c>
      <c r="P98">
        <v>14200437.57</v>
      </c>
      <c r="Q98" s="426">
        <v>45065</v>
      </c>
    </row>
    <row r="99" spans="1:17" x14ac:dyDescent="0.35">
      <c r="A99" t="s">
        <v>135</v>
      </c>
      <c r="B99" t="s">
        <v>502</v>
      </c>
      <c r="C99">
        <v>90</v>
      </c>
      <c r="D99" t="s">
        <v>586</v>
      </c>
      <c r="E99" t="s">
        <v>503</v>
      </c>
      <c r="F99" t="s">
        <v>576</v>
      </c>
      <c r="G99">
        <v>10</v>
      </c>
      <c r="H99" s="426">
        <v>45117</v>
      </c>
      <c r="I99">
        <v>250000000</v>
      </c>
      <c r="J99" s="426">
        <v>45117</v>
      </c>
      <c r="K99" s="426">
        <v>46577</v>
      </c>
      <c r="L99">
        <v>3</v>
      </c>
      <c r="M99">
        <v>3</v>
      </c>
      <c r="N99">
        <v>250000000</v>
      </c>
      <c r="O99">
        <v>25702633.920000002</v>
      </c>
      <c r="P99">
        <v>172097958.03</v>
      </c>
      <c r="Q99" s="426">
        <v>45117</v>
      </c>
    </row>
    <row r="100" spans="1:17" x14ac:dyDescent="0.35">
      <c r="A100" t="s">
        <v>136</v>
      </c>
      <c r="B100" t="s">
        <v>619</v>
      </c>
      <c r="C100">
        <v>90</v>
      </c>
      <c r="D100" t="s">
        <v>586</v>
      </c>
      <c r="E100" t="s">
        <v>488</v>
      </c>
      <c r="F100" t="s">
        <v>576</v>
      </c>
      <c r="G100">
        <v>10</v>
      </c>
      <c r="H100" s="426">
        <v>45126</v>
      </c>
      <c r="I100">
        <v>200000000</v>
      </c>
      <c r="J100" s="426">
        <v>45127</v>
      </c>
      <c r="K100" s="426">
        <v>46587</v>
      </c>
      <c r="L100">
        <v>6</v>
      </c>
      <c r="M100">
        <v>6</v>
      </c>
      <c r="N100">
        <v>200000000</v>
      </c>
      <c r="O100">
        <v>20900523.190000001</v>
      </c>
      <c r="P100">
        <v>207088006.12</v>
      </c>
      <c r="Q100" s="426">
        <v>45127</v>
      </c>
    </row>
    <row r="101" spans="1:17" x14ac:dyDescent="0.35">
      <c r="A101" t="s">
        <v>139</v>
      </c>
      <c r="B101" t="s">
        <v>620</v>
      </c>
      <c r="C101">
        <v>90</v>
      </c>
      <c r="D101" t="s">
        <v>586</v>
      </c>
      <c r="E101" t="s">
        <v>495</v>
      </c>
      <c r="F101" t="s">
        <v>576</v>
      </c>
      <c r="G101">
        <v>10</v>
      </c>
      <c r="H101" s="426">
        <v>45134</v>
      </c>
      <c r="I101">
        <v>15000000</v>
      </c>
      <c r="J101" s="426">
        <v>45138</v>
      </c>
      <c r="K101" s="426">
        <v>45868</v>
      </c>
      <c r="L101">
        <v>3</v>
      </c>
      <c r="M101">
        <v>3</v>
      </c>
      <c r="N101">
        <v>15000000</v>
      </c>
      <c r="O101">
        <v>1214682.54</v>
      </c>
      <c r="P101">
        <v>6964564.7699999996</v>
      </c>
      <c r="Q101" s="426">
        <v>45138</v>
      </c>
    </row>
    <row r="102" spans="1:17" x14ac:dyDescent="0.35">
      <c r="A102" t="s">
        <v>141</v>
      </c>
      <c r="B102" t="s">
        <v>621</v>
      </c>
      <c r="C102">
        <v>90</v>
      </c>
      <c r="D102" t="s">
        <v>586</v>
      </c>
      <c r="E102" t="s">
        <v>495</v>
      </c>
      <c r="F102" t="s">
        <v>576</v>
      </c>
      <c r="G102">
        <v>10</v>
      </c>
      <c r="H102" s="426">
        <v>45106</v>
      </c>
      <c r="I102">
        <v>30000000</v>
      </c>
      <c r="J102" s="426">
        <v>45108</v>
      </c>
      <c r="K102" s="426">
        <v>45838</v>
      </c>
      <c r="L102">
        <v>3</v>
      </c>
      <c r="M102">
        <v>3</v>
      </c>
      <c r="N102">
        <v>30000000</v>
      </c>
      <c r="O102">
        <v>2828628.68</v>
      </c>
      <c r="P102">
        <v>22848584.379999999</v>
      </c>
      <c r="Q102" s="426">
        <v>45108</v>
      </c>
    </row>
    <row r="103" spans="1:17" x14ac:dyDescent="0.35">
      <c r="A103" t="s">
        <v>143</v>
      </c>
      <c r="B103" t="s">
        <v>589</v>
      </c>
      <c r="C103">
        <v>90</v>
      </c>
      <c r="D103" t="s">
        <v>586</v>
      </c>
      <c r="E103" t="s">
        <v>488</v>
      </c>
      <c r="F103" t="s">
        <v>576</v>
      </c>
      <c r="G103">
        <v>10</v>
      </c>
      <c r="H103" s="426">
        <v>45153</v>
      </c>
      <c r="I103">
        <v>30000000</v>
      </c>
      <c r="J103" s="426">
        <v>45153</v>
      </c>
      <c r="K103" s="426">
        <v>45883</v>
      </c>
      <c r="L103">
        <v>3</v>
      </c>
      <c r="M103">
        <v>3</v>
      </c>
      <c r="N103">
        <v>30000000</v>
      </c>
      <c r="O103">
        <v>2699970.47</v>
      </c>
      <c r="P103">
        <v>21032811.59</v>
      </c>
      <c r="Q103" s="426">
        <v>45153</v>
      </c>
    </row>
    <row r="104" spans="1:17" x14ac:dyDescent="0.35">
      <c r="A104" t="s">
        <v>144</v>
      </c>
      <c r="B104" t="s">
        <v>622</v>
      </c>
      <c r="C104">
        <v>90</v>
      </c>
      <c r="D104" t="s">
        <v>586</v>
      </c>
      <c r="E104" t="s">
        <v>488</v>
      </c>
      <c r="F104" t="s">
        <v>576</v>
      </c>
      <c r="G104">
        <v>10</v>
      </c>
      <c r="H104" s="426">
        <v>45216</v>
      </c>
      <c r="I104">
        <v>164000000</v>
      </c>
      <c r="J104" s="426">
        <v>45216</v>
      </c>
      <c r="K104" s="426">
        <v>46676</v>
      </c>
      <c r="L104">
        <v>3</v>
      </c>
      <c r="M104">
        <v>3</v>
      </c>
      <c r="N104">
        <v>164000000</v>
      </c>
      <c r="O104">
        <v>12535646.84</v>
      </c>
      <c r="P104">
        <v>134900520.88999999</v>
      </c>
      <c r="Q104" s="426">
        <v>45216</v>
      </c>
    </row>
    <row r="105" spans="1:17" x14ac:dyDescent="0.35">
      <c r="A105" t="s">
        <v>126</v>
      </c>
      <c r="B105" t="s">
        <v>616</v>
      </c>
      <c r="C105">
        <v>90</v>
      </c>
      <c r="D105" t="s">
        <v>586</v>
      </c>
      <c r="E105" t="s">
        <v>501</v>
      </c>
      <c r="F105" t="s">
        <v>576</v>
      </c>
      <c r="G105">
        <v>10</v>
      </c>
      <c r="H105" s="426">
        <v>45258</v>
      </c>
      <c r="I105">
        <v>30000000</v>
      </c>
      <c r="J105" s="426">
        <v>45261</v>
      </c>
      <c r="K105" s="426">
        <v>45626</v>
      </c>
      <c r="L105">
        <v>0</v>
      </c>
      <c r="M105">
        <v>0</v>
      </c>
      <c r="Q105" s="426">
        <v>45261</v>
      </c>
    </row>
    <row r="106" spans="1:17" x14ac:dyDescent="0.35">
      <c r="A106" t="s">
        <v>152</v>
      </c>
      <c r="B106" t="s">
        <v>623</v>
      </c>
      <c r="C106">
        <v>90</v>
      </c>
      <c r="D106" t="s">
        <v>586</v>
      </c>
      <c r="E106" t="s">
        <v>488</v>
      </c>
      <c r="F106" t="s">
        <v>576</v>
      </c>
      <c r="G106">
        <v>10</v>
      </c>
      <c r="H106" s="426">
        <v>45272</v>
      </c>
      <c r="I106">
        <v>10000000</v>
      </c>
      <c r="J106" s="426">
        <v>45273</v>
      </c>
      <c r="K106" s="426">
        <v>46003</v>
      </c>
      <c r="L106">
        <v>3</v>
      </c>
      <c r="M106">
        <v>0</v>
      </c>
      <c r="N106">
        <v>10000000</v>
      </c>
      <c r="O106">
        <v>609712.85</v>
      </c>
      <c r="P106">
        <v>7917794.6699999999</v>
      </c>
      <c r="Q106" s="426">
        <v>45273</v>
      </c>
    </row>
    <row r="107" spans="1:17" x14ac:dyDescent="0.35">
      <c r="A107" t="s">
        <v>153</v>
      </c>
      <c r="B107" t="s">
        <v>181</v>
      </c>
      <c r="C107">
        <v>90</v>
      </c>
      <c r="D107" t="s">
        <v>586</v>
      </c>
      <c r="E107" t="s">
        <v>488</v>
      </c>
      <c r="F107" t="s">
        <v>576</v>
      </c>
      <c r="G107">
        <v>10</v>
      </c>
      <c r="H107" s="426">
        <v>44918</v>
      </c>
      <c r="I107">
        <v>144500000</v>
      </c>
      <c r="J107" s="426">
        <v>45317</v>
      </c>
      <c r="K107" s="426">
        <v>46412</v>
      </c>
      <c r="L107">
        <v>18</v>
      </c>
      <c r="M107">
        <v>18</v>
      </c>
      <c r="N107">
        <v>144500000</v>
      </c>
      <c r="O107">
        <v>7581339.7999999998</v>
      </c>
      <c r="P107">
        <v>155946915.83000001</v>
      </c>
      <c r="Q107" s="426">
        <v>45317</v>
      </c>
    </row>
    <row r="108" spans="1:17" x14ac:dyDescent="0.35">
      <c r="A108" t="s">
        <v>154</v>
      </c>
      <c r="B108" t="s">
        <v>624</v>
      </c>
      <c r="C108">
        <v>90</v>
      </c>
      <c r="D108" t="s">
        <v>586</v>
      </c>
      <c r="E108" t="s">
        <v>488</v>
      </c>
      <c r="F108" t="s">
        <v>576</v>
      </c>
      <c r="G108">
        <v>10</v>
      </c>
      <c r="H108" s="426">
        <v>45323</v>
      </c>
      <c r="I108">
        <v>350660000</v>
      </c>
      <c r="J108" s="426">
        <v>45323</v>
      </c>
      <c r="K108" s="426">
        <v>47149</v>
      </c>
      <c r="L108">
        <v>4</v>
      </c>
      <c r="M108">
        <v>0</v>
      </c>
      <c r="N108">
        <v>350660000</v>
      </c>
      <c r="O108">
        <v>17902354.850000001</v>
      </c>
      <c r="P108">
        <v>377930406.22000003</v>
      </c>
      <c r="Q108" s="426">
        <v>45323</v>
      </c>
    </row>
    <row r="109" spans="1:17" x14ac:dyDescent="0.35">
      <c r="A109" t="s">
        <v>158</v>
      </c>
      <c r="B109" t="s">
        <v>612</v>
      </c>
      <c r="C109">
        <v>90</v>
      </c>
      <c r="D109" t="s">
        <v>586</v>
      </c>
      <c r="E109" t="s">
        <v>488</v>
      </c>
      <c r="F109" t="s">
        <v>576</v>
      </c>
      <c r="G109">
        <v>10</v>
      </c>
      <c r="H109" s="426">
        <v>45330</v>
      </c>
      <c r="I109">
        <v>130000000</v>
      </c>
      <c r="J109" s="426">
        <v>45330</v>
      </c>
      <c r="K109" s="426">
        <v>46790</v>
      </c>
      <c r="L109">
        <v>6</v>
      </c>
      <c r="M109">
        <v>0</v>
      </c>
      <c r="N109">
        <v>130000000</v>
      </c>
      <c r="O109">
        <v>6242236.3200000003</v>
      </c>
      <c r="P109">
        <v>124893754.23</v>
      </c>
      <c r="Q109" s="426">
        <v>45330</v>
      </c>
    </row>
    <row r="110" spans="1:17" x14ac:dyDescent="0.35">
      <c r="A110" t="s">
        <v>159</v>
      </c>
      <c r="B110" t="s">
        <v>625</v>
      </c>
      <c r="C110">
        <v>90</v>
      </c>
      <c r="D110" t="s">
        <v>586</v>
      </c>
      <c r="E110" t="s">
        <v>491</v>
      </c>
      <c r="F110" t="s">
        <v>576</v>
      </c>
      <c r="G110">
        <v>10</v>
      </c>
      <c r="H110" s="426">
        <v>45351</v>
      </c>
      <c r="I110">
        <v>200000000</v>
      </c>
      <c r="J110" s="426">
        <v>45351</v>
      </c>
      <c r="K110" s="426">
        <v>46811</v>
      </c>
      <c r="L110">
        <v>6</v>
      </c>
      <c r="M110">
        <v>0</v>
      </c>
      <c r="N110">
        <v>200000000</v>
      </c>
      <c r="O110">
        <v>8473384.4600000009</v>
      </c>
      <c r="P110">
        <v>213772323.30000001</v>
      </c>
      <c r="Q110" s="426">
        <v>45351</v>
      </c>
    </row>
    <row r="111" spans="1:17" x14ac:dyDescent="0.35">
      <c r="A111" t="s">
        <v>163</v>
      </c>
      <c r="B111" t="s">
        <v>626</v>
      </c>
      <c r="C111">
        <v>90</v>
      </c>
      <c r="D111" t="s">
        <v>586</v>
      </c>
      <c r="E111" t="s">
        <v>491</v>
      </c>
      <c r="F111" t="s">
        <v>576</v>
      </c>
      <c r="G111">
        <v>10</v>
      </c>
      <c r="H111" s="426">
        <v>45412</v>
      </c>
      <c r="I111">
        <v>50000000</v>
      </c>
      <c r="J111" s="426">
        <v>45412</v>
      </c>
      <c r="K111" s="426">
        <v>46141</v>
      </c>
      <c r="L111">
        <v>0</v>
      </c>
      <c r="M111">
        <v>0</v>
      </c>
      <c r="N111">
        <v>50000000</v>
      </c>
      <c r="O111">
        <v>1263888.8899999999</v>
      </c>
      <c r="P111">
        <v>43437806.509999998</v>
      </c>
      <c r="Q111" s="426">
        <v>45412</v>
      </c>
    </row>
    <row r="112" spans="1:17" x14ac:dyDescent="0.35">
      <c r="A112" t="s">
        <v>627</v>
      </c>
      <c r="B112" t="s">
        <v>628</v>
      </c>
      <c r="C112">
        <v>90</v>
      </c>
      <c r="D112" t="s">
        <v>586</v>
      </c>
      <c r="E112" t="s">
        <v>501</v>
      </c>
      <c r="F112" t="s">
        <v>576</v>
      </c>
      <c r="G112">
        <v>10</v>
      </c>
      <c r="H112" s="426">
        <v>45566</v>
      </c>
      <c r="I112">
        <v>88000000</v>
      </c>
      <c r="J112" s="426">
        <v>45588</v>
      </c>
      <c r="K112" s="426">
        <v>47261</v>
      </c>
      <c r="L112">
        <v>0</v>
      </c>
      <c r="M112">
        <v>0</v>
      </c>
    </row>
    <row r="113" spans="1:17" x14ac:dyDescent="0.35">
      <c r="A113" t="s">
        <v>629</v>
      </c>
      <c r="B113" t="s">
        <v>630</v>
      </c>
      <c r="C113">
        <v>90</v>
      </c>
      <c r="D113" t="s">
        <v>586</v>
      </c>
      <c r="E113" t="s">
        <v>501</v>
      </c>
      <c r="F113" t="s">
        <v>576</v>
      </c>
      <c r="G113">
        <v>15</v>
      </c>
      <c r="H113" s="426">
        <v>45566</v>
      </c>
      <c r="I113">
        <v>96300000</v>
      </c>
      <c r="J113" s="426">
        <v>45589</v>
      </c>
      <c r="K113" s="426">
        <v>45740</v>
      </c>
      <c r="L113">
        <v>0</v>
      </c>
      <c r="M113">
        <v>0</v>
      </c>
    </row>
    <row r="114" spans="1:17" x14ac:dyDescent="0.35">
      <c r="A114" t="s">
        <v>631</v>
      </c>
      <c r="B114" t="s">
        <v>632</v>
      </c>
      <c r="C114">
        <v>90</v>
      </c>
      <c r="D114" t="s">
        <v>586</v>
      </c>
      <c r="E114" t="s">
        <v>488</v>
      </c>
      <c r="F114" t="s">
        <v>576</v>
      </c>
      <c r="G114">
        <v>10</v>
      </c>
      <c r="H114" s="426">
        <v>46253</v>
      </c>
      <c r="I114">
        <v>330000000</v>
      </c>
      <c r="J114" s="426">
        <v>46253</v>
      </c>
      <c r="K114" s="426">
        <v>46984</v>
      </c>
      <c r="L114">
        <v>6</v>
      </c>
      <c r="M114">
        <v>0</v>
      </c>
      <c r="Q114" s="426">
        <v>46259</v>
      </c>
    </row>
    <row r="115" spans="1:17" x14ac:dyDescent="0.35">
      <c r="A115" t="s">
        <v>79</v>
      </c>
      <c r="B115" t="s">
        <v>633</v>
      </c>
      <c r="C115">
        <v>92</v>
      </c>
      <c r="D115" t="s">
        <v>634</v>
      </c>
      <c r="E115" t="s">
        <v>501</v>
      </c>
      <c r="F115" t="s">
        <v>576</v>
      </c>
      <c r="G115">
        <v>10</v>
      </c>
      <c r="H115" s="426">
        <v>44547</v>
      </c>
      <c r="I115">
        <v>20000000</v>
      </c>
      <c r="J115" s="426">
        <v>44561</v>
      </c>
      <c r="K115" s="426">
        <v>45290</v>
      </c>
      <c r="L115">
        <v>6</v>
      </c>
      <c r="M115">
        <v>6</v>
      </c>
      <c r="Q115" s="426">
        <v>44561</v>
      </c>
    </row>
    <row r="116" spans="1:17" x14ac:dyDescent="0.35">
      <c r="A116" t="s">
        <v>82</v>
      </c>
      <c r="B116" t="s">
        <v>635</v>
      </c>
      <c r="C116">
        <v>92</v>
      </c>
      <c r="D116" t="s">
        <v>634</v>
      </c>
      <c r="E116" t="s">
        <v>495</v>
      </c>
      <c r="F116" t="s">
        <v>576</v>
      </c>
      <c r="G116">
        <v>10</v>
      </c>
      <c r="H116" s="426">
        <v>44585</v>
      </c>
      <c r="I116">
        <v>14677500</v>
      </c>
      <c r="J116" s="426">
        <v>44220</v>
      </c>
      <c r="K116" s="426">
        <v>44949</v>
      </c>
      <c r="L116">
        <v>3</v>
      </c>
      <c r="M116">
        <v>3</v>
      </c>
      <c r="N116">
        <v>14677500</v>
      </c>
      <c r="O116">
        <v>2537771.44</v>
      </c>
      <c r="P116">
        <v>349021.15</v>
      </c>
      <c r="Q116" s="426">
        <v>44220</v>
      </c>
    </row>
    <row r="117" spans="1:17" x14ac:dyDescent="0.35">
      <c r="A117" t="s">
        <v>84</v>
      </c>
      <c r="B117" t="s">
        <v>636</v>
      </c>
      <c r="C117">
        <v>92</v>
      </c>
      <c r="D117" t="s">
        <v>634</v>
      </c>
      <c r="E117" t="s">
        <v>501</v>
      </c>
      <c r="F117" t="s">
        <v>576</v>
      </c>
      <c r="G117">
        <v>10</v>
      </c>
      <c r="H117" s="426">
        <v>44601</v>
      </c>
      <c r="I117">
        <v>24000000</v>
      </c>
      <c r="J117" s="426">
        <v>44603</v>
      </c>
      <c r="K117" s="426">
        <v>45332</v>
      </c>
      <c r="L117">
        <v>3</v>
      </c>
      <c r="M117">
        <v>3</v>
      </c>
      <c r="Q117" s="426">
        <v>44603</v>
      </c>
    </row>
    <row r="118" spans="1:17" x14ac:dyDescent="0.35">
      <c r="A118" t="s">
        <v>89</v>
      </c>
      <c r="B118" t="s">
        <v>637</v>
      </c>
      <c r="C118">
        <v>92</v>
      </c>
      <c r="D118" t="s">
        <v>634</v>
      </c>
      <c r="E118" t="s">
        <v>491</v>
      </c>
      <c r="F118" t="s">
        <v>576</v>
      </c>
      <c r="G118">
        <v>10</v>
      </c>
      <c r="H118" s="426">
        <v>44713</v>
      </c>
      <c r="I118">
        <v>12000000</v>
      </c>
      <c r="J118" s="426">
        <v>44715</v>
      </c>
      <c r="K118" s="426">
        <v>45445</v>
      </c>
      <c r="L118">
        <v>3</v>
      </c>
      <c r="M118">
        <v>3</v>
      </c>
      <c r="N118">
        <v>12000000</v>
      </c>
      <c r="O118">
        <v>1605046.86</v>
      </c>
      <c r="P118">
        <v>-29678.33</v>
      </c>
      <c r="Q118" s="426">
        <v>44715</v>
      </c>
    </row>
    <row r="119" spans="1:17" x14ac:dyDescent="0.35">
      <c r="A119" t="s">
        <v>94</v>
      </c>
      <c r="B119" t="s">
        <v>638</v>
      </c>
      <c r="C119">
        <v>92</v>
      </c>
      <c r="D119" t="s">
        <v>634</v>
      </c>
      <c r="E119" t="s">
        <v>501</v>
      </c>
      <c r="F119" t="s">
        <v>576</v>
      </c>
      <c r="G119">
        <v>10</v>
      </c>
      <c r="H119" s="426">
        <v>44719</v>
      </c>
      <c r="I119">
        <v>24000000</v>
      </c>
      <c r="J119" s="426">
        <v>44726</v>
      </c>
      <c r="K119" s="426">
        <v>45456</v>
      </c>
      <c r="L119">
        <v>3</v>
      </c>
      <c r="M119">
        <v>3</v>
      </c>
      <c r="Q119" s="426">
        <v>44726</v>
      </c>
    </row>
    <row r="120" spans="1:17" x14ac:dyDescent="0.35">
      <c r="A120" t="s">
        <v>96</v>
      </c>
      <c r="B120" t="s">
        <v>621</v>
      </c>
      <c r="C120">
        <v>92</v>
      </c>
      <c r="D120" t="s">
        <v>634</v>
      </c>
      <c r="E120" t="s">
        <v>501</v>
      </c>
      <c r="F120" t="s">
        <v>576</v>
      </c>
      <c r="G120">
        <v>10</v>
      </c>
      <c r="H120" s="426">
        <v>44713</v>
      </c>
      <c r="I120">
        <v>10000000</v>
      </c>
      <c r="J120" s="426">
        <v>44728</v>
      </c>
      <c r="K120" s="426">
        <v>45458</v>
      </c>
      <c r="L120">
        <v>3</v>
      </c>
      <c r="M120">
        <v>3</v>
      </c>
      <c r="Q120" s="426">
        <v>44728</v>
      </c>
    </row>
    <row r="121" spans="1:17" x14ac:dyDescent="0.35">
      <c r="A121" t="s">
        <v>121</v>
      </c>
      <c r="B121" t="s">
        <v>639</v>
      </c>
      <c r="C121">
        <v>92</v>
      </c>
      <c r="D121" t="s">
        <v>634</v>
      </c>
      <c r="E121" t="s">
        <v>488</v>
      </c>
      <c r="F121" t="s">
        <v>576</v>
      </c>
      <c r="G121">
        <v>10</v>
      </c>
      <c r="H121" s="426">
        <v>44950</v>
      </c>
      <c r="I121">
        <v>70000000</v>
      </c>
      <c r="J121" s="426">
        <v>44952</v>
      </c>
      <c r="K121" s="426">
        <v>46047</v>
      </c>
      <c r="L121">
        <v>12</v>
      </c>
      <c r="M121">
        <v>0</v>
      </c>
      <c r="N121">
        <v>21462708.129999999</v>
      </c>
      <c r="O121">
        <v>3007138.27</v>
      </c>
      <c r="P121">
        <v>17003080.02</v>
      </c>
      <c r="Q121" s="426">
        <v>44952</v>
      </c>
    </row>
    <row r="122" spans="1:17" x14ac:dyDescent="0.35">
      <c r="A122" t="s">
        <v>200</v>
      </c>
      <c r="B122" t="s">
        <v>640</v>
      </c>
      <c r="C122">
        <v>92</v>
      </c>
      <c r="D122" t="s">
        <v>634</v>
      </c>
      <c r="E122" t="s">
        <v>501</v>
      </c>
      <c r="F122" t="s">
        <v>576</v>
      </c>
      <c r="G122">
        <v>10</v>
      </c>
      <c r="H122" s="426">
        <v>44972</v>
      </c>
      <c r="I122">
        <v>53391150</v>
      </c>
      <c r="J122" s="426">
        <v>44972</v>
      </c>
      <c r="K122" s="426">
        <v>45702</v>
      </c>
      <c r="L122">
        <v>6</v>
      </c>
      <c r="M122">
        <v>0</v>
      </c>
      <c r="Q122" s="426">
        <v>44972</v>
      </c>
    </row>
    <row r="123" spans="1:17" x14ac:dyDescent="0.35">
      <c r="A123" t="s">
        <v>125</v>
      </c>
      <c r="B123" t="s">
        <v>641</v>
      </c>
      <c r="C123">
        <v>92</v>
      </c>
      <c r="D123" t="s">
        <v>634</v>
      </c>
      <c r="E123" t="s">
        <v>488</v>
      </c>
      <c r="F123" t="s">
        <v>576</v>
      </c>
      <c r="G123">
        <v>10</v>
      </c>
      <c r="H123" s="426">
        <v>44977</v>
      </c>
      <c r="I123">
        <v>153974500</v>
      </c>
      <c r="J123" s="426">
        <v>44977</v>
      </c>
      <c r="K123" s="426">
        <v>46802</v>
      </c>
      <c r="L123">
        <v>6</v>
      </c>
      <c r="M123">
        <v>6</v>
      </c>
      <c r="N123">
        <v>153974500</v>
      </c>
      <c r="O123">
        <v>19723828.760000002</v>
      </c>
      <c r="P123">
        <v>37020527.350000001</v>
      </c>
      <c r="Q123" s="426">
        <v>44977</v>
      </c>
    </row>
    <row r="124" spans="1:17" x14ac:dyDescent="0.35">
      <c r="A124" t="s">
        <v>128</v>
      </c>
      <c r="B124" t="s">
        <v>642</v>
      </c>
      <c r="C124">
        <v>92</v>
      </c>
      <c r="D124" t="s">
        <v>634</v>
      </c>
      <c r="E124" t="s">
        <v>495</v>
      </c>
      <c r="F124" t="s">
        <v>576</v>
      </c>
      <c r="G124">
        <v>10</v>
      </c>
      <c r="H124" s="426">
        <v>45005</v>
      </c>
      <c r="I124">
        <v>24000000</v>
      </c>
      <c r="J124" s="426">
        <v>45005</v>
      </c>
      <c r="K124" s="426">
        <v>45735</v>
      </c>
      <c r="L124">
        <v>3</v>
      </c>
      <c r="M124">
        <v>3</v>
      </c>
      <c r="N124">
        <v>24000000</v>
      </c>
      <c r="O124">
        <v>2634306.5</v>
      </c>
      <c r="P124">
        <v>7602201.0199999996</v>
      </c>
      <c r="Q124" s="426">
        <v>45005</v>
      </c>
    </row>
    <row r="125" spans="1:17" x14ac:dyDescent="0.35">
      <c r="A125" t="s">
        <v>131</v>
      </c>
      <c r="B125" t="s">
        <v>643</v>
      </c>
      <c r="C125">
        <v>92</v>
      </c>
      <c r="D125" t="s">
        <v>634</v>
      </c>
      <c r="E125" t="s">
        <v>495</v>
      </c>
      <c r="F125" t="s">
        <v>576</v>
      </c>
      <c r="G125">
        <v>10</v>
      </c>
      <c r="H125" s="426">
        <v>45048</v>
      </c>
      <c r="I125">
        <v>30000000</v>
      </c>
      <c r="J125" s="426">
        <v>45048</v>
      </c>
      <c r="K125" s="426">
        <v>45778</v>
      </c>
      <c r="L125">
        <v>3</v>
      </c>
      <c r="M125">
        <v>3</v>
      </c>
      <c r="N125">
        <v>30000000</v>
      </c>
      <c r="O125">
        <v>3070499.52</v>
      </c>
      <c r="P125">
        <v>14070777.51</v>
      </c>
      <c r="Q125" s="426">
        <v>45048</v>
      </c>
    </row>
    <row r="126" spans="1:17" x14ac:dyDescent="0.35">
      <c r="A126" t="s">
        <v>132</v>
      </c>
      <c r="B126" t="s">
        <v>644</v>
      </c>
      <c r="C126">
        <v>92</v>
      </c>
      <c r="D126" t="s">
        <v>634</v>
      </c>
      <c r="E126" t="s">
        <v>488</v>
      </c>
      <c r="F126" t="s">
        <v>576</v>
      </c>
      <c r="G126">
        <v>10</v>
      </c>
      <c r="H126" s="426">
        <v>45063</v>
      </c>
      <c r="I126">
        <v>50000000</v>
      </c>
      <c r="J126" s="426">
        <v>45064</v>
      </c>
      <c r="K126" s="426">
        <v>46524</v>
      </c>
      <c r="L126">
        <v>6</v>
      </c>
      <c r="M126">
        <v>6</v>
      </c>
      <c r="N126">
        <v>50000000</v>
      </c>
      <c r="O126">
        <v>6017032.9199999999</v>
      </c>
      <c r="P126">
        <v>40660777.880000003</v>
      </c>
      <c r="Q126" s="426">
        <v>45064</v>
      </c>
    </row>
    <row r="127" spans="1:17" x14ac:dyDescent="0.35">
      <c r="A127" t="s">
        <v>133</v>
      </c>
      <c r="B127" t="s">
        <v>645</v>
      </c>
      <c r="C127">
        <v>92</v>
      </c>
      <c r="D127" t="s">
        <v>634</v>
      </c>
      <c r="E127" t="s">
        <v>495</v>
      </c>
      <c r="F127" t="s">
        <v>576</v>
      </c>
      <c r="G127">
        <v>10</v>
      </c>
      <c r="H127" s="426">
        <v>45063</v>
      </c>
      <c r="I127">
        <v>150000000</v>
      </c>
      <c r="J127" s="426">
        <v>45064</v>
      </c>
      <c r="K127" s="426">
        <v>45794</v>
      </c>
      <c r="L127">
        <v>3</v>
      </c>
      <c r="M127">
        <v>3</v>
      </c>
      <c r="N127">
        <v>84923700</v>
      </c>
      <c r="O127">
        <v>8285387.3099999996</v>
      </c>
      <c r="P127">
        <v>34887586.619999997</v>
      </c>
      <c r="Q127" s="426">
        <v>45064</v>
      </c>
    </row>
    <row r="128" spans="1:17" x14ac:dyDescent="0.35">
      <c r="A128" t="s">
        <v>137</v>
      </c>
      <c r="B128" t="s">
        <v>646</v>
      </c>
      <c r="C128">
        <v>92</v>
      </c>
      <c r="D128" t="s">
        <v>634</v>
      </c>
      <c r="E128" t="s">
        <v>495</v>
      </c>
      <c r="F128" t="s">
        <v>576</v>
      </c>
      <c r="G128">
        <v>10</v>
      </c>
      <c r="H128" s="426">
        <v>45138</v>
      </c>
      <c r="I128">
        <v>50000000</v>
      </c>
      <c r="J128" s="426">
        <v>45127</v>
      </c>
      <c r="K128" s="426">
        <v>45868</v>
      </c>
      <c r="L128">
        <v>6</v>
      </c>
      <c r="M128">
        <v>6</v>
      </c>
      <c r="N128">
        <v>100000000</v>
      </c>
      <c r="O128">
        <v>5386103.9500000002</v>
      </c>
      <c r="P128">
        <v>50940060.280000001</v>
      </c>
      <c r="Q128" s="426">
        <v>45127</v>
      </c>
    </row>
    <row r="129" spans="1:17" x14ac:dyDescent="0.35">
      <c r="A129" t="s">
        <v>138</v>
      </c>
      <c r="B129" t="s">
        <v>647</v>
      </c>
      <c r="C129">
        <v>92</v>
      </c>
      <c r="D129" t="s">
        <v>634</v>
      </c>
      <c r="E129" t="s">
        <v>488</v>
      </c>
      <c r="F129" t="s">
        <v>576</v>
      </c>
      <c r="G129">
        <v>10</v>
      </c>
      <c r="H129" s="426">
        <v>45138</v>
      </c>
      <c r="I129">
        <v>236401400</v>
      </c>
      <c r="J129" s="426">
        <v>45138</v>
      </c>
      <c r="K129" s="426">
        <v>46598</v>
      </c>
      <c r="L129">
        <v>6</v>
      </c>
      <c r="M129">
        <v>6</v>
      </c>
      <c r="N129">
        <v>236401400</v>
      </c>
      <c r="O129">
        <v>23864995.690000001</v>
      </c>
      <c r="P129">
        <v>198864434.30000001</v>
      </c>
      <c r="Q129" s="426">
        <v>45138</v>
      </c>
    </row>
    <row r="130" spans="1:17" x14ac:dyDescent="0.35">
      <c r="A130" t="s">
        <v>140</v>
      </c>
      <c r="B130" t="s">
        <v>648</v>
      </c>
      <c r="C130">
        <v>92</v>
      </c>
      <c r="D130" t="s">
        <v>634</v>
      </c>
      <c r="E130" t="s">
        <v>491</v>
      </c>
      <c r="F130" t="s">
        <v>576</v>
      </c>
      <c r="G130">
        <v>10</v>
      </c>
      <c r="H130" s="426">
        <v>45128</v>
      </c>
      <c r="I130">
        <v>21417000</v>
      </c>
      <c r="J130" s="426">
        <v>45138</v>
      </c>
      <c r="K130" s="426">
        <v>45868</v>
      </c>
      <c r="L130">
        <v>3</v>
      </c>
      <c r="M130">
        <v>3</v>
      </c>
      <c r="N130">
        <v>21417000</v>
      </c>
      <c r="O130">
        <v>1892663.9</v>
      </c>
      <c r="P130">
        <v>12180308.75</v>
      </c>
      <c r="Q130" s="426">
        <v>45138</v>
      </c>
    </row>
    <row r="131" spans="1:17" x14ac:dyDescent="0.35">
      <c r="A131" t="s">
        <v>142</v>
      </c>
      <c r="B131" t="s">
        <v>504</v>
      </c>
      <c r="C131">
        <v>92</v>
      </c>
      <c r="D131" t="s">
        <v>634</v>
      </c>
      <c r="E131" t="s">
        <v>488</v>
      </c>
      <c r="F131" t="s">
        <v>576</v>
      </c>
      <c r="G131">
        <v>10</v>
      </c>
      <c r="H131" s="426">
        <v>45108</v>
      </c>
      <c r="I131">
        <v>250000000</v>
      </c>
      <c r="J131" s="426">
        <v>45145</v>
      </c>
      <c r="K131" s="426">
        <v>46605</v>
      </c>
      <c r="L131">
        <v>0</v>
      </c>
      <c r="M131">
        <v>0</v>
      </c>
      <c r="N131">
        <v>250000000</v>
      </c>
      <c r="O131">
        <v>22736464.789999999</v>
      </c>
      <c r="P131">
        <v>201762903.68000001</v>
      </c>
      <c r="Q131" s="426">
        <v>45145</v>
      </c>
    </row>
    <row r="132" spans="1:17" x14ac:dyDescent="0.35">
      <c r="A132" t="s">
        <v>146</v>
      </c>
      <c r="B132" t="s">
        <v>649</v>
      </c>
      <c r="C132">
        <v>92</v>
      </c>
      <c r="D132" t="s">
        <v>634</v>
      </c>
      <c r="E132" t="s">
        <v>491</v>
      </c>
      <c r="F132" t="s">
        <v>576</v>
      </c>
      <c r="G132">
        <v>10</v>
      </c>
      <c r="H132" s="426">
        <v>45219</v>
      </c>
      <c r="I132">
        <v>22000000</v>
      </c>
      <c r="J132" s="426">
        <v>45222</v>
      </c>
      <c r="K132" s="426">
        <v>46317</v>
      </c>
      <c r="L132">
        <v>6</v>
      </c>
      <c r="M132">
        <v>6</v>
      </c>
      <c r="N132">
        <v>22000000</v>
      </c>
      <c r="O132">
        <v>1735097.9</v>
      </c>
      <c r="P132">
        <v>24338392.329999998</v>
      </c>
      <c r="Q132" s="426">
        <v>45222</v>
      </c>
    </row>
    <row r="133" spans="1:17" x14ac:dyDescent="0.35">
      <c r="A133" t="s">
        <v>147</v>
      </c>
      <c r="B133" t="s">
        <v>650</v>
      </c>
      <c r="C133">
        <v>92</v>
      </c>
      <c r="D133" t="s">
        <v>634</v>
      </c>
      <c r="E133" t="s">
        <v>488</v>
      </c>
      <c r="F133" t="s">
        <v>576</v>
      </c>
      <c r="G133">
        <v>10</v>
      </c>
      <c r="H133" s="426">
        <v>45216</v>
      </c>
      <c r="I133">
        <v>150000000</v>
      </c>
      <c r="J133" s="426">
        <v>45217</v>
      </c>
      <c r="K133" s="426">
        <v>46677</v>
      </c>
      <c r="L133">
        <v>6</v>
      </c>
      <c r="M133">
        <v>0</v>
      </c>
      <c r="N133">
        <v>150000000</v>
      </c>
      <c r="O133">
        <v>11699047.310000001</v>
      </c>
      <c r="P133">
        <v>136451765.05000001</v>
      </c>
      <c r="Q133" s="426">
        <v>45217</v>
      </c>
    </row>
    <row r="134" spans="1:17" x14ac:dyDescent="0.35">
      <c r="A134" t="s">
        <v>148</v>
      </c>
      <c r="B134" t="s">
        <v>651</v>
      </c>
      <c r="C134">
        <v>92</v>
      </c>
      <c r="D134" t="s">
        <v>634</v>
      </c>
      <c r="E134" t="s">
        <v>488</v>
      </c>
      <c r="F134" t="s">
        <v>576</v>
      </c>
      <c r="G134">
        <v>10</v>
      </c>
      <c r="H134" s="426">
        <v>45204</v>
      </c>
      <c r="I134">
        <v>120000000</v>
      </c>
      <c r="J134" s="426">
        <v>45217</v>
      </c>
      <c r="K134" s="426">
        <v>46677</v>
      </c>
      <c r="L134">
        <v>6</v>
      </c>
      <c r="M134">
        <v>0</v>
      </c>
      <c r="N134">
        <v>120000000</v>
      </c>
      <c r="O134">
        <v>9359237.8499999996</v>
      </c>
      <c r="P134">
        <v>106376318.79000001</v>
      </c>
      <c r="Q134" s="426">
        <v>45217</v>
      </c>
    </row>
    <row r="135" spans="1:17" x14ac:dyDescent="0.35">
      <c r="A135" t="s">
        <v>149</v>
      </c>
      <c r="B135" t="s">
        <v>652</v>
      </c>
      <c r="C135">
        <v>92</v>
      </c>
      <c r="D135" t="s">
        <v>634</v>
      </c>
      <c r="E135" t="s">
        <v>488</v>
      </c>
      <c r="F135" t="s">
        <v>576</v>
      </c>
      <c r="G135">
        <v>10</v>
      </c>
      <c r="H135" s="426">
        <v>45259</v>
      </c>
      <c r="I135">
        <v>60000000</v>
      </c>
      <c r="J135" s="426">
        <v>45252</v>
      </c>
      <c r="K135" s="426">
        <v>46347</v>
      </c>
      <c r="L135">
        <v>3</v>
      </c>
      <c r="M135">
        <v>0</v>
      </c>
      <c r="N135">
        <v>60000000</v>
      </c>
      <c r="O135">
        <v>3999964.57</v>
      </c>
      <c r="P135">
        <v>45402003.850000001</v>
      </c>
      <c r="Q135" s="426">
        <v>45252</v>
      </c>
    </row>
    <row r="136" spans="1:17" x14ac:dyDescent="0.35">
      <c r="A136" t="s">
        <v>151</v>
      </c>
      <c r="B136" t="s">
        <v>653</v>
      </c>
      <c r="C136">
        <v>92</v>
      </c>
      <c r="D136" t="s">
        <v>634</v>
      </c>
      <c r="E136" t="s">
        <v>488</v>
      </c>
      <c r="F136" t="s">
        <v>576</v>
      </c>
      <c r="G136">
        <v>10</v>
      </c>
      <c r="H136" s="426">
        <v>45288</v>
      </c>
      <c r="I136">
        <v>120000000</v>
      </c>
      <c r="J136" s="426">
        <v>45288</v>
      </c>
      <c r="K136" s="426">
        <v>46748</v>
      </c>
      <c r="L136">
        <v>6</v>
      </c>
      <c r="M136">
        <v>0</v>
      </c>
      <c r="N136">
        <v>120000000</v>
      </c>
      <c r="O136">
        <v>7096774.1900000004</v>
      </c>
      <c r="P136">
        <v>120829331.66</v>
      </c>
      <c r="Q136" s="426">
        <v>45288</v>
      </c>
    </row>
    <row r="137" spans="1:17" x14ac:dyDescent="0.35">
      <c r="A137" t="s">
        <v>155</v>
      </c>
      <c r="B137" t="s">
        <v>654</v>
      </c>
      <c r="C137">
        <v>92</v>
      </c>
      <c r="D137" t="s">
        <v>634</v>
      </c>
      <c r="E137" t="s">
        <v>488</v>
      </c>
      <c r="F137" t="s">
        <v>576</v>
      </c>
      <c r="G137">
        <v>10</v>
      </c>
      <c r="H137" s="426">
        <v>45323</v>
      </c>
      <c r="I137">
        <v>200000000</v>
      </c>
      <c r="J137" s="426">
        <v>45323</v>
      </c>
      <c r="K137" s="426">
        <v>46053</v>
      </c>
      <c r="L137">
        <v>6</v>
      </c>
      <c r="M137">
        <v>0</v>
      </c>
      <c r="N137">
        <v>200000000</v>
      </c>
      <c r="O137">
        <v>10000000</v>
      </c>
      <c r="P137">
        <v>199386933.16</v>
      </c>
      <c r="Q137" s="426">
        <v>45323</v>
      </c>
    </row>
    <row r="138" spans="1:17" x14ac:dyDescent="0.35">
      <c r="A138" t="s">
        <v>156</v>
      </c>
      <c r="B138" t="s">
        <v>655</v>
      </c>
      <c r="C138">
        <v>92</v>
      </c>
      <c r="D138" t="s">
        <v>634</v>
      </c>
      <c r="E138" t="s">
        <v>488</v>
      </c>
      <c r="F138" t="s">
        <v>576</v>
      </c>
      <c r="G138">
        <v>10</v>
      </c>
      <c r="H138" s="426">
        <v>45323</v>
      </c>
      <c r="I138">
        <v>17000000</v>
      </c>
      <c r="J138" s="426">
        <v>45323</v>
      </c>
      <c r="K138" s="426">
        <v>46053</v>
      </c>
      <c r="L138">
        <v>3</v>
      </c>
      <c r="M138">
        <v>3</v>
      </c>
      <c r="N138">
        <v>17000000</v>
      </c>
      <c r="O138">
        <v>845140.47999999998</v>
      </c>
      <c r="P138">
        <v>12758872.960000001</v>
      </c>
      <c r="Q138" s="426">
        <v>45323</v>
      </c>
    </row>
    <row r="139" spans="1:17" x14ac:dyDescent="0.35">
      <c r="A139" t="s">
        <v>157</v>
      </c>
      <c r="B139" t="s">
        <v>656</v>
      </c>
      <c r="C139">
        <v>92</v>
      </c>
      <c r="D139" t="s">
        <v>634</v>
      </c>
      <c r="E139" t="s">
        <v>488</v>
      </c>
      <c r="F139" t="s">
        <v>576</v>
      </c>
      <c r="G139">
        <v>10</v>
      </c>
      <c r="H139" s="426">
        <v>45330</v>
      </c>
      <c r="I139">
        <v>150000000</v>
      </c>
      <c r="J139" s="426">
        <v>45342</v>
      </c>
      <c r="K139" s="426">
        <v>46802</v>
      </c>
      <c r="L139">
        <v>6</v>
      </c>
      <c r="M139">
        <v>0</v>
      </c>
      <c r="N139">
        <v>150000000</v>
      </c>
      <c r="O139">
        <v>6733316.6600000001</v>
      </c>
      <c r="P139">
        <v>147295308.09</v>
      </c>
      <c r="Q139" s="426">
        <v>45342</v>
      </c>
    </row>
    <row r="140" spans="1:17" x14ac:dyDescent="0.35">
      <c r="A140" t="s">
        <v>160</v>
      </c>
      <c r="B140" t="s">
        <v>657</v>
      </c>
      <c r="C140">
        <v>92</v>
      </c>
      <c r="D140" t="s">
        <v>634</v>
      </c>
      <c r="E140" t="s">
        <v>491</v>
      </c>
      <c r="F140" t="s">
        <v>576</v>
      </c>
      <c r="G140">
        <v>10</v>
      </c>
      <c r="H140" s="426">
        <v>45376</v>
      </c>
      <c r="I140">
        <v>30000000</v>
      </c>
      <c r="J140" s="426">
        <v>45376</v>
      </c>
      <c r="K140" s="426">
        <v>46105</v>
      </c>
      <c r="L140">
        <v>3</v>
      </c>
      <c r="M140">
        <v>3</v>
      </c>
      <c r="N140">
        <v>30000000</v>
      </c>
      <c r="O140">
        <v>1062589.8600000001</v>
      </c>
      <c r="P140">
        <v>26961470.879999999</v>
      </c>
      <c r="Q140" s="426">
        <v>45376</v>
      </c>
    </row>
    <row r="141" spans="1:17" x14ac:dyDescent="0.35">
      <c r="A141" t="s">
        <v>161</v>
      </c>
      <c r="B141" t="s">
        <v>658</v>
      </c>
      <c r="C141">
        <v>92</v>
      </c>
      <c r="D141" t="s">
        <v>634</v>
      </c>
      <c r="E141" t="s">
        <v>488</v>
      </c>
      <c r="F141" t="s">
        <v>576</v>
      </c>
      <c r="G141">
        <v>10</v>
      </c>
      <c r="H141" s="426">
        <v>45377</v>
      </c>
      <c r="I141">
        <v>120000000</v>
      </c>
      <c r="J141" s="426">
        <v>45377</v>
      </c>
      <c r="K141" s="426">
        <v>46471</v>
      </c>
      <c r="L141">
        <v>6</v>
      </c>
      <c r="M141">
        <v>0</v>
      </c>
      <c r="N141">
        <v>120000000</v>
      </c>
      <c r="O141">
        <v>4150318.9</v>
      </c>
      <c r="P141">
        <v>123213189.98</v>
      </c>
      <c r="Q141" s="426">
        <v>45377</v>
      </c>
    </row>
    <row r="142" spans="1:17" x14ac:dyDescent="0.35">
      <c r="A142" t="s">
        <v>164</v>
      </c>
      <c r="B142" t="s">
        <v>659</v>
      </c>
      <c r="C142">
        <v>92</v>
      </c>
      <c r="D142" t="s">
        <v>634</v>
      </c>
      <c r="E142" t="s">
        <v>488</v>
      </c>
      <c r="F142" t="s">
        <v>576</v>
      </c>
      <c r="G142">
        <v>10</v>
      </c>
      <c r="H142" s="426">
        <v>45412</v>
      </c>
      <c r="I142">
        <v>65000000</v>
      </c>
      <c r="J142" s="426">
        <v>45411</v>
      </c>
      <c r="K142" s="426">
        <v>47237</v>
      </c>
      <c r="L142">
        <v>0</v>
      </c>
      <c r="M142">
        <v>0</v>
      </c>
      <c r="N142">
        <v>65000000</v>
      </c>
      <c r="O142">
        <v>1643055.56</v>
      </c>
      <c r="P142">
        <v>65552342.399999999</v>
      </c>
      <c r="Q142" s="426">
        <v>45411</v>
      </c>
    </row>
    <row r="143" spans="1:17" x14ac:dyDescent="0.35">
      <c r="A143" t="s">
        <v>166</v>
      </c>
      <c r="B143" t="s">
        <v>660</v>
      </c>
      <c r="C143">
        <v>92</v>
      </c>
      <c r="D143" t="s">
        <v>634</v>
      </c>
      <c r="E143" t="s">
        <v>488</v>
      </c>
      <c r="F143" t="s">
        <v>576</v>
      </c>
      <c r="G143">
        <v>10</v>
      </c>
      <c r="H143" s="426">
        <v>45443</v>
      </c>
      <c r="I143">
        <v>400000000</v>
      </c>
      <c r="J143" s="426">
        <v>45443</v>
      </c>
      <c r="K143" s="426">
        <v>46904</v>
      </c>
      <c r="L143">
        <v>6</v>
      </c>
      <c r="M143">
        <v>6</v>
      </c>
      <c r="N143">
        <v>400000000</v>
      </c>
      <c r="O143">
        <v>6888888.8899999997</v>
      </c>
      <c r="P143">
        <v>403516713.47000003</v>
      </c>
      <c r="Q143" s="426">
        <v>45443</v>
      </c>
    </row>
    <row r="144" spans="1:17" x14ac:dyDescent="0.35">
      <c r="A144" t="s">
        <v>167</v>
      </c>
      <c r="B144" t="s">
        <v>661</v>
      </c>
      <c r="C144">
        <v>92</v>
      </c>
      <c r="D144" t="s">
        <v>634</v>
      </c>
      <c r="E144" t="s">
        <v>491</v>
      </c>
      <c r="F144" t="s">
        <v>576</v>
      </c>
      <c r="G144">
        <v>10</v>
      </c>
      <c r="H144" s="426">
        <v>45448</v>
      </c>
      <c r="I144">
        <v>108431000</v>
      </c>
      <c r="J144" s="426">
        <v>45448</v>
      </c>
      <c r="K144" s="426">
        <v>46909</v>
      </c>
      <c r="L144">
        <v>0</v>
      </c>
      <c r="M144">
        <v>0</v>
      </c>
      <c r="N144">
        <v>108431000</v>
      </c>
      <c r="O144">
        <v>1693230.38</v>
      </c>
      <c r="P144">
        <v>112923348.17</v>
      </c>
      <c r="Q144" s="426">
        <v>45448</v>
      </c>
    </row>
    <row r="145" spans="1:17" x14ac:dyDescent="0.35">
      <c r="A145" t="s">
        <v>201</v>
      </c>
      <c r="B145" t="s">
        <v>519</v>
      </c>
      <c r="C145">
        <v>92</v>
      </c>
      <c r="D145" t="s">
        <v>634</v>
      </c>
      <c r="E145" t="s">
        <v>501</v>
      </c>
      <c r="F145" t="s">
        <v>576</v>
      </c>
      <c r="G145">
        <v>10</v>
      </c>
      <c r="H145" s="426">
        <v>45448</v>
      </c>
      <c r="I145">
        <v>50000000</v>
      </c>
      <c r="J145" s="426">
        <v>45448</v>
      </c>
      <c r="K145" s="426">
        <v>46178</v>
      </c>
      <c r="L145">
        <v>0</v>
      </c>
      <c r="M145">
        <v>0</v>
      </c>
      <c r="Q145" s="426">
        <v>45448</v>
      </c>
    </row>
    <row r="146" spans="1:17" x14ac:dyDescent="0.35">
      <c r="A146" t="s">
        <v>202</v>
      </c>
      <c r="B146" t="s">
        <v>523</v>
      </c>
      <c r="C146">
        <v>92</v>
      </c>
      <c r="D146" t="s">
        <v>634</v>
      </c>
      <c r="E146" t="s">
        <v>501</v>
      </c>
      <c r="F146" t="s">
        <v>576</v>
      </c>
      <c r="G146">
        <v>10</v>
      </c>
      <c r="H146" s="426">
        <v>45425</v>
      </c>
      <c r="I146">
        <v>627746500</v>
      </c>
      <c r="J146" s="426">
        <v>45425</v>
      </c>
      <c r="K146" s="426">
        <v>47615</v>
      </c>
      <c r="L146">
        <v>0</v>
      </c>
      <c r="M146">
        <v>0</v>
      </c>
    </row>
    <row r="147" spans="1:17" x14ac:dyDescent="0.35">
      <c r="A147" t="s">
        <v>662</v>
      </c>
      <c r="B147" t="s">
        <v>663</v>
      </c>
      <c r="C147">
        <v>92</v>
      </c>
      <c r="D147" t="s">
        <v>634</v>
      </c>
      <c r="E147" t="s">
        <v>501</v>
      </c>
      <c r="F147" t="s">
        <v>576</v>
      </c>
      <c r="G147">
        <v>10</v>
      </c>
      <c r="H147" s="426">
        <v>45505</v>
      </c>
      <c r="I147">
        <v>780000</v>
      </c>
      <c r="J147" s="426">
        <v>45520</v>
      </c>
      <c r="K147" s="426">
        <v>47711</v>
      </c>
      <c r="L147">
        <v>0</v>
      </c>
      <c r="M147">
        <v>0</v>
      </c>
    </row>
    <row r="148" spans="1:17" x14ac:dyDescent="0.35">
      <c r="A148" t="s">
        <v>664</v>
      </c>
      <c r="B148" t="s">
        <v>665</v>
      </c>
      <c r="C148">
        <v>92</v>
      </c>
      <c r="D148" t="s">
        <v>634</v>
      </c>
      <c r="E148" t="s">
        <v>501</v>
      </c>
      <c r="F148" t="s">
        <v>576</v>
      </c>
      <c r="G148">
        <v>10</v>
      </c>
      <c r="H148" s="426">
        <v>45566</v>
      </c>
      <c r="I148">
        <v>95000000</v>
      </c>
      <c r="J148" s="426">
        <v>45589</v>
      </c>
      <c r="K148" s="426">
        <v>46258</v>
      </c>
      <c r="L148">
        <v>0</v>
      </c>
      <c r="M148">
        <v>0</v>
      </c>
    </row>
    <row r="149" spans="1:17" x14ac:dyDescent="0.35">
      <c r="A149" t="s">
        <v>169</v>
      </c>
      <c r="B149" t="s">
        <v>666</v>
      </c>
      <c r="C149">
        <v>92</v>
      </c>
      <c r="D149" t="s">
        <v>634</v>
      </c>
      <c r="E149" t="s">
        <v>488</v>
      </c>
      <c r="F149" t="s">
        <v>576</v>
      </c>
      <c r="G149">
        <v>10</v>
      </c>
      <c r="H149" s="426">
        <v>45593</v>
      </c>
      <c r="I149">
        <v>425000000</v>
      </c>
      <c r="J149" s="426">
        <v>45594</v>
      </c>
      <c r="K149" s="426">
        <v>47420</v>
      </c>
      <c r="L149">
        <v>12</v>
      </c>
      <c r="M149">
        <v>0</v>
      </c>
      <c r="P149">
        <v>200235616.44</v>
      </c>
      <c r="Q149" s="426">
        <v>45594</v>
      </c>
    </row>
    <row r="150" spans="1:17" x14ac:dyDescent="0.35">
      <c r="A150" t="s">
        <v>667</v>
      </c>
      <c r="B150" t="s">
        <v>668</v>
      </c>
      <c r="C150">
        <v>92</v>
      </c>
      <c r="D150" t="s">
        <v>634</v>
      </c>
      <c r="E150" t="s">
        <v>488</v>
      </c>
      <c r="F150" t="s">
        <v>576</v>
      </c>
      <c r="G150">
        <v>10</v>
      </c>
      <c r="H150" s="426">
        <v>45596</v>
      </c>
      <c r="I150">
        <v>100000000</v>
      </c>
      <c r="J150" s="426">
        <v>45597</v>
      </c>
      <c r="K150" s="426">
        <v>47066</v>
      </c>
      <c r="L150">
        <v>0</v>
      </c>
      <c r="M150">
        <v>0</v>
      </c>
      <c r="Q150" s="426">
        <v>45610</v>
      </c>
    </row>
    <row r="151" spans="1:17" x14ac:dyDescent="0.35">
      <c r="A151" t="s">
        <v>669</v>
      </c>
      <c r="B151" t="s">
        <v>666</v>
      </c>
      <c r="C151">
        <v>92</v>
      </c>
      <c r="D151" t="s">
        <v>634</v>
      </c>
      <c r="E151" t="s">
        <v>501</v>
      </c>
      <c r="F151" t="s">
        <v>576</v>
      </c>
      <c r="G151">
        <v>10</v>
      </c>
      <c r="H151" s="426">
        <v>45601</v>
      </c>
      <c r="I151">
        <v>225000000</v>
      </c>
      <c r="J151" s="426">
        <v>45601</v>
      </c>
      <c r="K151" s="426">
        <v>47431</v>
      </c>
      <c r="L151">
        <v>0</v>
      </c>
      <c r="M151">
        <v>0</v>
      </c>
    </row>
    <row r="152" spans="1:17" x14ac:dyDescent="0.35">
      <c r="A152" t="s">
        <v>670</v>
      </c>
      <c r="B152" t="s">
        <v>671</v>
      </c>
      <c r="C152">
        <v>92</v>
      </c>
      <c r="D152" t="s">
        <v>634</v>
      </c>
      <c r="E152" t="s">
        <v>488</v>
      </c>
      <c r="F152" t="s">
        <v>576</v>
      </c>
      <c r="G152">
        <v>10</v>
      </c>
      <c r="H152" s="426">
        <v>45657</v>
      </c>
      <c r="I152">
        <v>75000000</v>
      </c>
      <c r="J152" s="426">
        <v>45657</v>
      </c>
      <c r="K152" s="426">
        <v>46752</v>
      </c>
      <c r="L152">
        <v>0</v>
      </c>
      <c r="M152">
        <v>0</v>
      </c>
      <c r="Q152" s="426">
        <v>45657</v>
      </c>
    </row>
    <row r="153" spans="1:17" x14ac:dyDescent="0.35">
      <c r="A153" t="s">
        <v>672</v>
      </c>
      <c r="B153" t="s">
        <v>530</v>
      </c>
      <c r="C153">
        <v>92</v>
      </c>
      <c r="D153" t="s">
        <v>634</v>
      </c>
      <c r="E153" t="s">
        <v>488</v>
      </c>
      <c r="F153" t="s">
        <v>576</v>
      </c>
      <c r="G153">
        <v>10</v>
      </c>
      <c r="H153" s="426">
        <v>45680</v>
      </c>
      <c r="I153">
        <v>50000000</v>
      </c>
      <c r="J153" s="426">
        <v>45680</v>
      </c>
      <c r="K153" s="426">
        <v>46775</v>
      </c>
      <c r="L153">
        <v>0</v>
      </c>
      <c r="M153">
        <v>0</v>
      </c>
      <c r="Q153" s="426">
        <v>45688</v>
      </c>
    </row>
    <row r="154" spans="1:17" x14ac:dyDescent="0.35">
      <c r="A154" t="s">
        <v>673</v>
      </c>
      <c r="B154" t="s">
        <v>674</v>
      </c>
      <c r="C154">
        <v>92</v>
      </c>
      <c r="D154" t="s">
        <v>634</v>
      </c>
      <c r="E154" t="s">
        <v>488</v>
      </c>
      <c r="F154" t="s">
        <v>576</v>
      </c>
      <c r="G154">
        <v>10</v>
      </c>
      <c r="H154" s="426">
        <v>45786</v>
      </c>
      <c r="I154">
        <v>250000000</v>
      </c>
      <c r="J154" s="426">
        <v>45786</v>
      </c>
      <c r="K154" s="426">
        <v>47612</v>
      </c>
      <c r="L154">
        <v>0</v>
      </c>
      <c r="M154">
        <v>0</v>
      </c>
      <c r="Q154" s="426">
        <v>45789</v>
      </c>
    </row>
    <row r="155" spans="1:17" x14ac:dyDescent="0.35">
      <c r="A155" t="s">
        <v>675</v>
      </c>
      <c r="B155" t="s">
        <v>552</v>
      </c>
      <c r="C155">
        <v>92</v>
      </c>
      <c r="D155" t="s">
        <v>634</v>
      </c>
      <c r="E155" t="s">
        <v>488</v>
      </c>
      <c r="F155" t="s">
        <v>576</v>
      </c>
      <c r="G155">
        <v>10</v>
      </c>
      <c r="H155" s="426">
        <v>45786</v>
      </c>
      <c r="I155">
        <v>224439600</v>
      </c>
      <c r="J155" s="426">
        <v>45786</v>
      </c>
      <c r="K155" s="426">
        <v>47612</v>
      </c>
      <c r="L155">
        <v>0</v>
      </c>
      <c r="M155">
        <v>0</v>
      </c>
      <c r="Q155" s="426">
        <v>45793</v>
      </c>
    </row>
    <row r="156" spans="1:17" x14ac:dyDescent="0.35">
      <c r="A156" t="s">
        <v>676</v>
      </c>
      <c r="B156" t="s">
        <v>677</v>
      </c>
      <c r="C156">
        <v>92</v>
      </c>
      <c r="D156" t="s">
        <v>634</v>
      </c>
      <c r="E156" t="s">
        <v>488</v>
      </c>
      <c r="F156" t="s">
        <v>576</v>
      </c>
      <c r="G156">
        <v>0</v>
      </c>
      <c r="H156" s="426">
        <v>45803</v>
      </c>
      <c r="I156">
        <v>105060000</v>
      </c>
      <c r="J156" s="426">
        <v>45800</v>
      </c>
      <c r="K156" s="426">
        <v>46896</v>
      </c>
      <c r="L156">
        <v>0</v>
      </c>
      <c r="M156">
        <v>0</v>
      </c>
      <c r="Q156" s="426">
        <v>45803</v>
      </c>
    </row>
    <row r="157" spans="1:17" x14ac:dyDescent="0.35">
      <c r="A157" t="s">
        <v>678</v>
      </c>
      <c r="B157" t="s">
        <v>679</v>
      </c>
      <c r="C157">
        <v>92</v>
      </c>
      <c r="D157" t="s">
        <v>634</v>
      </c>
      <c r="E157" t="s">
        <v>488</v>
      </c>
      <c r="F157" t="s">
        <v>576</v>
      </c>
      <c r="G157">
        <v>10</v>
      </c>
      <c r="H157" s="426">
        <v>45855</v>
      </c>
      <c r="I157">
        <v>50000000</v>
      </c>
      <c r="J157" s="426">
        <v>45855</v>
      </c>
      <c r="K157" s="426">
        <v>46585</v>
      </c>
      <c r="L157">
        <v>0</v>
      </c>
      <c r="M157">
        <v>0</v>
      </c>
      <c r="Q157" s="426">
        <v>45861</v>
      </c>
    </row>
    <row r="158" spans="1:17" x14ac:dyDescent="0.35">
      <c r="A158" t="s">
        <v>680</v>
      </c>
      <c r="B158" t="s">
        <v>681</v>
      </c>
      <c r="C158">
        <v>92</v>
      </c>
      <c r="D158" t="s">
        <v>634</v>
      </c>
      <c r="E158" t="s">
        <v>488</v>
      </c>
      <c r="F158" t="s">
        <v>576</v>
      </c>
      <c r="G158">
        <v>10</v>
      </c>
      <c r="H158" s="426">
        <v>45991</v>
      </c>
      <c r="I158">
        <v>150000000</v>
      </c>
      <c r="J158" s="426">
        <v>45991</v>
      </c>
      <c r="K158" s="426">
        <v>47817</v>
      </c>
      <c r="L158">
        <v>0</v>
      </c>
      <c r="M158">
        <v>0</v>
      </c>
      <c r="Q158" s="426">
        <v>45999</v>
      </c>
    </row>
    <row r="159" spans="1:17" x14ac:dyDescent="0.35">
      <c r="A159" t="s">
        <v>682</v>
      </c>
      <c r="B159" t="s">
        <v>683</v>
      </c>
      <c r="C159">
        <v>92</v>
      </c>
      <c r="D159" t="s">
        <v>634</v>
      </c>
      <c r="E159" t="s">
        <v>488</v>
      </c>
      <c r="F159" t="s">
        <v>576</v>
      </c>
      <c r="G159">
        <v>10</v>
      </c>
      <c r="H159" s="426">
        <v>45991</v>
      </c>
      <c r="I159">
        <v>250000000</v>
      </c>
      <c r="J159" s="426">
        <v>45991</v>
      </c>
      <c r="K159" s="426">
        <v>47087</v>
      </c>
      <c r="L159">
        <v>0</v>
      </c>
      <c r="M159">
        <v>0</v>
      </c>
      <c r="Q159" s="426">
        <v>46009</v>
      </c>
    </row>
    <row r="160" spans="1:17" x14ac:dyDescent="0.35">
      <c r="A160" t="s">
        <v>684</v>
      </c>
      <c r="B160" t="s">
        <v>685</v>
      </c>
      <c r="C160">
        <v>92</v>
      </c>
      <c r="D160" t="s">
        <v>634</v>
      </c>
      <c r="E160" t="s">
        <v>488</v>
      </c>
      <c r="F160" t="s">
        <v>576</v>
      </c>
      <c r="G160">
        <v>10</v>
      </c>
      <c r="H160" s="426">
        <v>46003</v>
      </c>
      <c r="I160">
        <v>150000000</v>
      </c>
      <c r="J160" s="426">
        <v>46003</v>
      </c>
      <c r="K160" s="426">
        <v>46733</v>
      </c>
      <c r="L160">
        <v>0</v>
      </c>
      <c r="M160">
        <v>0</v>
      </c>
      <c r="Q160" s="426">
        <v>46009</v>
      </c>
    </row>
    <row r="161" spans="1:17" x14ac:dyDescent="0.35">
      <c r="A161" t="s">
        <v>686</v>
      </c>
      <c r="B161" t="s">
        <v>536</v>
      </c>
      <c r="C161">
        <v>92</v>
      </c>
      <c r="D161" t="s">
        <v>634</v>
      </c>
      <c r="E161" t="s">
        <v>488</v>
      </c>
      <c r="F161" t="s">
        <v>576</v>
      </c>
      <c r="G161">
        <v>10</v>
      </c>
      <c r="H161" s="426">
        <v>46007</v>
      </c>
      <c r="I161">
        <v>400000000</v>
      </c>
      <c r="J161" s="426">
        <v>46007</v>
      </c>
      <c r="K161" s="426">
        <v>46737</v>
      </c>
      <c r="L161">
        <v>0</v>
      </c>
      <c r="M161">
        <v>0</v>
      </c>
      <c r="Q161" s="426">
        <v>46009</v>
      </c>
    </row>
    <row r="162" spans="1:17" x14ac:dyDescent="0.35">
      <c r="A162" t="s">
        <v>687</v>
      </c>
      <c r="B162" t="s">
        <v>688</v>
      </c>
      <c r="C162">
        <v>92</v>
      </c>
      <c r="D162" t="s">
        <v>634</v>
      </c>
      <c r="E162" t="s">
        <v>488</v>
      </c>
      <c r="F162" t="s">
        <v>576</v>
      </c>
      <c r="G162">
        <v>10</v>
      </c>
      <c r="H162" s="426">
        <v>46008</v>
      </c>
      <c r="I162">
        <v>210370500</v>
      </c>
      <c r="J162" s="426">
        <v>46008</v>
      </c>
      <c r="K162" s="426">
        <v>47104</v>
      </c>
      <c r="L162">
        <v>0</v>
      </c>
      <c r="M162">
        <v>0</v>
      </c>
      <c r="Q162" s="426">
        <v>46010</v>
      </c>
    </row>
    <row r="163" spans="1:17" x14ac:dyDescent="0.35">
      <c r="A163" t="s">
        <v>689</v>
      </c>
      <c r="B163" t="s">
        <v>526</v>
      </c>
      <c r="C163">
        <v>92</v>
      </c>
      <c r="D163" t="s">
        <v>634</v>
      </c>
      <c r="E163" t="s">
        <v>488</v>
      </c>
      <c r="F163" t="s">
        <v>576</v>
      </c>
      <c r="G163">
        <v>10</v>
      </c>
      <c r="H163" s="426">
        <v>46014</v>
      </c>
      <c r="I163">
        <v>50000000</v>
      </c>
      <c r="J163" s="426">
        <v>46014</v>
      </c>
      <c r="K163" s="426">
        <v>47110</v>
      </c>
      <c r="L163">
        <v>0</v>
      </c>
      <c r="M163">
        <v>0</v>
      </c>
      <c r="Q163" s="426">
        <v>46020</v>
      </c>
    </row>
    <row r="164" spans="1:17" x14ac:dyDescent="0.35">
      <c r="A164" t="s">
        <v>690</v>
      </c>
      <c r="B164" t="s">
        <v>691</v>
      </c>
      <c r="C164">
        <v>92</v>
      </c>
      <c r="D164" t="s">
        <v>634</v>
      </c>
      <c r="E164" t="s">
        <v>488</v>
      </c>
      <c r="F164" t="s">
        <v>576</v>
      </c>
      <c r="G164">
        <v>10</v>
      </c>
      <c r="H164" s="426">
        <v>46022</v>
      </c>
      <c r="I164">
        <v>50000000</v>
      </c>
      <c r="J164" s="426">
        <v>46022</v>
      </c>
      <c r="K164" s="426">
        <v>47118</v>
      </c>
      <c r="L164">
        <v>3</v>
      </c>
      <c r="M164">
        <v>3</v>
      </c>
      <c r="Q164" s="426">
        <v>46034</v>
      </c>
    </row>
    <row r="165" spans="1:17" x14ac:dyDescent="0.35">
      <c r="A165" t="s">
        <v>692</v>
      </c>
      <c r="B165" t="s">
        <v>674</v>
      </c>
      <c r="C165">
        <v>92</v>
      </c>
      <c r="D165" t="s">
        <v>634</v>
      </c>
      <c r="E165" t="s">
        <v>488</v>
      </c>
      <c r="F165" t="s">
        <v>576</v>
      </c>
      <c r="G165">
        <v>10</v>
      </c>
      <c r="H165" s="426">
        <v>46111</v>
      </c>
      <c r="I165">
        <v>570808129.08000004</v>
      </c>
      <c r="J165" s="426">
        <v>46111</v>
      </c>
      <c r="K165" s="426">
        <v>47937</v>
      </c>
      <c r="L165">
        <v>0</v>
      </c>
      <c r="M165">
        <v>0</v>
      </c>
      <c r="Q165" s="426">
        <v>46112</v>
      </c>
    </row>
    <row r="166" spans="1:17" x14ac:dyDescent="0.35">
      <c r="A166" t="s">
        <v>171</v>
      </c>
      <c r="B166" t="s">
        <v>693</v>
      </c>
      <c r="C166">
        <v>94</v>
      </c>
      <c r="D166" t="s">
        <v>694</v>
      </c>
      <c r="E166" t="s">
        <v>488</v>
      </c>
      <c r="F166" t="s">
        <v>576</v>
      </c>
      <c r="G166">
        <v>19</v>
      </c>
      <c r="H166" s="426">
        <v>45376</v>
      </c>
      <c r="I166">
        <v>2500000000</v>
      </c>
      <c r="J166" s="426">
        <v>45376</v>
      </c>
      <c r="K166" s="426">
        <v>49027</v>
      </c>
      <c r="L166">
        <v>0</v>
      </c>
      <c r="M166">
        <v>0</v>
      </c>
      <c r="Q166" s="426">
        <v>45376</v>
      </c>
    </row>
    <row r="167" spans="1:17" x14ac:dyDescent="0.35">
      <c r="A167" t="s">
        <v>695</v>
      </c>
      <c r="B167" t="s">
        <v>696</v>
      </c>
      <c r="C167">
        <v>140</v>
      </c>
      <c r="D167" t="s">
        <v>697</v>
      </c>
      <c r="E167" t="s">
        <v>501</v>
      </c>
      <c r="F167" t="s">
        <v>576</v>
      </c>
      <c r="G167">
        <v>19</v>
      </c>
      <c r="H167" s="426">
        <v>45566</v>
      </c>
      <c r="I167">
        <v>45000000</v>
      </c>
      <c r="J167" s="426">
        <v>45589</v>
      </c>
      <c r="K167" s="426">
        <v>46958</v>
      </c>
      <c r="L167">
        <v>0</v>
      </c>
      <c r="M167">
        <v>0</v>
      </c>
    </row>
    <row r="168" spans="1:17" x14ac:dyDescent="0.35">
      <c r="A168" t="s">
        <v>698</v>
      </c>
      <c r="B168" t="s">
        <v>671</v>
      </c>
      <c r="C168">
        <v>140</v>
      </c>
      <c r="D168" t="s">
        <v>697</v>
      </c>
      <c r="E168" t="s">
        <v>501</v>
      </c>
      <c r="F168" t="s">
        <v>576</v>
      </c>
      <c r="G168">
        <v>19</v>
      </c>
      <c r="H168" s="426">
        <v>45645</v>
      </c>
      <c r="I168">
        <v>75000000</v>
      </c>
      <c r="J168" s="426">
        <v>45645</v>
      </c>
      <c r="K168" s="426">
        <v>46740</v>
      </c>
      <c r="L168">
        <v>0</v>
      </c>
      <c r="M168">
        <v>0</v>
      </c>
    </row>
    <row r="169" spans="1:17" x14ac:dyDescent="0.35">
      <c r="A169" t="s">
        <v>699</v>
      </c>
      <c r="B169" t="s">
        <v>677</v>
      </c>
      <c r="C169">
        <v>140</v>
      </c>
      <c r="D169" t="s">
        <v>697</v>
      </c>
      <c r="E169" t="s">
        <v>488</v>
      </c>
      <c r="F169" t="s">
        <v>576</v>
      </c>
      <c r="G169">
        <v>10</v>
      </c>
      <c r="H169" s="426">
        <v>45793</v>
      </c>
      <c r="I169">
        <v>100000000</v>
      </c>
      <c r="J169" s="426">
        <v>45793</v>
      </c>
      <c r="K169" s="426">
        <v>46889</v>
      </c>
      <c r="L169">
        <v>0</v>
      </c>
      <c r="M169">
        <v>0</v>
      </c>
    </row>
    <row r="170" spans="1:17" x14ac:dyDescent="0.35">
      <c r="A170" t="s">
        <v>700</v>
      </c>
      <c r="B170" t="s">
        <v>677</v>
      </c>
      <c r="C170">
        <v>140</v>
      </c>
      <c r="D170" t="s">
        <v>697</v>
      </c>
      <c r="E170" t="s">
        <v>488</v>
      </c>
      <c r="F170" t="s">
        <v>576</v>
      </c>
      <c r="G170">
        <v>19</v>
      </c>
      <c r="H170" s="426">
        <v>45799</v>
      </c>
      <c r="I170">
        <v>105060000</v>
      </c>
      <c r="J170" s="426">
        <v>45799</v>
      </c>
      <c r="K170" s="426">
        <v>46895</v>
      </c>
      <c r="L170">
        <v>0</v>
      </c>
      <c r="M170">
        <v>0</v>
      </c>
    </row>
    <row r="171" spans="1:17" x14ac:dyDescent="0.35">
      <c r="A171" t="s">
        <v>701</v>
      </c>
      <c r="B171" t="s">
        <v>702</v>
      </c>
      <c r="C171">
        <v>142</v>
      </c>
      <c r="D171" t="s">
        <v>703</v>
      </c>
      <c r="E171" t="s">
        <v>488</v>
      </c>
      <c r="F171" t="s">
        <v>576</v>
      </c>
      <c r="G171">
        <v>34.450000000000003</v>
      </c>
      <c r="H171" s="426">
        <v>45968</v>
      </c>
      <c r="I171">
        <v>350000000</v>
      </c>
      <c r="J171" s="426">
        <v>45968</v>
      </c>
      <c r="K171" s="426">
        <v>47429</v>
      </c>
      <c r="L171">
        <v>0</v>
      </c>
      <c r="M171">
        <v>0</v>
      </c>
      <c r="Q171" s="426">
        <v>45968</v>
      </c>
    </row>
    <row r="172" spans="1:17" x14ac:dyDescent="0.35">
      <c r="A172" t="s">
        <v>704</v>
      </c>
      <c r="B172" t="s">
        <v>705</v>
      </c>
      <c r="C172">
        <v>141</v>
      </c>
      <c r="D172" t="s">
        <v>703</v>
      </c>
      <c r="E172" t="s">
        <v>488</v>
      </c>
      <c r="F172" t="s">
        <v>576</v>
      </c>
      <c r="G172">
        <v>34.950000000000003</v>
      </c>
      <c r="H172" s="426">
        <v>45978</v>
      </c>
      <c r="I172">
        <v>118000000</v>
      </c>
      <c r="J172" s="426">
        <v>45978</v>
      </c>
      <c r="K172" s="426">
        <v>46708</v>
      </c>
      <c r="L172">
        <v>0</v>
      </c>
      <c r="M172">
        <v>0</v>
      </c>
      <c r="Q172" s="426">
        <v>45978</v>
      </c>
    </row>
    <row r="173" spans="1:17" x14ac:dyDescent="0.35">
      <c r="A173" t="s">
        <v>706</v>
      </c>
      <c r="B173" t="s">
        <v>502</v>
      </c>
      <c r="C173">
        <v>142</v>
      </c>
      <c r="D173" t="s">
        <v>703</v>
      </c>
      <c r="E173" t="s">
        <v>488</v>
      </c>
      <c r="F173" t="s">
        <v>576</v>
      </c>
      <c r="G173">
        <v>35</v>
      </c>
      <c r="H173" s="426">
        <v>45985</v>
      </c>
      <c r="I173">
        <v>1045790600</v>
      </c>
      <c r="J173" s="426">
        <v>45985</v>
      </c>
      <c r="K173" s="426">
        <v>47081</v>
      </c>
      <c r="L173">
        <v>0</v>
      </c>
      <c r="M173">
        <v>0</v>
      </c>
      <c r="Q173" s="426">
        <v>45985</v>
      </c>
    </row>
    <row r="174" spans="1:17" x14ac:dyDescent="0.35">
      <c r="A174" t="s">
        <v>707</v>
      </c>
      <c r="B174" t="s">
        <v>708</v>
      </c>
      <c r="C174">
        <v>143</v>
      </c>
      <c r="D174" t="s">
        <v>703</v>
      </c>
      <c r="E174" t="s">
        <v>488</v>
      </c>
      <c r="F174" t="s">
        <v>576</v>
      </c>
      <c r="G174">
        <v>34.450000000000003</v>
      </c>
      <c r="H174" s="426">
        <v>45974</v>
      </c>
      <c r="I174">
        <v>470795000</v>
      </c>
      <c r="J174" s="426">
        <v>45991</v>
      </c>
      <c r="K174" s="426">
        <v>47817</v>
      </c>
      <c r="L174">
        <v>0</v>
      </c>
      <c r="M174">
        <v>0</v>
      </c>
      <c r="Q174" s="426">
        <v>45974</v>
      </c>
    </row>
    <row r="175" spans="1:17" x14ac:dyDescent="0.35">
      <c r="A175" t="s">
        <v>709</v>
      </c>
      <c r="B175" t="s">
        <v>710</v>
      </c>
      <c r="C175">
        <v>143</v>
      </c>
      <c r="D175" t="s">
        <v>703</v>
      </c>
      <c r="E175" t="s">
        <v>488</v>
      </c>
      <c r="F175" t="s">
        <v>576</v>
      </c>
      <c r="G175">
        <v>35.049999999999997</v>
      </c>
      <c r="H175" s="426">
        <v>46009</v>
      </c>
      <c r="I175">
        <v>300000000</v>
      </c>
      <c r="J175" s="426">
        <v>46009</v>
      </c>
      <c r="K175" s="426">
        <v>47835</v>
      </c>
      <c r="L175">
        <v>0</v>
      </c>
      <c r="M175">
        <v>0</v>
      </c>
      <c r="Q175" s="426">
        <v>46014</v>
      </c>
    </row>
    <row r="176" spans="1:17" x14ac:dyDescent="0.35">
      <c r="A176" t="s">
        <v>711</v>
      </c>
      <c r="B176" t="s">
        <v>542</v>
      </c>
      <c r="C176">
        <v>141</v>
      </c>
      <c r="D176" t="s">
        <v>703</v>
      </c>
      <c r="E176" t="s">
        <v>488</v>
      </c>
      <c r="F176" t="s">
        <v>576</v>
      </c>
      <c r="G176">
        <v>34.75</v>
      </c>
      <c r="H176" s="426">
        <v>46038</v>
      </c>
      <c r="I176">
        <v>3139259000</v>
      </c>
      <c r="J176" s="426">
        <v>46038</v>
      </c>
      <c r="K176" s="426">
        <v>46768</v>
      </c>
      <c r="L176">
        <v>0</v>
      </c>
      <c r="M176">
        <v>0</v>
      </c>
      <c r="Q176" s="426">
        <v>46041</v>
      </c>
    </row>
    <row r="177" spans="1:17" x14ac:dyDescent="0.35">
      <c r="A177" t="s">
        <v>712</v>
      </c>
      <c r="B177" t="s">
        <v>713</v>
      </c>
      <c r="C177">
        <v>143</v>
      </c>
      <c r="D177" t="s">
        <v>703</v>
      </c>
      <c r="E177" t="s">
        <v>488</v>
      </c>
      <c r="F177" t="s">
        <v>576</v>
      </c>
      <c r="G177">
        <v>34.75</v>
      </c>
      <c r="H177" s="426">
        <v>46097</v>
      </c>
      <c r="I177">
        <v>1347651030</v>
      </c>
      <c r="J177" s="426">
        <v>46097</v>
      </c>
      <c r="K177" s="426">
        <v>47923</v>
      </c>
      <c r="L177">
        <v>0</v>
      </c>
      <c r="M177">
        <v>0</v>
      </c>
      <c r="Q177" s="426">
        <v>46106</v>
      </c>
    </row>
    <row r="178" spans="1:17" x14ac:dyDescent="0.35">
      <c r="A178" t="s">
        <v>714</v>
      </c>
      <c r="B178" t="s">
        <v>715</v>
      </c>
      <c r="C178">
        <v>143</v>
      </c>
      <c r="D178" t="s">
        <v>703</v>
      </c>
      <c r="E178" t="s">
        <v>488</v>
      </c>
      <c r="F178" t="s">
        <v>576</v>
      </c>
      <c r="G178">
        <v>34.5</v>
      </c>
      <c r="H178" s="426">
        <v>46132</v>
      </c>
      <c r="I178">
        <v>628340000</v>
      </c>
      <c r="J178" s="426">
        <v>46132</v>
      </c>
      <c r="K178" s="426">
        <v>47958</v>
      </c>
      <c r="L178">
        <v>0</v>
      </c>
      <c r="M178">
        <v>0</v>
      </c>
      <c r="Q178" s="426">
        <v>46135</v>
      </c>
    </row>
    <row r="179" spans="1:17" x14ac:dyDescent="0.35">
      <c r="A179" t="s">
        <v>716</v>
      </c>
      <c r="B179" t="s">
        <v>717</v>
      </c>
      <c r="C179">
        <v>144</v>
      </c>
      <c r="D179" t="s">
        <v>703</v>
      </c>
      <c r="E179" t="s">
        <v>488</v>
      </c>
      <c r="F179" t="s">
        <v>576</v>
      </c>
      <c r="G179">
        <v>34.75</v>
      </c>
      <c r="H179" s="426">
        <v>46132</v>
      </c>
      <c r="I179">
        <v>1055473655</v>
      </c>
      <c r="J179" s="426">
        <v>46132</v>
      </c>
      <c r="K179" s="426">
        <v>48689</v>
      </c>
      <c r="L179">
        <v>0</v>
      </c>
      <c r="M179">
        <v>0</v>
      </c>
      <c r="Q179" s="426">
        <v>46140</v>
      </c>
    </row>
    <row r="180" spans="1:17" x14ac:dyDescent="0.35">
      <c r="A180" t="s">
        <v>718</v>
      </c>
      <c r="B180" t="s">
        <v>719</v>
      </c>
      <c r="C180">
        <v>144</v>
      </c>
      <c r="D180" t="s">
        <v>703</v>
      </c>
      <c r="E180" t="s">
        <v>488</v>
      </c>
      <c r="F180" t="s">
        <v>576</v>
      </c>
      <c r="G180">
        <v>35.5</v>
      </c>
      <c r="H180" s="426">
        <v>46155</v>
      </c>
      <c r="I180">
        <v>1500000000</v>
      </c>
      <c r="J180" s="426">
        <v>46155</v>
      </c>
      <c r="K180" s="426">
        <v>48712</v>
      </c>
      <c r="L180">
        <v>0</v>
      </c>
      <c r="M180">
        <v>0</v>
      </c>
      <c r="Q180" s="426">
        <v>46162</v>
      </c>
    </row>
    <row r="181" spans="1:17" x14ac:dyDescent="0.35">
      <c r="A181" t="s">
        <v>720</v>
      </c>
      <c r="B181" t="s">
        <v>721</v>
      </c>
      <c r="C181">
        <v>143</v>
      </c>
      <c r="D181" t="s">
        <v>703</v>
      </c>
      <c r="E181" t="s">
        <v>488</v>
      </c>
      <c r="F181" t="s">
        <v>576</v>
      </c>
      <c r="G181">
        <v>34.5</v>
      </c>
      <c r="H181" s="426">
        <v>46157</v>
      </c>
      <c r="I181">
        <v>550000000</v>
      </c>
      <c r="J181" s="426">
        <v>46157</v>
      </c>
      <c r="K181" s="426">
        <v>47983</v>
      </c>
      <c r="L181">
        <v>6</v>
      </c>
      <c r="M181">
        <v>0</v>
      </c>
      <c r="Q181" s="426">
        <v>46175</v>
      </c>
    </row>
    <row r="182" spans="1:17" x14ac:dyDescent="0.35">
      <c r="A182" t="s">
        <v>722</v>
      </c>
      <c r="B182" t="s">
        <v>723</v>
      </c>
      <c r="C182">
        <v>142</v>
      </c>
      <c r="D182" t="s">
        <v>703</v>
      </c>
      <c r="E182" t="s">
        <v>491</v>
      </c>
      <c r="F182" t="s">
        <v>576</v>
      </c>
      <c r="G182">
        <v>34.5</v>
      </c>
      <c r="H182" s="426">
        <v>46161</v>
      </c>
      <c r="I182">
        <v>600000000</v>
      </c>
      <c r="J182" s="426">
        <v>46161</v>
      </c>
      <c r="K182" s="426">
        <v>47257</v>
      </c>
      <c r="L182">
        <v>6</v>
      </c>
      <c r="M182">
        <v>0</v>
      </c>
      <c r="Q182" s="426">
        <v>46175</v>
      </c>
    </row>
    <row r="183" spans="1:17" x14ac:dyDescent="0.35">
      <c r="A183" t="s">
        <v>724</v>
      </c>
      <c r="B183" t="s">
        <v>725</v>
      </c>
      <c r="C183">
        <v>143</v>
      </c>
      <c r="D183" t="s">
        <v>703</v>
      </c>
      <c r="E183" t="s">
        <v>488</v>
      </c>
      <c r="F183" t="s">
        <v>576</v>
      </c>
      <c r="G183">
        <v>34.950000000000003</v>
      </c>
      <c r="H183" s="426">
        <v>46202</v>
      </c>
      <c r="I183">
        <v>854000000</v>
      </c>
      <c r="J183" s="426">
        <v>46202</v>
      </c>
      <c r="K183" s="426">
        <v>48028</v>
      </c>
      <c r="L183">
        <v>9</v>
      </c>
      <c r="M183">
        <v>0</v>
      </c>
      <c r="Q183" s="426">
        <v>46204</v>
      </c>
    </row>
    <row r="184" spans="1:17" x14ac:dyDescent="0.35">
      <c r="A184" t="s">
        <v>726</v>
      </c>
      <c r="B184" t="s">
        <v>567</v>
      </c>
      <c r="C184">
        <v>141</v>
      </c>
      <c r="D184" t="s">
        <v>703</v>
      </c>
      <c r="E184" t="s">
        <v>488</v>
      </c>
      <c r="F184" t="s">
        <v>576</v>
      </c>
      <c r="G184">
        <v>30</v>
      </c>
      <c r="H184" s="426">
        <v>46235</v>
      </c>
      <c r="I184">
        <v>1560150000</v>
      </c>
      <c r="J184" s="426">
        <v>46235</v>
      </c>
      <c r="K184" s="426">
        <v>46966</v>
      </c>
      <c r="L184">
        <v>3</v>
      </c>
      <c r="M184">
        <v>0</v>
      </c>
      <c r="Q184" s="426">
        <v>46251</v>
      </c>
    </row>
    <row r="185" spans="1:17" x14ac:dyDescent="0.35">
      <c r="A185" t="s">
        <v>727</v>
      </c>
      <c r="B185" t="s">
        <v>728</v>
      </c>
      <c r="C185">
        <v>143</v>
      </c>
      <c r="D185" t="s">
        <v>703</v>
      </c>
      <c r="E185" t="s">
        <v>488</v>
      </c>
      <c r="F185" t="s">
        <v>576</v>
      </c>
      <c r="G185">
        <v>33</v>
      </c>
      <c r="H185" s="426">
        <v>46262</v>
      </c>
      <c r="I185">
        <v>1000000000</v>
      </c>
      <c r="J185" s="426">
        <v>46261</v>
      </c>
      <c r="K185" s="426">
        <v>48087</v>
      </c>
      <c r="L185">
        <v>12</v>
      </c>
      <c r="M185">
        <v>0</v>
      </c>
      <c r="Q185" s="426">
        <v>46265</v>
      </c>
    </row>
    <row r="187" spans="1:17" x14ac:dyDescent="0.35">
      <c r="A187" t="s">
        <v>729</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
    <tabColor theme="9" tint="-0.499984740745262"/>
  </sheetPr>
  <dimension ref="A1:AT137"/>
  <sheetViews>
    <sheetView showGridLines="0" topLeftCell="D86" zoomScale="106" zoomScaleNormal="100" workbookViewId="0">
      <pane xSplit="1" topLeftCell="E1" activePane="topRight" state="frozen"/>
      <selection activeCell="D1" sqref="D1"/>
      <selection pane="topRight" activeCell="AS94" sqref="AS94"/>
    </sheetView>
  </sheetViews>
  <sheetFormatPr defaultColWidth="9.1796875" defaultRowHeight="14.5" outlineLevelRow="1" outlineLevelCol="1" x14ac:dyDescent="0.35"/>
  <cols>
    <col min="1" max="1" width="16.453125" style="33" hidden="1" customWidth="1"/>
    <col min="2" max="2" width="14.54296875" style="34" hidden="1" customWidth="1"/>
    <col min="3" max="3" width="1.1796875" style="34" hidden="1" customWidth="1"/>
    <col min="4" max="4" width="2.81640625" style="34" bestFit="1" customWidth="1"/>
    <col min="5" max="5" width="38.81640625" style="147" customWidth="1"/>
    <col min="6" max="6" width="6" style="33" hidden="1" customWidth="1"/>
    <col min="7" max="8" width="8.81640625" style="33" hidden="1" customWidth="1"/>
    <col min="9" max="9" width="4.81640625" style="33" hidden="1" customWidth="1"/>
    <col min="10" max="10" width="9.54296875" style="33" hidden="1" customWidth="1"/>
    <col min="11" max="11" width="6.81640625" style="33" hidden="1" customWidth="1"/>
    <col min="12" max="12" width="14.453125" style="33" hidden="1" customWidth="1"/>
    <col min="13" max="13" width="14.453125" style="35" hidden="1" customWidth="1"/>
    <col min="14" max="14" width="13.1796875" style="35" hidden="1" customWidth="1"/>
    <col min="15" max="15" width="14.453125" style="33" hidden="1" customWidth="1"/>
    <col min="16" max="16" width="13.1796875" style="33" hidden="1" customWidth="1"/>
    <col min="17" max="17" width="13.81640625" style="33" hidden="1" customWidth="1"/>
    <col min="18" max="18" width="14.453125" style="277" hidden="1" customWidth="1"/>
    <col min="19" max="19" width="14.1796875" style="33" hidden="1" customWidth="1"/>
    <col min="20" max="20" width="15.1796875" style="33" hidden="1" customWidth="1"/>
    <col min="21" max="21" width="12.81640625" style="403" hidden="1" customWidth="1"/>
    <col min="22" max="22" width="17.54296875" style="33" hidden="1" customWidth="1" outlineLevel="1"/>
    <col min="23" max="23" width="12.81640625" style="33" hidden="1" customWidth="1" collapsed="1"/>
    <col min="24" max="24" width="12.453125" style="33" hidden="1" customWidth="1"/>
    <col min="25" max="25" width="12.1796875" style="33" hidden="1" customWidth="1"/>
    <col min="26" max="26" width="12.08984375" style="33" hidden="1" customWidth="1" outlineLevel="1"/>
    <col min="27" max="27" width="12.1796875" style="33" hidden="1" customWidth="1" outlineLevel="1"/>
    <col min="28" max="28" width="9.81640625" style="33" hidden="1" customWidth="1" outlineLevel="1"/>
    <col min="29" max="29" width="14" style="33" hidden="1" customWidth="1" outlineLevel="1"/>
    <col min="30" max="30" width="17.453125" style="33" hidden="1" customWidth="1" outlineLevel="1"/>
    <col min="31" max="31" width="25" style="33" hidden="1" customWidth="1" outlineLevel="1"/>
    <col min="32" max="32" width="13.1796875" style="33" hidden="1" customWidth="1" outlineLevel="1"/>
    <col min="33" max="34" width="4.1796875" style="33" hidden="1" customWidth="1" outlineLevel="1"/>
    <col min="35" max="35" width="9.1796875" style="33" hidden="1" customWidth="1" outlineLevel="1"/>
    <col min="36" max="37" width="20" style="33" hidden="1" customWidth="1" outlineLevel="1"/>
    <col min="38" max="38" width="20" style="35" hidden="1" customWidth="1" collapsed="1"/>
    <col min="39" max="39" width="20" style="33" hidden="1" customWidth="1"/>
    <col min="40" max="40" width="20" hidden="1" customWidth="1"/>
    <col min="41" max="43" width="20" style="33" hidden="1" customWidth="1"/>
    <col min="44" max="44" width="9.1796875" style="33" hidden="1" customWidth="1"/>
    <col min="45" max="45" width="22.6328125" style="444" customWidth="1"/>
    <col min="46" max="46" width="17.90625" style="444" customWidth="1"/>
    <col min="47" max="16384" width="9.1796875" style="33"/>
  </cols>
  <sheetData>
    <row r="1" spans="1:46" ht="12" customHeight="1" thickBot="1" x14ac:dyDescent="0.4">
      <c r="Q1" s="40"/>
      <c r="R1" s="327"/>
    </row>
    <row r="2" spans="1:46" ht="12" customHeight="1" thickBot="1" x14ac:dyDescent="0.4">
      <c r="D2" s="146"/>
      <c r="F2" s="147"/>
      <c r="G2" s="147"/>
      <c r="H2" s="147"/>
      <c r="I2" s="147"/>
      <c r="J2" s="147"/>
      <c r="K2" s="147"/>
      <c r="L2" s="147"/>
      <c r="M2" s="148"/>
      <c r="N2" s="148"/>
      <c r="O2" s="147"/>
      <c r="P2" s="147"/>
      <c r="Q2" s="237"/>
      <c r="R2" s="239"/>
      <c r="S2" s="193" t="s">
        <v>730</v>
      </c>
      <c r="T2" s="194"/>
      <c r="U2" s="194"/>
      <c r="V2" s="194"/>
      <c r="W2" s="194"/>
      <c r="X2" s="194"/>
      <c r="Y2" s="195"/>
      <c r="Z2" s="149"/>
      <c r="AA2" s="41"/>
      <c r="AB2" s="41"/>
      <c r="AJ2" s="430" t="s">
        <v>731</v>
      </c>
    </row>
    <row r="3" spans="1:46" s="38" customFormat="1" ht="45" customHeight="1" x14ac:dyDescent="0.35">
      <c r="A3" s="36" t="s">
        <v>732</v>
      </c>
      <c r="B3" s="36" t="s">
        <v>733</v>
      </c>
      <c r="C3" s="36"/>
      <c r="D3" s="196" t="s">
        <v>734</v>
      </c>
      <c r="E3" s="197" t="s">
        <v>484</v>
      </c>
      <c r="F3" s="198" t="s">
        <v>40</v>
      </c>
      <c r="G3" s="197" t="s">
        <v>735</v>
      </c>
      <c r="H3" s="199" t="s">
        <v>736</v>
      </c>
      <c r="I3" s="150" t="s">
        <v>737</v>
      </c>
      <c r="J3" s="150" t="s">
        <v>738</v>
      </c>
      <c r="K3" s="151" t="s">
        <v>739</v>
      </c>
      <c r="L3" s="152" t="s">
        <v>42</v>
      </c>
      <c r="M3" s="153" t="s">
        <v>43</v>
      </c>
      <c r="N3" s="153" t="s">
        <v>207</v>
      </c>
      <c r="O3" s="153" t="s">
        <v>740</v>
      </c>
      <c r="P3" s="153" t="s">
        <v>208</v>
      </c>
      <c r="Q3" s="153" t="s">
        <v>209</v>
      </c>
      <c r="R3" s="328" t="s">
        <v>741</v>
      </c>
      <c r="S3" s="154" t="s">
        <v>740</v>
      </c>
      <c r="T3" s="152" t="s">
        <v>742</v>
      </c>
      <c r="U3" s="152" t="s">
        <v>743</v>
      </c>
      <c r="V3" s="155" t="s">
        <v>744</v>
      </c>
      <c r="W3" s="156" t="s">
        <v>745</v>
      </c>
      <c r="X3" s="157" t="s">
        <v>746</v>
      </c>
      <c r="Y3" s="248" t="s">
        <v>747</v>
      </c>
      <c r="Z3" s="158" t="s">
        <v>748</v>
      </c>
      <c r="AA3" s="37" t="s">
        <v>749</v>
      </c>
      <c r="AB3" s="37" t="s">
        <v>750</v>
      </c>
      <c r="AC3" s="37" t="s">
        <v>751</v>
      </c>
      <c r="AD3" s="37" t="s">
        <v>752</v>
      </c>
      <c r="AE3" s="37" t="s">
        <v>753</v>
      </c>
      <c r="AF3" s="37" t="s">
        <v>754</v>
      </c>
      <c r="AG3" s="37" t="s">
        <v>755</v>
      </c>
      <c r="AH3" s="37" t="s">
        <v>756</v>
      </c>
      <c r="AJ3" s="431" t="s">
        <v>757</v>
      </c>
      <c r="AK3" s="431" t="s">
        <v>47</v>
      </c>
      <c r="AL3" s="431" t="s">
        <v>48</v>
      </c>
      <c r="AM3" s="431" t="s">
        <v>54</v>
      </c>
      <c r="AN3" s="431" t="s">
        <v>223</v>
      </c>
      <c r="AO3" s="431" t="s">
        <v>758</v>
      </c>
      <c r="AP3" s="431" t="s">
        <v>52</v>
      </c>
      <c r="AQ3" s="431" t="s">
        <v>759</v>
      </c>
      <c r="AS3" s="445" t="s">
        <v>975</v>
      </c>
      <c r="AT3" s="445" t="s">
        <v>976</v>
      </c>
    </row>
    <row r="4" spans="1:46" s="38" customFormat="1" ht="12" customHeight="1" thickBot="1" x14ac:dyDescent="0.4">
      <c r="A4" s="36"/>
      <c r="B4" s="36"/>
      <c r="C4" s="36"/>
      <c r="D4" s="200"/>
      <c r="E4" s="201"/>
      <c r="F4" s="202"/>
      <c r="G4" s="201"/>
      <c r="H4" s="203"/>
      <c r="I4" s="159" t="s">
        <v>760</v>
      </c>
      <c r="J4" s="159" t="s">
        <v>761</v>
      </c>
      <c r="K4" s="159" t="s">
        <v>762</v>
      </c>
      <c r="L4" s="160" t="s">
        <v>763</v>
      </c>
      <c r="M4" s="161" t="s">
        <v>763</v>
      </c>
      <c r="N4" s="160" t="s">
        <v>763</v>
      </c>
      <c r="O4" s="160" t="s">
        <v>763</v>
      </c>
      <c r="P4" s="160" t="s">
        <v>763</v>
      </c>
      <c r="Q4" s="160" t="s">
        <v>763</v>
      </c>
      <c r="R4" s="329" t="s">
        <v>763</v>
      </c>
      <c r="S4" s="162" t="s">
        <v>763</v>
      </c>
      <c r="T4" s="160" t="s">
        <v>763</v>
      </c>
      <c r="U4" s="160" t="s">
        <v>763</v>
      </c>
      <c r="V4" s="163"/>
      <c r="W4" s="164" t="s">
        <v>764</v>
      </c>
      <c r="X4" s="165" t="s">
        <v>764</v>
      </c>
      <c r="Y4" s="249" t="s">
        <v>764</v>
      </c>
      <c r="Z4" s="166" t="s">
        <v>764</v>
      </c>
      <c r="AA4" s="37" t="s">
        <v>764</v>
      </c>
      <c r="AB4" s="37" t="s">
        <v>764</v>
      </c>
      <c r="AC4" s="37"/>
      <c r="AD4" s="37"/>
      <c r="AE4" s="37"/>
      <c r="AF4" s="37"/>
      <c r="AG4" s="37"/>
      <c r="AH4" s="37"/>
      <c r="AS4" s="444"/>
      <c r="AT4" s="444"/>
    </row>
    <row r="5" spans="1:46" s="35" customFormat="1" x14ac:dyDescent="0.35">
      <c r="A5" s="35" t="s">
        <v>765</v>
      </c>
      <c r="B5" s="35" t="s">
        <v>766</v>
      </c>
      <c r="D5" s="364">
        <v>1</v>
      </c>
      <c r="E5" s="365" t="s">
        <v>767</v>
      </c>
      <c r="F5" s="366" t="s">
        <v>178</v>
      </c>
      <c r="G5" s="367">
        <v>44470</v>
      </c>
      <c r="H5" s="367">
        <v>46934</v>
      </c>
      <c r="I5" s="368">
        <f t="shared" ref="I5:I17" si="0">(H5-G5)/365</f>
        <v>6.7506849315068491</v>
      </c>
      <c r="J5" s="369" t="s">
        <v>768</v>
      </c>
      <c r="K5" s="370">
        <f>'[1]Amortisation and Repayments'!K12</f>
        <v>0.30670000000000008</v>
      </c>
      <c r="L5" s="366">
        <v>620855897.5380075</v>
      </c>
      <c r="M5" s="371">
        <v>620855897.5380075</v>
      </c>
      <c r="N5" s="366">
        <f t="shared" ref="N5:N10" si="1">L5-M5</f>
        <v>0</v>
      </c>
      <c r="O5" s="167">
        <f>'[1]Amortisation and Repayments'!D6</f>
        <v>607931248.68072712</v>
      </c>
      <c r="P5" s="366">
        <f>SUM('[1]Amortisation and Repayments'!H15:H36)</f>
        <v>239124106.06684357</v>
      </c>
      <c r="Q5" s="366">
        <f>-SUM('[1]Amortisation and Repayments'!K15:K36)</f>
        <v>-847055354.74755347</v>
      </c>
      <c r="R5" s="389">
        <f>SUM(O5:Q5)</f>
        <v>1.7285346984863281E-5</v>
      </c>
      <c r="S5" s="372"/>
      <c r="T5" s="366">
        <v>0</v>
      </c>
      <c r="U5" s="167">
        <v>0</v>
      </c>
      <c r="V5" s="373"/>
      <c r="W5" s="372">
        <v>0</v>
      </c>
      <c r="X5" s="366"/>
      <c r="Y5" s="373">
        <v>0</v>
      </c>
      <c r="Z5" s="169"/>
      <c r="AA5" s="245"/>
      <c r="AB5" s="374"/>
      <c r="AC5" s="374" t="s">
        <v>769</v>
      </c>
      <c r="AD5" s="375"/>
      <c r="AE5" s="374" t="s">
        <v>770</v>
      </c>
      <c r="AF5" s="375">
        <v>9999999</v>
      </c>
      <c r="AG5" s="374" t="s">
        <v>771</v>
      </c>
      <c r="AH5" s="374" t="s">
        <v>772</v>
      </c>
      <c r="AJ5" s="432" t="str">
        <f>IFERROR(INDEX(Mapping!$J$2:$J$110,MATCH(5,Mapping!$A$2:$A$110,0)),"")</f>
        <v>000104430000001</v>
      </c>
      <c r="AK5" s="432" t="str">
        <f>IFERROR(INDEX(Mapping!$K$2:$K$110,MATCH(5,Mapping!$A$2:$A$110,0)),"")</f>
        <v>High</v>
      </c>
      <c r="AL5" s="432" t="str">
        <f>IFERROR(INDEX('E-Banker master'!$B$2:$B$186,MATCH($AJ5,'E-Banker master'!$A$2:$A$186,0)),"")</f>
        <v>CHIKHO HOTEL</v>
      </c>
      <c r="AM5" s="432" t="str">
        <f>IFERROR(INDEX('E-Banker master'!$E$2:$E$186,MATCH($AJ5,'E-Banker master'!$A$2:$A$186,0)),"")</f>
        <v>C</v>
      </c>
      <c r="AN5" s="433">
        <f>IFERROR(INDEX('E-Banker master'!$N$2:$N$186,MATCH($AJ5,'E-Banker master'!$A$2:$A$186,0)),"")</f>
        <v>0</v>
      </c>
      <c r="AO5" s="433">
        <f>IFERROR(INDEX('E-Banker master'!$O$2:$O$186,MATCH($AJ5,'E-Banker master'!$A$2:$A$186,0)),"")</f>
        <v>0</v>
      </c>
      <c r="AP5" s="433">
        <f>IFERROR(INDEX('E-Banker master'!$P$2:$P$186,MATCH($AJ5,'E-Banker master'!$A$2:$A$186,0)),"")</f>
        <v>0</v>
      </c>
      <c r="AQ5" s="433">
        <f t="shared" ref="AQ5:AQ36" si="2">IF(OR($AJ5="",AP5=""),"",R5-AP5)</f>
        <v>1.7285346984863281E-5</v>
      </c>
      <c r="AS5" s="444">
        <v>7950000</v>
      </c>
      <c r="AT5" s="444">
        <v>9353400</v>
      </c>
    </row>
    <row r="6" spans="1:46" x14ac:dyDescent="0.35">
      <c r="A6" s="35" t="s">
        <v>765</v>
      </c>
      <c r="B6" s="35" t="s">
        <v>766</v>
      </c>
      <c r="C6" s="35"/>
      <c r="D6" s="363">
        <v>2</v>
      </c>
      <c r="E6" s="399" t="s">
        <v>512</v>
      </c>
      <c r="F6" s="169" t="s">
        <v>178</v>
      </c>
      <c r="G6" s="170">
        <v>43935</v>
      </c>
      <c r="H6" s="170">
        <v>45747</v>
      </c>
      <c r="I6" s="171">
        <f t="shared" si="0"/>
        <v>4.9643835616438352</v>
      </c>
      <c r="J6" s="178" t="s">
        <v>773</v>
      </c>
      <c r="K6" s="275">
        <f>'Amortisation and Repayments'!M50</f>
        <v>0.32890000000000008</v>
      </c>
      <c r="L6" s="169">
        <v>300000000</v>
      </c>
      <c r="M6" s="173">
        <v>300000000</v>
      </c>
      <c r="N6" s="169">
        <f t="shared" si="1"/>
        <v>0</v>
      </c>
      <c r="O6" s="174">
        <f>'Amortisation and Repayments'!D44</f>
        <v>331395845.48046201</v>
      </c>
      <c r="P6" s="169">
        <f>SUM('Amortisation and Repayments'!H53:H83)</f>
        <v>233945145.11675358</v>
      </c>
      <c r="Q6" s="169">
        <f>-SUM('Amortisation and Repayments'!K53:K83)</f>
        <v>-192487000</v>
      </c>
      <c r="R6" s="330">
        <f>SUM(O6:Q6)</f>
        <v>372853990.59721565</v>
      </c>
      <c r="S6" s="175">
        <f>SUM('Amortisation and Repayments'!I75:I83)</f>
        <v>3382934.8473025262</v>
      </c>
      <c r="T6" s="169">
        <f>'Amortisation and Repayments'!L83-'Loan Book'!S6</f>
        <v>51222564.916308254</v>
      </c>
      <c r="U6" s="167">
        <f>+SUM(S6:T6)</f>
        <v>54605499.76361078</v>
      </c>
      <c r="V6" s="177"/>
      <c r="W6" s="175">
        <f>'Amortisation and Repayments'!G83</f>
        <v>9224945.2186479196</v>
      </c>
      <c r="X6" s="169">
        <f>SUM('Amortisation and Repayments'!G80:G82)</f>
        <v>27674835.655943759</v>
      </c>
      <c r="Y6" s="244">
        <f>+U6-SUM(W6:X6)</f>
        <v>17705718.889019102</v>
      </c>
      <c r="Z6" s="181"/>
      <c r="AA6" s="246"/>
      <c r="AB6" s="39"/>
      <c r="AC6" s="39"/>
      <c r="AD6" s="39"/>
      <c r="AE6" s="39"/>
      <c r="AF6" s="39"/>
      <c r="AG6" s="39"/>
      <c r="AH6" s="39"/>
      <c r="AJ6" s="434" t="str">
        <f>IFERROR(INDEX(Mapping!$J$2:$J$110,MATCH(6,Mapping!$A$2:$A$110,0)),"")</f>
        <v>000104430000002</v>
      </c>
      <c r="AK6" s="435" t="str">
        <f>IFERROR(INDEX(Mapping!$K$2:$K$110,MATCH(6,Mapping!$A$2:$A$110,0)),"")</f>
        <v>High</v>
      </c>
      <c r="AL6" s="434" t="str">
        <f>IFERROR(INDEX('E-Banker master'!$B$2:$B$186,MATCH($AJ6,'E-Banker master'!$A$2:$A$186,0)),"")</f>
        <v>Edge View Academy Limited</v>
      </c>
      <c r="AM6" s="432" t="str">
        <f>IFERROR(INDEX('E-Banker master'!$E$2:$E$186,MATCH($AJ6,'E-Banker master'!$A$2:$A$186,0)),"")</f>
        <v>A</v>
      </c>
      <c r="AN6" s="433">
        <f>IFERROR(INDEX('E-Banker master'!$N$2:$N$186,MATCH($AJ6,'E-Banker master'!$A$2:$A$186,0)),"")</f>
        <v>331395845.48000002</v>
      </c>
      <c r="AO6" s="433">
        <f>IFERROR(INDEX('E-Banker master'!$O$2:$O$186,MATCH($AJ6,'E-Banker master'!$A$2:$A$186,0)),"")</f>
        <v>207471430.41999999</v>
      </c>
      <c r="AP6" s="436">
        <f>IFERROR(INDEX('E-Banker master'!$P$2:$P$186,MATCH($AJ6,'E-Banker master'!$A$2:$A$186,0)),"")</f>
        <v>378644731.35000002</v>
      </c>
      <c r="AQ6" s="433">
        <f t="shared" si="2"/>
        <v>-5790740.7527843714</v>
      </c>
      <c r="AS6" s="444">
        <v>4500000</v>
      </c>
      <c r="AT6" s="444">
        <v>8500000</v>
      </c>
    </row>
    <row r="7" spans="1:46" x14ac:dyDescent="0.35">
      <c r="A7" s="35" t="s">
        <v>765</v>
      </c>
      <c r="B7" s="35" t="s">
        <v>766</v>
      </c>
      <c r="C7" s="35"/>
      <c r="D7" s="363">
        <v>3</v>
      </c>
      <c r="E7" s="399" t="s">
        <v>486</v>
      </c>
      <c r="F7" s="207" t="s">
        <v>178</v>
      </c>
      <c r="G7" s="209">
        <v>44040</v>
      </c>
      <c r="H7" s="209">
        <v>44773</v>
      </c>
      <c r="I7" s="210">
        <f t="shared" si="0"/>
        <v>2.0082191780821916</v>
      </c>
      <c r="J7" s="211" t="s">
        <v>774</v>
      </c>
      <c r="K7" s="212">
        <v>20.2</v>
      </c>
      <c r="L7" s="207">
        <v>20000000</v>
      </c>
      <c r="M7" s="213">
        <v>18240000</v>
      </c>
      <c r="N7" s="207">
        <f t="shared" si="1"/>
        <v>1760000</v>
      </c>
      <c r="O7" s="214">
        <f t="shared" ref="O7:O17" si="3">M7</f>
        <v>18240000</v>
      </c>
      <c r="P7" s="213">
        <f>SUM('Amortisation and Repayments'!H215:H239)-4054094.76</f>
        <v>1004624.6948225144</v>
      </c>
      <c r="Q7" s="207">
        <f>-SUM('Amortisation and Repayments'!K215:K240)-7040000-1460000</f>
        <v>-9000000</v>
      </c>
      <c r="R7" s="300">
        <v>0</v>
      </c>
      <c r="S7" s="215">
        <v>0</v>
      </c>
      <c r="T7" s="207">
        <v>0</v>
      </c>
      <c r="U7" s="299"/>
      <c r="V7" s="216"/>
      <c r="W7" s="215">
        <v>0</v>
      </c>
      <c r="X7" s="215"/>
      <c r="Y7" s="217"/>
      <c r="Z7" s="207">
        <f>U7</f>
        <v>0</v>
      </c>
      <c r="AA7" s="246"/>
      <c r="AB7" s="39"/>
      <c r="AC7" s="39"/>
      <c r="AD7" s="39"/>
      <c r="AE7" s="39"/>
      <c r="AF7" s="39"/>
      <c r="AG7" s="39"/>
      <c r="AH7" s="39"/>
      <c r="AJ7" s="434" t="str">
        <f>IFERROR(INDEX(Mapping!$J$2:$J$110,MATCH(7,Mapping!$A$2:$A$110,0)),"")</f>
        <v>000104420000003</v>
      </c>
      <c r="AK7" s="435" t="str">
        <f>IFERROR(INDEX(Mapping!$K$2:$K$110,MATCH(7,Mapping!$A$2:$A$110,0)),"")</f>
        <v>High</v>
      </c>
      <c r="AL7" s="432" t="str">
        <f>IFERROR(INDEX('E-Banker master'!$B$2:$B$186,MATCH($AJ7,'E-Banker master'!$A$2:$A$186,0)),"")</f>
        <v>Micholess Creamery</v>
      </c>
      <c r="AM7" s="432" t="str">
        <f>IFERROR(INDEX('E-Banker master'!$E$2:$E$186,MATCH($AJ7,'E-Banker master'!$A$2:$A$186,0)),"")</f>
        <v>A</v>
      </c>
      <c r="AN7" s="433">
        <f>IFERROR(INDEX('E-Banker master'!$N$2:$N$186,MATCH($AJ7,'E-Banker master'!$A$2:$A$186,0)),"")</f>
        <v>18240000</v>
      </c>
      <c r="AO7" s="433">
        <f>IFERROR(INDEX('E-Banker master'!$O$2:$O$186,MATCH($AJ7,'E-Banker master'!$A$2:$A$186,0)),"")</f>
        <v>1004624.69</v>
      </c>
      <c r="AP7" s="433">
        <f>IFERROR(INDEX('E-Banker master'!$P$2:$P$186,MATCH($AJ7,'E-Banker master'!$A$2:$A$186,0)),"")</f>
        <v>0</v>
      </c>
      <c r="AQ7" s="433">
        <f t="shared" si="2"/>
        <v>0</v>
      </c>
      <c r="AS7" s="444">
        <v>300000</v>
      </c>
      <c r="AT7" s="444">
        <v>430000</v>
      </c>
    </row>
    <row r="8" spans="1:46" x14ac:dyDescent="0.35">
      <c r="A8" s="35" t="s">
        <v>765</v>
      </c>
      <c r="B8" s="35" t="s">
        <v>766</v>
      </c>
      <c r="C8" s="35"/>
      <c r="D8" s="364">
        <v>4</v>
      </c>
      <c r="E8" s="396" t="s">
        <v>513</v>
      </c>
      <c r="F8" s="169" t="s">
        <v>178</v>
      </c>
      <c r="G8" s="170">
        <v>44552</v>
      </c>
      <c r="H8" s="170">
        <v>45291</v>
      </c>
      <c r="I8" s="171">
        <f t="shared" si="0"/>
        <v>2.0246575342465754</v>
      </c>
      <c r="J8" s="169" t="s">
        <v>768</v>
      </c>
      <c r="K8" s="275">
        <f>'Amortisation and Repayments'!N247</f>
        <v>0.307</v>
      </c>
      <c r="L8" s="169">
        <v>309523514</v>
      </c>
      <c r="M8" s="173">
        <v>309523514</v>
      </c>
      <c r="N8" s="169">
        <f t="shared" si="1"/>
        <v>0</v>
      </c>
      <c r="O8" s="174">
        <f t="shared" si="3"/>
        <v>309523514</v>
      </c>
      <c r="P8" s="169">
        <f>SUM('Amortisation and Repayments'!H255:H274)+'Amortisation and Repayments'!D245</f>
        <v>32916948.489192281</v>
      </c>
      <c r="Q8" s="169">
        <f>-'Amortisation and Repayments'!K260</f>
        <v>-334121496</v>
      </c>
      <c r="R8" s="330">
        <f t="shared" ref="R8:R16" si="4">SUM(O8:Q8)</f>
        <v>8318966.489192307</v>
      </c>
      <c r="S8" s="175"/>
      <c r="T8" s="176"/>
      <c r="U8" s="167"/>
      <c r="V8" s="177"/>
      <c r="W8" s="175">
        <v>0</v>
      </c>
      <c r="X8" s="169">
        <v>0</v>
      </c>
      <c r="Y8" s="244">
        <v>0</v>
      </c>
      <c r="Z8" s="181"/>
      <c r="AA8" s="246"/>
      <c r="AB8" s="39"/>
      <c r="AC8" s="39"/>
      <c r="AD8" s="39"/>
      <c r="AE8" s="39"/>
      <c r="AF8" s="39"/>
      <c r="AG8" s="39"/>
      <c r="AH8" s="39"/>
      <c r="AJ8" s="434" t="str">
        <f>IFERROR(INDEX(Mapping!$J$2:$J$110,MATCH(8,Mapping!$A$2:$A$110,0)),"")</f>
        <v>000104430000004</v>
      </c>
      <c r="AK8" s="435" t="str">
        <f>IFERROR(INDEX(Mapping!$K$2:$K$110,MATCH(8,Mapping!$A$2:$A$110,0)),"")</f>
        <v>High</v>
      </c>
      <c r="AL8" s="432" t="str">
        <f>IFERROR(INDEX('E-Banker master'!$B$2:$B$186,MATCH($AJ8,'E-Banker master'!$A$2:$A$186,0)),"")</f>
        <v>COMSIV Limited</v>
      </c>
      <c r="AM8" s="432" t="str">
        <f>IFERROR(INDEX('E-Banker master'!$E$2:$E$186,MATCH($AJ8,'E-Banker master'!$A$2:$A$186,0)),"")</f>
        <v>H</v>
      </c>
      <c r="AN8" s="433">
        <f>IFERROR(INDEX('E-Banker master'!$N$2:$N$186,MATCH($AJ8,'E-Banker master'!$A$2:$A$186,0)),"")</f>
        <v>309523514</v>
      </c>
      <c r="AO8" s="433">
        <f>IFERROR(INDEX('E-Banker master'!$O$2:$O$186,MATCH($AJ8,'E-Banker master'!$A$2:$A$186,0)),"")</f>
        <v>32916948.489999998</v>
      </c>
      <c r="AP8" s="433">
        <f>IFERROR(INDEX('E-Banker master'!$P$2:$P$186,MATCH($AJ8,'E-Banker master'!$A$2:$A$186,0)),"")</f>
        <v>8318966.4900000002</v>
      </c>
      <c r="AQ8" s="433">
        <f t="shared" si="2"/>
        <v>-8.076932281255722E-4</v>
      </c>
      <c r="AS8" s="444">
        <v>3863451.78</v>
      </c>
      <c r="AT8" s="444">
        <v>0</v>
      </c>
    </row>
    <row r="9" spans="1:46" x14ac:dyDescent="0.35">
      <c r="A9" s="35" t="s">
        <v>765</v>
      </c>
      <c r="B9" s="35" t="s">
        <v>766</v>
      </c>
      <c r="C9" s="35"/>
      <c r="D9" s="363">
        <v>5</v>
      </c>
      <c r="E9" s="168" t="s">
        <v>490</v>
      </c>
      <c r="F9" s="169" t="s">
        <v>178</v>
      </c>
      <c r="G9" s="170">
        <v>44035</v>
      </c>
      <c r="H9" s="170">
        <v>45869</v>
      </c>
      <c r="I9" s="171">
        <f t="shared" si="0"/>
        <v>5.0246575342465754</v>
      </c>
      <c r="J9" s="178" t="s">
        <v>775</v>
      </c>
      <c r="K9" s="275">
        <f>'Amortisation and Repayments'!M290</f>
        <v>0.32150000000000006</v>
      </c>
      <c r="L9" s="169">
        <f>'Amortisation and Repayments'!D284</f>
        <v>405097989.86827958</v>
      </c>
      <c r="M9" s="173">
        <f>L9</f>
        <v>405097989.86827958</v>
      </c>
      <c r="N9" s="169">
        <f t="shared" si="1"/>
        <v>0</v>
      </c>
      <c r="O9" s="174">
        <f t="shared" si="3"/>
        <v>405097989.86827958</v>
      </c>
      <c r="P9" s="169">
        <f>SUM('Amortisation and Repayments'!H293:H331)+5570571.59</f>
        <v>254910209.42318782</v>
      </c>
      <c r="Q9" s="169">
        <f>-SUM('Amortisation and Repayments'!K293:K331)</f>
        <v>-275255167.25999999</v>
      </c>
      <c r="R9" s="330">
        <f t="shared" si="4"/>
        <v>384753032.03146744</v>
      </c>
      <c r="S9" s="255">
        <f>SUM('Amortisation and Repayments'!I315:I331)</f>
        <v>100223755.07265189</v>
      </c>
      <c r="T9" s="169">
        <f>'Amortisation and Repayments'!L331-'Loan Book'!S9</f>
        <v>51281864.974215329</v>
      </c>
      <c r="U9" s="167">
        <f t="shared" ref="U9:U17" si="5">+SUM(S9:T9)</f>
        <v>151505620.04686722</v>
      </c>
      <c r="V9" s="177"/>
      <c r="X9" s="175">
        <f>+SUM('Amortisation and Repayments'!G317:G328)</f>
        <v>151024467.32451558</v>
      </c>
      <c r="Y9" s="244"/>
      <c r="Z9" s="256"/>
      <c r="AA9" s="245"/>
      <c r="AB9" s="39"/>
      <c r="AC9" s="39"/>
      <c r="AD9" s="39"/>
      <c r="AE9" s="39"/>
      <c r="AF9" s="39"/>
      <c r="AG9" s="39"/>
      <c r="AH9" s="39"/>
      <c r="AJ9" s="434" t="str">
        <f>IFERROR(INDEX(Mapping!$J$2:$J$110,MATCH(9,Mapping!$A$2:$A$110,0)),"")</f>
        <v>000104420000005</v>
      </c>
      <c r="AK9" s="435" t="str">
        <f>IFERROR(INDEX(Mapping!$K$2:$K$110,MATCH(9,Mapping!$A$2:$A$110,0)),"")</f>
        <v>High</v>
      </c>
      <c r="AL9" s="434" t="str">
        <f>IFERROR(INDEX('E-Banker master'!$B$2:$B$186,MATCH($AJ9,'E-Banker master'!$A$2:$A$186,0)),"")</f>
        <v>MUSECO</v>
      </c>
      <c r="AM9" s="432" t="str">
        <f>IFERROR(INDEX('E-Banker master'!$E$2:$E$186,MATCH($AJ9,'E-Banker master'!$A$2:$A$186,0)),"")</f>
        <v>D</v>
      </c>
      <c r="AN9" s="433">
        <f>IFERROR(INDEX('E-Banker master'!$N$2:$N$186,MATCH($AJ9,'E-Banker master'!$A$2:$A$186,0)),"")</f>
        <v>405097989.86000001</v>
      </c>
      <c r="AO9" s="433">
        <f>IFERROR(INDEX('E-Banker master'!$O$2:$O$186,MATCH($AJ9,'E-Banker master'!$A$2:$A$186,0)),"")</f>
        <v>237378159.63999999</v>
      </c>
      <c r="AP9" s="433">
        <f>IFERROR(INDEX('E-Banker master'!$P$2:$P$186,MATCH($AJ9,'E-Banker master'!$A$2:$A$186,0)),"")</f>
        <v>399243507.06999999</v>
      </c>
      <c r="AQ9" s="433">
        <f t="shared" si="2"/>
        <v>-14490475.038532555</v>
      </c>
      <c r="AS9" s="444">
        <v>5550000</v>
      </c>
      <c r="AT9" s="444">
        <v>6110500</v>
      </c>
    </row>
    <row r="10" spans="1:46" x14ac:dyDescent="0.35">
      <c r="A10" s="35" t="s">
        <v>765</v>
      </c>
      <c r="B10" s="35" t="s">
        <v>766</v>
      </c>
      <c r="C10" s="35"/>
      <c r="D10" s="363">
        <v>6</v>
      </c>
      <c r="E10" s="395" t="s">
        <v>493</v>
      </c>
      <c r="F10" s="207" t="s">
        <v>178</v>
      </c>
      <c r="G10" s="209">
        <v>44076</v>
      </c>
      <c r="H10" s="209">
        <v>44804</v>
      </c>
      <c r="I10" s="210">
        <f t="shared" si="0"/>
        <v>1.9945205479452055</v>
      </c>
      <c r="J10" s="211" t="s">
        <v>776</v>
      </c>
      <c r="K10" s="276">
        <f>'Amortisation and Repayments'!I360</f>
        <v>0.23119999999999999</v>
      </c>
      <c r="L10" s="207">
        <v>17000000</v>
      </c>
      <c r="M10" s="213">
        <v>12055000</v>
      </c>
      <c r="N10" s="207">
        <f t="shared" si="1"/>
        <v>4945000</v>
      </c>
      <c r="O10" s="214">
        <f t="shared" si="3"/>
        <v>12055000</v>
      </c>
      <c r="P10" s="207">
        <f>SUM('Amortisation and Repayments'!H368:H396)-703967.59</f>
        <v>2792906.8916167882</v>
      </c>
      <c r="Q10" s="207">
        <f>-SUM('Amortisation and Repayments'!K368:K396)</f>
        <v>-2000000</v>
      </c>
      <c r="R10" s="300">
        <f t="shared" si="4"/>
        <v>12847906.891616788</v>
      </c>
      <c r="S10" s="215">
        <v>12055000</v>
      </c>
      <c r="T10" s="207">
        <v>1496874.4816167881</v>
      </c>
      <c r="U10" s="167">
        <f t="shared" si="5"/>
        <v>13551874.481616788</v>
      </c>
      <c r="V10" s="216"/>
      <c r="W10" s="215">
        <v>0</v>
      </c>
      <c r="X10" s="215">
        <v>0</v>
      </c>
      <c r="Y10" s="207">
        <v>0</v>
      </c>
      <c r="Z10" s="207">
        <f>U10</f>
        <v>13551874.481616788</v>
      </c>
      <c r="AA10" s="246"/>
      <c r="AB10" s="39"/>
      <c r="AC10" s="39"/>
      <c r="AD10" s="39"/>
      <c r="AE10" s="39"/>
      <c r="AF10" s="39"/>
      <c r="AG10" s="39"/>
      <c r="AH10" s="39"/>
      <c r="AJ10" s="434" t="str">
        <f>IFERROR(INDEX(Mapping!$J$2:$J$110,MATCH(10,Mapping!$A$2:$A$110,0)),"")</f>
        <v>000104420000006</v>
      </c>
      <c r="AK10" s="435" t="str">
        <f>IFERROR(INDEX(Mapping!$K$2:$K$110,MATCH(10,Mapping!$A$2:$A$110,0)),"")</f>
        <v>High</v>
      </c>
      <c r="AL10" s="432" t="str">
        <f>IFERROR(INDEX('E-Banker master'!$B$2:$B$186,MATCH($AJ10,'E-Banker master'!$A$2:$A$186,0)),"")</f>
        <v>Nsanama Women Cooperatives</v>
      </c>
      <c r="AM10" s="432" t="str">
        <f>IFERROR(INDEX('E-Banker master'!$E$2:$E$186,MATCH($AJ10,'E-Banker master'!$A$2:$A$186,0)),"")</f>
        <v>D</v>
      </c>
      <c r="AN10" s="433">
        <f>IFERROR(INDEX('E-Banker master'!$N$2:$N$186,MATCH($AJ10,'E-Banker master'!$A$2:$A$186,0)),"")</f>
        <v>12055000</v>
      </c>
      <c r="AO10" s="433">
        <f>IFERROR(INDEX('E-Banker master'!$O$2:$O$186,MATCH($AJ10,'E-Banker master'!$A$2:$A$186,0)),"")</f>
        <v>2792906.89</v>
      </c>
      <c r="AP10" s="433">
        <f>IFERROR(INDEX('E-Banker master'!$P$2:$P$186,MATCH($AJ10,'E-Banker master'!$A$2:$A$186,0)),"")</f>
        <v>13568451.130000001</v>
      </c>
      <c r="AQ10" s="433">
        <f t="shared" si="2"/>
        <v>-720544.23838321306</v>
      </c>
      <c r="AS10" s="444">
        <v>255000</v>
      </c>
      <c r="AT10" s="444">
        <v>0</v>
      </c>
    </row>
    <row r="11" spans="1:46" x14ac:dyDescent="0.35">
      <c r="A11" s="35" t="s">
        <v>765</v>
      </c>
      <c r="B11" s="35" t="s">
        <v>766</v>
      </c>
      <c r="C11" s="35"/>
      <c r="D11" s="364">
        <v>7</v>
      </c>
      <c r="E11" s="396" t="s">
        <v>494</v>
      </c>
      <c r="F11" s="169" t="s">
        <v>178</v>
      </c>
      <c r="G11" s="170">
        <v>44134</v>
      </c>
      <c r="H11" s="170">
        <v>45869</v>
      </c>
      <c r="I11" s="171">
        <f t="shared" si="0"/>
        <v>4.7534246575342465</v>
      </c>
      <c r="J11" s="178" t="s">
        <v>774</v>
      </c>
      <c r="K11" s="275">
        <f>'Amortisation and Repayments'!M402</f>
        <v>0.29400000000000004</v>
      </c>
      <c r="L11" s="169">
        <v>460000000</v>
      </c>
      <c r="M11" s="173">
        <f>290500000+6900000</f>
        <v>297400000</v>
      </c>
      <c r="N11" s="169">
        <v>0</v>
      </c>
      <c r="O11" s="174">
        <f t="shared" si="3"/>
        <v>297400000</v>
      </c>
      <c r="P11" s="169">
        <f>SUM('Amortisation and Repayments'!H410:H458)</f>
        <v>233052678.02064502</v>
      </c>
      <c r="Q11" s="169">
        <f>-SUM('Amortisation and Repayments'!K410:K458)</f>
        <v>-363392876.34136182</v>
      </c>
      <c r="R11" s="330">
        <f t="shared" si="4"/>
        <v>167059801.6792832</v>
      </c>
      <c r="S11" s="175">
        <f>'Amortisation and Repayments'!L458-'Amortisation and Repayments'!H458</f>
        <v>4685207.387788415</v>
      </c>
      <c r="T11" s="169">
        <f>'Amortisation and Repayments'!H458</f>
        <v>4346078.9658916928</v>
      </c>
      <c r="U11" s="167">
        <f t="shared" si="5"/>
        <v>9031286.3536801077</v>
      </c>
      <c r="V11" s="177"/>
      <c r="W11" s="175">
        <f>'Amortisation and Repayments'!G458</f>
        <v>8995691.5384709053</v>
      </c>
      <c r="X11" s="169">
        <f>+U11-W11</f>
        <v>35594.815209202468</v>
      </c>
      <c r="Y11" s="169"/>
      <c r="Z11" s="256"/>
      <c r="AA11" s="246"/>
      <c r="AB11" s="39"/>
      <c r="AC11" s="39"/>
      <c r="AD11" s="39"/>
      <c r="AE11" s="39"/>
      <c r="AF11" s="39"/>
      <c r="AG11" s="39"/>
      <c r="AH11" s="39"/>
      <c r="AJ11" s="434" t="str">
        <f>IFERROR(INDEX(Mapping!$J$2:$J$110,MATCH(11,Mapping!$A$2:$A$110,0)),"")</f>
        <v>000104420000007</v>
      </c>
      <c r="AK11" s="435" t="str">
        <f>IFERROR(INDEX(Mapping!$K$2:$K$110,MATCH(11,Mapping!$A$2:$A$110,0)),"")</f>
        <v>High</v>
      </c>
      <c r="AL11" s="434" t="str">
        <f>IFERROR(INDEX('E-Banker master'!$B$2:$B$186,MATCH($AJ11,'E-Banker master'!$A$2:$A$186,0)),"")</f>
        <v>LENZIEMILL MILLING LIMITED</v>
      </c>
      <c r="AM11" s="432" t="str">
        <f>IFERROR(INDEX('E-Banker master'!$E$2:$E$186,MATCH($AJ11,'E-Banker master'!$A$2:$A$186,0)),"")</f>
        <v>H</v>
      </c>
      <c r="AN11" s="433">
        <f>IFERROR(INDEX('E-Banker master'!$N$2:$N$186,MATCH($AJ11,'E-Banker master'!$A$2:$A$186,0)),"")</f>
        <v>297400000</v>
      </c>
      <c r="AO11" s="433">
        <f>IFERROR(INDEX('E-Banker master'!$O$2:$O$186,MATCH($AJ11,'E-Banker master'!$A$2:$A$186,0)),"")</f>
        <v>219654186.91999999</v>
      </c>
      <c r="AP11" s="433">
        <f>IFERROR(INDEX('E-Banker master'!$P$2:$P$186,MATCH($AJ11,'E-Banker master'!$A$2:$A$186,0)),"")</f>
        <v>167976520.65000001</v>
      </c>
      <c r="AQ11" s="433">
        <f t="shared" si="2"/>
        <v>-916718.97071680427</v>
      </c>
      <c r="AS11" s="444">
        <v>6900000</v>
      </c>
      <c r="AT11" s="444">
        <v>6216000</v>
      </c>
    </row>
    <row r="12" spans="1:46" x14ac:dyDescent="0.35">
      <c r="A12" s="35" t="s">
        <v>765</v>
      </c>
      <c r="B12" s="35" t="s">
        <v>766</v>
      </c>
      <c r="C12" s="35"/>
      <c r="D12" s="385">
        <v>8</v>
      </c>
      <c r="E12" s="168" t="s">
        <v>514</v>
      </c>
      <c r="F12" s="169" t="s">
        <v>178</v>
      </c>
      <c r="G12" s="170">
        <v>44187</v>
      </c>
      <c r="H12" s="170">
        <v>46022</v>
      </c>
      <c r="I12" s="171">
        <f t="shared" si="0"/>
        <v>5.0273972602739727</v>
      </c>
      <c r="J12" s="178" t="s">
        <v>776</v>
      </c>
      <c r="K12" s="275">
        <f>'[1]Amortisation and Repayments'!M492</f>
        <v>0.29300000000000004</v>
      </c>
      <c r="L12" s="169">
        <f>'[1]Amortisation and Repayments'!F510</f>
        <v>395623962</v>
      </c>
      <c r="M12" s="173">
        <f>L12</f>
        <v>395623962</v>
      </c>
      <c r="N12" s="169"/>
      <c r="O12" s="174">
        <f t="shared" si="3"/>
        <v>395623962</v>
      </c>
      <c r="P12" s="169">
        <f>SUM('[1]Amortisation and Repayments'!H510:H530)</f>
        <v>150308442.28069213</v>
      </c>
      <c r="Q12" s="169">
        <f>-SUM('[1]Amortisation and Repayments'!K502:K530)</f>
        <v>-545932404.27999997</v>
      </c>
      <c r="R12" s="330">
        <f t="shared" si="4"/>
        <v>6.9212913513183594E-4</v>
      </c>
      <c r="S12" s="255">
        <v>0</v>
      </c>
      <c r="T12" s="176">
        <v>0</v>
      </c>
      <c r="U12" s="167">
        <f t="shared" si="5"/>
        <v>0</v>
      </c>
      <c r="V12" s="177"/>
      <c r="W12" s="175">
        <v>0</v>
      </c>
      <c r="X12" s="169"/>
      <c r="Y12" s="244">
        <v>0</v>
      </c>
      <c r="Z12" s="181"/>
      <c r="AA12" s="246"/>
      <c r="AB12" s="39"/>
      <c r="AC12" s="39"/>
      <c r="AD12" s="39"/>
      <c r="AE12" s="39"/>
      <c r="AF12" s="39"/>
      <c r="AG12" s="39"/>
      <c r="AH12" s="39"/>
      <c r="AJ12" s="434" t="str">
        <f>IFERROR(INDEX(Mapping!$J$2:$J$110,MATCH(12,Mapping!$A$2:$A$110,0)),"")</f>
        <v>000104430000008</v>
      </c>
      <c r="AK12" s="435" t="str">
        <f>IFERROR(INDEX(Mapping!$K$2:$K$110,MATCH(12,Mapping!$A$2:$A$110,0)),"")</f>
        <v>High</v>
      </c>
      <c r="AL12" s="434" t="str">
        <f>IFERROR(INDEX('E-Banker master'!$B$2:$B$186,MATCH($AJ12,'E-Banker master'!$A$2:$A$186,0)),"")</f>
        <v>Corran Farming Limited</v>
      </c>
      <c r="AM12" s="432" t="str">
        <f>IFERROR(INDEX('E-Banker master'!$E$2:$E$186,MATCH($AJ12,'E-Banker master'!$A$2:$A$186,0)),"")</f>
        <v>C</v>
      </c>
      <c r="AN12" s="433">
        <f>IFERROR(INDEX('E-Banker master'!$N$2:$N$186,MATCH($AJ12,'E-Banker master'!$A$2:$A$186,0)),"")</f>
        <v>0</v>
      </c>
      <c r="AO12" s="436">
        <f>IFERROR(INDEX('E-Banker master'!$O$2:$O$186,MATCH($AJ12,'E-Banker master'!$A$2:$A$186,0)),"")</f>
        <v>0</v>
      </c>
      <c r="AP12" s="433">
        <f>IFERROR(INDEX('E-Banker master'!$P$2:$P$186,MATCH($AJ12,'E-Banker master'!$A$2:$A$186,0)),"")</f>
        <v>0</v>
      </c>
      <c r="AQ12" s="433">
        <f t="shared" si="2"/>
        <v>6.9212913513183594E-4</v>
      </c>
      <c r="AS12" s="444">
        <v>6400000</v>
      </c>
      <c r="AT12" s="444">
        <v>10000000</v>
      </c>
    </row>
    <row r="13" spans="1:46" x14ac:dyDescent="0.35">
      <c r="A13" s="35" t="s">
        <v>765</v>
      </c>
      <c r="B13" s="35" t="s">
        <v>766</v>
      </c>
      <c r="C13" s="35"/>
      <c r="D13" s="363">
        <v>9</v>
      </c>
      <c r="E13" s="396" t="s">
        <v>496</v>
      </c>
      <c r="F13" s="207" t="s">
        <v>178</v>
      </c>
      <c r="G13" s="209">
        <v>44242</v>
      </c>
      <c r="H13" s="209">
        <v>45716</v>
      </c>
      <c r="I13" s="210">
        <f t="shared" si="0"/>
        <v>4.0383561643835613</v>
      </c>
      <c r="J13" s="211" t="s">
        <v>777</v>
      </c>
      <c r="K13" s="276">
        <f>'Amortisation and Repayments'!M556</f>
        <v>0.31300000000000006</v>
      </c>
      <c r="L13" s="207">
        <v>81075926.780000001</v>
      </c>
      <c r="M13" s="213">
        <v>81075926.780000001</v>
      </c>
      <c r="N13" s="207">
        <f>L13-M13</f>
        <v>0</v>
      </c>
      <c r="O13" s="207">
        <f t="shared" si="3"/>
        <v>81075926.780000001</v>
      </c>
      <c r="P13" s="207">
        <f>SUM('Amortisation and Repayments'!H564:H601)</f>
        <v>59885873.104942687</v>
      </c>
      <c r="Q13" s="207">
        <f>-SUM('Amortisation and Repayments'!K564:K601)</f>
        <v>-13800000</v>
      </c>
      <c r="R13" s="416">
        <f t="shared" si="4"/>
        <v>127161799.88494268</v>
      </c>
      <c r="S13" s="242">
        <f>SUM('Amortisation and Repayments'!I576:I601)</f>
        <v>56187334.014866672</v>
      </c>
      <c r="T13" s="243">
        <f>'Amortisation and Repayments'!L601-'Loan Book'!S13</f>
        <v>37621263.143175982</v>
      </c>
      <c r="U13" s="366">
        <f t="shared" si="5"/>
        <v>93808597.158042654</v>
      </c>
      <c r="V13" s="216"/>
      <c r="W13" s="215">
        <f>'Amortisation and Repayments'!G601</f>
        <v>3876828.1801472297</v>
      </c>
      <c r="X13" s="207">
        <f>SUM('Amortisation and Repayments'!G597:G599)</f>
        <v>11623845.622290794</v>
      </c>
      <c r="Y13" s="207">
        <f>+SUM('Amortisation and Repayments'!G594:G596)</f>
        <v>11598562.593485266</v>
      </c>
      <c r="Z13" s="207">
        <f>+U13-SUM(W13:Y13)</f>
        <v>66709360.762119368</v>
      </c>
      <c r="AA13" s="246"/>
      <c r="AB13" s="39"/>
      <c r="AC13" s="39"/>
      <c r="AD13" s="39"/>
      <c r="AE13" s="39"/>
      <c r="AF13" s="39"/>
      <c r="AG13" s="39"/>
      <c r="AH13" s="39"/>
      <c r="AJ13" s="434" t="str">
        <f>IFERROR(INDEX(Mapping!$J$2:$J$110,MATCH(13,Mapping!$A$2:$A$110,0)),"")</f>
        <v>000104420000009</v>
      </c>
      <c r="AK13" s="435" t="str">
        <f>IFERROR(INDEX(Mapping!$K$2:$K$110,MATCH(13,Mapping!$A$2:$A$110,0)),"")</f>
        <v>High</v>
      </c>
      <c r="AL13" s="432" t="str">
        <f>IFERROR(INDEX('E-Banker master'!$B$2:$B$186,MATCH($AJ13,'E-Banker master'!$A$2:$A$186,0)),"")</f>
        <v>Mach Milk Limited</v>
      </c>
      <c r="AM13" s="432" t="str">
        <f>IFERROR(INDEX('E-Banker master'!$E$2:$E$186,MATCH($AJ13,'E-Banker master'!$A$2:$A$186,0)),"")</f>
        <v>D</v>
      </c>
      <c r="AN13" s="433">
        <f>IFERROR(INDEX('E-Banker master'!$N$2:$N$186,MATCH($AJ13,'E-Banker master'!$A$2:$A$186,0)),"")</f>
        <v>81075926.780000001</v>
      </c>
      <c r="AO13" s="433">
        <f>IFERROR(INDEX('E-Banker master'!$O$2:$O$186,MATCH($AJ13,'E-Banker master'!$A$2:$A$186,0)),"")</f>
        <v>56575015.299999997</v>
      </c>
      <c r="AP13" s="433">
        <f>IFERROR(INDEX('E-Banker master'!$P$2:$P$186,MATCH($AJ13,'E-Banker master'!$A$2:$A$186,0)),"")</f>
        <v>135070553.40000001</v>
      </c>
      <c r="AQ13" s="433">
        <f t="shared" si="2"/>
        <v>-7908753.5150573254</v>
      </c>
      <c r="AS13" s="444">
        <v>960440</v>
      </c>
      <c r="AT13" s="444">
        <v>1562500</v>
      </c>
    </row>
    <row r="14" spans="1:46" x14ac:dyDescent="0.35">
      <c r="A14" s="35" t="s">
        <v>765</v>
      </c>
      <c r="B14" s="35" t="s">
        <v>766</v>
      </c>
      <c r="C14" s="35"/>
      <c r="D14" s="364">
        <v>10</v>
      </c>
      <c r="E14" s="395" t="s">
        <v>497</v>
      </c>
      <c r="F14" s="169" t="s">
        <v>178</v>
      </c>
      <c r="G14" s="170">
        <v>44307</v>
      </c>
      <c r="H14" s="170">
        <v>46295</v>
      </c>
      <c r="I14" s="171">
        <f t="shared" si="0"/>
        <v>5.4465753424657537</v>
      </c>
      <c r="J14" s="178" t="s">
        <v>768</v>
      </c>
      <c r="K14" s="275">
        <f>'Amortisation and Repayments'!N619</f>
        <v>0.28700000000000003</v>
      </c>
      <c r="L14" s="169">
        <v>80000000</v>
      </c>
      <c r="M14" s="173">
        <v>80000000</v>
      </c>
      <c r="N14" s="169">
        <f>L14-M14</f>
        <v>0</v>
      </c>
      <c r="O14" s="174">
        <f t="shared" si="3"/>
        <v>80000000</v>
      </c>
      <c r="P14" s="169">
        <f>SUM('Amortisation and Repayments'!H627:H669)</f>
        <v>49606668.696146496</v>
      </c>
      <c r="Q14" s="169">
        <f>-SUM('Amortisation and Repayments'!K627:K669)</f>
        <v>-79619445.849999994</v>
      </c>
      <c r="R14" s="262">
        <f t="shared" si="4"/>
        <v>49987222.846146494</v>
      </c>
      <c r="S14" s="176">
        <v>0</v>
      </c>
      <c r="T14" s="176">
        <v>0</v>
      </c>
      <c r="U14" s="167">
        <f t="shared" si="5"/>
        <v>0</v>
      </c>
      <c r="V14" s="181"/>
      <c r="W14" s="169"/>
      <c r="X14" s="169">
        <f>U14</f>
        <v>0</v>
      </c>
      <c r="Y14" s="244"/>
      <c r="Z14" s="181"/>
      <c r="AA14" s="247"/>
      <c r="AB14" s="219"/>
      <c r="AC14" s="219"/>
      <c r="AD14" s="219"/>
      <c r="AE14" s="219"/>
      <c r="AF14" s="219"/>
      <c r="AG14" s="219"/>
      <c r="AH14" s="219"/>
      <c r="AJ14" s="434" t="str">
        <f>IFERROR(INDEX(Mapping!$J$2:$J$110,MATCH(14,Mapping!$A$2:$A$110,0)),"")</f>
        <v>000104420000010</v>
      </c>
      <c r="AK14" s="435" t="str">
        <f>IFERROR(INDEX(Mapping!$K$2:$K$110,MATCH(14,Mapping!$A$2:$A$110,0)),"")</f>
        <v>High</v>
      </c>
      <c r="AL14" s="434" t="str">
        <f>IFERROR(INDEX('E-Banker master'!$B$2:$B$186,MATCH($AJ14,'E-Banker master'!$A$2:$A$186,0)),"")</f>
        <v>Nature's Gift Limited</v>
      </c>
      <c r="AM14" s="432" t="str">
        <f>IFERROR(INDEX('E-Banker master'!$E$2:$E$186,MATCH($AJ14,'E-Banker master'!$A$2:$A$186,0)),"")</f>
        <v>A</v>
      </c>
      <c r="AN14" s="433">
        <f>IFERROR(INDEX('E-Banker master'!$N$2:$N$186,MATCH($AJ14,'E-Banker master'!$A$2:$A$186,0)),"")</f>
        <v>80000000</v>
      </c>
      <c r="AO14" s="433">
        <f>IFERROR(INDEX('E-Banker master'!$O$2:$O$186,MATCH($AJ14,'E-Banker master'!$A$2:$A$186,0)),"")</f>
        <v>46627490.100000001</v>
      </c>
      <c r="AP14" s="433">
        <f>IFERROR(INDEX('E-Banker master'!$P$2:$P$186,MATCH($AJ14,'E-Banker master'!$A$2:$A$186,0)),"")</f>
        <v>50784761.799999997</v>
      </c>
      <c r="AQ14" s="436">
        <f t="shared" si="2"/>
        <v>-797538.95385350287</v>
      </c>
      <c r="AS14" s="444">
        <v>1650000</v>
      </c>
      <c r="AT14" s="444">
        <v>3650000</v>
      </c>
    </row>
    <row r="15" spans="1:46" x14ac:dyDescent="0.35">
      <c r="A15" s="35"/>
      <c r="B15" s="35"/>
      <c r="C15" s="35"/>
      <c r="D15" s="363">
        <v>11</v>
      </c>
      <c r="E15" s="395" t="s">
        <v>497</v>
      </c>
      <c r="F15" s="169" t="s">
        <v>178</v>
      </c>
      <c r="G15" s="170">
        <v>44400</v>
      </c>
      <c r="H15" s="170">
        <v>46142</v>
      </c>
      <c r="I15" s="171">
        <f t="shared" si="0"/>
        <v>4.7726027397260271</v>
      </c>
      <c r="J15" s="178"/>
      <c r="K15" s="275">
        <f>'Amortisation and Repayments'!M759</f>
        <v>0.28700000000000003</v>
      </c>
      <c r="L15" s="169">
        <v>85000000</v>
      </c>
      <c r="M15" s="173">
        <v>85000000</v>
      </c>
      <c r="N15" s="169">
        <f>L15-M15</f>
        <v>0</v>
      </c>
      <c r="O15" s="174">
        <f t="shared" si="3"/>
        <v>85000000</v>
      </c>
      <c r="P15" s="169">
        <f>SUM('Amortisation and Repayments'!H767:H806)</f>
        <v>48641493.10318052</v>
      </c>
      <c r="Q15" s="169">
        <f>-SUM('Amortisation and Repayments'!K767:K806)</f>
        <v>-91262042.879999995</v>
      </c>
      <c r="R15" s="262">
        <f t="shared" si="4"/>
        <v>42379450.223180532</v>
      </c>
      <c r="S15" s="176">
        <v>0</v>
      </c>
      <c r="T15" s="176">
        <v>0</v>
      </c>
      <c r="U15" s="167">
        <f t="shared" si="5"/>
        <v>0</v>
      </c>
      <c r="V15" s="181"/>
      <c r="W15" s="169">
        <f>U15</f>
        <v>0</v>
      </c>
      <c r="X15" s="169">
        <v>0</v>
      </c>
      <c r="Y15" s="244"/>
      <c r="Z15" s="181"/>
      <c r="AJ15" s="434" t="str">
        <f>IFERROR(INDEX(Mapping!$J$2:$J$110,MATCH(15,Mapping!$A$2:$A$110,0)),"")</f>
        <v>000104420000012</v>
      </c>
      <c r="AK15" s="435" t="str">
        <f>IFERROR(INDEX(Mapping!$K$2:$K$110,MATCH(15,Mapping!$A$2:$A$110,0)),"")</f>
        <v>High</v>
      </c>
      <c r="AL15" s="434" t="str">
        <f>IFERROR(INDEX('E-Banker master'!$B$2:$B$186,MATCH($AJ15,'E-Banker master'!$A$2:$A$186,0)),"")</f>
        <v>Nature's Gift Limited</v>
      </c>
      <c r="AM15" s="432" t="str">
        <f>IFERROR(INDEX('E-Banker master'!$E$2:$E$186,MATCH($AJ15,'E-Banker master'!$A$2:$A$186,0)),"")</f>
        <v>A</v>
      </c>
      <c r="AN15" s="433">
        <f>IFERROR(INDEX('E-Banker master'!$N$2:$N$186,MATCH($AJ15,'E-Banker master'!$A$2:$A$186,0)),"")</f>
        <v>85000000</v>
      </c>
      <c r="AO15" s="433">
        <f>IFERROR(INDEX('E-Banker master'!$O$2:$O$186,MATCH($AJ15,'E-Banker master'!$A$2:$A$186,0)),"")</f>
        <v>45506488.990000002</v>
      </c>
      <c r="AP15" s="433">
        <f>IFERROR(INDEX('E-Banker master'!$P$2:$P$186,MATCH($AJ15,'E-Banker master'!$A$2:$A$186,0)),"")</f>
        <v>42742352.289999999</v>
      </c>
      <c r="AQ15" s="436">
        <f t="shared" si="2"/>
        <v>-362902.06681946665</v>
      </c>
    </row>
    <row r="16" spans="1:46" x14ac:dyDescent="0.35">
      <c r="A16" s="35" t="s">
        <v>765</v>
      </c>
      <c r="B16" s="35" t="s">
        <v>766</v>
      </c>
      <c r="C16" s="35"/>
      <c r="D16" s="363">
        <v>12</v>
      </c>
      <c r="E16" s="399" t="s">
        <v>498</v>
      </c>
      <c r="F16" s="169" t="s">
        <v>178</v>
      </c>
      <c r="G16" s="170">
        <v>44336</v>
      </c>
      <c r="H16" s="170">
        <v>45796</v>
      </c>
      <c r="I16" s="171">
        <f t="shared" si="0"/>
        <v>4</v>
      </c>
      <c r="J16" s="178" t="s">
        <v>777</v>
      </c>
      <c r="K16" s="275">
        <f>'Amortisation and Repayments'!N695</f>
        <v>0.29700000000000004</v>
      </c>
      <c r="L16" s="169">
        <v>96552500</v>
      </c>
      <c r="M16" s="173">
        <f>'Amortisation and Repayments'!D694+'Amortisation and Repayments'!F694</f>
        <v>96552500</v>
      </c>
      <c r="N16" s="169">
        <f>L16-M16</f>
        <v>0</v>
      </c>
      <c r="O16" s="174">
        <f t="shared" si="3"/>
        <v>96552500</v>
      </c>
      <c r="P16" s="169">
        <f>SUM('Amortisation and Repayments'!H703:H744)</f>
        <v>79960563.859000817</v>
      </c>
      <c r="Q16" s="169">
        <f>-SUM('Amortisation and Repayments'!K703:K744)</f>
        <v>-23143102</v>
      </c>
      <c r="R16" s="262">
        <f t="shared" si="4"/>
        <v>153369961.8590008</v>
      </c>
      <c r="S16" s="238">
        <f>SUM('Amortisation and Repayments'!I732:I744)</f>
        <v>58731536.681867853</v>
      </c>
      <c r="T16" s="238">
        <f>'Amortisation and Repayments'!L744-'Loan Book'!S16</f>
        <v>27464466.88263014</v>
      </c>
      <c r="U16" s="167">
        <f t="shared" si="5"/>
        <v>86196003.564497992</v>
      </c>
      <c r="V16" s="181"/>
      <c r="W16" s="169">
        <f>'Amortisation and Repayments'!G744</f>
        <v>6490909.5622459818</v>
      </c>
      <c r="X16" s="169">
        <f>SUM('Amortisation and Repayments'!G741:G743)</f>
        <v>19472728.686737947</v>
      </c>
      <c r="Y16" s="244">
        <f>SUM('Amortisation and Repayments'!G738:G740)</f>
        <v>19435563.569401771</v>
      </c>
      <c r="Z16" s="256">
        <f>+U16-SUM(W16:Y16)</f>
        <v>40796801.746112294</v>
      </c>
      <c r="AJ16" s="434" t="str">
        <f>IFERROR(INDEX(Mapping!$J$2:$J$110,MATCH(16,Mapping!$A$2:$A$110,0)),"")</f>
        <v>000104420000011</v>
      </c>
      <c r="AK16" s="435" t="str">
        <f>IFERROR(INDEX(Mapping!$K$2:$K$110,MATCH(16,Mapping!$A$2:$A$110,0)),"")</f>
        <v>High</v>
      </c>
      <c r="AL16" s="434" t="str">
        <f>IFERROR(INDEX('E-Banker master'!$B$2:$B$186,MATCH($AJ16,'E-Banker master'!$A$2:$A$186,0)),"")</f>
        <v>Kajikhomele Foundation Ltd</v>
      </c>
      <c r="AM16" s="432" t="str">
        <f>IFERROR(INDEX('E-Banker master'!$E$2:$E$186,MATCH($AJ16,'E-Banker master'!$A$2:$A$186,0)),"")</f>
        <v>D</v>
      </c>
      <c r="AN16" s="433">
        <f>IFERROR(INDEX('E-Banker master'!$N$2:$N$186,MATCH($AJ16,'E-Banker master'!$A$2:$A$186,0)),"")</f>
        <v>96552500</v>
      </c>
      <c r="AO16" s="437">
        <f>IFERROR(INDEX('E-Banker master'!$O$2:$O$186,MATCH($AJ16,'E-Banker master'!$A$2:$A$186,0)),"")</f>
        <v>75812661.709999993</v>
      </c>
      <c r="AP16" s="436">
        <f>IFERROR(INDEX('E-Banker master'!$P$2:$P$186,MATCH($AJ16,'E-Banker master'!$A$2:$A$186,0)),"")</f>
        <v>162085543.34</v>
      </c>
      <c r="AQ16" s="433">
        <f t="shared" si="2"/>
        <v>-8715581.4809992015</v>
      </c>
      <c r="AS16" s="444">
        <v>1448288</v>
      </c>
      <c r="AT16" s="444">
        <v>2605500</v>
      </c>
    </row>
    <row r="17" spans="1:46" x14ac:dyDescent="0.35">
      <c r="A17" s="35"/>
      <c r="B17" s="35"/>
      <c r="C17" s="35"/>
      <c r="D17" s="364">
        <v>13</v>
      </c>
      <c r="E17" s="399" t="s">
        <v>778</v>
      </c>
      <c r="F17" s="221" t="s">
        <v>178</v>
      </c>
      <c r="G17" s="222">
        <v>44553</v>
      </c>
      <c r="H17" s="222">
        <v>45291</v>
      </c>
      <c r="I17" s="223">
        <f t="shared" si="0"/>
        <v>2.021917808219178</v>
      </c>
      <c r="J17" s="224" t="s">
        <v>779</v>
      </c>
      <c r="K17" s="225">
        <v>10</v>
      </c>
      <c r="L17" s="221">
        <v>11511500</v>
      </c>
      <c r="M17" s="226">
        <v>11511500</v>
      </c>
      <c r="N17" s="221">
        <f>L17-M17</f>
        <v>0</v>
      </c>
      <c r="O17" s="227">
        <f t="shared" si="3"/>
        <v>11511500</v>
      </c>
      <c r="P17" s="221">
        <f>'Amortisation and Repayments'!H1046+SUM('Amortisation and Repayments'!H1055:H1078)</f>
        <v>1430309.6282004518</v>
      </c>
      <c r="Q17" s="221">
        <f>-SUM('Amortisation and Repayments'!K1055:K1078)</f>
        <v>-900000</v>
      </c>
      <c r="R17" s="331">
        <v>0</v>
      </c>
      <c r="S17" s="228">
        <v>0</v>
      </c>
      <c r="T17" s="228">
        <v>0</v>
      </c>
      <c r="U17" s="167">
        <f t="shared" si="5"/>
        <v>0</v>
      </c>
      <c r="V17" s="229"/>
      <c r="W17" s="221"/>
      <c r="X17" s="221"/>
      <c r="Y17" s="221">
        <v>0</v>
      </c>
      <c r="Z17" s="221">
        <f>U17-Y17</f>
        <v>0</v>
      </c>
      <c r="AJ17" s="434" t="str">
        <f>IFERROR(INDEX(Mapping!$J$2:$J$110,MATCH(17,Mapping!$A$2:$A$110,0)),"")</f>
        <v>000104450000012</v>
      </c>
      <c r="AK17" s="435" t="str">
        <f>IFERROR(INDEX(Mapping!$K$2:$K$110,MATCH(17,Mapping!$A$2:$A$110,0)),"")</f>
        <v>High</v>
      </c>
      <c r="AL17" s="434" t="str">
        <f>IFERROR(INDEX('E-Banker master'!$B$2:$B$186,MATCH($AJ17,'E-Banker master'!$A$2:$A$186,0)),"")</f>
        <v>Maluso Cooperative Union</v>
      </c>
      <c r="AM17" s="432" t="str">
        <f>IFERROR(INDEX('E-Banker master'!$E$2:$E$186,MATCH($AJ17,'E-Banker master'!$A$2:$A$186,0)),"")</f>
        <v>A</v>
      </c>
      <c r="AN17" s="433">
        <f>IFERROR(INDEX('E-Banker master'!$N$2:$N$186,MATCH($AJ17,'E-Banker master'!$A$2:$A$186,0)),"")</f>
        <v>11511500</v>
      </c>
      <c r="AO17" s="433">
        <f>IFERROR(INDEX('E-Banker master'!$O$2:$O$186,MATCH($AJ17,'E-Banker master'!$A$2:$A$186,0)),"")</f>
        <v>1430309.63</v>
      </c>
      <c r="AP17" s="436">
        <f>IFERROR(INDEX('E-Banker master'!$P$2:$P$186,MATCH($AJ17,'E-Banker master'!$A$2:$A$186,0)),"")</f>
        <v>0</v>
      </c>
      <c r="AQ17" s="433">
        <f t="shared" si="2"/>
        <v>0</v>
      </c>
      <c r="AS17" s="444">
        <v>115115</v>
      </c>
      <c r="AT17" s="444">
        <v>272696.76</v>
      </c>
    </row>
    <row r="18" spans="1:46" x14ac:dyDescent="0.35">
      <c r="A18" s="35"/>
      <c r="B18" s="35"/>
      <c r="C18" s="35"/>
      <c r="D18" s="363">
        <v>14</v>
      </c>
      <c r="E18" s="168" t="s">
        <v>780</v>
      </c>
      <c r="F18" s="169" t="s">
        <v>178</v>
      </c>
      <c r="G18" s="170">
        <v>44554</v>
      </c>
      <c r="H18" s="170">
        <v>45291</v>
      </c>
      <c r="I18" s="171">
        <v>2.0191780821917811</v>
      </c>
      <c r="J18" s="178">
        <v>0</v>
      </c>
      <c r="K18" s="172">
        <v>10</v>
      </c>
      <c r="L18" s="169">
        <v>10000000</v>
      </c>
      <c r="M18" s="173">
        <v>10000000</v>
      </c>
      <c r="N18" s="169">
        <v>0</v>
      </c>
      <c r="O18" s="174">
        <v>10000000</v>
      </c>
      <c r="P18" s="169">
        <v>1096700.12922314</v>
      </c>
      <c r="Q18" s="169">
        <v>-11096700.130000001</v>
      </c>
      <c r="R18" s="388">
        <v>-7.7685900032520294E-4</v>
      </c>
      <c r="S18" s="176"/>
      <c r="T18" s="176">
        <v>0</v>
      </c>
      <c r="U18" s="167">
        <v>0</v>
      </c>
      <c r="V18" s="181"/>
      <c r="W18" s="169"/>
      <c r="X18" s="169"/>
      <c r="Y18" s="244">
        <v>0</v>
      </c>
      <c r="Z18" s="178"/>
      <c r="AJ18" s="434" t="str">
        <f>IFERROR(INDEX(Mapping!$J$2:$J$110,MATCH(18,Mapping!$A$2:$A$110,0)),"")</f>
        <v>000104450000013</v>
      </c>
      <c r="AK18" s="435" t="str">
        <f>IFERROR(INDEX(Mapping!$K$2:$K$110,MATCH(18,Mapping!$A$2:$A$110,0)),"")</f>
        <v>High</v>
      </c>
      <c r="AL18" s="434" t="str">
        <f>IFERROR(INDEX('E-Banker master'!$B$2:$B$186,MATCH($AJ18,'E-Banker master'!$A$2:$A$186,0)),"")</f>
        <v>Ndagha Sustainable Foods Limited</v>
      </c>
      <c r="AM18" s="432" t="str">
        <f>IFERROR(INDEX('E-Banker master'!$E$2:$E$186,MATCH($AJ18,'E-Banker master'!$A$2:$A$186,0)),"")</f>
        <v>C</v>
      </c>
      <c r="AN18" s="433">
        <f>IFERROR(INDEX('E-Banker master'!$N$2:$N$186,MATCH($AJ18,'E-Banker master'!$A$2:$A$186,0)),"")</f>
        <v>0</v>
      </c>
      <c r="AO18" s="433">
        <f>IFERROR(INDEX('E-Banker master'!$O$2:$O$186,MATCH($AJ18,'E-Banker master'!$A$2:$A$186,0)),"")</f>
        <v>0</v>
      </c>
      <c r="AP18" s="433">
        <f>IFERROR(INDEX('E-Banker master'!$P$2:$P$186,MATCH($AJ18,'E-Banker master'!$A$2:$A$186,0)),"")</f>
        <v>0</v>
      </c>
      <c r="AQ18" s="433">
        <f t="shared" si="2"/>
        <v>-7.7685900032520294E-4</v>
      </c>
      <c r="AS18" s="444">
        <v>100000</v>
      </c>
      <c r="AT18" s="444">
        <v>210000</v>
      </c>
    </row>
    <row r="19" spans="1:46" x14ac:dyDescent="0.35">
      <c r="A19" s="35"/>
      <c r="B19" s="35"/>
      <c r="C19" s="35"/>
      <c r="D19" s="363">
        <v>15</v>
      </c>
      <c r="E19" s="168" t="s">
        <v>781</v>
      </c>
      <c r="F19" s="169" t="s">
        <v>178</v>
      </c>
      <c r="G19" s="170">
        <v>44551</v>
      </c>
      <c r="H19" s="170">
        <v>45291</v>
      </c>
      <c r="I19" s="171">
        <v>2.0273972602739732</v>
      </c>
      <c r="J19" s="178" t="s">
        <v>774</v>
      </c>
      <c r="K19" s="172">
        <v>10</v>
      </c>
      <c r="L19" s="169">
        <v>20000000</v>
      </c>
      <c r="M19" s="173">
        <v>20000000</v>
      </c>
      <c r="N19" s="169">
        <v>0</v>
      </c>
      <c r="O19" s="174">
        <v>20000000</v>
      </c>
      <c r="P19" s="169">
        <v>2784623.4287879192</v>
      </c>
      <c r="Q19" s="169">
        <v>-22784623.449999999</v>
      </c>
      <c r="R19" s="388">
        <v>0</v>
      </c>
      <c r="S19" s="176"/>
      <c r="T19" s="176">
        <v>0</v>
      </c>
      <c r="U19" s="167">
        <v>0</v>
      </c>
      <c r="V19" s="181"/>
      <c r="W19" s="169">
        <v>0</v>
      </c>
      <c r="X19" s="169"/>
      <c r="Y19" s="244">
        <v>0</v>
      </c>
      <c r="Z19" s="178"/>
      <c r="AJ19" s="434" t="str">
        <f>IFERROR(INDEX(Mapping!$J$2:$J$110,MATCH(19,Mapping!$A$2:$A$110,0)),"")</f>
        <v>000104460000014</v>
      </c>
      <c r="AK19" s="435" t="str">
        <f>IFERROR(INDEX(Mapping!$K$2:$K$110,MATCH(19,Mapping!$A$2:$A$110,0)),"")</f>
        <v>High</v>
      </c>
      <c r="AL19" s="434" t="str">
        <f>IFERROR(INDEX('E-Banker master'!$B$2:$B$186,MATCH($AJ19,'E-Banker master'!$A$2:$A$186,0)),"")</f>
        <v>Ecogen Limited</v>
      </c>
      <c r="AM19" s="432" t="str">
        <f>IFERROR(INDEX('E-Banker master'!$E$2:$E$186,MATCH($AJ19,'E-Banker master'!$A$2:$A$186,0)),"")</f>
        <v>C</v>
      </c>
      <c r="AN19" s="433">
        <f>IFERROR(INDEX('E-Banker master'!$N$2:$N$186,MATCH($AJ19,'E-Banker master'!$A$2:$A$186,0)),"")</f>
        <v>0</v>
      </c>
      <c r="AO19" s="433">
        <f>IFERROR(INDEX('E-Banker master'!$O$2:$O$186,MATCH($AJ19,'E-Banker master'!$A$2:$A$186,0)),"")</f>
        <v>0</v>
      </c>
      <c r="AP19" s="433">
        <f>IFERROR(INDEX('E-Banker master'!$P$2:$P$186,MATCH($AJ19,'E-Banker master'!$A$2:$A$186,0)),"")</f>
        <v>0</v>
      </c>
      <c r="AQ19" s="433">
        <f t="shared" si="2"/>
        <v>0</v>
      </c>
      <c r="AS19" s="444">
        <v>200000</v>
      </c>
      <c r="AT19" s="444">
        <v>378320</v>
      </c>
    </row>
    <row r="20" spans="1:46" x14ac:dyDescent="0.35">
      <c r="A20" s="35"/>
      <c r="B20" s="35"/>
      <c r="C20" s="35"/>
      <c r="D20" s="364">
        <v>16</v>
      </c>
      <c r="E20" s="397" t="s">
        <v>588</v>
      </c>
      <c r="F20" s="207" t="s">
        <v>178</v>
      </c>
      <c r="G20" s="209">
        <v>44551</v>
      </c>
      <c r="H20" s="209">
        <v>45275</v>
      </c>
      <c r="I20" s="210">
        <f>(H20-G20)/365</f>
        <v>1.9835616438356165</v>
      </c>
      <c r="J20" s="211">
        <v>0</v>
      </c>
      <c r="K20" s="212">
        <v>10</v>
      </c>
      <c r="L20" s="207">
        <v>10000000</v>
      </c>
      <c r="M20" s="213">
        <v>10000000</v>
      </c>
      <c r="N20" s="207">
        <f>L20-M20</f>
        <v>0</v>
      </c>
      <c r="O20" s="214">
        <f t="shared" ref="O20:O29" si="6">M20</f>
        <v>10000000</v>
      </c>
      <c r="P20" s="207">
        <f>'Amortisation and Repayments'!G913+SUM('Amortisation and Repayments'!H922:H946)</f>
        <v>1104919.3073053316</v>
      </c>
      <c r="Q20" s="207">
        <f>-SUM('Amortisation and Repayments'!K922:K946)</f>
        <v>0</v>
      </c>
      <c r="R20" s="331">
        <f t="shared" ref="R20:R29" si="7">SUM(O20:Q20)</f>
        <v>11104919.307305332</v>
      </c>
      <c r="S20" s="243">
        <v>10000000</v>
      </c>
      <c r="T20" s="243">
        <f>SUM('Amortisation and Repayments'!H922:H945)</f>
        <v>1074782.3210039616</v>
      </c>
      <c r="U20" s="167">
        <f t="shared" ref="U20:U29" si="8">+SUM(S20:T20)</f>
        <v>11074782.321003962</v>
      </c>
      <c r="V20" s="254"/>
      <c r="W20" s="207"/>
      <c r="X20" s="207"/>
      <c r="Y20" s="250">
        <v>0</v>
      </c>
      <c r="Z20" s="251">
        <f>U20-Y20</f>
        <v>11074782.321003962</v>
      </c>
      <c r="AJ20" s="434" t="str">
        <f>IFERROR(INDEX(Mapping!$J$2:$J$110,MATCH(20,Mapping!$A$2:$A$110,0)),"")</f>
        <v>000104450000015</v>
      </c>
      <c r="AK20" s="435" t="str">
        <f>IFERROR(INDEX(Mapping!$K$2:$K$110,MATCH(20,Mapping!$A$2:$A$110,0)),"")</f>
        <v>High</v>
      </c>
      <c r="AL20" s="432" t="str">
        <f>IFERROR(INDEX('E-Banker master'!$B$2:$B$186,MATCH($AJ20,'E-Banker master'!$A$2:$A$186,0)),"")</f>
        <v>Zaithwa Farms</v>
      </c>
      <c r="AM20" s="432" t="str">
        <f>IFERROR(INDEX('E-Banker master'!$E$2:$E$186,MATCH($AJ20,'E-Banker master'!$A$2:$A$186,0)),"")</f>
        <v>D</v>
      </c>
      <c r="AN20" s="433">
        <f>IFERROR(INDEX('E-Banker master'!$N$2:$N$186,MATCH($AJ20,'E-Banker master'!$A$2:$A$186,0)),"")</f>
        <v>10000000</v>
      </c>
      <c r="AO20" s="433">
        <f>IFERROR(INDEX('E-Banker master'!$O$2:$O$186,MATCH($AJ20,'E-Banker master'!$A$2:$A$186,0)),"")</f>
        <v>1104919.31</v>
      </c>
      <c r="AP20" s="433">
        <f>IFERROR(INDEX('E-Banker master'!$P$2:$P$186,MATCH($AJ20,'E-Banker master'!$A$2:$A$186,0)),"")</f>
        <v>11387182.140000001</v>
      </c>
      <c r="AQ20" s="433">
        <f t="shared" si="2"/>
        <v>-282262.83269466832</v>
      </c>
      <c r="AS20" s="444">
        <v>100000</v>
      </c>
      <c r="AT20" s="444">
        <v>210000</v>
      </c>
    </row>
    <row r="21" spans="1:46" x14ac:dyDescent="0.35">
      <c r="A21" s="35"/>
      <c r="B21" s="35"/>
      <c r="C21" s="35"/>
      <c r="D21" s="363">
        <v>17</v>
      </c>
      <c r="E21" s="181" t="s">
        <v>782</v>
      </c>
      <c r="F21" s="169" t="s">
        <v>178</v>
      </c>
      <c r="G21" s="170">
        <v>44208</v>
      </c>
      <c r="H21" s="170">
        <v>45657</v>
      </c>
      <c r="I21" s="171">
        <v>3</v>
      </c>
      <c r="J21" s="178" t="s">
        <v>779</v>
      </c>
      <c r="K21" s="172">
        <v>10</v>
      </c>
      <c r="L21" s="169">
        <v>23616000</v>
      </c>
      <c r="M21" s="169">
        <v>23616000</v>
      </c>
      <c r="N21" s="169">
        <v>0</v>
      </c>
      <c r="O21" s="174">
        <f t="shared" si="6"/>
        <v>23616000</v>
      </c>
      <c r="P21" s="169">
        <f>SUM('[1]Amortisation and Repayments'!H962:H980)</f>
        <v>3183921.9848211119</v>
      </c>
      <c r="Q21" s="169">
        <f>-SUM('[1]Amortisation and Repayments'!K962:K986)+150078.02</f>
        <v>-26799921.98</v>
      </c>
      <c r="R21" s="386">
        <f t="shared" si="7"/>
        <v>4.8211105167865753E-3</v>
      </c>
      <c r="S21" s="176">
        <v>0</v>
      </c>
      <c r="T21" s="176"/>
      <c r="U21" s="167">
        <f t="shared" si="8"/>
        <v>0</v>
      </c>
      <c r="V21" s="181"/>
      <c r="W21" s="169">
        <v>0</v>
      </c>
      <c r="X21" s="169">
        <v>0</v>
      </c>
      <c r="Y21" s="244">
        <v>0</v>
      </c>
      <c r="Z21" s="181"/>
      <c r="AJ21" s="434" t="str">
        <f>IFERROR(INDEX(Mapping!$J$2:$J$110,MATCH(21,Mapping!$A$2:$A$110,0)),"")</f>
        <v>000104450000016</v>
      </c>
      <c r="AK21" s="435" t="str">
        <f>IFERROR(INDEX(Mapping!$K$2:$K$110,MATCH(21,Mapping!$A$2:$A$110,0)),"")</f>
        <v>High</v>
      </c>
      <c r="AL21" s="432" t="str">
        <f>IFERROR(INDEX('E-Banker master'!$B$2:$B$186,MATCH($AJ21,'E-Banker master'!$A$2:$A$186,0)),"")</f>
        <v>Beaulaland Food Processors</v>
      </c>
      <c r="AM21" s="432" t="str">
        <f>IFERROR(INDEX('E-Banker master'!$E$2:$E$186,MATCH($AJ21,'E-Banker master'!$A$2:$A$186,0)),"")</f>
        <v>C</v>
      </c>
      <c r="AN21" s="433">
        <f>IFERROR(INDEX('E-Banker master'!$N$2:$N$186,MATCH($AJ21,'E-Banker master'!$A$2:$A$186,0)),"")</f>
        <v>0</v>
      </c>
      <c r="AO21" s="433">
        <f>IFERROR(INDEX('E-Banker master'!$O$2:$O$186,MATCH($AJ21,'E-Banker master'!$A$2:$A$186,0)),"")</f>
        <v>0</v>
      </c>
      <c r="AP21" s="433">
        <f>IFERROR(INDEX('E-Banker master'!$P$2:$P$186,MATCH($AJ21,'E-Banker master'!$A$2:$A$186,0)),"")</f>
        <v>0</v>
      </c>
      <c r="AQ21" s="433">
        <f t="shared" si="2"/>
        <v>4.8211105167865753E-3</v>
      </c>
      <c r="AS21" s="444">
        <v>236160</v>
      </c>
      <c r="AT21" s="444">
        <v>427856</v>
      </c>
    </row>
    <row r="22" spans="1:46" x14ac:dyDescent="0.35">
      <c r="A22" s="35"/>
      <c r="B22" s="35"/>
      <c r="C22" s="35"/>
      <c r="D22" s="363">
        <v>18</v>
      </c>
      <c r="E22" s="396" t="s">
        <v>635</v>
      </c>
      <c r="F22" s="207" t="s">
        <v>178</v>
      </c>
      <c r="G22" s="209">
        <v>44220</v>
      </c>
      <c r="H22" s="209">
        <v>45657</v>
      </c>
      <c r="I22" s="210">
        <v>2</v>
      </c>
      <c r="J22" s="211" t="s">
        <v>779</v>
      </c>
      <c r="K22" s="212">
        <v>10</v>
      </c>
      <c r="L22" s="207">
        <v>14677500</v>
      </c>
      <c r="M22" s="213">
        <v>14677500</v>
      </c>
      <c r="N22" s="207">
        <v>0</v>
      </c>
      <c r="O22" s="214">
        <f t="shared" si="6"/>
        <v>14677500</v>
      </c>
      <c r="P22" s="207">
        <f>SUM('Amortisation and Repayments'!H1015:H1039)</f>
        <v>2537771.4422342125</v>
      </c>
      <c r="Q22" s="207">
        <f>-SUM('Amortisation and Repayments'!K1015:K1039)</f>
        <v>-17215271.442234211</v>
      </c>
      <c r="R22" s="331">
        <f t="shared" si="7"/>
        <v>0</v>
      </c>
      <c r="S22" s="297">
        <v>0</v>
      </c>
      <c r="T22" s="243">
        <v>0</v>
      </c>
      <c r="U22" s="167">
        <f t="shared" si="8"/>
        <v>0</v>
      </c>
      <c r="V22" s="254"/>
      <c r="W22" s="207">
        <v>0</v>
      </c>
      <c r="X22" s="207">
        <v>0</v>
      </c>
      <c r="Y22" s="207">
        <v>0</v>
      </c>
      <c r="Z22" s="251">
        <f>U22</f>
        <v>0</v>
      </c>
      <c r="AJ22" s="434" t="str">
        <f>IFERROR(INDEX(Mapping!$J$2:$J$110,MATCH(22,Mapping!$A$2:$A$110,0)),"")</f>
        <v>000104460000017</v>
      </c>
      <c r="AK22" s="435" t="str">
        <f>IFERROR(INDEX(Mapping!$K$2:$K$110,MATCH(22,Mapping!$A$2:$A$110,0)),"")</f>
        <v>High</v>
      </c>
      <c r="AL22" s="434" t="str">
        <f>IFERROR(INDEX('E-Banker master'!$B$2:$B$186,MATCH($AJ22,'E-Banker master'!$A$2:$A$186,0)),"")</f>
        <v>Steel Base Furnitures</v>
      </c>
      <c r="AM22" s="432" t="str">
        <f>IFERROR(INDEX('E-Banker master'!$E$2:$E$186,MATCH($AJ22,'E-Banker master'!$A$2:$A$186,0)),"")</f>
        <v>H</v>
      </c>
      <c r="AN22" s="433">
        <f>IFERROR(INDEX('E-Banker master'!$N$2:$N$186,MATCH($AJ22,'E-Banker master'!$A$2:$A$186,0)),"")</f>
        <v>14677500</v>
      </c>
      <c r="AO22" s="433">
        <f>IFERROR(INDEX('E-Banker master'!$O$2:$O$186,MATCH($AJ22,'E-Banker master'!$A$2:$A$186,0)),"")</f>
        <v>2537771.44</v>
      </c>
      <c r="AP22" s="433">
        <f>IFERROR(INDEX('E-Banker master'!$P$2:$P$186,MATCH($AJ22,'E-Banker master'!$A$2:$A$186,0)),"")</f>
        <v>349021.15</v>
      </c>
      <c r="AQ22" s="433">
        <f t="shared" si="2"/>
        <v>-349021.15</v>
      </c>
      <c r="AS22" s="444">
        <v>146775</v>
      </c>
      <c r="AT22" s="444">
        <v>234840</v>
      </c>
    </row>
    <row r="23" spans="1:46" s="277" customFormat="1" x14ac:dyDescent="0.35">
      <c r="A23" s="376"/>
      <c r="B23" s="376"/>
      <c r="C23" s="376"/>
      <c r="D23" s="364">
        <v>19</v>
      </c>
      <c r="E23" s="168" t="s">
        <v>590</v>
      </c>
      <c r="F23" s="173" t="s">
        <v>178</v>
      </c>
      <c r="G23" s="377">
        <v>44595</v>
      </c>
      <c r="H23" s="377">
        <v>45322</v>
      </c>
      <c r="I23" s="378">
        <v>2</v>
      </c>
      <c r="J23" s="379">
        <v>0</v>
      </c>
      <c r="K23" s="380">
        <v>10</v>
      </c>
      <c r="L23" s="173">
        <v>13000000</v>
      </c>
      <c r="M23" s="173">
        <v>13000000</v>
      </c>
      <c r="N23" s="173">
        <v>0</v>
      </c>
      <c r="O23" s="262">
        <f t="shared" si="6"/>
        <v>13000000</v>
      </c>
      <c r="P23" s="173">
        <f>SUM('[1]Amortisation and Repayments'!H1094:H1111)</f>
        <v>1294527.168774443</v>
      </c>
      <c r="Q23" s="173">
        <f>-SUM('[1]Amortisation and Repayments'!K1094:K1112)</f>
        <v>-14294527.17</v>
      </c>
      <c r="R23" s="388">
        <f t="shared" si="7"/>
        <v>-1.2255571782588959E-3</v>
      </c>
      <c r="S23" s="238"/>
      <c r="T23" s="238">
        <v>0</v>
      </c>
      <c r="U23" s="167">
        <f t="shared" si="8"/>
        <v>0</v>
      </c>
      <c r="V23" s="168"/>
      <c r="W23" s="173">
        <v>0</v>
      </c>
      <c r="X23" s="173">
        <v>0</v>
      </c>
      <c r="Y23" s="381">
        <v>0</v>
      </c>
      <c r="Z23" s="168"/>
      <c r="AJ23" s="434" t="str">
        <f>IFERROR(INDEX(Mapping!$J$2:$J$110,MATCH(23,Mapping!$A$2:$A$110,0)),"")</f>
        <v>000104450000018</v>
      </c>
      <c r="AK23" s="435" t="str">
        <f>IFERROR(INDEX(Mapping!$K$2:$K$110,MATCH(23,Mapping!$A$2:$A$110,0)),"")</f>
        <v>High</v>
      </c>
      <c r="AL23" s="434" t="str">
        <f>IFERROR(INDEX('E-Banker master'!$B$2:$B$186,MATCH($AJ23,'E-Banker master'!$A$2:$A$186,0)),"")</f>
        <v>Muddy Boots</v>
      </c>
      <c r="AM23" s="432" t="str">
        <f>IFERROR(INDEX('E-Banker master'!$E$2:$E$186,MATCH($AJ23,'E-Banker master'!$A$2:$A$186,0)),"")</f>
        <v>C</v>
      </c>
      <c r="AN23" s="433">
        <f>IFERROR(INDEX('E-Banker master'!$N$2:$N$186,MATCH($AJ23,'E-Banker master'!$A$2:$A$186,0)),"")</f>
        <v>0</v>
      </c>
      <c r="AO23" s="433">
        <f>IFERROR(INDEX('E-Banker master'!$O$2:$O$186,MATCH($AJ23,'E-Banker master'!$A$2:$A$186,0)),"")</f>
        <v>0</v>
      </c>
      <c r="AP23" s="433">
        <f>IFERROR(INDEX('E-Banker master'!$P$2:$P$186,MATCH($AJ23,'E-Banker master'!$A$2:$A$186,0)),"")</f>
        <v>0</v>
      </c>
      <c r="AQ23" s="433">
        <f t="shared" si="2"/>
        <v>-1.2255571782588959E-3</v>
      </c>
      <c r="AS23" s="444">
        <v>130000</v>
      </c>
      <c r="AT23" s="444">
        <v>300570</v>
      </c>
    </row>
    <row r="24" spans="1:46" s="277" customFormat="1" x14ac:dyDescent="0.35">
      <c r="A24" s="376"/>
      <c r="B24" s="376"/>
      <c r="C24" s="376"/>
      <c r="D24" s="363">
        <v>20</v>
      </c>
      <c r="E24" s="168" t="s">
        <v>636</v>
      </c>
      <c r="F24" s="173" t="s">
        <v>178</v>
      </c>
      <c r="G24" s="377">
        <v>44603</v>
      </c>
      <c r="H24" s="377">
        <v>45350</v>
      </c>
      <c r="I24" s="378">
        <v>2</v>
      </c>
      <c r="J24" s="379" t="s">
        <v>779</v>
      </c>
      <c r="K24" s="380">
        <v>10</v>
      </c>
      <c r="L24" s="173">
        <v>24000000</v>
      </c>
      <c r="M24" s="173">
        <v>24000000</v>
      </c>
      <c r="N24" s="173">
        <v>0</v>
      </c>
      <c r="O24" s="262">
        <f t="shared" si="6"/>
        <v>24000000</v>
      </c>
      <c r="P24" s="173">
        <f>SUM('[1]Amortisation and Repayments'!H1135:H1147)</f>
        <v>2249744.4148153965</v>
      </c>
      <c r="Q24" s="173">
        <f>-SUM('Amortisation and Repayments'!K1135:K1151)</f>
        <v>-26249744.409999996</v>
      </c>
      <c r="R24" s="388">
        <f t="shared" si="7"/>
        <v>4.8153996467590332E-3</v>
      </c>
      <c r="S24" s="238">
        <v>0</v>
      </c>
      <c r="T24" s="238">
        <v>0</v>
      </c>
      <c r="U24" s="167">
        <f t="shared" si="8"/>
        <v>0</v>
      </c>
      <c r="W24" s="173">
        <v>0</v>
      </c>
      <c r="X24" s="173">
        <v>0</v>
      </c>
      <c r="Y24" s="381">
        <v>0</v>
      </c>
      <c r="Z24" s="168"/>
      <c r="AJ24" s="434" t="str">
        <f>IFERROR(INDEX(Mapping!$J$2:$J$110,MATCH(24,Mapping!$A$2:$A$110,0)),"")</f>
        <v>000104460000019</v>
      </c>
      <c r="AK24" s="435" t="str">
        <f>IFERROR(INDEX(Mapping!$K$2:$K$110,MATCH(24,Mapping!$A$2:$A$110,0)),"")</f>
        <v>High</v>
      </c>
      <c r="AL24" s="434" t="str">
        <f>IFERROR(INDEX('E-Banker master'!$B$2:$B$186,MATCH($AJ24,'E-Banker master'!$A$2:$A$186,0)),"")</f>
        <v>Zanzi Entertainment Ltd</v>
      </c>
      <c r="AM24" s="432" t="str">
        <f>IFERROR(INDEX('E-Banker master'!$E$2:$E$186,MATCH($AJ24,'E-Banker master'!$A$2:$A$186,0)),"")</f>
        <v>C</v>
      </c>
      <c r="AN24" s="433">
        <f>IFERROR(INDEX('E-Banker master'!$N$2:$N$186,MATCH($AJ24,'E-Banker master'!$A$2:$A$186,0)),"")</f>
        <v>0</v>
      </c>
      <c r="AO24" s="433">
        <f>IFERROR(INDEX('E-Banker master'!$O$2:$O$186,MATCH($AJ24,'E-Banker master'!$A$2:$A$186,0)),"")</f>
        <v>0</v>
      </c>
      <c r="AP24" s="433">
        <f>IFERROR(INDEX('E-Banker master'!$P$2:$P$186,MATCH($AJ24,'E-Banker master'!$A$2:$A$186,0)),"")</f>
        <v>0</v>
      </c>
      <c r="AQ24" s="433">
        <f t="shared" si="2"/>
        <v>4.8153996467590332E-3</v>
      </c>
      <c r="AS24" s="444">
        <v>240000</v>
      </c>
      <c r="AT24" s="444">
        <v>434000</v>
      </c>
    </row>
    <row r="25" spans="1:46" x14ac:dyDescent="0.35">
      <c r="A25" s="35"/>
      <c r="B25" s="35"/>
      <c r="C25" s="35"/>
      <c r="D25" s="385">
        <v>21</v>
      </c>
      <c r="E25" s="181" t="s">
        <v>591</v>
      </c>
      <c r="F25" s="169" t="s">
        <v>178</v>
      </c>
      <c r="G25" s="170">
        <v>44609</v>
      </c>
      <c r="H25" s="170">
        <v>45350</v>
      </c>
      <c r="I25" s="171">
        <v>2</v>
      </c>
      <c r="J25" s="178" t="s">
        <v>779</v>
      </c>
      <c r="K25" s="172">
        <v>10</v>
      </c>
      <c r="L25" s="169">
        <v>20400000</v>
      </c>
      <c r="M25" s="169">
        <v>20400000</v>
      </c>
      <c r="N25" s="169">
        <v>0</v>
      </c>
      <c r="O25" s="174">
        <f t="shared" si="6"/>
        <v>20400000</v>
      </c>
      <c r="P25" s="169">
        <f>SUM('Amortisation and Repayments'!H1175:H1207)</f>
        <v>3206277.2705432144</v>
      </c>
      <c r="Q25" s="169">
        <f>-SUM('Amortisation and Repayments'!K1175:K1207)</f>
        <v>-16712706.879999999</v>
      </c>
      <c r="R25" s="262">
        <f t="shared" si="7"/>
        <v>6893570.390543215</v>
      </c>
      <c r="S25" s="176">
        <f>SUM('Amortisation and Repayments'!I1207:I1207)</f>
        <v>1158963.1545516991</v>
      </c>
      <c r="T25" s="176">
        <f>'Amortisation and Repayments'!L1207-'Loan Book'!S25</f>
        <v>1001365.8407404094</v>
      </c>
      <c r="U25" s="167">
        <f t="shared" si="8"/>
        <v>2160328.9952921085</v>
      </c>
      <c r="V25" s="168"/>
      <c r="W25" s="169">
        <f>'Amortisation and Repayments'!G1207</f>
        <v>1208064.8564703013</v>
      </c>
      <c r="X25" s="169">
        <f>U25-W25</f>
        <v>952264.13882180722</v>
      </c>
      <c r="Y25" s="244">
        <f>U25-W25-X25</f>
        <v>0</v>
      </c>
      <c r="Z25" s="256">
        <v>0</v>
      </c>
      <c r="AJ25" s="434" t="str">
        <f>IFERROR(INDEX(Mapping!$J$2:$J$110,MATCH(25,Mapping!$A$2:$A$110,0)),"")</f>
        <v>000104450000020</v>
      </c>
      <c r="AK25" s="435" t="str">
        <f>IFERROR(INDEX(Mapping!$K$2:$K$110,MATCH(25,Mapping!$A$2:$A$110,0)),"")</f>
        <v>High</v>
      </c>
      <c r="AL25" s="434" t="str">
        <f>IFERROR(INDEX('E-Banker master'!$B$2:$B$186,MATCH($AJ25,'E-Banker master'!$A$2:$A$186,0)),"")</f>
        <v>Kayola Processors</v>
      </c>
      <c r="AM25" s="432" t="str">
        <f>IFERROR(INDEX('E-Banker master'!$E$2:$E$186,MATCH($AJ25,'E-Banker master'!$A$2:$A$186,0)),"")</f>
        <v>H</v>
      </c>
      <c r="AN25" s="433">
        <f>IFERROR(INDEX('E-Banker master'!$N$2:$N$186,MATCH($AJ25,'E-Banker master'!$A$2:$A$186,0)),"")</f>
        <v>12543065</v>
      </c>
      <c r="AO25" s="433">
        <f>IFERROR(INDEX('E-Banker master'!$O$2:$O$186,MATCH($AJ25,'E-Banker master'!$A$2:$A$186,0)),"")</f>
        <v>470669.82</v>
      </c>
      <c r="AP25" s="436">
        <f>IFERROR(INDEX('E-Banker master'!$P$2:$P$186,MATCH($AJ25,'E-Banker master'!$A$2:$A$186,0)),"")</f>
        <v>6954076.1699999999</v>
      </c>
      <c r="AQ25" s="433">
        <f t="shared" si="2"/>
        <v>-60505.779456784949</v>
      </c>
      <c r="AS25" s="444">
        <v>204000</v>
      </c>
      <c r="AT25" s="444">
        <v>376000</v>
      </c>
    </row>
    <row r="26" spans="1:46" x14ac:dyDescent="0.35">
      <c r="A26" s="35"/>
      <c r="B26" s="35"/>
      <c r="C26" s="35"/>
      <c r="D26" s="364">
        <v>22</v>
      </c>
      <c r="E26" s="181" t="s">
        <v>783</v>
      </c>
      <c r="F26" s="169" t="s">
        <v>178</v>
      </c>
      <c r="G26" s="170">
        <v>44631</v>
      </c>
      <c r="H26" s="170">
        <v>46823</v>
      </c>
      <c r="I26" s="171">
        <v>6</v>
      </c>
      <c r="J26" s="178" t="s">
        <v>784</v>
      </c>
      <c r="K26" s="172">
        <v>9.36</v>
      </c>
      <c r="L26" s="169">
        <f>850330*1036.2494</f>
        <v>881153952.30199993</v>
      </c>
      <c r="M26" s="169">
        <v>552338180.32000005</v>
      </c>
      <c r="N26" s="169"/>
      <c r="O26" s="382">
        <f t="shared" si="6"/>
        <v>552338180.32000005</v>
      </c>
      <c r="P26" s="169">
        <f>SUM('[1]Amortisation and Repayments'!H1302:H1318)*1053.4336</f>
        <v>89551327.118593633</v>
      </c>
      <c r="Q26" s="169">
        <v>-641889507.44000006</v>
      </c>
      <c r="R26" s="388">
        <f t="shared" si="7"/>
        <v>-1.4064311981201172E-3</v>
      </c>
      <c r="S26" s="176">
        <v>0</v>
      </c>
      <c r="T26" s="176">
        <v>0</v>
      </c>
      <c r="U26" s="167">
        <f t="shared" si="8"/>
        <v>0</v>
      </c>
      <c r="V26" s="181"/>
      <c r="W26" s="169">
        <v>0</v>
      </c>
      <c r="X26" s="169">
        <v>0</v>
      </c>
      <c r="Y26" s="244">
        <v>0</v>
      </c>
      <c r="Z26" s="181"/>
      <c r="AJ26" s="434" t="str">
        <f>IFERROR(INDEX(Mapping!$J$2:$J$110,MATCH(26,Mapping!$A$2:$A$110,0)),"")</f>
        <v>000104430000021</v>
      </c>
      <c r="AK26" s="435" t="str">
        <f>IFERROR(INDEX(Mapping!$K$2:$K$110,MATCH(26,Mapping!$A$2:$A$110,0)),"")</f>
        <v>High</v>
      </c>
      <c r="AL26" s="434" t="str">
        <f>IFERROR(INDEX('E-Banker master'!$B$2:$B$186,MATCH($AJ26,'E-Banker master'!$A$2:$A$186,0)),"")</f>
        <v>Malawi Fertilizer Company</v>
      </c>
      <c r="AM26" s="432" t="str">
        <f>IFERROR(INDEX('E-Banker master'!$E$2:$E$186,MATCH($AJ26,'E-Banker master'!$A$2:$A$186,0)),"")</f>
        <v>C</v>
      </c>
      <c r="AN26" s="433">
        <f>IFERROR(INDEX('E-Banker master'!$N$2:$N$186,MATCH($AJ26,'E-Banker master'!$A$2:$A$186,0)),"")</f>
        <v>0</v>
      </c>
      <c r="AO26" s="433">
        <f>IFERROR(INDEX('E-Banker master'!$O$2:$O$186,MATCH($AJ26,'E-Banker master'!$A$2:$A$186,0)),"")</f>
        <v>0</v>
      </c>
      <c r="AP26" s="433">
        <f>IFERROR(INDEX('E-Banker master'!$P$2:$P$186,MATCH($AJ26,'E-Banker master'!$A$2:$A$186,0)),"")</f>
        <v>0</v>
      </c>
      <c r="AQ26" s="433">
        <f t="shared" si="2"/>
        <v>-1.4064311981201172E-3</v>
      </c>
      <c r="AS26" s="444">
        <v>5171331.4800000004</v>
      </c>
      <c r="AT26" s="444">
        <v>11163703.74</v>
      </c>
    </row>
    <row r="27" spans="1:46" x14ac:dyDescent="0.35">
      <c r="A27" s="35"/>
      <c r="B27" s="35"/>
      <c r="C27" s="35"/>
      <c r="D27" s="363">
        <v>23</v>
      </c>
      <c r="E27" s="396" t="s">
        <v>592</v>
      </c>
      <c r="F27" s="169" t="s">
        <v>178</v>
      </c>
      <c r="G27" s="170">
        <v>44644</v>
      </c>
      <c r="H27" s="170">
        <v>45382</v>
      </c>
      <c r="I27" s="171">
        <v>2</v>
      </c>
      <c r="J27" s="178" t="s">
        <v>779</v>
      </c>
      <c r="K27" s="172">
        <v>10</v>
      </c>
      <c r="L27" s="169">
        <v>12500000</v>
      </c>
      <c r="M27" s="173">
        <v>12500000</v>
      </c>
      <c r="N27" s="169">
        <v>0</v>
      </c>
      <c r="O27" s="174">
        <f t="shared" si="6"/>
        <v>12500000</v>
      </c>
      <c r="P27" s="169">
        <f>SUM('Amortisation and Repayments'!H1248:H1279)</f>
        <v>2385285.7872122526</v>
      </c>
      <c r="Q27" s="169">
        <f>-SUM('Amortisation and Repayments'!K1248:K1279)</f>
        <v>-4880000</v>
      </c>
      <c r="R27" s="262">
        <f t="shared" si="7"/>
        <v>10005285.787212253</v>
      </c>
      <c r="S27" s="176">
        <f>SUM('Amortisation and Repayments'!I1274:I1279)</f>
        <v>4699943.0863796901</v>
      </c>
      <c r="T27" s="176">
        <f>'Amortisation and Repayments'!L1279-'Loan Book'!S27</f>
        <v>645451.94747699238</v>
      </c>
      <c r="U27" s="167">
        <f t="shared" si="8"/>
        <v>5345395.0338566825</v>
      </c>
      <c r="V27" s="181"/>
      <c r="W27" s="169">
        <f>'Amortisation and Repayments'!G1279</f>
        <v>840490.45762333483</v>
      </c>
      <c r="X27" s="169">
        <f>W27*3</f>
        <v>2521471.3728700047</v>
      </c>
      <c r="Y27" s="244">
        <f>+U27-W27-X27</f>
        <v>1983433.2033633431</v>
      </c>
      <c r="Z27" s="256">
        <v>0</v>
      </c>
      <c r="AJ27" s="434" t="str">
        <f>IFERROR(INDEX(Mapping!$J$2:$J$110,MATCH(27,Mapping!$A$2:$A$110,0)),"")</f>
        <v>000104450000022</v>
      </c>
      <c r="AK27" s="435" t="str">
        <f>IFERROR(INDEX(Mapping!$K$2:$K$110,MATCH(27,Mapping!$A$2:$A$110,0)),"")</f>
        <v>High</v>
      </c>
      <c r="AL27" s="434" t="str">
        <f>IFERROR(INDEX('E-Banker master'!$B$2:$B$186,MATCH($AJ27,'E-Banker master'!$A$2:$A$186,0)),"")</f>
        <v>Mwachisosa Women Producers &amp; Marketing Co</v>
      </c>
      <c r="AM27" s="432" t="str">
        <f>IFERROR(INDEX('E-Banker master'!$E$2:$E$186,MATCH($AJ27,'E-Banker master'!$A$2:$A$186,0)),"")</f>
        <v>H</v>
      </c>
      <c r="AN27" s="433">
        <f>IFERROR(INDEX('E-Banker master'!$N$2:$N$186,MATCH($AJ27,'E-Banker master'!$A$2:$A$186,0)),"")</f>
        <v>12500000</v>
      </c>
      <c r="AO27" s="433">
        <f>IFERROR(INDEX('E-Banker master'!$O$2:$O$186,MATCH($AJ27,'E-Banker master'!$A$2:$A$186,0)),"")</f>
        <v>2243037.37</v>
      </c>
      <c r="AP27" s="433">
        <f>IFERROR(INDEX('E-Banker master'!$P$2:$P$186,MATCH($AJ27,'E-Banker master'!$A$2:$A$186,0)),"")</f>
        <v>10117945.74</v>
      </c>
      <c r="AQ27" s="433">
        <f t="shared" si="2"/>
        <v>-112659.95278774761</v>
      </c>
      <c r="AS27" s="444">
        <v>125000</v>
      </c>
      <c r="AT27" s="444">
        <v>250000</v>
      </c>
    </row>
    <row r="28" spans="1:46" x14ac:dyDescent="0.35">
      <c r="A28" s="35"/>
      <c r="B28" s="35"/>
      <c r="C28" s="35"/>
      <c r="D28" s="363">
        <v>24</v>
      </c>
      <c r="E28" s="168" t="s">
        <v>785</v>
      </c>
      <c r="F28" s="169" t="s">
        <v>178</v>
      </c>
      <c r="G28" s="170">
        <v>44673</v>
      </c>
      <c r="H28" s="170">
        <v>45747</v>
      </c>
      <c r="I28" s="171">
        <v>3</v>
      </c>
      <c r="J28" s="178">
        <v>0</v>
      </c>
      <c r="K28" s="172">
        <v>10</v>
      </c>
      <c r="L28" s="169">
        <v>24600000</v>
      </c>
      <c r="M28" s="173">
        <v>24600000</v>
      </c>
      <c r="N28" s="169"/>
      <c r="O28" s="174">
        <f t="shared" si="6"/>
        <v>24600000</v>
      </c>
      <c r="P28" s="321">
        <f>SUM('Amortisation and Repayments'!H1395:H1425)</f>
        <v>3900598.2373384968</v>
      </c>
      <c r="Q28" s="169">
        <f>-SUM('Amortisation and Repayments'!K1395:K1425)</f>
        <v>-19111204.66</v>
      </c>
      <c r="R28" s="262">
        <f t="shared" si="7"/>
        <v>9389393.5773384981</v>
      </c>
      <c r="S28" s="176"/>
      <c r="T28" s="176"/>
      <c r="U28" s="167">
        <f t="shared" si="8"/>
        <v>0</v>
      </c>
      <c r="V28" s="181"/>
      <c r="W28" s="169"/>
      <c r="X28" s="169"/>
      <c r="Y28" s="244"/>
      <c r="Z28" s="181"/>
      <c r="AJ28" s="434" t="str">
        <f>IFERROR(INDEX(Mapping!$J$2:$J$110,MATCH(28,Mapping!$A$2:$A$110,0)),"")</f>
        <v>000104450000023</v>
      </c>
      <c r="AK28" s="435" t="str">
        <f>IFERROR(INDEX(Mapping!$K$2:$K$110,MATCH(28,Mapping!$A$2:$A$110,0)),"")</f>
        <v>High</v>
      </c>
      <c r="AL28" s="432" t="str">
        <f>IFERROR(INDEX('E-Banker master'!$B$2:$B$186,MATCH($AJ28,'E-Banker master'!$A$2:$A$186,0)),"")</f>
        <v>Nature's Gift Limited</v>
      </c>
      <c r="AM28" s="432" t="str">
        <f>IFERROR(INDEX('E-Banker master'!$E$2:$E$186,MATCH($AJ28,'E-Banker master'!$A$2:$A$186,0)),"")</f>
        <v>H</v>
      </c>
      <c r="AN28" s="433">
        <f>IFERROR(INDEX('E-Banker master'!$N$2:$N$186,MATCH($AJ28,'E-Banker master'!$A$2:$A$186,0)),"")</f>
        <v>24600000</v>
      </c>
      <c r="AO28" s="433">
        <f>IFERROR(INDEX('E-Banker master'!$O$2:$O$186,MATCH($AJ28,'E-Banker master'!$A$2:$A$186,0)),"")</f>
        <v>3747686.47</v>
      </c>
      <c r="AP28" s="433">
        <f>IFERROR(INDEX('E-Banker master'!$P$2:$P$186,MATCH($AJ28,'E-Banker master'!$A$2:$A$186,0)),"")</f>
        <v>9471253.0399999991</v>
      </c>
      <c r="AQ28" s="433">
        <f t="shared" si="2"/>
        <v>-81859.46266150102</v>
      </c>
      <c r="AS28" s="444">
        <v>369000</v>
      </c>
      <c r="AT28" s="444">
        <v>443600</v>
      </c>
    </row>
    <row r="29" spans="1:46" x14ac:dyDescent="0.35">
      <c r="A29" s="35"/>
      <c r="B29" s="35"/>
      <c r="C29" s="35"/>
      <c r="D29" s="364">
        <v>25</v>
      </c>
      <c r="E29" s="396" t="s">
        <v>637</v>
      </c>
      <c r="F29" s="169" t="s">
        <v>178</v>
      </c>
      <c r="G29" s="170">
        <v>44715</v>
      </c>
      <c r="H29" s="170">
        <f>'Amortisation and Repayments'!D1484</f>
        <v>45808</v>
      </c>
      <c r="I29" s="171">
        <v>2</v>
      </c>
      <c r="J29" s="178" t="s">
        <v>779</v>
      </c>
      <c r="K29" s="172">
        <v>10</v>
      </c>
      <c r="L29" s="169">
        <v>12000000</v>
      </c>
      <c r="M29" s="173">
        <v>12000000</v>
      </c>
      <c r="N29" s="169"/>
      <c r="O29" s="174">
        <f t="shared" si="6"/>
        <v>12000000</v>
      </c>
      <c r="P29" s="169">
        <f>SUM('Amortisation and Repayments'!H1449:H1476)</f>
        <v>1688417.4666984004</v>
      </c>
      <c r="Q29" s="169">
        <f>-SUM('Amortisation and Repayments'!K1449:K1476)</f>
        <v>-13688417.469999999</v>
      </c>
      <c r="R29" s="262">
        <f t="shared" si="7"/>
        <v>-3.3015981316566467E-3</v>
      </c>
      <c r="S29" s="176">
        <v>0</v>
      </c>
      <c r="T29" s="176">
        <v>0</v>
      </c>
      <c r="U29" s="167">
        <f t="shared" si="8"/>
        <v>0</v>
      </c>
      <c r="V29" s="181"/>
      <c r="W29" s="169">
        <f>+U29</f>
        <v>0</v>
      </c>
      <c r="X29" s="169"/>
      <c r="Y29" s="169"/>
      <c r="Z29" s="256"/>
      <c r="AJ29" s="434" t="str">
        <f>IFERROR(INDEX(Mapping!$J$2:$J$110,MATCH(29,Mapping!$A$2:$A$110,0)),"")</f>
        <v>000104460000024</v>
      </c>
      <c r="AK29" s="435" t="str">
        <f>IFERROR(INDEX(Mapping!$K$2:$K$110,MATCH(29,Mapping!$A$2:$A$110,0)),"")</f>
        <v>High</v>
      </c>
      <c r="AL29" s="432" t="str">
        <f>IFERROR(INDEX('E-Banker master'!$B$2:$B$186,MATCH($AJ29,'E-Banker master'!$A$2:$A$186,0)),"")</f>
        <v>Allied Bricks and Blocks Limited</v>
      </c>
      <c r="AM29" s="432" t="str">
        <f>IFERROR(INDEX('E-Banker master'!$E$2:$E$186,MATCH($AJ29,'E-Banker master'!$A$2:$A$186,0)),"")</f>
        <v>D</v>
      </c>
      <c r="AN29" s="433">
        <f>IFERROR(INDEX('E-Banker master'!$N$2:$N$186,MATCH($AJ29,'E-Banker master'!$A$2:$A$186,0)),"")</f>
        <v>12000000</v>
      </c>
      <c r="AO29" s="433">
        <f>IFERROR(INDEX('E-Banker master'!$O$2:$O$186,MATCH($AJ29,'E-Banker master'!$A$2:$A$186,0)),"")</f>
        <v>1605046.86</v>
      </c>
      <c r="AP29" s="433">
        <f>IFERROR(INDEX('E-Banker master'!$P$2:$P$186,MATCH($AJ29,'E-Banker master'!$A$2:$A$186,0)),"")</f>
        <v>-29678.33</v>
      </c>
      <c r="AQ29" s="433">
        <f t="shared" si="2"/>
        <v>29678.32669840187</v>
      </c>
      <c r="AS29" s="444">
        <v>120000</v>
      </c>
      <c r="AT29" s="444">
        <v>242000</v>
      </c>
    </row>
    <row r="30" spans="1:46" x14ac:dyDescent="0.35">
      <c r="A30" s="35"/>
      <c r="B30" s="35"/>
      <c r="C30" s="35"/>
      <c r="D30" s="363">
        <v>26</v>
      </c>
      <c r="E30" s="168" t="s">
        <v>593</v>
      </c>
      <c r="F30" s="169" t="s">
        <v>178</v>
      </c>
      <c r="G30" s="170">
        <v>44715</v>
      </c>
      <c r="H30" s="170">
        <v>45443</v>
      </c>
      <c r="I30" s="171">
        <v>2</v>
      </c>
      <c r="J30" s="178" t="s">
        <v>779</v>
      </c>
      <c r="K30" s="172">
        <v>10</v>
      </c>
      <c r="L30" s="169">
        <v>10900000</v>
      </c>
      <c r="M30" s="173">
        <v>10900000</v>
      </c>
      <c r="N30" s="169"/>
      <c r="O30" s="174">
        <v>10900000</v>
      </c>
      <c r="P30" s="169">
        <v>1320716.846146784</v>
      </c>
      <c r="Q30" s="169">
        <v>-12216000</v>
      </c>
      <c r="R30" s="388">
        <v>0</v>
      </c>
      <c r="S30" s="176"/>
      <c r="T30" s="176">
        <v>0</v>
      </c>
      <c r="U30" s="167">
        <v>0</v>
      </c>
      <c r="V30" s="181"/>
      <c r="W30" s="169">
        <v>0</v>
      </c>
      <c r="X30" s="169">
        <v>0</v>
      </c>
      <c r="Y30" s="244">
        <v>0</v>
      </c>
      <c r="Z30" s="181"/>
      <c r="AJ30" s="434" t="str">
        <f>IFERROR(INDEX(Mapping!$J$2:$J$110,MATCH(30,Mapping!$A$2:$A$110,0)),"")</f>
        <v>000104450000025</v>
      </c>
      <c r="AK30" s="435" t="str">
        <f>IFERROR(INDEX(Mapping!$K$2:$K$110,MATCH(30,Mapping!$A$2:$A$110,0)),"")</f>
        <v>High</v>
      </c>
      <c r="AL30" s="432" t="str">
        <f>IFERROR(INDEX('E-Banker master'!$B$2:$B$186,MATCH($AJ30,'E-Banker master'!$A$2:$A$186,0)),"")</f>
        <v>Lapani Farms</v>
      </c>
      <c r="AM30" s="432" t="str">
        <f>IFERROR(INDEX('E-Banker master'!$E$2:$E$186,MATCH($AJ30,'E-Banker master'!$A$2:$A$186,0)),"")</f>
        <v>C</v>
      </c>
      <c r="AN30" s="433">
        <f>IFERROR(INDEX('E-Banker master'!$N$2:$N$186,MATCH($AJ30,'E-Banker master'!$A$2:$A$186,0)),"")</f>
        <v>0</v>
      </c>
      <c r="AO30" s="433">
        <f>IFERROR(INDEX('E-Banker master'!$O$2:$O$186,MATCH($AJ30,'E-Banker master'!$A$2:$A$186,0)),"")</f>
        <v>0</v>
      </c>
      <c r="AP30" s="433">
        <f>IFERROR(INDEX('E-Banker master'!$P$2:$P$186,MATCH($AJ30,'E-Banker master'!$A$2:$A$186,0)),"")</f>
        <v>0</v>
      </c>
      <c r="AQ30" s="433">
        <f t="shared" si="2"/>
        <v>0</v>
      </c>
      <c r="AS30" s="444">
        <v>109000</v>
      </c>
      <c r="AT30" s="444">
        <v>224400</v>
      </c>
    </row>
    <row r="31" spans="1:46" x14ac:dyDescent="0.35">
      <c r="A31" s="35"/>
      <c r="B31" s="35"/>
      <c r="C31" s="35"/>
      <c r="D31" s="363">
        <v>27</v>
      </c>
      <c r="E31" s="168" t="s">
        <v>594</v>
      </c>
      <c r="F31" s="169" t="s">
        <v>178</v>
      </c>
      <c r="G31" s="170">
        <v>44715</v>
      </c>
      <c r="H31" s="170">
        <v>45443</v>
      </c>
      <c r="I31" s="171">
        <v>2</v>
      </c>
      <c r="J31" s="178" t="s">
        <v>779</v>
      </c>
      <c r="K31" s="172">
        <v>10</v>
      </c>
      <c r="L31" s="169">
        <v>20000000</v>
      </c>
      <c r="M31" s="173">
        <v>20000000</v>
      </c>
      <c r="N31" s="169"/>
      <c r="O31" s="174">
        <v>20000000</v>
      </c>
      <c r="P31" s="169">
        <v>2396932.7637247662</v>
      </c>
      <c r="Q31" s="169">
        <v>-22423352.73</v>
      </c>
      <c r="R31" s="388">
        <v>0</v>
      </c>
      <c r="S31" s="176"/>
      <c r="T31" s="176"/>
      <c r="U31" s="167">
        <v>0</v>
      </c>
      <c r="V31" s="181"/>
      <c r="W31" s="169"/>
      <c r="X31" s="169"/>
      <c r="Y31" s="244"/>
      <c r="Z31" s="181"/>
      <c r="AJ31" s="434" t="str">
        <f>IFERROR(INDEX(Mapping!$J$2:$J$110,MATCH(31,Mapping!$A$2:$A$110,0)),"")</f>
        <v>000104450000026</v>
      </c>
      <c r="AK31" s="435" t="str">
        <f>IFERROR(INDEX(Mapping!$K$2:$K$110,MATCH(31,Mapping!$A$2:$A$110,0)),"")</f>
        <v>High</v>
      </c>
      <c r="AL31" s="432" t="str">
        <f>IFERROR(INDEX('E-Banker master'!$B$2:$B$186,MATCH($AJ31,'E-Banker master'!$A$2:$A$186,0)),"")</f>
        <v>Mawindo Enterprise</v>
      </c>
      <c r="AM31" s="432" t="str">
        <f>IFERROR(INDEX('E-Banker master'!$E$2:$E$186,MATCH($AJ31,'E-Banker master'!$A$2:$A$186,0)),"")</f>
        <v>C</v>
      </c>
      <c r="AN31" s="433">
        <f>IFERROR(INDEX('E-Banker master'!$N$2:$N$186,MATCH($AJ31,'E-Banker master'!$A$2:$A$186,0)),"")</f>
        <v>0</v>
      </c>
      <c r="AO31" s="433">
        <f>IFERROR(INDEX('E-Banker master'!$O$2:$O$186,MATCH($AJ31,'E-Banker master'!$A$2:$A$186,0)),"")</f>
        <v>0</v>
      </c>
      <c r="AP31" s="436">
        <f>IFERROR(INDEX('E-Banker master'!$P$2:$P$186,MATCH($AJ31,'E-Banker master'!$A$2:$A$186,0)),"")</f>
        <v>0</v>
      </c>
      <c r="AQ31" s="433">
        <f t="shared" si="2"/>
        <v>0</v>
      </c>
      <c r="AS31" s="444">
        <v>200000</v>
      </c>
      <c r="AT31" s="444">
        <v>370000</v>
      </c>
    </row>
    <row r="32" spans="1:46" x14ac:dyDescent="0.35">
      <c r="A32" s="35"/>
      <c r="B32" s="35"/>
      <c r="C32" s="35"/>
      <c r="D32" s="364">
        <v>28</v>
      </c>
      <c r="E32" s="168" t="s">
        <v>786</v>
      </c>
      <c r="F32" s="169" t="s">
        <v>178</v>
      </c>
      <c r="G32" s="170">
        <v>44715</v>
      </c>
      <c r="H32" s="170">
        <v>45443</v>
      </c>
      <c r="I32" s="171">
        <v>2</v>
      </c>
      <c r="J32" s="178" t="s">
        <v>779</v>
      </c>
      <c r="K32" s="172">
        <v>10</v>
      </c>
      <c r="L32" s="169">
        <v>10000000</v>
      </c>
      <c r="M32" s="173">
        <v>10000000</v>
      </c>
      <c r="N32" s="169"/>
      <c r="O32" s="174">
        <v>10000000</v>
      </c>
      <c r="P32" s="169">
        <v>1211666.831327325</v>
      </c>
      <c r="Q32" s="169">
        <v>-11232000</v>
      </c>
      <c r="R32" s="388">
        <v>0</v>
      </c>
      <c r="S32" s="176"/>
      <c r="T32" s="176"/>
      <c r="U32" s="167"/>
      <c r="V32" s="181"/>
      <c r="W32" s="169"/>
      <c r="X32" s="169"/>
      <c r="Y32" s="244"/>
      <c r="Z32" s="181"/>
      <c r="AJ32" s="434" t="str">
        <f>IFERROR(INDEX(Mapping!$J$2:$J$110,MATCH(32,Mapping!$A$2:$A$110,0)),"")</f>
        <v>000104450000027</v>
      </c>
      <c r="AK32" s="435" t="str">
        <f>IFERROR(INDEX(Mapping!$K$2:$K$110,MATCH(32,Mapping!$A$2:$A$110,0)),"")</f>
        <v>High</v>
      </c>
      <c r="AL32" s="432" t="str">
        <f>IFERROR(INDEX('E-Banker master'!$B$2:$B$186,MATCH($AJ32,'E-Banker master'!$A$2:$A$186,0)),"")</f>
        <v>L. J Traders &amp; Suppliers</v>
      </c>
      <c r="AM32" s="432" t="str">
        <f>IFERROR(INDEX('E-Banker master'!$E$2:$E$186,MATCH($AJ32,'E-Banker master'!$A$2:$A$186,0)),"")</f>
        <v>C</v>
      </c>
      <c r="AN32" s="433">
        <f>IFERROR(INDEX('E-Banker master'!$N$2:$N$186,MATCH($AJ32,'E-Banker master'!$A$2:$A$186,0)),"")</f>
        <v>0</v>
      </c>
      <c r="AO32" s="433">
        <f>IFERROR(INDEX('E-Banker master'!$O$2:$O$186,MATCH($AJ32,'E-Banker master'!$A$2:$A$186,0)),"")</f>
        <v>0</v>
      </c>
      <c r="AP32" s="433">
        <f>IFERROR(INDEX('E-Banker master'!$P$2:$P$186,MATCH($AJ32,'E-Banker master'!$A$2:$A$186,0)),"")</f>
        <v>0</v>
      </c>
      <c r="AQ32" s="433">
        <f t="shared" si="2"/>
        <v>0</v>
      </c>
      <c r="AS32" s="444">
        <v>100000</v>
      </c>
      <c r="AT32" s="444">
        <v>212100</v>
      </c>
    </row>
    <row r="33" spans="1:46" x14ac:dyDescent="0.35">
      <c r="A33" s="35"/>
      <c r="B33" s="35"/>
      <c r="C33" s="35"/>
      <c r="D33" s="363">
        <v>29</v>
      </c>
      <c r="E33" s="168" t="s">
        <v>596</v>
      </c>
      <c r="F33" s="169" t="s">
        <v>178</v>
      </c>
      <c r="G33" s="170">
        <v>44715</v>
      </c>
      <c r="H33" s="170">
        <v>45443</v>
      </c>
      <c r="I33" s="171">
        <v>2</v>
      </c>
      <c r="J33" s="178" t="s">
        <v>779</v>
      </c>
      <c r="K33" s="172">
        <v>10</v>
      </c>
      <c r="L33" s="169">
        <v>24000000</v>
      </c>
      <c r="M33" s="173">
        <v>24000000</v>
      </c>
      <c r="N33" s="169"/>
      <c r="O33" s="174">
        <v>24000000</v>
      </c>
      <c r="P33" s="169">
        <v>2750896.9401133619</v>
      </c>
      <c r="Q33" s="169">
        <v>-26750896.940000001</v>
      </c>
      <c r="R33" s="388">
        <f>SUM(O33:Q33)</f>
        <v>1.1336058378219604E-4</v>
      </c>
      <c r="S33" s="176">
        <v>0</v>
      </c>
      <c r="T33" s="176"/>
      <c r="U33" s="167">
        <v>0</v>
      </c>
      <c r="V33" s="181"/>
      <c r="W33" s="169">
        <v>0</v>
      </c>
      <c r="X33" s="169"/>
      <c r="Y33" s="244"/>
      <c r="Z33" s="181"/>
      <c r="AJ33" s="434" t="str">
        <f>IFERROR(INDEX(Mapping!$J$2:$J$110,MATCH(33,Mapping!$A$2:$A$110,0)),"")</f>
        <v>000104450000028</v>
      </c>
      <c r="AK33" s="435" t="str">
        <f>IFERROR(INDEX(Mapping!$K$2:$K$110,MATCH(33,Mapping!$A$2:$A$110,0)),"")</f>
        <v>High</v>
      </c>
      <c r="AL33" s="432" t="str">
        <f>IFERROR(INDEX('E-Banker master'!$B$2:$B$186,MATCH($AJ33,'E-Banker master'!$A$2:$A$186,0)),"")</f>
        <v>Chikwendeni General Dealers</v>
      </c>
      <c r="AM33" s="432" t="str">
        <f>IFERROR(INDEX('E-Banker master'!$E$2:$E$186,MATCH($AJ33,'E-Banker master'!$A$2:$A$186,0)),"")</f>
        <v>C</v>
      </c>
      <c r="AN33" s="433">
        <f>IFERROR(INDEX('E-Banker master'!$N$2:$N$186,MATCH($AJ33,'E-Banker master'!$A$2:$A$186,0)),"")</f>
        <v>0</v>
      </c>
      <c r="AO33" s="433">
        <f>IFERROR(INDEX('E-Banker master'!$O$2:$O$186,MATCH($AJ33,'E-Banker master'!$A$2:$A$186,0)),"")</f>
        <v>0</v>
      </c>
      <c r="AP33" s="433">
        <f>IFERROR(INDEX('E-Banker master'!$P$2:$P$186,MATCH($AJ33,'E-Banker master'!$A$2:$A$186,0)),"")</f>
        <v>0</v>
      </c>
      <c r="AQ33" s="433">
        <f t="shared" si="2"/>
        <v>1.1336058378219604E-4</v>
      </c>
      <c r="AS33" s="444">
        <v>240000</v>
      </c>
      <c r="AT33" s="444">
        <v>434000</v>
      </c>
    </row>
    <row r="34" spans="1:46" x14ac:dyDescent="0.35">
      <c r="A34" s="35"/>
      <c r="B34" s="35"/>
      <c r="C34" s="35"/>
      <c r="D34" s="363">
        <v>30</v>
      </c>
      <c r="E34" s="168" t="s">
        <v>787</v>
      </c>
      <c r="F34" s="169" t="s">
        <v>178</v>
      </c>
      <c r="G34" s="170">
        <v>44726</v>
      </c>
      <c r="H34" s="170">
        <v>45443</v>
      </c>
      <c r="I34" s="171">
        <v>2</v>
      </c>
      <c r="J34" s="178" t="s">
        <v>779</v>
      </c>
      <c r="K34" s="172">
        <v>10</v>
      </c>
      <c r="L34" s="169">
        <v>24000000</v>
      </c>
      <c r="M34" s="173">
        <v>24000000</v>
      </c>
      <c r="N34" s="169"/>
      <c r="O34" s="174">
        <v>24000000</v>
      </c>
      <c r="P34" s="169">
        <v>2944391.6410552948</v>
      </c>
      <c r="Q34" s="169">
        <v>-26946037.719999999</v>
      </c>
      <c r="R34" s="388">
        <v>0</v>
      </c>
      <c r="S34" s="176"/>
      <c r="T34" s="176"/>
      <c r="U34" s="167">
        <v>0</v>
      </c>
      <c r="V34" s="181"/>
      <c r="W34" s="169"/>
      <c r="X34" s="169"/>
      <c r="Y34" s="244"/>
      <c r="Z34" s="181"/>
      <c r="AJ34" s="434" t="str">
        <f>IFERROR(INDEX(Mapping!$J$2:$J$110,MATCH(34,Mapping!$A$2:$A$110,0)),"")</f>
        <v>000104460000029</v>
      </c>
      <c r="AK34" s="435" t="str">
        <f>IFERROR(INDEX(Mapping!$K$2:$K$110,MATCH(34,Mapping!$A$2:$A$110,0)),"")</f>
        <v>High</v>
      </c>
      <c r="AL34" s="432" t="str">
        <f>IFERROR(INDEX('E-Banker master'!$B$2:$B$186,MATCH($AJ34,'E-Banker master'!$A$2:$A$186,0)),"")</f>
        <v>Angwenda Investments Limited</v>
      </c>
      <c r="AM34" s="432" t="str">
        <f>IFERROR(INDEX('E-Banker master'!$E$2:$E$186,MATCH($AJ34,'E-Banker master'!$A$2:$A$186,0)),"")</f>
        <v>C</v>
      </c>
      <c r="AN34" s="433">
        <f>IFERROR(INDEX('E-Banker master'!$N$2:$N$186,MATCH($AJ34,'E-Banker master'!$A$2:$A$186,0)),"")</f>
        <v>0</v>
      </c>
      <c r="AO34" s="433">
        <f>IFERROR(INDEX('E-Banker master'!$O$2:$O$186,MATCH($AJ34,'E-Banker master'!$A$2:$A$186,0)),"")</f>
        <v>0</v>
      </c>
      <c r="AP34" s="433">
        <f>IFERROR(INDEX('E-Banker master'!$P$2:$P$186,MATCH($AJ34,'E-Banker master'!$A$2:$A$186,0)),"")</f>
        <v>0</v>
      </c>
      <c r="AQ34" s="433">
        <f t="shared" si="2"/>
        <v>0</v>
      </c>
      <c r="AS34" s="444">
        <v>240000</v>
      </c>
      <c r="AT34" s="444">
        <v>434000</v>
      </c>
    </row>
    <row r="35" spans="1:46" x14ac:dyDescent="0.35">
      <c r="A35" s="35"/>
      <c r="B35" s="35"/>
      <c r="C35" s="35"/>
      <c r="D35" s="364">
        <v>31</v>
      </c>
      <c r="E35" s="396" t="s">
        <v>597</v>
      </c>
      <c r="F35" s="169" t="s">
        <v>178</v>
      </c>
      <c r="G35" s="170">
        <v>44728</v>
      </c>
      <c r="H35" s="170">
        <f>'Amortisation and Repayments'!D1743</f>
        <v>45565</v>
      </c>
      <c r="I35" s="171">
        <v>2</v>
      </c>
      <c r="J35" s="178" t="s">
        <v>779</v>
      </c>
      <c r="K35" s="172">
        <v>10</v>
      </c>
      <c r="L35" s="169">
        <v>12000000</v>
      </c>
      <c r="M35" s="173">
        <v>12000000</v>
      </c>
      <c r="N35" s="169"/>
      <c r="O35" s="174">
        <f t="shared" ref="O35:O63" si="9">M35</f>
        <v>12000000</v>
      </c>
      <c r="P35" s="169">
        <f>SUM('Amortisation and Repayments'!H1716:H1743)</f>
        <v>1865934.9096200508</v>
      </c>
      <c r="Q35" s="169">
        <f>-SUM('Amortisation and Repayments'!K1716:K1743)</f>
        <v>-13868000</v>
      </c>
      <c r="R35" s="262">
        <v>0</v>
      </c>
      <c r="S35" s="176">
        <v>0</v>
      </c>
      <c r="T35" s="176"/>
      <c r="U35" s="167">
        <f t="shared" ref="U35:U70" si="10">+SUM(S35:T35)</f>
        <v>0</v>
      </c>
      <c r="V35" s="181"/>
      <c r="W35" s="169">
        <f>+U35</f>
        <v>0</v>
      </c>
      <c r="X35" s="169">
        <v>0</v>
      </c>
      <c r="Y35" s="244">
        <v>0</v>
      </c>
      <c r="Z35" s="181"/>
      <c r="AJ35" s="434" t="str">
        <f>IFERROR(INDEX(Mapping!$J$2:$J$110,MATCH(35,Mapping!$A$2:$A$110,0)),"")</f>
        <v>000104450000030</v>
      </c>
      <c r="AK35" s="435" t="str">
        <f>IFERROR(INDEX(Mapping!$K$2:$K$110,MATCH(35,Mapping!$A$2:$A$110,0)),"")</f>
        <v>High</v>
      </c>
      <c r="AL35" s="432" t="str">
        <f>IFERROR(INDEX('E-Banker master'!$B$2:$B$186,MATCH($AJ35,'E-Banker master'!$A$2:$A$186,0)),"")</f>
        <v>Perisha Agro and packaging Enterprise</v>
      </c>
      <c r="AM35" s="432" t="str">
        <f>IFERROR(INDEX('E-Banker master'!$E$2:$E$186,MATCH($AJ35,'E-Banker master'!$A$2:$A$186,0)),"")</f>
        <v>H</v>
      </c>
      <c r="AN35" s="433">
        <f>IFERROR(INDEX('E-Banker master'!$N$2:$N$186,MATCH($AJ35,'E-Banker master'!$A$2:$A$186,0)),"")</f>
        <v>12000000</v>
      </c>
      <c r="AO35" s="436">
        <f>IFERROR(INDEX('E-Banker master'!$O$2:$O$186,MATCH($AJ35,'E-Banker master'!$A$2:$A$186,0)),"")</f>
        <v>1849609.36</v>
      </c>
      <c r="AP35" s="433">
        <f>IFERROR(INDEX('E-Banker master'!$P$2:$P$186,MATCH($AJ35,'E-Banker master'!$A$2:$A$186,0)),"")</f>
        <v>1358.4</v>
      </c>
      <c r="AQ35" s="433">
        <f t="shared" si="2"/>
        <v>-1358.4</v>
      </c>
      <c r="AS35" s="444">
        <v>120000</v>
      </c>
      <c r="AT35" s="444">
        <v>242000</v>
      </c>
    </row>
    <row r="36" spans="1:46" s="277" customFormat="1" x14ac:dyDescent="0.35">
      <c r="A36" s="376"/>
      <c r="B36" s="376"/>
      <c r="C36" s="376"/>
      <c r="D36" s="363">
        <v>32</v>
      </c>
      <c r="E36" s="168" t="s">
        <v>621</v>
      </c>
      <c r="F36" s="173" t="s">
        <v>178</v>
      </c>
      <c r="G36" s="377">
        <v>44728</v>
      </c>
      <c r="H36" s="377">
        <v>45443</v>
      </c>
      <c r="I36" s="378">
        <v>2</v>
      </c>
      <c r="J36" s="379" t="s">
        <v>779</v>
      </c>
      <c r="K36" s="380">
        <v>10</v>
      </c>
      <c r="L36" s="173">
        <v>10000000</v>
      </c>
      <c r="M36" s="173">
        <v>10000000</v>
      </c>
      <c r="N36" s="173"/>
      <c r="O36" s="262">
        <f t="shared" si="9"/>
        <v>10000000</v>
      </c>
      <c r="P36" s="173">
        <f>SUM('[1]Amortisation and Repayments'!H1760:H1771)</f>
        <v>874211.36981536716</v>
      </c>
      <c r="Q36" s="173">
        <f>-SUM('Amortisation and Repayments'!K1760:K1774)</f>
        <v>-10874211.369999999</v>
      </c>
      <c r="R36" s="388">
        <f>SUM(O36:Q36)</f>
        <v>-1.8463283777236938E-4</v>
      </c>
      <c r="S36" s="238"/>
      <c r="T36" s="238"/>
      <c r="U36" s="167">
        <f t="shared" si="10"/>
        <v>0</v>
      </c>
      <c r="V36" s="168"/>
      <c r="W36" s="173"/>
      <c r="X36" s="173"/>
      <c r="Y36" s="381"/>
      <c r="Z36" s="168"/>
      <c r="AJ36" s="434" t="str">
        <f>IFERROR(INDEX(Mapping!$J$2:$J$110,MATCH(36,Mapping!$A$2:$A$110,0)),"")</f>
        <v>000104460000031</v>
      </c>
      <c r="AK36" s="435" t="str">
        <f>IFERROR(INDEX(Mapping!$K$2:$K$110,MATCH(36,Mapping!$A$2:$A$110,0)),"")</f>
        <v>High</v>
      </c>
      <c r="AL36" s="434" t="str">
        <f>IFERROR(INDEX('E-Banker master'!$B$2:$B$186,MATCH($AJ36,'E-Banker master'!$A$2:$A$186,0)),"")</f>
        <v>Pamela Investments</v>
      </c>
      <c r="AM36" s="432" t="str">
        <f>IFERROR(INDEX('E-Banker master'!$E$2:$E$186,MATCH($AJ36,'E-Banker master'!$A$2:$A$186,0)),"")</f>
        <v>C</v>
      </c>
      <c r="AN36" s="433">
        <f>IFERROR(INDEX('E-Banker master'!$N$2:$N$186,MATCH($AJ36,'E-Banker master'!$A$2:$A$186,0)),"")</f>
        <v>0</v>
      </c>
      <c r="AO36" s="433">
        <f>IFERROR(INDEX('E-Banker master'!$O$2:$O$186,MATCH($AJ36,'E-Banker master'!$A$2:$A$186,0)),"")</f>
        <v>0</v>
      </c>
      <c r="AP36" s="433">
        <f>IFERROR(INDEX('E-Banker master'!$P$2:$P$186,MATCH($AJ36,'E-Banker master'!$A$2:$A$186,0)),"")</f>
        <v>0</v>
      </c>
      <c r="AQ36" s="433">
        <f t="shared" si="2"/>
        <v>-1.8463283777236938E-4</v>
      </c>
      <c r="AS36" s="444">
        <v>100000</v>
      </c>
      <c r="AT36" s="444">
        <v>210000</v>
      </c>
    </row>
    <row r="37" spans="1:46" x14ac:dyDescent="0.35">
      <c r="A37" s="35"/>
      <c r="B37" s="35"/>
      <c r="C37" s="35"/>
      <c r="D37" s="363">
        <v>33</v>
      </c>
      <c r="E37" s="396" t="s">
        <v>499</v>
      </c>
      <c r="F37" s="169" t="s">
        <v>178</v>
      </c>
      <c r="G37" s="170">
        <v>44740</v>
      </c>
      <c r="H37" s="170">
        <v>46568</v>
      </c>
      <c r="I37" s="171">
        <v>5</v>
      </c>
      <c r="J37" s="178" t="s">
        <v>788</v>
      </c>
      <c r="K37" s="275">
        <f>'Amortisation and Repayments'!K1793</f>
        <v>0.30700000000000005</v>
      </c>
      <c r="L37" s="169">
        <v>104979420</v>
      </c>
      <c r="M37" s="173">
        <f>50000000+54979420</f>
        <v>104979420</v>
      </c>
      <c r="N37" s="169">
        <f>L37-M37</f>
        <v>0</v>
      </c>
      <c r="O37" s="169">
        <f t="shared" si="9"/>
        <v>104979420</v>
      </c>
      <c r="P37" s="169">
        <f>SUM('Amortisation and Repayments'!H1801:H1829)</f>
        <v>69336574.478976637</v>
      </c>
      <c r="Q37" s="169">
        <f>-SUM('Amortisation and Repayments'!K1801:K1829)</f>
        <v>-67295487</v>
      </c>
      <c r="R37" s="173">
        <f>SUM(O37:Q37)</f>
        <v>107020507.47897664</v>
      </c>
      <c r="S37" s="176">
        <f>SUM('Amortisation and Repayments'!I1825:I1829)</f>
        <v>8484612.3025194518</v>
      </c>
      <c r="T37" s="176">
        <f>'Amortisation and Repayments'!L1829-'Loan Book'!S37</f>
        <v>5748292.9050472379</v>
      </c>
      <c r="U37" s="167">
        <f t="shared" si="10"/>
        <v>14232905.20756669</v>
      </c>
      <c r="V37" s="181"/>
      <c r="W37" s="169">
        <f>'Amortisation and Repayments'!G1829</f>
        <v>4409117.8581979377</v>
      </c>
      <c r="X37" s="169">
        <f>+U37-W37</f>
        <v>9823787.349368751</v>
      </c>
      <c r="Y37" s="244"/>
      <c r="Z37" s="181"/>
      <c r="AJ37" s="434" t="str">
        <f>IFERROR(INDEX(Mapping!$J$2:$J$110,MATCH(37,Mapping!$A$2:$A$110,0)),"")</f>
        <v>000104420000032</v>
      </c>
      <c r="AK37" s="435" t="str">
        <f>IFERROR(INDEX(Mapping!$K$2:$K$110,MATCH(37,Mapping!$A$2:$A$110,0)),"")</f>
        <v>High</v>
      </c>
      <c r="AL37" s="432" t="str">
        <f>IFERROR(INDEX('E-Banker master'!$B$2:$B$186,MATCH($AJ37,'E-Banker master'!$A$2:$A$186,0)),"")</f>
        <v>African Honey products Industries</v>
      </c>
      <c r="AM37" s="432" t="str">
        <f>IFERROR(INDEX('E-Banker master'!$E$2:$E$186,MATCH($AJ37,'E-Banker master'!$A$2:$A$186,0)),"")</f>
        <v>A</v>
      </c>
      <c r="AN37" s="433">
        <f>IFERROR(INDEX('E-Banker master'!$N$2:$N$186,MATCH($AJ37,'E-Banker master'!$A$2:$A$186,0)),"")</f>
        <v>104979420</v>
      </c>
      <c r="AO37" s="433">
        <f>IFERROR(INDEX('E-Banker master'!$O$2:$O$186,MATCH($AJ37,'E-Banker master'!$A$2:$A$186,0)),"")</f>
        <v>61336125.579999998</v>
      </c>
      <c r="AP37" s="433">
        <f>IFERROR(INDEX('E-Banker master'!$P$2:$P$186,MATCH($AJ37,'E-Banker master'!$A$2:$A$186,0)),"")</f>
        <v>108314465.95999999</v>
      </c>
      <c r="AQ37" s="433">
        <f t="shared" ref="AQ37:AQ68" si="11">IF(OR($AJ37="",AP37=""),"",R37-AP37)</f>
        <v>-1293958.4810233563</v>
      </c>
      <c r="AS37" s="444">
        <v>1551420</v>
      </c>
      <c r="AT37" s="444">
        <v>3557725</v>
      </c>
    </row>
    <row r="38" spans="1:46" x14ac:dyDescent="0.35">
      <c r="A38" s="35"/>
      <c r="B38" s="35"/>
      <c r="C38" s="35"/>
      <c r="D38" s="364">
        <v>34</v>
      </c>
      <c r="E38" s="181" t="s">
        <v>789</v>
      </c>
      <c r="F38" s="169" t="s">
        <v>178</v>
      </c>
      <c r="G38" s="170">
        <v>44747</v>
      </c>
      <c r="H38" s="170">
        <v>45504</v>
      </c>
      <c r="I38" s="171">
        <v>2</v>
      </c>
      <c r="J38" s="178" t="s">
        <v>779</v>
      </c>
      <c r="K38" s="172">
        <v>10</v>
      </c>
      <c r="L38" s="169">
        <v>12000000</v>
      </c>
      <c r="M38" s="169">
        <f>4546920+3100000+4353080</f>
        <v>12000000</v>
      </c>
      <c r="N38" s="169">
        <f>L38-M38</f>
        <v>0</v>
      </c>
      <c r="O38" s="169">
        <f t="shared" si="9"/>
        <v>12000000</v>
      </c>
      <c r="P38" s="169">
        <f>SUM('Amortisation and Repayments'!H2208:H2232)</f>
        <v>1482649.5304037563</v>
      </c>
      <c r="Q38" s="169">
        <f>-SUM('Amortisation and Repayments'!K2208:K2232)</f>
        <v>-13482732.6</v>
      </c>
      <c r="R38" s="169">
        <v>0</v>
      </c>
      <c r="S38" s="176">
        <v>0</v>
      </c>
      <c r="T38" s="176">
        <v>0</v>
      </c>
      <c r="U38" s="167">
        <f t="shared" si="10"/>
        <v>0</v>
      </c>
      <c r="V38" s="181"/>
      <c r="W38" s="169">
        <v>0</v>
      </c>
      <c r="X38" s="169">
        <f>W38*3</f>
        <v>0</v>
      </c>
      <c r="Y38" s="244">
        <v>0</v>
      </c>
      <c r="Z38" s="181"/>
      <c r="AJ38" s="434" t="str">
        <f>IFERROR(INDEX(Mapping!$J$2:$J$110,MATCH(38,Mapping!$A$2:$A$110,0)),"")</f>
        <v>000104450000033</v>
      </c>
      <c r="AK38" s="435" t="str">
        <f>IFERROR(INDEX(Mapping!$K$2:$K$110,MATCH(38,Mapping!$A$2:$A$110,0)),"")</f>
        <v>High</v>
      </c>
      <c r="AL38" s="432" t="str">
        <f>IFERROR(INDEX('E-Banker master'!$B$2:$B$186,MATCH($AJ38,'E-Banker master'!$A$2:$A$186,0)),"")</f>
        <v>Mtengo wa Kumunda</v>
      </c>
      <c r="AM38" s="432" t="str">
        <f>IFERROR(INDEX('E-Banker master'!$E$2:$E$186,MATCH($AJ38,'E-Banker master'!$A$2:$A$186,0)),"")</f>
        <v>D</v>
      </c>
      <c r="AN38" s="433">
        <f>IFERROR(INDEX('E-Banker master'!$N$2:$N$186,MATCH($AJ38,'E-Banker master'!$A$2:$A$186,0)),"")</f>
        <v>12000000</v>
      </c>
      <c r="AO38" s="433">
        <f>IFERROR(INDEX('E-Banker master'!$O$2:$O$186,MATCH($AJ38,'E-Banker master'!$A$2:$A$186,0)),"")</f>
        <v>1482649.53</v>
      </c>
      <c r="AP38" s="436">
        <f>IFERROR(INDEX('E-Banker master'!$P$2:$P$186,MATCH($AJ38,'E-Banker master'!$A$2:$A$186,0)),"")</f>
        <v>-83.07</v>
      </c>
      <c r="AQ38" s="433">
        <f t="shared" si="11"/>
        <v>83.07</v>
      </c>
      <c r="AS38" s="444">
        <v>120000</v>
      </c>
      <c r="AT38" s="444">
        <v>244420</v>
      </c>
    </row>
    <row r="39" spans="1:46" x14ac:dyDescent="0.35">
      <c r="A39" s="35"/>
      <c r="B39" s="35"/>
      <c r="C39" s="35"/>
      <c r="D39" s="363">
        <v>35</v>
      </c>
      <c r="E39" s="168" t="s">
        <v>599</v>
      </c>
      <c r="F39" s="169" t="s">
        <v>178</v>
      </c>
      <c r="G39" s="170">
        <v>44749</v>
      </c>
      <c r="H39" s="170">
        <v>45138</v>
      </c>
      <c r="I39" s="171">
        <v>1</v>
      </c>
      <c r="J39" s="178" t="s">
        <v>779</v>
      </c>
      <c r="K39" s="172">
        <v>10</v>
      </c>
      <c r="L39" s="169">
        <v>10000000</v>
      </c>
      <c r="M39" s="173">
        <v>10000000</v>
      </c>
      <c r="N39" s="169"/>
      <c r="O39" s="174">
        <f t="shared" si="9"/>
        <v>10000000</v>
      </c>
      <c r="P39" s="169">
        <f>SUM('Amortisation and Repayments'!H1879:H1903)</f>
        <v>781375.07196254015</v>
      </c>
      <c r="Q39" s="169">
        <f>-SUM('Amortisation and Repayments'!K1879:K1903)</f>
        <v>-10519237.35</v>
      </c>
      <c r="R39" s="262">
        <f>SUM(O39:Q39)</f>
        <v>262137.72196254134</v>
      </c>
      <c r="S39" s="238">
        <v>262137.7219625469</v>
      </c>
      <c r="T39" s="176">
        <v>0</v>
      </c>
      <c r="U39" s="167">
        <f t="shared" si="10"/>
        <v>262137.7219625469</v>
      </c>
      <c r="V39" s="181"/>
      <c r="W39" s="169">
        <f>U39</f>
        <v>262137.7219625469</v>
      </c>
      <c r="X39" s="169">
        <v>0</v>
      </c>
      <c r="Y39" s="244"/>
      <c r="Z39" s="181"/>
      <c r="AJ39" s="434" t="str">
        <f>IFERROR(INDEX(Mapping!$J$2:$J$110,MATCH(39,Mapping!$A$2:$A$110,0)),"")</f>
        <v>000104450000034</v>
      </c>
      <c r="AK39" s="435" t="str">
        <f>IFERROR(INDEX(Mapping!$K$2:$K$110,MATCH(39,Mapping!$A$2:$A$110,0)),"")</f>
        <v>High</v>
      </c>
      <c r="AL39" s="432" t="str">
        <f>IFERROR(INDEX('E-Banker master'!$B$2:$B$186,MATCH($AJ39,'E-Banker master'!$A$2:$A$186,0)),"")</f>
        <v>MMM Investments</v>
      </c>
      <c r="AM39" s="432" t="str">
        <f>IFERROR(INDEX('E-Banker master'!$E$2:$E$186,MATCH($AJ39,'E-Banker master'!$A$2:$A$186,0)),"")</f>
        <v>H</v>
      </c>
      <c r="AN39" s="433">
        <f>IFERROR(INDEX('E-Banker master'!$N$2:$N$186,MATCH($AJ39,'E-Banker master'!$A$2:$A$186,0)),"")</f>
        <v>10000000</v>
      </c>
      <c r="AO39" s="433">
        <f>IFERROR(INDEX('E-Banker master'!$O$2:$O$186,MATCH($AJ39,'E-Banker master'!$A$2:$A$186,0)),"")</f>
        <v>781375.07</v>
      </c>
      <c r="AP39" s="433">
        <f>IFERROR(INDEX('E-Banker master'!$P$2:$P$186,MATCH($AJ39,'E-Banker master'!$A$2:$A$186,0)),"")</f>
        <v>268800.7</v>
      </c>
      <c r="AQ39" s="433">
        <f t="shared" si="11"/>
        <v>-6662.9780374586699</v>
      </c>
      <c r="AS39" s="444">
        <v>100000</v>
      </c>
      <c r="AT39" s="444">
        <v>210000</v>
      </c>
    </row>
    <row r="40" spans="1:46" x14ac:dyDescent="0.35">
      <c r="A40" s="35"/>
      <c r="B40" s="35"/>
      <c r="C40" s="35"/>
      <c r="D40" s="363">
        <v>36</v>
      </c>
      <c r="E40" s="168" t="s">
        <v>600</v>
      </c>
      <c r="F40" s="169" t="s">
        <v>178</v>
      </c>
      <c r="G40" s="170">
        <v>44749</v>
      </c>
      <c r="H40" s="170">
        <v>45504</v>
      </c>
      <c r="I40" s="171">
        <v>2</v>
      </c>
      <c r="J40" s="178" t="s">
        <v>779</v>
      </c>
      <c r="K40" s="172">
        <v>10</v>
      </c>
      <c r="L40" s="169">
        <v>10000000</v>
      </c>
      <c r="M40" s="173">
        <v>10000000</v>
      </c>
      <c r="N40" s="169"/>
      <c r="O40" s="174">
        <f t="shared" si="9"/>
        <v>10000000</v>
      </c>
      <c r="P40" s="169">
        <f>SUM('Amortisation and Repayments'!H1926:H1948)</f>
        <v>1279939.7353225581</v>
      </c>
      <c r="Q40" s="169">
        <f>-SUM('Amortisation and Repayments'!K1926:K1950)</f>
        <v>-11280000</v>
      </c>
      <c r="R40" s="388">
        <v>0</v>
      </c>
      <c r="S40" s="176">
        <v>0</v>
      </c>
      <c r="T40" s="176">
        <v>0</v>
      </c>
      <c r="U40" s="167">
        <f t="shared" si="10"/>
        <v>0</v>
      </c>
      <c r="V40" s="181"/>
      <c r="W40" s="169">
        <v>0</v>
      </c>
      <c r="X40" s="169">
        <v>0</v>
      </c>
      <c r="Y40" s="244">
        <v>0</v>
      </c>
      <c r="Z40" s="181"/>
      <c r="AJ40" s="434" t="str">
        <f>IFERROR(INDEX(Mapping!$J$2:$J$110,MATCH(40,Mapping!$A$2:$A$110,0)),"")</f>
        <v>000104450000035</v>
      </c>
      <c r="AK40" s="435" t="str">
        <f>IFERROR(INDEX(Mapping!$K$2:$K$110,MATCH(40,Mapping!$A$2:$A$110,0)),"")</f>
        <v>High</v>
      </c>
      <c r="AL40" s="432" t="str">
        <f>IFERROR(INDEX('E-Banker master'!$B$2:$B$186,MATCH($AJ40,'E-Banker master'!$A$2:$A$186,0)),"")</f>
        <v>Sekuru Enterprise</v>
      </c>
      <c r="AM40" s="432" t="str">
        <f>IFERROR(INDEX('E-Banker master'!$E$2:$E$186,MATCH($AJ40,'E-Banker master'!$A$2:$A$186,0)),"")</f>
        <v>C</v>
      </c>
      <c r="AN40" s="433">
        <f>IFERROR(INDEX('E-Banker master'!$N$2:$N$186,MATCH($AJ40,'E-Banker master'!$A$2:$A$186,0)),"")</f>
        <v>0</v>
      </c>
      <c r="AO40" s="433">
        <f>IFERROR(INDEX('E-Banker master'!$O$2:$O$186,MATCH($AJ40,'E-Banker master'!$A$2:$A$186,0)),"")</f>
        <v>0</v>
      </c>
      <c r="AP40" s="433">
        <f>IFERROR(INDEX('E-Banker master'!$P$2:$P$186,MATCH($AJ40,'E-Banker master'!$A$2:$A$186,0)),"")</f>
        <v>0</v>
      </c>
      <c r="AQ40" s="433">
        <f t="shared" si="11"/>
        <v>0</v>
      </c>
      <c r="AS40" s="444">
        <v>100000</v>
      </c>
      <c r="AT40" s="444">
        <v>212100</v>
      </c>
    </row>
    <row r="41" spans="1:46" x14ac:dyDescent="0.35">
      <c r="A41" s="35"/>
      <c r="B41" s="35"/>
      <c r="C41" s="35"/>
      <c r="D41" s="364">
        <v>37</v>
      </c>
      <c r="E41" s="168" t="s">
        <v>790</v>
      </c>
      <c r="F41" s="169" t="s">
        <v>178</v>
      </c>
      <c r="G41" s="170">
        <v>44755</v>
      </c>
      <c r="H41" s="170">
        <v>45504</v>
      </c>
      <c r="I41" s="171">
        <v>2</v>
      </c>
      <c r="J41" s="178" t="s">
        <v>779</v>
      </c>
      <c r="K41" s="172">
        <v>10</v>
      </c>
      <c r="L41" s="169">
        <v>24000000</v>
      </c>
      <c r="M41" s="173">
        <v>24000000</v>
      </c>
      <c r="N41" s="169"/>
      <c r="O41" s="174">
        <f t="shared" si="9"/>
        <v>24000000</v>
      </c>
      <c r="P41" s="169">
        <f>SUM('Amortisation and Repayments'!H1969:H1994)</f>
        <v>3064926.6470308965</v>
      </c>
      <c r="Q41" s="169">
        <f>-SUM('Amortisation and Repayments'!K1969:K1994)</f>
        <v>-27072314.59</v>
      </c>
      <c r="R41" s="388">
        <v>0</v>
      </c>
      <c r="S41" s="176">
        <v>0</v>
      </c>
      <c r="T41" s="176">
        <v>0</v>
      </c>
      <c r="U41" s="167">
        <f t="shared" si="10"/>
        <v>0</v>
      </c>
      <c r="V41" s="181"/>
      <c r="W41" s="169">
        <f>U41</f>
        <v>0</v>
      </c>
      <c r="X41" s="169">
        <v>0</v>
      </c>
      <c r="Y41" s="244">
        <v>0</v>
      </c>
      <c r="Z41" s="181"/>
      <c r="AJ41" s="434" t="str">
        <f>IFERROR(INDEX(Mapping!$J$2:$J$110,MATCH(41,Mapping!$A$2:$A$110,0)),"")</f>
        <v>000104450000036</v>
      </c>
      <c r="AK41" s="435" t="str">
        <f>IFERROR(INDEX(Mapping!$K$2:$K$110,MATCH(41,Mapping!$A$2:$A$110,0)),"")</f>
        <v>High</v>
      </c>
      <c r="AL41" s="434" t="str">
        <f>IFERROR(INDEX('E-Banker master'!$B$2:$B$186,MATCH($AJ41,'E-Banker master'!$A$2:$A$186,0)),"")</f>
        <v>Agribusiness Solutions Limited</v>
      </c>
      <c r="AM41" s="432" t="str">
        <f>IFERROR(INDEX('E-Banker master'!$E$2:$E$186,MATCH($AJ41,'E-Banker master'!$A$2:$A$186,0)),"")</f>
        <v>C</v>
      </c>
      <c r="AN41" s="433">
        <f>IFERROR(INDEX('E-Banker master'!$N$2:$N$186,MATCH($AJ41,'E-Banker master'!$A$2:$A$186,0)),"")</f>
        <v>0</v>
      </c>
      <c r="AO41" s="433">
        <f>IFERROR(INDEX('E-Banker master'!$O$2:$O$186,MATCH($AJ41,'E-Banker master'!$A$2:$A$186,0)),"")</f>
        <v>0</v>
      </c>
      <c r="AP41" s="433">
        <f>IFERROR(INDEX('E-Banker master'!$P$2:$P$186,MATCH($AJ41,'E-Banker master'!$A$2:$A$186,0)),"")</f>
        <v>0</v>
      </c>
      <c r="AQ41" s="433">
        <f t="shared" si="11"/>
        <v>0</v>
      </c>
      <c r="AS41" s="444">
        <v>240000</v>
      </c>
      <c r="AT41" s="444">
        <v>438340</v>
      </c>
    </row>
    <row r="42" spans="1:46" x14ac:dyDescent="0.35">
      <c r="A42" s="35"/>
      <c r="B42" s="35"/>
      <c r="C42" s="35"/>
      <c r="D42" s="363">
        <v>38</v>
      </c>
      <c r="E42" s="168" t="s">
        <v>177</v>
      </c>
      <c r="F42" s="169" t="s">
        <v>178</v>
      </c>
      <c r="G42" s="170">
        <v>44755</v>
      </c>
      <c r="H42" s="170">
        <v>45504</v>
      </c>
      <c r="I42" s="171">
        <v>2</v>
      </c>
      <c r="J42" s="178" t="s">
        <v>779</v>
      </c>
      <c r="K42" s="172">
        <v>10</v>
      </c>
      <c r="L42" s="169">
        <v>10000000</v>
      </c>
      <c r="M42" s="173">
        <v>10000000</v>
      </c>
      <c r="N42" s="169"/>
      <c r="O42" s="174">
        <f t="shared" si="9"/>
        <v>10000000</v>
      </c>
      <c r="P42" s="169">
        <f>SUM('[1]Amortisation and Repayments'!H2013:H2033)</f>
        <v>1216843.8640655582</v>
      </c>
      <c r="Q42" s="169">
        <f>-SUM('Amortisation and Repayments'!K2013:K2037)</f>
        <v>-11215200</v>
      </c>
      <c r="R42" s="388">
        <v>0</v>
      </c>
      <c r="S42" s="176"/>
      <c r="T42" s="176"/>
      <c r="U42" s="167">
        <f t="shared" si="10"/>
        <v>0</v>
      </c>
      <c r="V42" s="181"/>
      <c r="W42" s="169"/>
      <c r="X42" s="169"/>
      <c r="Y42" s="244"/>
      <c r="Z42" s="181"/>
      <c r="AJ42" s="434">
        <f>IFERROR(INDEX(Mapping!$J$2:$J$110,MATCH(42,Mapping!$A$2:$A$110,0)),"")</f>
        <v>0</v>
      </c>
      <c r="AK42" s="435" t="str">
        <f>IFERROR(INDEX(Mapping!$K$2:$K$110,MATCH(42,Mapping!$A$2:$A$110,0)),"")</f>
        <v>Not matched</v>
      </c>
      <c r="AL42" s="432" t="str">
        <f>IFERROR(INDEX('E-Banker master'!$B$2:$B$186,MATCH($AJ42,'E-Banker master'!$A$2:$A$186,0)),"")</f>
        <v/>
      </c>
      <c r="AM42" s="432" t="str">
        <f>IFERROR(INDEX('E-Banker master'!$E$2:$E$186,MATCH($AJ42,'E-Banker master'!$A$2:$A$186,0)),"")</f>
        <v/>
      </c>
      <c r="AN42" s="433" t="str">
        <f>IFERROR(INDEX('E-Banker master'!$N$2:$N$186,MATCH($AJ42,'E-Banker master'!$A$2:$A$186,0)),"")</f>
        <v/>
      </c>
      <c r="AO42" s="433" t="str">
        <f>IFERROR(INDEX('E-Banker master'!$O$2:$O$186,MATCH($AJ42,'E-Banker master'!$A$2:$A$186,0)),"")</f>
        <v/>
      </c>
      <c r="AP42" s="433" t="str">
        <f>IFERROR(INDEX('E-Banker master'!$P$2:$P$186,MATCH($AJ42,'E-Banker master'!$A$2:$A$186,0)),"")</f>
        <v/>
      </c>
      <c r="AQ42" s="433" t="str">
        <f t="shared" si="11"/>
        <v/>
      </c>
      <c r="AS42" s="444">
        <v>100000</v>
      </c>
      <c r="AT42" s="444">
        <v>212100</v>
      </c>
    </row>
    <row r="43" spans="1:46" x14ac:dyDescent="0.35">
      <c r="A43" s="35"/>
      <c r="B43" s="35"/>
      <c r="C43" s="35"/>
      <c r="D43" s="363">
        <v>39</v>
      </c>
      <c r="E43" s="324" t="s">
        <v>602</v>
      </c>
      <c r="F43" s="169" t="s">
        <v>178</v>
      </c>
      <c r="G43" s="170">
        <v>44755</v>
      </c>
      <c r="H43" s="170">
        <v>45504</v>
      </c>
      <c r="I43" s="171">
        <v>2</v>
      </c>
      <c r="J43" s="178" t="s">
        <v>779</v>
      </c>
      <c r="K43" s="172">
        <v>10</v>
      </c>
      <c r="L43" s="169">
        <v>10000000</v>
      </c>
      <c r="M43" s="173">
        <v>10000000</v>
      </c>
      <c r="N43" s="169"/>
      <c r="O43" s="174">
        <f t="shared" si="9"/>
        <v>10000000</v>
      </c>
      <c r="P43" s="169">
        <f>SUM('Amortisation and Repayments'!H2054:H2081)</f>
        <v>1872113.3792676916</v>
      </c>
      <c r="Q43" s="169">
        <f>-SUM('Amortisation and Repayments'!K2054:K2081)</f>
        <v>-6019000</v>
      </c>
      <c r="R43" s="262">
        <f>SUM(O43:Q43)</f>
        <v>5853113.3792676926</v>
      </c>
      <c r="S43" s="238">
        <f>SUM('Amortisation and Repayments'!I2078:I2081)</f>
        <v>2608863.4673535563</v>
      </c>
      <c r="T43" s="238">
        <f>'Amortisation and Repayments'!L2081-'Loan Book'!S43</f>
        <v>547331.25092026964</v>
      </c>
      <c r="U43" s="167">
        <f t="shared" si="10"/>
        <v>3156194.7182738259</v>
      </c>
      <c r="V43" s="181"/>
      <c r="W43" s="169">
        <f>'Amortisation and Repayments'!G2081</f>
        <v>688334.39983556396</v>
      </c>
      <c r="X43" s="169">
        <f>U43-W43</f>
        <v>2467860.3184382617</v>
      </c>
      <c r="Y43" s="244"/>
      <c r="Z43" s="181"/>
      <c r="AJ43" s="434" t="str">
        <f>IFERROR(INDEX(Mapping!$J$2:$J$110,MATCH(43,Mapping!$A$2:$A$110,0)),"")</f>
        <v>000104450000038</v>
      </c>
      <c r="AK43" s="435" t="str">
        <f>IFERROR(INDEX(Mapping!$K$2:$K$110,MATCH(43,Mapping!$A$2:$A$110,0)),"")</f>
        <v>High</v>
      </c>
      <c r="AL43" s="432" t="str">
        <f>IFERROR(INDEX('E-Banker master'!$B$2:$B$186,MATCH($AJ43,'E-Banker master'!$A$2:$A$186,0)),"")</f>
        <v>Tac-Maz Investment</v>
      </c>
      <c r="AM43" s="432" t="str">
        <f>IFERROR(INDEX('E-Banker master'!$E$2:$E$186,MATCH($AJ43,'E-Banker master'!$A$2:$A$186,0)),"")</f>
        <v>H</v>
      </c>
      <c r="AN43" s="433">
        <f>IFERROR(INDEX('E-Banker master'!$N$2:$N$186,MATCH($AJ43,'E-Banker master'!$A$2:$A$186,0)),"")</f>
        <v>10000000</v>
      </c>
      <c r="AO43" s="433">
        <f>IFERROR(INDEX('E-Banker master'!$O$2:$O$186,MATCH($AJ43,'E-Banker master'!$A$2:$A$186,0)),"")</f>
        <v>1771854.1</v>
      </c>
      <c r="AP43" s="433">
        <f>IFERROR(INDEX('E-Banker master'!$P$2:$P$186,MATCH($AJ43,'E-Banker master'!$A$2:$A$186,0)),"")</f>
        <v>5917617.5</v>
      </c>
      <c r="AQ43" s="433">
        <f t="shared" si="11"/>
        <v>-64504.120732307434</v>
      </c>
      <c r="AS43" s="444">
        <v>100000</v>
      </c>
      <c r="AT43" s="444">
        <v>212100</v>
      </c>
    </row>
    <row r="44" spans="1:46" x14ac:dyDescent="0.35">
      <c r="A44" s="35"/>
      <c r="B44" s="35"/>
      <c r="C44" s="35"/>
      <c r="D44" s="364">
        <v>40</v>
      </c>
      <c r="E44" s="168" t="s">
        <v>791</v>
      </c>
      <c r="F44" s="169" t="s">
        <v>178</v>
      </c>
      <c r="G44" s="170">
        <v>44755</v>
      </c>
      <c r="H44" s="170">
        <v>45504</v>
      </c>
      <c r="I44" s="171">
        <v>2</v>
      </c>
      <c r="J44" s="178" t="s">
        <v>779</v>
      </c>
      <c r="K44" s="172">
        <v>10</v>
      </c>
      <c r="L44" s="169">
        <v>10000000</v>
      </c>
      <c r="M44" s="173">
        <v>7000000</v>
      </c>
      <c r="N44" s="169">
        <f>L44-M44</f>
        <v>3000000</v>
      </c>
      <c r="O44" s="174">
        <f t="shared" si="9"/>
        <v>7000000</v>
      </c>
      <c r="P44" s="169">
        <f>SUM('Amortisation and Repayments'!H2102:H2126)</f>
        <v>893936.93871734489</v>
      </c>
      <c r="Q44" s="169">
        <f>-SUM('Amortisation and Repayments'!K2102:K2126)</f>
        <v>-7895000</v>
      </c>
      <c r="R44" s="388">
        <v>0</v>
      </c>
      <c r="S44" s="176"/>
      <c r="T44" s="176"/>
      <c r="U44" s="167">
        <f t="shared" si="10"/>
        <v>0</v>
      </c>
      <c r="V44" s="181"/>
      <c r="W44" s="169"/>
      <c r="X44" s="169"/>
      <c r="Y44" s="244">
        <v>0</v>
      </c>
      <c r="Z44" s="181"/>
      <c r="AJ44" s="434" t="str">
        <f>IFERROR(INDEX(Mapping!$J$2:$J$110,MATCH(44,Mapping!$A$2:$A$110,0)),"")</f>
        <v>000104450000039</v>
      </c>
      <c r="AK44" s="435" t="str">
        <f>IFERROR(INDEX(Mapping!$K$2:$K$110,MATCH(44,Mapping!$A$2:$A$110,0)),"")</f>
        <v>High</v>
      </c>
      <c r="AL44" s="432" t="str">
        <f>IFERROR(INDEX('E-Banker master'!$B$2:$B$186,MATCH($AJ44,'E-Banker master'!$A$2:$A$186,0)),"")</f>
        <v>G&amp;S HomeMart and Agrodealer</v>
      </c>
      <c r="AM44" s="432" t="str">
        <f>IFERROR(INDEX('E-Banker master'!$E$2:$E$186,MATCH($AJ44,'E-Banker master'!$A$2:$A$186,0)),"")</f>
        <v>C</v>
      </c>
      <c r="AN44" s="433">
        <f>IFERROR(INDEX('E-Banker master'!$N$2:$N$186,MATCH($AJ44,'E-Banker master'!$A$2:$A$186,0)),"")</f>
        <v>0</v>
      </c>
      <c r="AO44" s="433">
        <f>IFERROR(INDEX('E-Banker master'!$O$2:$O$186,MATCH($AJ44,'E-Banker master'!$A$2:$A$186,0)),"")</f>
        <v>0</v>
      </c>
      <c r="AP44" s="436">
        <f>IFERROR(INDEX('E-Banker master'!$P$2:$P$186,MATCH($AJ44,'E-Banker master'!$A$2:$A$186,0)),"")</f>
        <v>0</v>
      </c>
      <c r="AQ44" s="433">
        <f t="shared" si="11"/>
        <v>0</v>
      </c>
      <c r="AS44" s="444">
        <v>70000</v>
      </c>
      <c r="AT44" s="444">
        <v>163620</v>
      </c>
    </row>
    <row r="45" spans="1:46" s="277" customFormat="1" x14ac:dyDescent="0.35">
      <c r="A45" s="376"/>
      <c r="B45" s="376"/>
      <c r="C45" s="376"/>
      <c r="D45" s="363">
        <v>41</v>
      </c>
      <c r="E45" s="168" t="s">
        <v>500</v>
      </c>
      <c r="F45" s="173" t="s">
        <v>178</v>
      </c>
      <c r="G45" s="377">
        <v>44761</v>
      </c>
      <c r="H45" s="377">
        <v>46234</v>
      </c>
      <c r="I45" s="378">
        <v>4</v>
      </c>
      <c r="J45" s="379" t="s">
        <v>773</v>
      </c>
      <c r="K45" s="383">
        <f>'[1]Amortisation and Repayments'!K2136</f>
        <v>0.29950000000000004</v>
      </c>
      <c r="L45" s="173">
        <v>152910000</v>
      </c>
      <c r="M45" s="173">
        <v>152910000</v>
      </c>
      <c r="N45" s="173"/>
      <c r="O45" s="262">
        <f t="shared" si="9"/>
        <v>152910000</v>
      </c>
      <c r="P45" s="173">
        <f>SUM('[1]Amortisation and Repayments'!H2144:H2158)</f>
        <v>44727786.45139908</v>
      </c>
      <c r="Q45" s="173">
        <f>-SUM('[1]Amortisation and Repayments'!K2144:K2158)</f>
        <v>-197637786.45000002</v>
      </c>
      <c r="R45" s="388">
        <f>SUM(O45:Q45)</f>
        <v>1.3990700244903564E-3</v>
      </c>
      <c r="S45" s="238"/>
      <c r="T45" s="238"/>
      <c r="U45" s="167">
        <f t="shared" si="10"/>
        <v>0</v>
      </c>
      <c r="V45" s="168"/>
      <c r="W45" s="173"/>
      <c r="X45" s="173"/>
      <c r="Y45" s="381"/>
      <c r="Z45" s="168"/>
      <c r="AJ45" s="434" t="str">
        <f>IFERROR(INDEX(Mapping!$J$2:$J$110,MATCH(45,Mapping!$A$2:$A$110,0)),"")</f>
        <v>000104420000040</v>
      </c>
      <c r="AK45" s="435" t="str">
        <f>IFERROR(INDEX(Mapping!$K$2:$K$110,MATCH(45,Mapping!$A$2:$A$110,0)),"")</f>
        <v>High</v>
      </c>
      <c r="AL45" s="434" t="str">
        <f>IFERROR(INDEX('E-Banker master'!$B$2:$B$186,MATCH($AJ45,'E-Banker master'!$A$2:$A$186,0)),"")</f>
        <v>Ziweto Enterprise</v>
      </c>
      <c r="AM45" s="432" t="str">
        <f>IFERROR(INDEX('E-Banker master'!$E$2:$E$186,MATCH($AJ45,'E-Banker master'!$A$2:$A$186,0)),"")</f>
        <v>C</v>
      </c>
      <c r="AN45" s="433">
        <f>IFERROR(INDEX('E-Banker master'!$N$2:$N$186,MATCH($AJ45,'E-Banker master'!$A$2:$A$186,0)),"")</f>
        <v>0</v>
      </c>
      <c r="AO45" s="433">
        <f>IFERROR(INDEX('E-Banker master'!$O$2:$O$186,MATCH($AJ45,'E-Banker master'!$A$2:$A$186,0)),"")</f>
        <v>0</v>
      </c>
      <c r="AP45" s="433">
        <f>IFERROR(INDEX('E-Banker master'!$P$2:$P$186,MATCH($AJ45,'E-Banker master'!$A$2:$A$186,0)),"")</f>
        <v>0</v>
      </c>
      <c r="AQ45" s="433">
        <f t="shared" si="11"/>
        <v>1.3990700244903564E-3</v>
      </c>
      <c r="AS45" s="444">
        <v>2370000</v>
      </c>
      <c r="AT45" s="444">
        <v>1540000</v>
      </c>
    </row>
    <row r="46" spans="1:46" x14ac:dyDescent="0.35">
      <c r="A46" s="35"/>
      <c r="B46" s="35"/>
      <c r="C46" s="35"/>
      <c r="D46" s="363">
        <v>42</v>
      </c>
      <c r="E46" s="393" t="s">
        <v>604</v>
      </c>
      <c r="F46" s="207" t="s">
        <v>178</v>
      </c>
      <c r="G46" s="209">
        <v>44775</v>
      </c>
      <c r="H46" s="209">
        <v>45535</v>
      </c>
      <c r="I46" s="210">
        <v>2</v>
      </c>
      <c r="J46" s="211" t="s">
        <v>779</v>
      </c>
      <c r="K46" s="212">
        <v>10</v>
      </c>
      <c r="L46" s="207">
        <v>12000000</v>
      </c>
      <c r="M46" s="213">
        <f>5635580+6364420</f>
        <v>12000000</v>
      </c>
      <c r="N46" s="207"/>
      <c r="O46" s="214">
        <f t="shared" si="9"/>
        <v>12000000</v>
      </c>
      <c r="P46" s="207">
        <f>SUM('Amortisation and Repayments'!H2248:H2272)</f>
        <v>1548865.3182512373</v>
      </c>
      <c r="Q46" s="207">
        <f>-SUM('Amortisation and Repayments'!K2248:K2272)</f>
        <v>-9441000</v>
      </c>
      <c r="R46" s="331">
        <f>SUM(O46:Q46)</f>
        <v>4107865.3182512373</v>
      </c>
      <c r="S46" s="243">
        <f>SUM('Amortisation and Repayments'!I2267:I2272)</f>
        <v>3760659.9423872773</v>
      </c>
      <c r="T46" s="243">
        <f>'Amortisation and Repayments'!L2272-'Loan Book'!S46</f>
        <v>347205.37586396188</v>
      </c>
      <c r="U46" s="387">
        <f t="shared" si="10"/>
        <v>4107865.3182512391</v>
      </c>
      <c r="V46" s="254"/>
      <c r="W46" s="207"/>
      <c r="X46" s="207">
        <f>SUM('Amortisation and Repayments'!G2271:G2272)</f>
        <v>1290368.1255477371</v>
      </c>
      <c r="Y46" s="207">
        <f>SUM('Amortisation and Repayments'!G2268:G2270)</f>
        <v>1935552.1883216058</v>
      </c>
      <c r="Z46" s="251">
        <f>U46-SUM(W46:Y46)</f>
        <v>881945.004381896</v>
      </c>
      <c r="AJ46" s="434" t="str">
        <f>IFERROR(INDEX(Mapping!$J$2:$J$110,MATCH(46,Mapping!$A$2:$A$110,0)),"")</f>
        <v>000104450000041</v>
      </c>
      <c r="AK46" s="435" t="str">
        <f>IFERROR(INDEX(Mapping!$K$2:$K$110,MATCH(46,Mapping!$A$2:$A$110,0)),"")</f>
        <v>High</v>
      </c>
      <c r="AL46" s="432" t="str">
        <f>IFERROR(INDEX('E-Banker master'!$B$2:$B$186,MATCH($AJ46,'E-Banker master'!$A$2:$A$186,0)),"")</f>
        <v>Kadava Investment Limited</v>
      </c>
      <c r="AM46" s="432" t="str">
        <f>IFERROR(INDEX('E-Banker master'!$E$2:$E$186,MATCH($AJ46,'E-Banker master'!$A$2:$A$186,0)),"")</f>
        <v>H</v>
      </c>
      <c r="AN46" s="433">
        <f>IFERROR(INDEX('E-Banker master'!$N$2:$N$186,MATCH($AJ46,'E-Banker master'!$A$2:$A$186,0)),"")</f>
        <v>12000000</v>
      </c>
      <c r="AO46" s="433">
        <f>IFERROR(INDEX('E-Banker master'!$O$2:$O$186,MATCH($AJ46,'E-Banker master'!$A$2:$A$186,0)),"")</f>
        <v>1543533.22</v>
      </c>
      <c r="AP46" s="436">
        <f>IFERROR(INDEX('E-Banker master'!$P$2:$P$186,MATCH($AJ46,'E-Banker master'!$A$2:$A$186,0)),"")</f>
        <v>4496798.6900000004</v>
      </c>
      <c r="AQ46" s="433">
        <f t="shared" si="11"/>
        <v>-388933.37174876314</v>
      </c>
      <c r="AS46" s="444">
        <v>120000</v>
      </c>
      <c r="AT46" s="444">
        <v>244420</v>
      </c>
    </row>
    <row r="47" spans="1:46" x14ac:dyDescent="0.35">
      <c r="A47" s="35"/>
      <c r="B47" s="35"/>
      <c r="C47" s="35"/>
      <c r="D47" s="364">
        <v>43</v>
      </c>
      <c r="E47" s="324" t="s">
        <v>605</v>
      </c>
      <c r="F47" s="169" t="s">
        <v>178</v>
      </c>
      <c r="G47" s="170">
        <v>44775</v>
      </c>
      <c r="H47" s="170">
        <v>45535</v>
      </c>
      <c r="I47" s="171">
        <v>2</v>
      </c>
      <c r="J47" s="178" t="s">
        <v>779</v>
      </c>
      <c r="K47" s="172">
        <v>10</v>
      </c>
      <c r="L47" s="169">
        <v>24000000</v>
      </c>
      <c r="M47" s="173">
        <v>11423340</v>
      </c>
      <c r="N47" s="169">
        <f>L47-M47</f>
        <v>12576660</v>
      </c>
      <c r="O47" s="174">
        <f t="shared" si="9"/>
        <v>11423340</v>
      </c>
      <c r="P47" s="169">
        <f>SUM('Amortisation and Repayments'!H2289:H2313)</f>
        <v>1494531.5367076113</v>
      </c>
      <c r="Q47" s="169">
        <f>-SUM('Amortisation and Repayments'!K2289:K2313)</f>
        <v>-12917874</v>
      </c>
      <c r="R47" s="262">
        <f>SUM(O47:Q47)+2.46</f>
        <v>-3.2923882454634068E-3</v>
      </c>
      <c r="S47" s="176">
        <v>0</v>
      </c>
      <c r="T47" s="176">
        <v>0</v>
      </c>
      <c r="U47" s="167">
        <f t="shared" si="10"/>
        <v>0</v>
      </c>
      <c r="V47" s="181"/>
      <c r="W47" s="169">
        <v>0</v>
      </c>
      <c r="X47" s="169">
        <f>+U47-W47</f>
        <v>0</v>
      </c>
      <c r="Y47" s="244"/>
      <c r="Z47" s="181"/>
      <c r="AJ47" s="434" t="str">
        <f>IFERROR(INDEX(Mapping!$J$2:$J$110,MATCH(47,Mapping!$A$2:$A$110,0)),"")</f>
        <v>000104450000042</v>
      </c>
      <c r="AK47" s="435" t="str">
        <f>IFERROR(INDEX(Mapping!$K$2:$K$110,MATCH(47,Mapping!$A$2:$A$110,0)),"")</f>
        <v>High</v>
      </c>
      <c r="AL47" s="432" t="str">
        <f>IFERROR(INDEX('E-Banker master'!$B$2:$B$186,MATCH($AJ47,'E-Banker master'!$A$2:$A$186,0)),"")</f>
        <v>Zikometso Smallholder Farmers Association</v>
      </c>
      <c r="AM47" s="432" t="str">
        <f>IFERROR(INDEX('E-Banker master'!$E$2:$E$186,MATCH($AJ47,'E-Banker master'!$A$2:$A$186,0)),"")</f>
        <v>H</v>
      </c>
      <c r="AN47" s="433">
        <f>IFERROR(INDEX('E-Banker master'!$N$2:$N$186,MATCH($AJ47,'E-Banker master'!$A$2:$A$186,0)),"")</f>
        <v>11423340</v>
      </c>
      <c r="AO47" s="433">
        <f>IFERROR(INDEX('E-Banker master'!$O$2:$O$186,MATCH($AJ47,'E-Banker master'!$A$2:$A$186,0)),"")</f>
        <v>1489447.76</v>
      </c>
      <c r="AP47" s="433">
        <f>IFERROR(INDEX('E-Banker master'!$P$2:$P$186,MATCH($AJ47,'E-Banker master'!$A$2:$A$186,0)),"")</f>
        <v>8338.1200000000008</v>
      </c>
      <c r="AQ47" s="433">
        <f t="shared" si="11"/>
        <v>-8338.1232923882471</v>
      </c>
      <c r="AS47" s="444">
        <v>240000</v>
      </c>
      <c r="AT47" s="444">
        <v>438340</v>
      </c>
    </row>
    <row r="48" spans="1:46" x14ac:dyDescent="0.35">
      <c r="A48" s="35"/>
      <c r="B48" s="35"/>
      <c r="C48" s="35"/>
      <c r="D48" s="363">
        <v>44</v>
      </c>
      <c r="E48" s="324" t="s">
        <v>502</v>
      </c>
      <c r="F48" s="169" t="s">
        <v>178</v>
      </c>
      <c r="G48" s="170">
        <v>44785</v>
      </c>
      <c r="H48" s="170">
        <v>46265</v>
      </c>
      <c r="I48" s="171">
        <v>4</v>
      </c>
      <c r="J48" s="178" t="s">
        <v>792</v>
      </c>
      <c r="K48" s="275">
        <f>'Amortisation and Repayments'!K2321</f>
        <v>0.31100000000000005</v>
      </c>
      <c r="L48" s="169">
        <v>154724500</v>
      </c>
      <c r="M48" s="173">
        <v>154724500</v>
      </c>
      <c r="N48" s="169"/>
      <c r="O48" s="174">
        <f t="shared" si="9"/>
        <v>154724500</v>
      </c>
      <c r="P48" s="169">
        <f>SUM('Amortisation and Repayments'!H2329:H2355)</f>
        <v>89061033.006696254</v>
      </c>
      <c r="Q48" s="169">
        <f>-SUM('Amortisation and Repayments'!K2329:K2355)</f>
        <v>-142910868.18999997</v>
      </c>
      <c r="R48" s="262">
        <f>SUM(O48:Q48)</f>
        <v>100874664.81669629</v>
      </c>
      <c r="S48" s="176">
        <v>0</v>
      </c>
      <c r="T48" s="176">
        <v>0</v>
      </c>
      <c r="U48" s="167">
        <f t="shared" si="10"/>
        <v>0</v>
      </c>
      <c r="V48" s="181"/>
      <c r="W48" s="169">
        <f>+U48</f>
        <v>0</v>
      </c>
      <c r="X48" s="169">
        <v>0</v>
      </c>
      <c r="Y48" s="244"/>
      <c r="Z48" s="181"/>
      <c r="AJ48" s="434" t="str">
        <f>IFERROR(INDEX(Mapping!$J$2:$J$110,MATCH(48,Mapping!$A$2:$A$110,0)),"")</f>
        <v>000104420000043</v>
      </c>
      <c r="AK48" s="435" t="str">
        <f>IFERROR(INDEX(Mapping!$K$2:$K$110,MATCH(48,Mapping!$A$2:$A$110,0)),"")</f>
        <v>High</v>
      </c>
      <c r="AL48" s="432" t="str">
        <f>IFERROR(INDEX('E-Banker master'!$B$2:$B$186,MATCH($AJ48,'E-Banker master'!$A$2:$A$186,0)),"")</f>
        <v>The Food Empire Limited</v>
      </c>
      <c r="AM48" s="432" t="str">
        <f>IFERROR(INDEX('E-Banker master'!$E$2:$E$186,MATCH($AJ48,'E-Banker master'!$A$2:$A$186,0)),"")</f>
        <v>F</v>
      </c>
      <c r="AN48" s="433">
        <f>IFERROR(INDEX('E-Banker master'!$N$2:$N$186,MATCH($AJ48,'E-Banker master'!$A$2:$A$186,0)),"")</f>
        <v>154724500</v>
      </c>
      <c r="AO48" s="433">
        <f>IFERROR(INDEX('E-Banker master'!$O$2:$O$186,MATCH($AJ48,'E-Banker master'!$A$2:$A$186,0)),"")</f>
        <v>79996060.140000001</v>
      </c>
      <c r="AP48" s="433">
        <f>IFERROR(INDEX('E-Banker master'!$P$2:$P$186,MATCH($AJ48,'E-Banker master'!$A$2:$A$186,0)),"")</f>
        <v>101427841.37</v>
      </c>
      <c r="AQ48" s="433">
        <f t="shared" si="11"/>
        <v>-553176.55330371857</v>
      </c>
      <c r="AS48" s="444">
        <v>2250000</v>
      </c>
      <c r="AT48" s="444">
        <v>2474500</v>
      </c>
    </row>
    <row r="49" spans="1:46" s="277" customFormat="1" x14ac:dyDescent="0.35">
      <c r="A49" s="376"/>
      <c r="B49" s="376"/>
      <c r="C49" s="376"/>
      <c r="D49" s="363">
        <v>45</v>
      </c>
      <c r="E49" s="168" t="s">
        <v>793</v>
      </c>
      <c r="F49" s="173" t="s">
        <v>178</v>
      </c>
      <c r="G49" s="377">
        <v>44803</v>
      </c>
      <c r="H49" s="377">
        <v>45900</v>
      </c>
      <c r="I49" s="378">
        <v>3</v>
      </c>
      <c r="J49" s="379">
        <v>0</v>
      </c>
      <c r="K49" s="383">
        <f>'[1]Amortisation and Repayments'!J2387</f>
        <v>0.29800000000000004</v>
      </c>
      <c r="L49" s="173">
        <v>103225546</v>
      </c>
      <c r="M49" s="173">
        <v>103225546</v>
      </c>
      <c r="N49" s="173"/>
      <c r="O49" s="262">
        <f t="shared" si="9"/>
        <v>103225546</v>
      </c>
      <c r="P49" s="173">
        <f>SUM('[1]Amortisation and Repayments'!H2395:H2415)</f>
        <v>38887896.09305682</v>
      </c>
      <c r="Q49" s="173">
        <f>-SUM('Amortisation and Repayments'!K2395:K2430)</f>
        <v>-142113442.09</v>
      </c>
      <c r="R49" s="388">
        <f>SUM(O49:Q49)</f>
        <v>3.0568242073059082E-3</v>
      </c>
      <c r="S49" s="238"/>
      <c r="T49" s="238"/>
      <c r="U49" s="167">
        <f t="shared" si="10"/>
        <v>0</v>
      </c>
      <c r="V49" s="168"/>
      <c r="W49" s="173"/>
      <c r="X49" s="173"/>
      <c r="Y49" s="381"/>
      <c r="Z49" s="168"/>
      <c r="AJ49" s="434" t="str">
        <f>IFERROR(INDEX(Mapping!$J$2:$J$110,MATCH(49,Mapping!$A$2:$A$110,0)),"")</f>
        <v>000104420000044</v>
      </c>
      <c r="AK49" s="435" t="str">
        <f>IFERROR(INDEX(Mapping!$K$2:$K$110,MATCH(49,Mapping!$A$2:$A$110,0)),"")</f>
        <v>High</v>
      </c>
      <c r="AL49" s="434" t="str">
        <f>IFERROR(INDEX('E-Banker master'!$B$2:$B$186,MATCH($AJ49,'E-Banker master'!$A$2:$A$186,0)),"")</f>
        <v>Global Seeds Limited FInES</v>
      </c>
      <c r="AM49" s="432" t="str">
        <f>IFERROR(INDEX('E-Banker master'!$E$2:$E$186,MATCH($AJ49,'E-Banker master'!$A$2:$A$186,0)),"")</f>
        <v>C</v>
      </c>
      <c r="AN49" s="433">
        <f>IFERROR(INDEX('E-Banker master'!$N$2:$N$186,MATCH($AJ49,'E-Banker master'!$A$2:$A$186,0)),"")</f>
        <v>0</v>
      </c>
      <c r="AO49" s="433">
        <f>IFERROR(INDEX('E-Banker master'!$O$2:$O$186,MATCH($AJ49,'E-Banker master'!$A$2:$A$186,0)),"")</f>
        <v>0</v>
      </c>
      <c r="AP49" s="433">
        <f>IFERROR(INDEX('E-Banker master'!$P$2:$P$186,MATCH($AJ49,'E-Banker master'!$A$2:$A$186,0)),"")</f>
        <v>0</v>
      </c>
      <c r="AQ49" s="433">
        <f t="shared" si="11"/>
        <v>3.0568242073059082E-3</v>
      </c>
      <c r="AS49" s="444">
        <v>1524750</v>
      </c>
      <c r="AT49" s="444">
        <v>1700796</v>
      </c>
    </row>
    <row r="50" spans="1:46" x14ac:dyDescent="0.35">
      <c r="A50" s="35"/>
      <c r="B50" s="35"/>
      <c r="C50" s="35"/>
      <c r="D50" s="364">
        <v>46</v>
      </c>
      <c r="E50" s="208" t="s">
        <v>606</v>
      </c>
      <c r="F50" s="207" t="s">
        <v>178</v>
      </c>
      <c r="G50" s="209">
        <v>44844</v>
      </c>
      <c r="H50" s="209">
        <v>45575</v>
      </c>
      <c r="I50" s="210">
        <v>2</v>
      </c>
      <c r="J50" s="211" t="s">
        <v>779</v>
      </c>
      <c r="K50" s="212">
        <v>10</v>
      </c>
      <c r="L50" s="207">
        <v>10000000</v>
      </c>
      <c r="M50" s="213">
        <v>10000000</v>
      </c>
      <c r="N50" s="207"/>
      <c r="O50" s="214">
        <f t="shared" si="9"/>
        <v>10000000</v>
      </c>
      <c r="P50" s="207">
        <f>SUM('Amortisation and Repayments'!H2448:H2472)</f>
        <v>1284189.5721939777</v>
      </c>
      <c r="Q50" s="207">
        <f>-SUM('Amortisation and Repayments'!K2448:K2472)</f>
        <v>-2140000</v>
      </c>
      <c r="R50" s="331">
        <f>SUM(O50:Q50)</f>
        <v>9144189.5721939784</v>
      </c>
      <c r="S50" s="243">
        <f>SUM('Amortisation and Repayments'!I2455:I2472)</f>
        <v>8947194.2439202163</v>
      </c>
      <c r="T50" s="243">
        <f>'Amortisation and Repayments'!L2472-'Loan Book'!S50</f>
        <v>196995.32827376574</v>
      </c>
      <c r="U50" s="299">
        <f t="shared" si="10"/>
        <v>9144189.5721939821</v>
      </c>
      <c r="V50" s="254"/>
      <c r="W50" s="207">
        <f>'Amortisation and Repayments'!G2472</f>
        <v>537342.36058066564</v>
      </c>
      <c r="X50" s="207">
        <f>W50*3</f>
        <v>1612027.081741997</v>
      </c>
      <c r="Y50" s="250">
        <f>X50</f>
        <v>1612027.081741997</v>
      </c>
      <c r="Z50" s="251">
        <f>U50-SUM(W50:Y50)</f>
        <v>5382793.048129322</v>
      </c>
      <c r="AJ50" s="434" t="str">
        <f>IFERROR(INDEX(Mapping!$J$2:$J$110,MATCH(50,Mapping!$A$2:$A$110,0)),"")</f>
        <v>000104450000045</v>
      </c>
      <c r="AK50" s="435" t="str">
        <f>IFERROR(INDEX(Mapping!$K$2:$K$110,MATCH(50,Mapping!$A$2:$A$110,0)),"")</f>
        <v>High</v>
      </c>
      <c r="AL50" s="432" t="str">
        <f>IFERROR(INDEX('E-Banker master'!$B$2:$B$186,MATCH($AJ50,'E-Banker master'!$A$2:$A$186,0)),"")</f>
        <v>Walusiya Investment</v>
      </c>
      <c r="AM50" s="432" t="str">
        <f>IFERROR(INDEX('E-Banker master'!$E$2:$E$186,MATCH($AJ50,'E-Banker master'!$A$2:$A$186,0)),"")</f>
        <v>H</v>
      </c>
      <c r="AN50" s="433">
        <f>IFERROR(INDEX('E-Banker master'!$N$2:$N$186,MATCH($AJ50,'E-Banker master'!$A$2:$A$186,0)),"")</f>
        <v>10000000</v>
      </c>
      <c r="AO50" s="433">
        <f>IFERROR(INDEX('E-Banker master'!$O$2:$O$186,MATCH($AJ50,'E-Banker master'!$A$2:$A$186,0)),"")</f>
        <v>1270903.74</v>
      </c>
      <c r="AP50" s="433">
        <f>IFERROR(INDEX('E-Banker master'!$P$2:$P$186,MATCH($AJ50,'E-Banker master'!$A$2:$A$186,0)),"")</f>
        <v>9371307</v>
      </c>
      <c r="AQ50" s="433">
        <f t="shared" si="11"/>
        <v>-227117.42780602165</v>
      </c>
      <c r="AS50" s="444">
        <v>100000</v>
      </c>
      <c r="AT50" s="444">
        <v>212100</v>
      </c>
    </row>
    <row r="51" spans="1:46" x14ac:dyDescent="0.35">
      <c r="A51" s="35"/>
      <c r="B51" s="35"/>
      <c r="C51" s="35"/>
      <c r="D51" s="363">
        <v>47</v>
      </c>
      <c r="E51" s="393" t="s">
        <v>607</v>
      </c>
      <c r="F51" s="207" t="s">
        <v>178</v>
      </c>
      <c r="G51" s="209">
        <v>44844</v>
      </c>
      <c r="H51" s="209">
        <v>45575</v>
      </c>
      <c r="I51" s="210">
        <v>2</v>
      </c>
      <c r="J51" s="211" t="s">
        <v>779</v>
      </c>
      <c r="K51" s="212">
        <v>10</v>
      </c>
      <c r="L51" s="207">
        <v>12000000</v>
      </c>
      <c r="M51" s="213">
        <v>12000000</v>
      </c>
      <c r="N51" s="207"/>
      <c r="O51" s="214">
        <f t="shared" si="9"/>
        <v>12000000</v>
      </c>
      <c r="P51" s="207">
        <f>SUM('Amortisation and Repayments'!H2489:H2513)</f>
        <v>1541027.4866327734</v>
      </c>
      <c r="Q51" s="207">
        <f>-SUM('Amortisation and Repayments'!K2489:K2513)</f>
        <v>-6500000</v>
      </c>
      <c r="R51" s="331">
        <f>SUM(O51:Q51)</f>
        <v>7041027.4866327737</v>
      </c>
      <c r="S51" s="243">
        <f>SUM('Amortisation and Repayments'!I2504:I2513)</f>
        <v>6162160.5980409058</v>
      </c>
      <c r="T51" s="243">
        <f>'Amortisation and Repayments'!L2513-'Loan Book'!S51</f>
        <v>878866.88859187346</v>
      </c>
      <c r="U51" s="299">
        <f t="shared" si="10"/>
        <v>7041027.4866327792</v>
      </c>
      <c r="V51" s="254"/>
      <c r="W51" s="207">
        <f>'Amortisation and Repayments'!G2513</f>
        <v>644810.83269679884</v>
      </c>
      <c r="X51" s="207">
        <f>+W51*3</f>
        <v>1934432.4980903966</v>
      </c>
      <c r="Y51" s="207">
        <f>W51*3</f>
        <v>1934432.4980903966</v>
      </c>
      <c r="Z51" s="251">
        <f>U51-SUM(W51:Y51)</f>
        <v>2527351.6577551868</v>
      </c>
      <c r="AJ51" s="434" t="str">
        <f>IFERROR(INDEX(Mapping!$J$2:$J$110,MATCH(51,Mapping!$A$2:$A$110,0)),"")</f>
        <v>000104450000046</v>
      </c>
      <c r="AK51" s="435" t="str">
        <f>IFERROR(INDEX(Mapping!$K$2:$K$110,MATCH(51,Mapping!$A$2:$A$110,0)),"")</f>
        <v>High</v>
      </c>
      <c r="AL51" s="432" t="str">
        <f>IFERROR(INDEX('E-Banker master'!$B$2:$B$186,MATCH($AJ51,'E-Banker master'!$A$2:$A$186,0)),"")</f>
        <v>G&amp;T General Dealers</v>
      </c>
      <c r="AM51" s="432" t="str">
        <f>IFERROR(INDEX('E-Banker master'!$E$2:$E$186,MATCH($AJ51,'E-Banker master'!$A$2:$A$186,0)),"")</f>
        <v>H</v>
      </c>
      <c r="AN51" s="433">
        <f>IFERROR(INDEX('E-Banker master'!$N$2:$N$186,MATCH($AJ51,'E-Banker master'!$A$2:$A$186,0)),"")</f>
        <v>12000000</v>
      </c>
      <c r="AO51" s="433">
        <f>IFERROR(INDEX('E-Banker master'!$O$2:$O$186,MATCH($AJ51,'E-Banker master'!$A$2:$A$186,0)),"")</f>
        <v>1509229.2</v>
      </c>
      <c r="AP51" s="436">
        <f>IFERROR(INDEX('E-Banker master'!$P$2:$P$186,MATCH($AJ51,'E-Banker master'!$A$2:$A$186,0)),"")</f>
        <v>7207695.9500000002</v>
      </c>
      <c r="AQ51" s="433">
        <f t="shared" si="11"/>
        <v>-166668.46336722653</v>
      </c>
      <c r="AS51" s="444">
        <v>120000</v>
      </c>
      <c r="AT51" s="444">
        <v>244420</v>
      </c>
    </row>
    <row r="52" spans="1:46" x14ac:dyDescent="0.35">
      <c r="A52" s="35"/>
      <c r="B52" s="35"/>
      <c r="C52" s="35"/>
      <c r="D52" s="363">
        <v>48</v>
      </c>
      <c r="E52" s="168" t="s">
        <v>608</v>
      </c>
      <c r="F52" s="169" t="s">
        <v>178</v>
      </c>
      <c r="G52" s="170">
        <v>44852</v>
      </c>
      <c r="H52" s="170">
        <v>45583</v>
      </c>
      <c r="I52" s="171">
        <v>2</v>
      </c>
      <c r="J52" s="178" t="s">
        <v>779</v>
      </c>
      <c r="K52" s="172">
        <v>10</v>
      </c>
      <c r="L52" s="169">
        <v>24000000</v>
      </c>
      <c r="M52" s="173">
        <v>24000000</v>
      </c>
      <c r="N52" s="169"/>
      <c r="O52" s="174">
        <f t="shared" si="9"/>
        <v>24000000</v>
      </c>
      <c r="P52" s="169">
        <f>SUM('[1]Amortisation and Repayments'!H2530:H2544)</f>
        <v>2453483.5998252528</v>
      </c>
      <c r="Q52" s="169">
        <f>-SUM('Amortisation and Repayments'!K2530:K2548)</f>
        <v>-26454000</v>
      </c>
      <c r="R52" s="388">
        <v>0</v>
      </c>
      <c r="S52" s="176"/>
      <c r="T52" s="176"/>
      <c r="U52" s="167">
        <f t="shared" si="10"/>
        <v>0</v>
      </c>
      <c r="V52" s="181"/>
      <c r="W52" s="169"/>
      <c r="Y52" s="244"/>
      <c r="Z52" s="181"/>
      <c r="AJ52" s="434" t="str">
        <f>IFERROR(INDEX(Mapping!$J$2:$J$110,MATCH(52,Mapping!$A$2:$A$110,0)),"")</f>
        <v>000104450000047</v>
      </c>
      <c r="AK52" s="435" t="str">
        <f>IFERROR(INDEX(Mapping!$K$2:$K$110,MATCH(52,Mapping!$A$2:$A$110,0)),"")</f>
        <v>High</v>
      </c>
      <c r="AL52" s="432" t="str">
        <f>IFERROR(INDEX('E-Banker master'!$B$2:$B$186,MATCH($AJ52,'E-Banker master'!$A$2:$A$186,0)),"")</f>
        <v>Rose Harris Investment</v>
      </c>
      <c r="AM52" s="432" t="str">
        <f>IFERROR(INDEX('E-Banker master'!$E$2:$E$186,MATCH($AJ52,'E-Banker master'!$A$2:$A$186,0)),"")</f>
        <v>C</v>
      </c>
      <c r="AN52" s="433">
        <f>IFERROR(INDEX('E-Banker master'!$N$2:$N$186,MATCH($AJ52,'E-Banker master'!$A$2:$A$186,0)),"")</f>
        <v>0</v>
      </c>
      <c r="AO52" s="433">
        <f>IFERROR(INDEX('E-Banker master'!$O$2:$O$186,MATCH($AJ52,'E-Banker master'!$A$2:$A$186,0)),"")</f>
        <v>0</v>
      </c>
      <c r="AP52" s="436">
        <f>IFERROR(INDEX('E-Banker master'!$P$2:$P$186,MATCH($AJ52,'E-Banker master'!$A$2:$A$186,0)),"")</f>
        <v>0</v>
      </c>
      <c r="AQ52" s="433">
        <f t="shared" si="11"/>
        <v>0</v>
      </c>
      <c r="AS52" s="444">
        <v>240000</v>
      </c>
      <c r="AT52" s="444">
        <v>438340</v>
      </c>
    </row>
    <row r="53" spans="1:46" x14ac:dyDescent="0.35">
      <c r="A53" s="35"/>
      <c r="B53" s="35"/>
      <c r="C53" s="35"/>
      <c r="D53" s="364">
        <v>49</v>
      </c>
      <c r="E53" s="181" t="s">
        <v>794</v>
      </c>
      <c r="F53" s="169" t="s">
        <v>178</v>
      </c>
      <c r="G53" s="170">
        <v>44861</v>
      </c>
      <c r="H53" s="170">
        <v>45592</v>
      </c>
      <c r="I53" s="171">
        <v>2</v>
      </c>
      <c r="J53" s="178" t="s">
        <v>779</v>
      </c>
      <c r="K53" s="172">
        <v>10</v>
      </c>
      <c r="L53" s="169">
        <v>24000000</v>
      </c>
      <c r="M53" s="169">
        <v>24000000</v>
      </c>
      <c r="N53" s="169"/>
      <c r="O53" s="169">
        <f t="shared" si="9"/>
        <v>24000000</v>
      </c>
      <c r="P53" s="169">
        <f>SUM('Amortisation and Repayments'!H2572:H2596)</f>
        <v>2959020.5172138321</v>
      </c>
      <c r="Q53" s="169">
        <f>-SUM('Amortisation and Repayments'!K2572:K2596)</f>
        <v>-26989000</v>
      </c>
      <c r="R53" s="169">
        <v>0</v>
      </c>
      <c r="S53" s="176">
        <v>0</v>
      </c>
      <c r="T53" s="176">
        <v>0</v>
      </c>
      <c r="U53" s="167">
        <f t="shared" si="10"/>
        <v>0</v>
      </c>
      <c r="V53" s="181"/>
      <c r="W53" s="169">
        <v>0</v>
      </c>
      <c r="X53" s="169">
        <f>U53-W53</f>
        <v>0</v>
      </c>
      <c r="Y53" s="244"/>
      <c r="Z53" s="181"/>
      <c r="AJ53" s="434" t="str">
        <f>IFERROR(INDEX(Mapping!$J$2:$J$110,MATCH(53,Mapping!$A$2:$A$110,0)),"")</f>
        <v>000104450000048</v>
      </c>
      <c r="AK53" s="435" t="str">
        <f>IFERROR(INDEX(Mapping!$K$2:$K$110,MATCH(53,Mapping!$A$2:$A$110,0)),"")</f>
        <v>High</v>
      </c>
      <c r="AL53" s="432" t="str">
        <f>IFERROR(INDEX('E-Banker master'!$B$2:$B$186,MATCH($AJ53,'E-Banker master'!$A$2:$A$186,0)),"")</f>
        <v>KANING'A GENERAL DEALER</v>
      </c>
      <c r="AM53" s="432" t="str">
        <f>IFERROR(INDEX('E-Banker master'!$E$2:$E$186,MATCH($AJ53,'E-Banker master'!$A$2:$A$186,0)),"")</f>
        <v>H</v>
      </c>
      <c r="AN53" s="433">
        <f>IFERROR(INDEX('E-Banker master'!$N$2:$N$186,MATCH($AJ53,'E-Banker master'!$A$2:$A$186,0)),"")</f>
        <v>24000000</v>
      </c>
      <c r="AO53" s="437">
        <f>IFERROR(INDEX('E-Banker master'!$O$2:$O$186,MATCH($AJ53,'E-Banker master'!$A$2:$A$186,0)),"")</f>
        <v>2895712.86</v>
      </c>
      <c r="AP53" s="436">
        <f>IFERROR(INDEX('E-Banker master'!$P$2:$P$186,MATCH($AJ53,'E-Banker master'!$A$2:$A$186,0)),"")</f>
        <v>1685.92</v>
      </c>
      <c r="AQ53" s="433">
        <f t="shared" si="11"/>
        <v>-1685.92</v>
      </c>
      <c r="AS53" s="444">
        <v>240000</v>
      </c>
      <c r="AT53" s="444">
        <v>438340</v>
      </c>
    </row>
    <row r="54" spans="1:46" x14ac:dyDescent="0.35">
      <c r="A54" s="35"/>
      <c r="B54" s="35"/>
      <c r="C54" s="35"/>
      <c r="D54" s="363">
        <v>50</v>
      </c>
      <c r="E54" s="394" t="s">
        <v>610</v>
      </c>
      <c r="F54" s="313" t="s">
        <v>178</v>
      </c>
      <c r="G54" s="314">
        <v>44867</v>
      </c>
      <c r="H54" s="314">
        <v>45598</v>
      </c>
      <c r="I54" s="315">
        <v>2</v>
      </c>
      <c r="J54" s="316" t="s">
        <v>774</v>
      </c>
      <c r="K54" s="317">
        <v>10</v>
      </c>
      <c r="L54" s="313">
        <v>10000000</v>
      </c>
      <c r="M54" s="322">
        <v>10000000</v>
      </c>
      <c r="N54" s="313"/>
      <c r="O54" s="318">
        <f t="shared" si="9"/>
        <v>10000000</v>
      </c>
      <c r="P54" s="313">
        <f>SUM('Amortisation and Repayments'!H2616:H2639)</f>
        <v>1303763.1565395948</v>
      </c>
      <c r="Q54" s="313">
        <f>-SUM('Amortisation and Repayments'!K2616:K2639)</f>
        <v>-4605000</v>
      </c>
      <c r="R54" s="332">
        <f>SUM(O54:Q54)</f>
        <v>6698763.1565395948</v>
      </c>
      <c r="S54" s="319">
        <f>SUM('Amortisation and Repayments'!I2628:I2639)</f>
        <v>6074397.6028188877</v>
      </c>
      <c r="T54" s="319">
        <f>'Amortisation and Repayments'!L2639-'Loan Book'!S54</f>
        <v>90329.499081039801</v>
      </c>
      <c r="U54" s="299">
        <f t="shared" si="10"/>
        <v>6164727.1018999275</v>
      </c>
      <c r="V54" s="312"/>
      <c r="W54" s="313">
        <f>'Amortisation and Repayments'!G2639</f>
        <v>538486.35509499651</v>
      </c>
      <c r="X54" s="313">
        <f>W54*3</f>
        <v>1615459.0652849895</v>
      </c>
      <c r="Y54" s="313">
        <f>W54*3</f>
        <v>1615459.0652849895</v>
      </c>
      <c r="Z54" s="320">
        <f>U54-SUM(W54:Y54)</f>
        <v>2395322.6162349517</v>
      </c>
      <c r="AJ54" s="434" t="str">
        <f>IFERROR(INDEX(Mapping!$J$2:$J$110,MATCH(54,Mapping!$A$2:$A$110,0)),"")</f>
        <v>000104450000049</v>
      </c>
      <c r="AK54" s="435" t="str">
        <f>IFERROR(INDEX(Mapping!$K$2:$K$110,MATCH(54,Mapping!$A$2:$A$110,0)),"")</f>
        <v>High</v>
      </c>
      <c r="AL54" s="432" t="str">
        <f>IFERROR(INDEX('E-Banker master'!$B$2:$B$186,MATCH($AJ54,'E-Banker master'!$A$2:$A$186,0)),"")</f>
        <v>Uchi Conservation Limited</v>
      </c>
      <c r="AM54" s="432" t="str">
        <f>IFERROR(INDEX('E-Banker master'!$E$2:$E$186,MATCH($AJ54,'E-Banker master'!$A$2:$A$186,0)),"")</f>
        <v>D</v>
      </c>
      <c r="AN54" s="433">
        <f>IFERROR(INDEX('E-Banker master'!$N$2:$N$186,MATCH($AJ54,'E-Banker master'!$A$2:$A$186,0)),"")</f>
        <v>10000000</v>
      </c>
      <c r="AO54" s="433">
        <f>IFERROR(INDEX('E-Banker master'!$O$2:$O$186,MATCH($AJ54,'E-Banker master'!$A$2:$A$186,0)),"")</f>
        <v>1264076.73</v>
      </c>
      <c r="AP54" s="433">
        <f>IFERROR(INDEX('E-Banker master'!$P$2:$P$186,MATCH($AJ54,'E-Banker master'!$A$2:$A$186,0)),"")</f>
        <v>6882460.2000000002</v>
      </c>
      <c r="AQ54" s="433">
        <f t="shared" si="11"/>
        <v>-183697.04346040543</v>
      </c>
      <c r="AS54" s="444">
        <v>100000</v>
      </c>
      <c r="AT54" s="444">
        <v>212100</v>
      </c>
    </row>
    <row r="55" spans="1:46" x14ac:dyDescent="0.35">
      <c r="A55" s="35"/>
      <c r="B55" s="35"/>
      <c r="C55" s="35"/>
      <c r="D55" s="363">
        <v>51</v>
      </c>
      <c r="E55" s="168" t="s">
        <v>611</v>
      </c>
      <c r="F55" s="169" t="s">
        <v>178</v>
      </c>
      <c r="G55" s="170">
        <v>44874</v>
      </c>
      <c r="H55" s="170">
        <v>45605</v>
      </c>
      <c r="I55" s="171">
        <v>2</v>
      </c>
      <c r="J55" s="178" t="s">
        <v>779</v>
      </c>
      <c r="K55" s="172">
        <v>10</v>
      </c>
      <c r="L55" s="169">
        <v>10000000</v>
      </c>
      <c r="M55" s="173">
        <v>10000000</v>
      </c>
      <c r="N55" s="169"/>
      <c r="O55" s="174">
        <f t="shared" si="9"/>
        <v>10000000</v>
      </c>
      <c r="P55" s="169">
        <f>SUM('Amortisation and Repayments'!H2658:H2681)</f>
        <v>1281959.2595718964</v>
      </c>
      <c r="Q55" s="169">
        <f>-SUM('Amortisation and Repayments'!K2658:K2681)</f>
        <v>-10212484.42</v>
      </c>
      <c r="R55" s="262">
        <f>SUM(O55:Q55)</f>
        <v>1069474.8395718969</v>
      </c>
      <c r="S55" s="176">
        <f>'Amortisation and Repayments'!L2681-T55</f>
        <v>505705.74030078377</v>
      </c>
      <c r="T55" s="176">
        <v>30763.15</v>
      </c>
      <c r="U55" s="167">
        <f t="shared" si="10"/>
        <v>536468.89030078379</v>
      </c>
      <c r="V55" s="181"/>
      <c r="W55" s="169">
        <f>U55</f>
        <v>536468.89030078379</v>
      </c>
      <c r="X55" s="169">
        <f>U55-W55</f>
        <v>0</v>
      </c>
      <c r="Y55" s="244"/>
      <c r="Z55" s="181"/>
      <c r="AJ55" s="434" t="str">
        <f>IFERROR(INDEX(Mapping!$J$2:$J$110,MATCH(55,Mapping!$A$2:$A$110,0)),"")</f>
        <v>000104450000050</v>
      </c>
      <c r="AK55" s="435" t="str">
        <f>IFERROR(INDEX(Mapping!$K$2:$K$110,MATCH(55,Mapping!$A$2:$A$110,0)),"")</f>
        <v>High</v>
      </c>
      <c r="AL55" s="434" t="str">
        <f>IFERROR(INDEX('E-Banker master'!$B$2:$B$186,MATCH($AJ55,'E-Banker master'!$A$2:$A$186,0)),"")</f>
        <v>Greendom Farming</v>
      </c>
      <c r="AM55" s="432" t="str">
        <f>IFERROR(INDEX('E-Banker master'!$E$2:$E$186,MATCH($AJ55,'E-Banker master'!$A$2:$A$186,0)),"")</f>
        <v>D</v>
      </c>
      <c r="AN55" s="433">
        <f>IFERROR(INDEX('E-Banker master'!$N$2:$N$186,MATCH($AJ55,'E-Banker master'!$A$2:$A$186,0)),"")</f>
        <v>10000000</v>
      </c>
      <c r="AO55" s="433">
        <f>IFERROR(INDEX('E-Banker master'!$O$2:$O$186,MATCH($AJ55,'E-Banker master'!$A$2:$A$186,0)),"")</f>
        <v>1242349.3799999999</v>
      </c>
      <c r="AP55" s="433">
        <f>IFERROR(INDEX('E-Banker master'!$P$2:$P$186,MATCH($AJ55,'E-Banker master'!$A$2:$A$186,0)),"")</f>
        <v>1072059.3799999999</v>
      </c>
      <c r="AQ55" s="433">
        <f t="shared" si="11"/>
        <v>-2584.5404281029478</v>
      </c>
      <c r="AS55" s="444">
        <v>100000</v>
      </c>
      <c r="AT55" s="444">
        <v>212100</v>
      </c>
    </row>
    <row r="56" spans="1:46" x14ac:dyDescent="0.35">
      <c r="A56" s="35"/>
      <c r="B56" s="35"/>
      <c r="C56" s="35"/>
      <c r="D56" s="364">
        <v>52</v>
      </c>
      <c r="E56" s="168" t="s">
        <v>612</v>
      </c>
      <c r="F56" s="169" t="s">
        <v>178</v>
      </c>
      <c r="G56" s="170">
        <v>44875</v>
      </c>
      <c r="H56" s="170">
        <v>45606</v>
      </c>
      <c r="I56" s="171">
        <v>2</v>
      </c>
      <c r="J56" s="178" t="s">
        <v>779</v>
      </c>
      <c r="K56" s="172">
        <v>10</v>
      </c>
      <c r="L56" s="169">
        <v>24000000</v>
      </c>
      <c r="M56" s="173">
        <v>24000000</v>
      </c>
      <c r="N56" s="169"/>
      <c r="O56" s="174">
        <f t="shared" si="9"/>
        <v>24000000</v>
      </c>
      <c r="P56" s="169">
        <f>SUM('[1]Amortisation and Repayments'!H2703:H2715)</f>
        <v>2273300.9602621705</v>
      </c>
      <c r="Q56" s="169">
        <f>-SUM('Amortisation and Repayments'!K2703:K2724)</f>
        <v>-26274268.280000001</v>
      </c>
      <c r="R56" s="388">
        <v>0</v>
      </c>
      <c r="S56" s="176"/>
      <c r="T56" s="176"/>
      <c r="U56" s="167">
        <f t="shared" si="10"/>
        <v>0</v>
      </c>
      <c r="V56" s="181"/>
      <c r="W56" s="169"/>
      <c r="X56" s="169">
        <v>0</v>
      </c>
      <c r="Y56" s="244"/>
      <c r="Z56" s="181"/>
      <c r="AJ56" s="434" t="str">
        <f>IFERROR(INDEX(Mapping!$J$2:$J$110,MATCH(56,Mapping!$A$2:$A$110,0)),"")</f>
        <v>000104450000051</v>
      </c>
      <c r="AK56" s="435" t="str">
        <f>IFERROR(INDEX(Mapping!$K$2:$K$110,MATCH(56,Mapping!$A$2:$A$110,0)),"")</f>
        <v>High</v>
      </c>
      <c r="AL56" s="432" t="str">
        <f>IFERROR(INDEX('E-Banker master'!$B$2:$B$186,MATCH($AJ56,'E-Banker master'!$A$2:$A$186,0)),"")</f>
        <v>JAT Investments</v>
      </c>
      <c r="AM56" s="432" t="str">
        <f>IFERROR(INDEX('E-Banker master'!$E$2:$E$186,MATCH($AJ56,'E-Banker master'!$A$2:$A$186,0)),"")</f>
        <v>C</v>
      </c>
      <c r="AN56" s="433">
        <f>IFERROR(INDEX('E-Banker master'!$N$2:$N$186,MATCH($AJ56,'E-Banker master'!$A$2:$A$186,0)),"")</f>
        <v>0</v>
      </c>
      <c r="AO56" s="433">
        <f>IFERROR(INDEX('E-Banker master'!$O$2:$O$186,MATCH($AJ56,'E-Banker master'!$A$2:$A$186,0)),"")</f>
        <v>0</v>
      </c>
      <c r="AP56" s="436">
        <f>IFERROR(INDEX('E-Banker master'!$P$2:$P$186,MATCH($AJ56,'E-Banker master'!$A$2:$A$186,0)),"")</f>
        <v>0</v>
      </c>
      <c r="AQ56" s="433">
        <f t="shared" si="11"/>
        <v>0</v>
      </c>
      <c r="AS56" s="444">
        <v>240000</v>
      </c>
      <c r="AT56" s="444">
        <v>438340</v>
      </c>
    </row>
    <row r="57" spans="1:46" x14ac:dyDescent="0.35">
      <c r="A57" s="35"/>
      <c r="B57" s="35"/>
      <c r="C57" s="35"/>
      <c r="D57" s="363">
        <v>53</v>
      </c>
      <c r="E57" s="168" t="s">
        <v>505</v>
      </c>
      <c r="F57" s="169" t="s">
        <v>178</v>
      </c>
      <c r="G57" s="170">
        <v>44883</v>
      </c>
      <c r="H57" s="170">
        <v>46356</v>
      </c>
      <c r="I57" s="171">
        <v>4</v>
      </c>
      <c r="J57" s="178" t="s">
        <v>777</v>
      </c>
      <c r="K57" s="275">
        <f>'Amortisation and Repayments'!I2745</f>
        <v>0.31100000000000005</v>
      </c>
      <c r="L57" s="169">
        <v>103166500</v>
      </c>
      <c r="M57" s="173">
        <v>103166500</v>
      </c>
      <c r="N57" s="169">
        <f>L57-M57</f>
        <v>0</v>
      </c>
      <c r="O57" s="174">
        <f t="shared" si="9"/>
        <v>103166500</v>
      </c>
      <c r="P57" s="169">
        <f>SUM('Amortisation and Repayments'!H2750:H2773)</f>
        <v>65138962.697941028</v>
      </c>
      <c r="Q57" s="169">
        <f>-SUM('Amortisation and Repayments'!K2750:K2773)</f>
        <v>0</v>
      </c>
      <c r="R57" s="262">
        <f t="shared" ref="R57:R88" si="12">SUM(O57:Q57)</f>
        <v>168305462.69794104</v>
      </c>
      <c r="S57" s="176">
        <v>0</v>
      </c>
      <c r="T57" s="176">
        <v>0</v>
      </c>
      <c r="U57" s="167">
        <f t="shared" si="10"/>
        <v>0</v>
      </c>
      <c r="V57" s="181"/>
      <c r="W57" s="169">
        <v>0</v>
      </c>
      <c r="X57" s="169">
        <v>0</v>
      </c>
      <c r="Y57" s="244">
        <v>0</v>
      </c>
      <c r="Z57" s="181"/>
      <c r="AJ57" s="434" t="str">
        <f>IFERROR(INDEX(Mapping!$J$2:$J$110,MATCH(57,Mapping!$A$2:$A$110,0)),"")</f>
        <v>000104420000052</v>
      </c>
      <c r="AK57" s="435" t="str">
        <f>IFERROR(INDEX(Mapping!$K$2:$K$110,MATCH(57,Mapping!$A$2:$A$110,0)),"")</f>
        <v>High</v>
      </c>
      <c r="AL57" s="432" t="str">
        <f>IFERROR(INDEX('E-Banker master'!$B$2:$B$186,MATCH($AJ57,'E-Banker master'!$A$2:$A$186,0)),"")</f>
        <v>Kambewu Organic Fertilizer Investments</v>
      </c>
      <c r="AM57" s="432" t="str">
        <f>IFERROR(INDEX('E-Banker master'!$E$2:$E$186,MATCH($AJ57,'E-Banker master'!$A$2:$A$186,0)),"")</f>
        <v>A</v>
      </c>
      <c r="AN57" s="433">
        <f>IFERROR(INDEX('E-Banker master'!$N$2:$N$186,MATCH($AJ57,'E-Banker master'!$A$2:$A$186,0)),"")</f>
        <v>103166500</v>
      </c>
      <c r="AO57" s="433">
        <f>IFERROR(INDEX('E-Banker master'!$O$2:$O$186,MATCH($AJ57,'E-Banker master'!$A$2:$A$186,0)),"")</f>
        <v>54797857.670000002</v>
      </c>
      <c r="AP57" s="436">
        <f>IFERROR(INDEX('E-Banker master'!$P$2:$P$186,MATCH($AJ57,'E-Banker master'!$A$2:$A$186,0)),"")</f>
        <v>172069095.46000001</v>
      </c>
      <c r="AQ57" s="433">
        <f t="shared" si="11"/>
        <v>-3763632.7620589733</v>
      </c>
      <c r="AS57" s="444">
        <v>0</v>
      </c>
      <c r="AT57" s="444">
        <v>0</v>
      </c>
    </row>
    <row r="58" spans="1:46" x14ac:dyDescent="0.35">
      <c r="A58" s="35"/>
      <c r="B58" s="35"/>
      <c r="C58" s="35"/>
      <c r="D58" s="363">
        <v>54</v>
      </c>
      <c r="E58" s="324" t="s">
        <v>795</v>
      </c>
      <c r="F58" s="169" t="s">
        <v>178</v>
      </c>
      <c r="G58" s="170">
        <v>44950</v>
      </c>
      <c r="H58" s="170">
        <v>46046</v>
      </c>
      <c r="I58" s="171">
        <v>3</v>
      </c>
      <c r="J58" s="178" t="s">
        <v>796</v>
      </c>
      <c r="K58" s="172">
        <v>10</v>
      </c>
      <c r="L58" s="169">
        <v>90900000</v>
      </c>
      <c r="M58" s="173">
        <v>90900000</v>
      </c>
      <c r="N58" s="169">
        <v>0</v>
      </c>
      <c r="O58" s="174">
        <f t="shared" si="9"/>
        <v>90900000</v>
      </c>
      <c r="P58" s="169">
        <f>SUM('Amortisation and Repayments'!H2820:H2841)</f>
        <v>12896601.925653504</v>
      </c>
      <c r="Q58" s="169">
        <f>-SUM('Amortisation and Repayments'!K2820:K2841)</f>
        <v>-59384394.300000004</v>
      </c>
      <c r="R58" s="262">
        <f t="shared" si="12"/>
        <v>44412207.625653498</v>
      </c>
      <c r="S58" s="176">
        <v>0</v>
      </c>
      <c r="T58" s="176">
        <v>0</v>
      </c>
      <c r="U58" s="167">
        <f t="shared" si="10"/>
        <v>0</v>
      </c>
      <c r="V58" s="181"/>
      <c r="W58" s="169">
        <f>U58</f>
        <v>0</v>
      </c>
      <c r="X58" s="169"/>
      <c r="Y58" s="244">
        <v>0</v>
      </c>
      <c r="Z58" s="181"/>
      <c r="AJ58" s="434" t="str">
        <f>IFERROR(INDEX(Mapping!$J$2:$J$110,MATCH(58,Mapping!$A$2:$A$110,0)),"")</f>
        <v>000104450000053</v>
      </c>
      <c r="AK58" s="435" t="str">
        <f>IFERROR(INDEX(Mapping!$K$2:$K$110,MATCH(58,Mapping!$A$2:$A$110,0)),"")</f>
        <v>High</v>
      </c>
      <c r="AL58" s="432" t="str">
        <f>IFERROR(INDEX('E-Banker master'!$B$2:$B$186,MATCH($AJ58,'E-Banker master'!$A$2:$A$186,0)),"")</f>
        <v>Kwithu Producers and Marketing Co 2</v>
      </c>
      <c r="AM58" s="432" t="str">
        <f>IFERROR(INDEX('E-Banker master'!$E$2:$E$186,MATCH($AJ58,'E-Banker master'!$A$2:$A$186,0)),"")</f>
        <v>F</v>
      </c>
      <c r="AN58" s="433">
        <f>IFERROR(INDEX('E-Banker master'!$N$2:$N$186,MATCH($AJ58,'E-Banker master'!$A$2:$A$186,0)),"")</f>
        <v>90900000</v>
      </c>
      <c r="AO58" s="433">
        <f>IFERROR(INDEX('E-Banker master'!$O$2:$O$186,MATCH($AJ58,'E-Banker master'!$A$2:$A$186,0)),"")</f>
        <v>11648615.529999999</v>
      </c>
      <c r="AP58" s="433">
        <f>IFERROR(INDEX('E-Banker master'!$P$2:$P$186,MATCH($AJ58,'E-Banker master'!$A$2:$A$186,0)),"")</f>
        <v>44388654.57</v>
      </c>
      <c r="AQ58" s="433">
        <f t="shared" si="11"/>
        <v>23553.055653497577</v>
      </c>
      <c r="AS58" s="444">
        <v>900000</v>
      </c>
      <c r="AT58" s="444">
        <v>0</v>
      </c>
    </row>
    <row r="59" spans="1:46" x14ac:dyDescent="0.35">
      <c r="A59" s="35"/>
      <c r="B59" s="35"/>
      <c r="C59" s="35"/>
      <c r="D59" s="364">
        <v>55</v>
      </c>
      <c r="E59" s="324" t="s">
        <v>516</v>
      </c>
      <c r="F59" s="169" t="s">
        <v>178</v>
      </c>
      <c r="G59" s="170">
        <v>44952</v>
      </c>
      <c r="H59" s="170">
        <v>46413</v>
      </c>
      <c r="I59" s="171">
        <v>4</v>
      </c>
      <c r="J59" s="178" t="s">
        <v>774</v>
      </c>
      <c r="K59" s="172">
        <v>25.3</v>
      </c>
      <c r="L59" s="169">
        <v>200000000</v>
      </c>
      <c r="M59" s="173">
        <v>200000000</v>
      </c>
      <c r="N59" s="169">
        <v>0</v>
      </c>
      <c r="O59" s="174">
        <f t="shared" si="9"/>
        <v>200000000</v>
      </c>
      <c r="P59" s="169">
        <f>SUM('Amortisation and Repayments'!H2875:H2896)</f>
        <v>112568531.06852828</v>
      </c>
      <c r="Q59" s="169">
        <f>-SUM('Amortisation and Repayments'!K2875:K2896)</f>
        <v>-80000000</v>
      </c>
      <c r="R59" s="262">
        <f t="shared" si="12"/>
        <v>232568531.06852829</v>
      </c>
      <c r="S59" s="176">
        <f>SUM('Amortisation and Repayments'!I2884:I2896)</f>
        <v>48353994.586170122</v>
      </c>
      <c r="T59" s="176">
        <f>'Amortisation and Repayments'!L2896-'Loan Book'!S59</f>
        <v>9447078.7885883749</v>
      </c>
      <c r="U59" s="167">
        <f t="shared" si="10"/>
        <v>57801073.374758497</v>
      </c>
      <c r="V59" s="181"/>
      <c r="W59" s="169">
        <f>'Amortisation and Repayments'!G2896</f>
        <v>9294865.3381189052</v>
      </c>
      <c r="X59" s="169">
        <f>SUM('Amortisation and Repayments'!G2893:G2895)</f>
        <v>27884596.014356717</v>
      </c>
      <c r="Y59" s="244">
        <f>U59-W59-X59</f>
        <v>20621612.022282876</v>
      </c>
      <c r="Z59" s="256">
        <f>U59-W59-X59-Y59</f>
        <v>0</v>
      </c>
      <c r="AJ59" s="434" t="str">
        <f>IFERROR(INDEX(Mapping!$J$2:$J$110,MATCH(59,Mapping!$A$2:$A$110,0)),"")</f>
        <v>000104430000054</v>
      </c>
      <c r="AK59" s="435" t="str">
        <f>IFERROR(INDEX(Mapping!$K$2:$K$110,MATCH(59,Mapping!$A$2:$A$110,0)),"")</f>
        <v>High</v>
      </c>
      <c r="AL59" s="434" t="str">
        <f>IFERROR(INDEX('E-Banker master'!$B$2:$B$186,MATCH($AJ59,'E-Banker master'!$A$2:$A$186,0)),"")</f>
        <v>VNC Bricks &amp; Construction Group Ltd</v>
      </c>
      <c r="AM59" s="432" t="str">
        <f>IFERROR(INDEX('E-Banker master'!$E$2:$E$186,MATCH($AJ59,'E-Banker master'!$A$2:$A$186,0)),"")</f>
        <v>D</v>
      </c>
      <c r="AN59" s="433">
        <f>IFERROR(INDEX('E-Banker master'!$N$2:$N$186,MATCH($AJ59,'E-Banker master'!$A$2:$A$186,0)),"")</f>
        <v>200000000</v>
      </c>
      <c r="AO59" s="433">
        <f>IFERROR(INDEX('E-Banker master'!$O$2:$O$186,MATCH($AJ59,'E-Banker master'!$A$2:$A$186,0)),"")</f>
        <v>97264936.480000004</v>
      </c>
      <c r="AP59" s="433">
        <f>IFERROR(INDEX('E-Banker master'!$P$2:$P$186,MATCH($AJ59,'E-Banker master'!$A$2:$A$186,0)),"")</f>
        <v>235751878.34999999</v>
      </c>
      <c r="AQ59" s="433">
        <f t="shared" si="11"/>
        <v>-3183347.2814716995</v>
      </c>
      <c r="AS59" s="444">
        <v>3000000</v>
      </c>
      <c r="AT59" s="444">
        <v>3282500</v>
      </c>
    </row>
    <row r="60" spans="1:46" x14ac:dyDescent="0.35">
      <c r="A60" s="35"/>
      <c r="B60" s="35"/>
      <c r="C60" s="35"/>
      <c r="D60" s="363">
        <v>56</v>
      </c>
      <c r="E60" s="324" t="s">
        <v>639</v>
      </c>
      <c r="F60" s="169" t="s">
        <v>178</v>
      </c>
      <c r="G60" s="170">
        <v>44952</v>
      </c>
      <c r="H60" s="170">
        <v>46048</v>
      </c>
      <c r="I60" s="171">
        <v>3</v>
      </c>
      <c r="J60" s="178" t="s">
        <v>797</v>
      </c>
      <c r="K60" s="172">
        <v>10</v>
      </c>
      <c r="L60" s="169">
        <v>70000000</v>
      </c>
      <c r="M60" s="173">
        <f>'Amortisation and Repayments'!F2932+'Amortisation and Repayments'!G2932+'Amortisation and Repayments'!H2932</f>
        <v>21462708.129999999</v>
      </c>
      <c r="N60" s="169">
        <f>L60-M60</f>
        <v>48537291.870000005</v>
      </c>
      <c r="O60" s="174">
        <f t="shared" si="9"/>
        <v>21462708.129999999</v>
      </c>
      <c r="P60" s="169">
        <f>SUM('Amortisation and Repayments'!H2941:H2962)</f>
        <v>3398027.1723905117</v>
      </c>
      <c r="Q60" s="169">
        <f>-SUM('Amortisation and Repayments'!K2941:K2962)</f>
        <v>-7923765.5999999996</v>
      </c>
      <c r="R60" s="262">
        <f t="shared" si="12"/>
        <v>16936969.702390514</v>
      </c>
      <c r="S60" s="176">
        <f>'Amortisation and Repayments'!I2962</f>
        <v>867246.36541539652</v>
      </c>
      <c r="T60" s="176">
        <f>'Amortisation and Repayments'!L2962-'Loan Book'!S60</f>
        <v>122543.80554680165</v>
      </c>
      <c r="U60" s="167">
        <f t="shared" si="10"/>
        <v>989790.17096219817</v>
      </c>
      <c r="V60" s="181"/>
      <c r="W60" s="169">
        <f>'Amortisation and Repayments'!G2962</f>
        <v>990395.08566246647</v>
      </c>
      <c r="X60" s="169">
        <v>0</v>
      </c>
      <c r="Y60" s="244">
        <v>0</v>
      </c>
      <c r="Z60" s="181"/>
      <c r="AJ60" s="434" t="str">
        <f>IFERROR(INDEX(Mapping!$J$2:$J$110,MATCH(60,Mapping!$A$2:$A$110,0)),"")</f>
        <v>000104460000055</v>
      </c>
      <c r="AK60" s="435" t="str">
        <f>IFERROR(INDEX(Mapping!$K$2:$K$110,MATCH(60,Mapping!$A$2:$A$110,0)),"")</f>
        <v>High</v>
      </c>
      <c r="AL60" s="432" t="str">
        <f>IFERROR(INDEX('E-Banker master'!$B$2:$B$186,MATCH($AJ60,'E-Banker master'!$A$2:$A$186,0)),"")</f>
        <v>Ruo Textiles Limited</v>
      </c>
      <c r="AM60" s="432" t="str">
        <f>IFERROR(INDEX('E-Banker master'!$E$2:$E$186,MATCH($AJ60,'E-Banker master'!$A$2:$A$186,0)),"")</f>
        <v>A</v>
      </c>
      <c r="AN60" s="433">
        <f>IFERROR(INDEX('E-Banker master'!$N$2:$N$186,MATCH($AJ60,'E-Banker master'!$A$2:$A$186,0)),"")</f>
        <v>21462708.129999999</v>
      </c>
      <c r="AO60" s="433">
        <f>IFERROR(INDEX('E-Banker master'!$O$2:$O$186,MATCH($AJ60,'E-Banker master'!$A$2:$A$186,0)),"")</f>
        <v>3007138.27</v>
      </c>
      <c r="AP60" s="433">
        <f>IFERROR(INDEX('E-Banker master'!$P$2:$P$186,MATCH($AJ60,'E-Banker master'!$A$2:$A$186,0)),"")</f>
        <v>17003080.02</v>
      </c>
      <c r="AQ60" s="433">
        <f t="shared" si="11"/>
        <v>-66110.317609485239</v>
      </c>
      <c r="AS60" s="444">
        <v>700000</v>
      </c>
      <c r="AT60" s="444">
        <v>1181700</v>
      </c>
    </row>
    <row r="61" spans="1:46" x14ac:dyDescent="0.35">
      <c r="A61" s="35"/>
      <c r="B61" s="35"/>
      <c r="C61" s="35"/>
      <c r="D61" s="363">
        <v>57</v>
      </c>
      <c r="E61" s="168" t="s">
        <v>614</v>
      </c>
      <c r="F61" s="169" t="s">
        <v>178</v>
      </c>
      <c r="G61" s="170">
        <v>44959</v>
      </c>
      <c r="H61" s="170">
        <v>47151</v>
      </c>
      <c r="I61" s="171">
        <v>6</v>
      </c>
      <c r="J61" s="178" t="s">
        <v>798</v>
      </c>
      <c r="K61" s="172">
        <v>10</v>
      </c>
      <c r="L61" s="169">
        <v>134253000</v>
      </c>
      <c r="M61" s="173">
        <f>L61</f>
        <v>134253000</v>
      </c>
      <c r="N61" s="169"/>
      <c r="O61" s="174">
        <f t="shared" si="9"/>
        <v>134253000</v>
      </c>
      <c r="P61" s="169">
        <f>SUM('Amortisation and Repayments'!H2993:H3013)</f>
        <v>24758615.270312414</v>
      </c>
      <c r="Q61" s="169">
        <f>-SUM('Amortisation and Repayments'!K2993:K3013)</f>
        <v>-23200000</v>
      </c>
      <c r="R61" s="262">
        <f t="shared" si="12"/>
        <v>135811615.27031243</v>
      </c>
      <c r="S61" s="176">
        <f>'Amortisation and Repayments'!I3013</f>
        <v>2046111.7775524156</v>
      </c>
      <c r="T61" s="176">
        <f>'Amortisation and Repayments'!L3013-'Loan Book'!S61</f>
        <v>165834.49458225258</v>
      </c>
      <c r="U61" s="167">
        <f t="shared" si="10"/>
        <v>2211946.2721346682</v>
      </c>
      <c r="V61" s="181"/>
      <c r="W61" s="169">
        <f>U61</f>
        <v>2211946.2721346682</v>
      </c>
      <c r="X61" s="169">
        <v>0</v>
      </c>
      <c r="Y61" s="244"/>
      <c r="Z61" s="181"/>
      <c r="AJ61" s="434" t="str">
        <f>IFERROR(INDEX(Mapping!$J$2:$J$110,MATCH(61,Mapping!$A$2:$A$110,0)),"")</f>
        <v>000104450000056</v>
      </c>
      <c r="AK61" s="435" t="str">
        <f>IFERROR(INDEX(Mapping!$K$2:$K$110,MATCH(61,Mapping!$A$2:$A$110,0)),"")</f>
        <v>High</v>
      </c>
      <c r="AL61" s="432" t="str">
        <f>IFERROR(INDEX('E-Banker master'!$B$2:$B$186,MATCH($AJ61,'E-Banker master'!$A$2:$A$186,0)),"")</f>
        <v>Udon Business</v>
      </c>
      <c r="AM61" s="432" t="str">
        <f>IFERROR(INDEX('E-Banker master'!$E$2:$E$186,MATCH($AJ61,'E-Banker master'!$A$2:$A$186,0)),"")</f>
        <v>A</v>
      </c>
      <c r="AN61" s="433">
        <f>IFERROR(INDEX('E-Banker master'!$N$2:$N$186,MATCH($AJ61,'E-Banker master'!$A$2:$A$186,0)),"")</f>
        <v>134253000</v>
      </c>
      <c r="AO61" s="436">
        <f>IFERROR(INDEX('E-Banker master'!$O$2:$O$186,MATCH($AJ61,'E-Banker master'!$A$2:$A$186,0)),"")</f>
        <v>21316880.460000001</v>
      </c>
      <c r="AP61" s="433">
        <f>IFERROR(INDEX('E-Banker master'!$P$2:$P$186,MATCH($AJ61,'E-Banker master'!$A$2:$A$186,0)),"")</f>
        <v>135843297.22999999</v>
      </c>
      <c r="AQ61" s="433">
        <f t="shared" si="11"/>
        <v>-31681.959687560797</v>
      </c>
      <c r="AS61" s="444">
        <v>1300000</v>
      </c>
      <c r="AT61" s="444">
        <v>2953000</v>
      </c>
    </row>
    <row r="62" spans="1:46" x14ac:dyDescent="0.35">
      <c r="A62" s="35"/>
      <c r="B62" s="35"/>
      <c r="C62" s="35"/>
      <c r="D62" s="364">
        <v>58</v>
      </c>
      <c r="E62" s="324" t="s">
        <v>615</v>
      </c>
      <c r="F62" s="169" t="s">
        <v>178</v>
      </c>
      <c r="G62" s="170">
        <v>44964</v>
      </c>
      <c r="H62" s="170">
        <v>45695</v>
      </c>
      <c r="I62" s="171">
        <v>2</v>
      </c>
      <c r="J62" s="178" t="s">
        <v>779</v>
      </c>
      <c r="K62" s="172">
        <v>10</v>
      </c>
      <c r="L62" s="169">
        <v>24000000</v>
      </c>
      <c r="M62" s="173">
        <v>24000000</v>
      </c>
      <c r="N62" s="169"/>
      <c r="O62" s="174">
        <f t="shared" si="9"/>
        <v>24000000</v>
      </c>
      <c r="P62" s="169">
        <f>SUM('Amortisation and Repayments'!H3084:H3104)</f>
        <v>2993344.6808865895</v>
      </c>
      <c r="Q62" s="169">
        <f>-SUM('Amortisation and Repayments'!K3084:K3104)</f>
        <v>-19360000</v>
      </c>
      <c r="R62" s="262">
        <f t="shared" si="12"/>
        <v>7633344.680886589</v>
      </c>
      <c r="S62" s="176">
        <f>'Amortisation and Repayments'!I3104</f>
        <v>1237984.4276868352</v>
      </c>
      <c r="T62" s="176">
        <f>'Amortisation and Repayments'!L3104-'Loan Book'!S62</f>
        <v>1339393.8739693137</v>
      </c>
      <c r="U62" s="167">
        <f t="shared" si="10"/>
        <v>2577378.3016561489</v>
      </c>
      <c r="V62" s="181"/>
      <c r="W62" s="169">
        <f>'Amortisation and Repayments'!G3104</f>
        <v>1290434.0177444792</v>
      </c>
      <c r="X62" s="169">
        <f>U62-W62</f>
        <v>1286944.2839116696</v>
      </c>
      <c r="Y62" s="244"/>
      <c r="Z62" s="181"/>
      <c r="AJ62" s="434" t="str">
        <f>IFERROR(INDEX(Mapping!$J$2:$J$110,MATCH(62,Mapping!$A$2:$A$110,0)),"")</f>
        <v>000104450000057</v>
      </c>
      <c r="AK62" s="435" t="str">
        <f>IFERROR(INDEX(Mapping!$K$2:$K$110,MATCH(62,Mapping!$A$2:$A$110,0)),"")</f>
        <v>High</v>
      </c>
      <c r="AL62" s="432" t="str">
        <f>IFERROR(INDEX('E-Banker master'!$B$2:$B$186,MATCH($AJ62,'E-Banker master'!$A$2:$A$186,0)),"")</f>
        <v>Debs Agrodealers</v>
      </c>
      <c r="AM62" s="432" t="str">
        <f>IFERROR(INDEX('E-Banker master'!$E$2:$E$186,MATCH($AJ62,'E-Banker master'!$A$2:$A$186,0)),"")</f>
        <v>D</v>
      </c>
      <c r="AN62" s="433">
        <f>IFERROR(INDEX('E-Banker master'!$N$2:$N$186,MATCH($AJ62,'E-Banker master'!$A$2:$A$186,0)),"")</f>
        <v>24000000</v>
      </c>
      <c r="AO62" s="433">
        <f>IFERROR(INDEX('E-Banker master'!$O$2:$O$186,MATCH($AJ62,'E-Banker master'!$A$2:$A$186,0)),"")</f>
        <v>2805386.64</v>
      </c>
      <c r="AP62" s="433">
        <f>IFERROR(INDEX('E-Banker master'!$P$2:$P$186,MATCH($AJ62,'E-Banker master'!$A$2:$A$186,0)),"")</f>
        <v>7670357.5599999996</v>
      </c>
      <c r="AQ62" s="433">
        <f t="shared" si="11"/>
        <v>-37012.8791134106</v>
      </c>
      <c r="AS62" s="444">
        <v>240000</v>
      </c>
      <c r="AT62" s="444">
        <v>438340</v>
      </c>
    </row>
    <row r="63" spans="1:46" x14ac:dyDescent="0.35">
      <c r="A63" s="35"/>
      <c r="B63" s="35"/>
      <c r="C63" s="35"/>
      <c r="D63" s="385">
        <v>59</v>
      </c>
      <c r="E63" s="396" t="s">
        <v>640</v>
      </c>
      <c r="F63" s="169" t="s">
        <v>178</v>
      </c>
      <c r="G63" s="170">
        <v>44972</v>
      </c>
      <c r="H63" s="170">
        <v>45703</v>
      </c>
      <c r="I63" s="171">
        <v>2</v>
      </c>
      <c r="J63" s="178" t="s">
        <v>776</v>
      </c>
      <c r="K63" s="172">
        <v>10</v>
      </c>
      <c r="L63" s="169">
        <v>53391150</v>
      </c>
      <c r="M63" s="173">
        <v>53391150</v>
      </c>
      <c r="N63" s="169"/>
      <c r="O63" s="169">
        <f t="shared" si="9"/>
        <v>53391150</v>
      </c>
      <c r="P63" s="169">
        <f>SUM('Amortisation and Repayments'!H3125:H3145)</f>
        <v>19034825.291360732</v>
      </c>
      <c r="Q63" s="169">
        <f>-SUM('Amortisation and Repayments'!K3125:K3145)</f>
        <v>-9000000</v>
      </c>
      <c r="R63" s="173">
        <f t="shared" si="12"/>
        <v>63425975.291360736</v>
      </c>
      <c r="S63" s="176">
        <f>SUM('Amortisation and Repayments'!I3132:I3145)</f>
        <v>39499154.340356603</v>
      </c>
      <c r="T63" s="176">
        <f>'Amortisation and Repayments'!L3145-'Loan Book'!S63</f>
        <v>10034825.291360751</v>
      </c>
      <c r="U63" s="167">
        <f t="shared" si="10"/>
        <v>49533979.631717354</v>
      </c>
      <c r="V63" s="181"/>
      <c r="W63" s="169">
        <f>'Amortisation and Repayments'!G3145</f>
        <v>3688294.0962149031</v>
      </c>
      <c r="X63" s="169">
        <f>SUM('Amortisation and Repayments'!G3142:G3144)</f>
        <v>11064882.288644709</v>
      </c>
      <c r="Y63" s="244">
        <f>X63</f>
        <v>11064882.288644709</v>
      </c>
      <c r="Z63" s="256">
        <f>U63-SUM(W63:Y63)</f>
        <v>23715920.958213031</v>
      </c>
      <c r="AJ63" s="434" t="str">
        <f>IFERROR(INDEX(Mapping!$J$2:$J$110,MATCH(63,Mapping!$A$2:$A$110,0)),"")</f>
        <v>000104430000061</v>
      </c>
      <c r="AK63" s="435" t="str">
        <f>IFERROR(INDEX(Mapping!$K$2:$K$110,MATCH(63,Mapping!$A$2:$A$110,0)),"")</f>
        <v>High</v>
      </c>
      <c r="AL63" s="434" t="str">
        <f>IFERROR(INDEX('E-Banker master'!$B$2:$B$186,MATCH($AJ63,'E-Banker master'!$A$2:$A$186,0)),"")</f>
        <v>TAPEMPHA MEDICAL CARE LIMITED</v>
      </c>
      <c r="AM63" s="432" t="str">
        <f>IFERROR(INDEX('E-Banker master'!$E$2:$E$186,MATCH($AJ63,'E-Banker master'!$A$2:$A$186,0)),"")</f>
        <v>D</v>
      </c>
      <c r="AN63" s="433">
        <f>IFERROR(INDEX('E-Banker master'!$N$2:$N$186,MATCH($AJ63,'E-Banker master'!$A$2:$A$186,0)),"")</f>
        <v>53391150</v>
      </c>
      <c r="AO63" s="436">
        <f>IFERROR(INDEX('E-Banker master'!$O$2:$O$186,MATCH($AJ63,'E-Banker master'!$A$2:$A$186,0)),"")</f>
        <v>17540998.41</v>
      </c>
      <c r="AP63" s="433">
        <f>IFERROR(INDEX('E-Banker master'!$P$2:$P$186,MATCH($AJ63,'E-Banker master'!$A$2:$A$186,0)),"")</f>
        <v>66920142.200000003</v>
      </c>
      <c r="AQ63" s="433">
        <f t="shared" si="11"/>
        <v>-3494166.9086392671</v>
      </c>
      <c r="AS63" s="444">
        <v>750000</v>
      </c>
      <c r="AT63" s="444">
        <v>2641150</v>
      </c>
    </row>
    <row r="64" spans="1:46" x14ac:dyDescent="0.35">
      <c r="A64" s="35"/>
      <c r="B64" s="35"/>
      <c r="C64" s="35"/>
      <c r="D64" s="363">
        <v>60</v>
      </c>
      <c r="E64" s="168" t="s">
        <v>641</v>
      </c>
      <c r="F64" s="169" t="s">
        <v>178</v>
      </c>
      <c r="G64" s="170">
        <v>44977</v>
      </c>
      <c r="H64" s="170">
        <v>46803</v>
      </c>
      <c r="I64" s="171">
        <v>5</v>
      </c>
      <c r="J64" s="178" t="s">
        <v>799</v>
      </c>
      <c r="K64" s="172">
        <v>10</v>
      </c>
      <c r="L64" s="169">
        <v>153974500</v>
      </c>
      <c r="M64" s="169">
        <v>153974500</v>
      </c>
      <c r="N64" s="169"/>
      <c r="O64" s="169">
        <v>153974500</v>
      </c>
      <c r="P64" s="169">
        <f>SUM('Amortisation and Repayments'!H3168:H3188)</f>
        <v>23025024.570753008</v>
      </c>
      <c r="Q64" s="169">
        <f>-SUM('Amortisation and Repayments'!K3168:K3188)</f>
        <v>-138423383.51999998</v>
      </c>
      <c r="R64" s="262">
        <f t="shared" si="12"/>
        <v>38576141.050753027</v>
      </c>
      <c r="S64" s="176"/>
      <c r="T64" s="176"/>
      <c r="U64" s="167">
        <f t="shared" si="10"/>
        <v>0</v>
      </c>
      <c r="V64" s="256"/>
      <c r="W64" s="169">
        <v>0</v>
      </c>
      <c r="X64" s="169">
        <f>+U64-W64</f>
        <v>0</v>
      </c>
      <c r="Y64" s="244"/>
      <c r="Z64" s="181"/>
      <c r="AJ64" s="434" t="str">
        <f>IFERROR(INDEX(Mapping!$J$2:$J$110,MATCH(64,Mapping!$A$2:$A$110,0)),"")</f>
        <v>000104460000059</v>
      </c>
      <c r="AK64" s="435" t="str">
        <f>IFERROR(INDEX(Mapping!$K$2:$K$110,MATCH(64,Mapping!$A$2:$A$110,0)),"")</f>
        <v>High</v>
      </c>
      <c r="AL64" s="432" t="str">
        <f>IFERROR(INDEX('E-Banker master'!$B$2:$B$186,MATCH($AJ64,'E-Banker master'!$A$2:$A$186,0)),"")</f>
        <v>BenCal Technologies Ltd</v>
      </c>
      <c r="AM64" s="432" t="str">
        <f>IFERROR(INDEX('E-Banker master'!$E$2:$E$186,MATCH($AJ64,'E-Banker master'!$A$2:$A$186,0)),"")</f>
        <v>A</v>
      </c>
      <c r="AN64" s="433">
        <f>IFERROR(INDEX('E-Banker master'!$N$2:$N$186,MATCH($AJ64,'E-Banker master'!$A$2:$A$186,0)),"")</f>
        <v>153974500</v>
      </c>
      <c r="AO64" s="433">
        <f>IFERROR(INDEX('E-Banker master'!$O$2:$O$186,MATCH($AJ64,'E-Banker master'!$A$2:$A$186,0)),"")</f>
        <v>19723828.760000002</v>
      </c>
      <c r="AP64" s="433">
        <f>IFERROR(INDEX('E-Banker master'!$P$2:$P$186,MATCH($AJ64,'E-Banker master'!$A$2:$A$186,0)),"")</f>
        <v>37020527.350000001</v>
      </c>
      <c r="AQ64" s="433">
        <f t="shared" si="11"/>
        <v>1555613.7007530257</v>
      </c>
      <c r="AS64" s="444">
        <v>1500000</v>
      </c>
      <c r="AT64" s="444">
        <v>900000</v>
      </c>
    </row>
    <row r="65" spans="1:46" x14ac:dyDescent="0.35">
      <c r="A65" s="35"/>
      <c r="B65" s="35"/>
      <c r="C65" s="35"/>
      <c r="D65" s="364">
        <v>61</v>
      </c>
      <c r="E65" s="168" t="s">
        <v>616</v>
      </c>
      <c r="F65" s="169" t="s">
        <v>178</v>
      </c>
      <c r="G65" s="170">
        <v>44985</v>
      </c>
      <c r="H65" s="170">
        <v>45350</v>
      </c>
      <c r="I65" s="171">
        <v>1</v>
      </c>
      <c r="J65" s="178">
        <v>0</v>
      </c>
      <c r="K65" s="172">
        <v>10</v>
      </c>
      <c r="L65" s="169">
        <v>20000000</v>
      </c>
      <c r="M65" s="173">
        <v>20000000</v>
      </c>
      <c r="N65" s="169"/>
      <c r="O65" s="174">
        <f t="shared" ref="O65:O79" si="13">M65</f>
        <v>20000000</v>
      </c>
      <c r="P65" s="169">
        <f>SUM('[1]Amortisation and Repayments'!H3246:H3252)</f>
        <v>1027322.5361254466</v>
      </c>
      <c r="Q65" s="169">
        <f>-SUM('Amortisation and Repayments'!K3246:K3257)</f>
        <v>-21027322.539999999</v>
      </c>
      <c r="R65" s="388">
        <f t="shared" si="12"/>
        <v>-3.8745515048503876E-3</v>
      </c>
      <c r="S65" s="176"/>
      <c r="T65" s="176"/>
      <c r="U65" s="167">
        <f t="shared" si="10"/>
        <v>0</v>
      </c>
      <c r="V65" s="181"/>
      <c r="W65" s="169"/>
      <c r="X65" s="169"/>
      <c r="Y65" s="244"/>
      <c r="Z65" s="181"/>
      <c r="AJ65" s="434" t="str">
        <f>IFERROR(INDEX(Mapping!$J$2:$J$110,MATCH(65,Mapping!$A$2:$A$110,0)),"")</f>
        <v>000104450000082</v>
      </c>
      <c r="AK65" s="435" t="str">
        <f>IFERROR(INDEX(Mapping!$K$2:$K$110,MATCH(65,Mapping!$A$2:$A$110,0)),"")</f>
        <v>Medium</v>
      </c>
      <c r="AL65" s="432" t="str">
        <f>IFERROR(INDEX('E-Banker master'!$B$2:$B$186,MATCH($AJ65,'E-Banker master'!$A$2:$A$186,0)),"")</f>
        <v>Chuma Mkandawire TA Chikoma Estates</v>
      </c>
      <c r="AM65" s="432" t="str">
        <f>IFERROR(INDEX('E-Banker master'!$E$2:$E$186,MATCH($AJ65,'E-Banker master'!$A$2:$A$186,0)),"")</f>
        <v>C</v>
      </c>
      <c r="AN65" s="433">
        <f>IFERROR(INDEX('E-Banker master'!$N$2:$N$186,MATCH($AJ65,'E-Banker master'!$A$2:$A$186,0)),"")</f>
        <v>0</v>
      </c>
      <c r="AO65" s="433">
        <f>IFERROR(INDEX('E-Banker master'!$O$2:$O$186,MATCH($AJ65,'E-Banker master'!$A$2:$A$186,0)),"")</f>
        <v>0</v>
      </c>
      <c r="AP65" s="433">
        <f>IFERROR(INDEX('E-Banker master'!$P$2:$P$186,MATCH($AJ65,'E-Banker master'!$A$2:$A$186,0)),"")</f>
        <v>0</v>
      </c>
      <c r="AQ65" s="433">
        <f t="shared" si="11"/>
        <v>-3.8745515048503876E-3</v>
      </c>
      <c r="AS65" s="444">
        <v>200000</v>
      </c>
      <c r="AT65" s="444">
        <v>373700</v>
      </c>
    </row>
    <row r="66" spans="1:46" x14ac:dyDescent="0.35">
      <c r="A66" s="35"/>
      <c r="B66" s="35"/>
      <c r="C66" s="35"/>
      <c r="D66" s="363">
        <v>62</v>
      </c>
      <c r="E66" s="168" t="s">
        <v>642</v>
      </c>
      <c r="F66" s="169" t="s">
        <v>178</v>
      </c>
      <c r="G66" s="170">
        <v>45005</v>
      </c>
      <c r="H66" s="170">
        <v>45736</v>
      </c>
      <c r="I66" s="171">
        <v>2</v>
      </c>
      <c r="J66" s="178" t="s">
        <v>779</v>
      </c>
      <c r="K66" s="172">
        <v>10</v>
      </c>
      <c r="L66" s="169">
        <v>24000000</v>
      </c>
      <c r="M66" s="173">
        <v>24000000</v>
      </c>
      <c r="N66" s="169"/>
      <c r="O66" s="174">
        <f t="shared" si="13"/>
        <v>24000000</v>
      </c>
      <c r="P66" s="169">
        <f>SUM('Amortisation and Repayments'!H3275:H3294)</f>
        <v>2851984.6379433954</v>
      </c>
      <c r="Q66" s="169">
        <f>-SUM('Amortisation and Repayments'!K3275:K3294)</f>
        <v>-19293454.509999998</v>
      </c>
      <c r="R66" s="262">
        <f t="shared" si="12"/>
        <v>7558530.1279433966</v>
      </c>
      <c r="S66" s="176">
        <f>'Amortisation and Repayments'!I3294</f>
        <v>1223701.3154203722</v>
      </c>
      <c r="T66" s="176">
        <f>'Amortisation and Repayments'!L3294-'Loan Book'!S66</f>
        <v>61649.327968857018</v>
      </c>
      <c r="U66" s="167">
        <f t="shared" si="10"/>
        <v>1285350.6433892292</v>
      </c>
      <c r="V66" s="181"/>
      <c r="W66" s="169">
        <f>U66</f>
        <v>1285350.6433892292</v>
      </c>
      <c r="X66" s="169">
        <f>U66-W66</f>
        <v>0</v>
      </c>
      <c r="Y66" s="244">
        <f>U66-W66-X66</f>
        <v>0</v>
      </c>
      <c r="Z66" s="181"/>
      <c r="AJ66" s="434" t="str">
        <f>IFERROR(INDEX(Mapping!$J$2:$J$110,MATCH(66,Mapping!$A$2:$A$110,0)),"")</f>
        <v>000104460000061</v>
      </c>
      <c r="AK66" s="435" t="str">
        <f>IFERROR(INDEX(Mapping!$K$2:$K$110,MATCH(66,Mapping!$A$2:$A$110,0)),"")</f>
        <v>High</v>
      </c>
      <c r="AL66" s="432" t="str">
        <f>IFERROR(INDEX('E-Banker master'!$B$2:$B$186,MATCH($AJ66,'E-Banker master'!$A$2:$A$186,0)),"")</f>
        <v>Imani Investments</v>
      </c>
      <c r="AM66" s="432" t="str">
        <f>IFERROR(INDEX('E-Banker master'!$E$2:$E$186,MATCH($AJ66,'E-Banker master'!$A$2:$A$186,0)),"")</f>
        <v>H</v>
      </c>
      <c r="AN66" s="433">
        <f>IFERROR(INDEX('E-Banker master'!$N$2:$N$186,MATCH($AJ66,'E-Banker master'!$A$2:$A$186,0)),"")</f>
        <v>24000000</v>
      </c>
      <c r="AO66" s="433">
        <f>IFERROR(INDEX('E-Banker master'!$O$2:$O$186,MATCH($AJ66,'E-Banker master'!$A$2:$A$186,0)),"")</f>
        <v>2634306.5</v>
      </c>
      <c r="AP66" s="433">
        <f>IFERROR(INDEX('E-Banker master'!$P$2:$P$186,MATCH($AJ66,'E-Banker master'!$A$2:$A$186,0)),"")</f>
        <v>7602201.0199999996</v>
      </c>
      <c r="AQ66" s="433">
        <f t="shared" si="11"/>
        <v>-43670.892056602985</v>
      </c>
      <c r="AS66" s="444">
        <v>960000</v>
      </c>
      <c r="AT66" s="444">
        <v>438340</v>
      </c>
    </row>
    <row r="67" spans="1:46" x14ac:dyDescent="0.35">
      <c r="A67" s="35"/>
      <c r="B67" s="35"/>
      <c r="C67" s="35"/>
      <c r="D67" s="363">
        <v>63</v>
      </c>
      <c r="E67" s="168" t="s">
        <v>506</v>
      </c>
      <c r="F67" s="169" t="s">
        <v>178</v>
      </c>
      <c r="G67" s="170">
        <v>45009</v>
      </c>
      <c r="H67" s="170">
        <v>46470</v>
      </c>
      <c r="I67" s="171">
        <v>4</v>
      </c>
      <c r="J67" s="178" t="s">
        <v>799</v>
      </c>
      <c r="K67" s="275">
        <f>'Amortisation and Repayments'!H3308</f>
        <v>0.30700000000000005</v>
      </c>
      <c r="L67" s="169">
        <v>257860750</v>
      </c>
      <c r="M67" s="173">
        <v>257860750</v>
      </c>
      <c r="N67" s="169"/>
      <c r="O67" s="174">
        <f t="shared" si="13"/>
        <v>257860750</v>
      </c>
      <c r="P67" s="169">
        <f>SUM('Amortisation and Repayments'!H3315:H3334)</f>
        <v>84263116.327926069</v>
      </c>
      <c r="Q67" s="169">
        <f>-SUM('Amortisation and Repayments'!K3315:K3334)</f>
        <v>-207000000</v>
      </c>
      <c r="R67" s="262">
        <f t="shared" si="12"/>
        <v>135123866.32792604</v>
      </c>
      <c r="S67" s="176">
        <v>0</v>
      </c>
      <c r="T67" s="176"/>
      <c r="U67" s="167">
        <f t="shared" si="10"/>
        <v>0</v>
      </c>
      <c r="V67" s="181"/>
      <c r="W67" s="169"/>
      <c r="X67" s="169"/>
      <c r="Y67" s="244"/>
      <c r="Z67" s="181"/>
      <c r="AJ67" s="434" t="str">
        <f>IFERROR(INDEX(Mapping!$J$2:$J$110,MATCH(67,Mapping!$A$2:$A$110,0)),"")</f>
        <v>000104420000062</v>
      </c>
      <c r="AK67" s="435" t="str">
        <f>IFERROR(INDEX(Mapping!$K$2:$K$110,MATCH(67,Mapping!$A$2:$A$110,0)),"")</f>
        <v>High</v>
      </c>
      <c r="AL67" s="432" t="str">
        <f>IFERROR(INDEX('E-Banker master'!$B$2:$B$186,MATCH($AJ67,'E-Banker master'!$A$2:$A$186,0)),"")</f>
        <v>Happie Foods Limited</v>
      </c>
      <c r="AM67" s="432" t="str">
        <f>IFERROR(INDEX('E-Banker master'!$E$2:$E$186,MATCH($AJ67,'E-Banker master'!$A$2:$A$186,0)),"")</f>
        <v>A</v>
      </c>
      <c r="AN67" s="433">
        <f>IFERROR(INDEX('E-Banker master'!$N$2:$N$186,MATCH($AJ67,'E-Banker master'!$A$2:$A$186,0)),"")</f>
        <v>257860750</v>
      </c>
      <c r="AO67" s="433">
        <f>IFERROR(INDEX('E-Banker master'!$O$2:$O$186,MATCH($AJ67,'E-Banker master'!$A$2:$A$186,0)),"")</f>
        <v>72305459.260000005</v>
      </c>
      <c r="AP67" s="436">
        <f>IFERROR(INDEX('E-Banker master'!$P$2:$P$186,MATCH($AJ67,'E-Banker master'!$A$2:$A$186,0)),"")</f>
        <v>135721912.31999999</v>
      </c>
      <c r="AQ67" s="433">
        <f t="shared" si="11"/>
        <v>-598045.99207395315</v>
      </c>
      <c r="AS67" s="444">
        <v>3810750</v>
      </c>
      <c r="AT67" s="444">
        <v>4050000</v>
      </c>
    </row>
    <row r="68" spans="1:46" x14ac:dyDescent="0.35">
      <c r="A68" s="35"/>
      <c r="B68" s="35"/>
      <c r="C68" s="35"/>
      <c r="D68" s="364">
        <v>64</v>
      </c>
      <c r="E68" s="168" t="s">
        <v>617</v>
      </c>
      <c r="F68" s="169" t="s">
        <v>178</v>
      </c>
      <c r="G68" s="170">
        <v>45034</v>
      </c>
      <c r="H68" s="170">
        <v>46495</v>
      </c>
      <c r="I68" s="171">
        <v>4</v>
      </c>
      <c r="J68" s="178" t="s">
        <v>776</v>
      </c>
      <c r="K68" s="172">
        <v>10</v>
      </c>
      <c r="L68" s="169">
        <v>250000000</v>
      </c>
      <c r="M68" s="173">
        <v>250000000</v>
      </c>
      <c r="N68" s="169"/>
      <c r="O68" s="174">
        <f t="shared" si="13"/>
        <v>250000000</v>
      </c>
      <c r="P68" s="169">
        <f>SUM('Amortisation and Repayments'!H3381:H3399)</f>
        <v>35577272.261674888</v>
      </c>
      <c r="Q68" s="169">
        <f>-SUM('Amortisation and Repayments'!K3381:K3399)</f>
        <v>-91364844.270000011</v>
      </c>
      <c r="R68" s="262">
        <f t="shared" si="12"/>
        <v>194212427.99167487</v>
      </c>
      <c r="S68" s="176">
        <f>'Amortisation and Repayments'!I3399</f>
        <v>5473392.924842515</v>
      </c>
      <c r="T68" s="176">
        <f>'Amortisation and Repayments'!L3399-'Loan Book'!S68</f>
        <v>1514998.6001935685</v>
      </c>
      <c r="U68" s="167">
        <f t="shared" si="10"/>
        <v>6988391.5250360835</v>
      </c>
      <c r="V68" s="181"/>
      <c r="W68" s="169">
        <f>U68</f>
        <v>6988391.5250360835</v>
      </c>
      <c r="X68" s="169">
        <f>U68-W68</f>
        <v>0</v>
      </c>
      <c r="Y68" s="244">
        <v>0</v>
      </c>
      <c r="Z68" s="181"/>
      <c r="AJ68" s="434" t="str">
        <f>IFERROR(INDEX(Mapping!$J$2:$J$110,MATCH(68,Mapping!$A$2:$A$110,0)),"")</f>
        <v>000104450000063</v>
      </c>
      <c r="AK68" s="435" t="str">
        <f>IFERROR(INDEX(Mapping!$K$2:$K$110,MATCH(68,Mapping!$A$2:$A$110,0)),"")</f>
        <v>High</v>
      </c>
      <c r="AL68" s="432" t="str">
        <f>IFERROR(INDEX('E-Banker master'!$B$2:$B$186,MATCH($AJ68,'E-Banker master'!$A$2:$A$186,0)),"")</f>
        <v>Msusa Investments Ltd</v>
      </c>
      <c r="AM68" s="432" t="str">
        <f>IFERROR(INDEX('E-Banker master'!$E$2:$E$186,MATCH($AJ68,'E-Banker master'!$A$2:$A$186,0)),"")</f>
        <v>A</v>
      </c>
      <c r="AN68" s="433">
        <f>IFERROR(INDEX('E-Banker master'!$N$2:$N$186,MATCH($AJ68,'E-Banker master'!$A$2:$A$186,0)),"")</f>
        <v>250000000</v>
      </c>
      <c r="AO68" s="433">
        <f>IFERROR(INDEX('E-Banker master'!$O$2:$O$186,MATCH($AJ68,'E-Banker master'!$A$2:$A$186,0)),"")</f>
        <v>30624506.41</v>
      </c>
      <c r="AP68" s="433">
        <f>IFERROR(INDEX('E-Banker master'!$P$2:$P$186,MATCH($AJ68,'E-Banker master'!$A$2:$A$186,0)),"")</f>
        <v>195249240.19999999</v>
      </c>
      <c r="AQ68" s="433">
        <f t="shared" si="11"/>
        <v>-1036812.2083251178</v>
      </c>
      <c r="AS68" s="444">
        <v>2500000</v>
      </c>
      <c r="AT68" s="444">
        <v>5413356</v>
      </c>
    </row>
    <row r="69" spans="1:46" x14ac:dyDescent="0.35">
      <c r="A69" s="35"/>
      <c r="B69" s="35"/>
      <c r="C69" s="35"/>
      <c r="D69" s="363">
        <v>65</v>
      </c>
      <c r="E69" s="324" t="s">
        <v>643</v>
      </c>
      <c r="F69" s="169" t="s">
        <v>178</v>
      </c>
      <c r="G69" s="170">
        <v>45048</v>
      </c>
      <c r="H69" s="170">
        <v>45779</v>
      </c>
      <c r="I69" s="171">
        <v>2</v>
      </c>
      <c r="J69" s="178" t="s">
        <v>779</v>
      </c>
      <c r="K69" s="172">
        <v>10</v>
      </c>
      <c r="L69" s="169">
        <v>30000000</v>
      </c>
      <c r="M69" s="173">
        <v>30000000</v>
      </c>
      <c r="N69" s="169"/>
      <c r="O69" s="174">
        <f t="shared" si="13"/>
        <v>30000000</v>
      </c>
      <c r="P69" s="169">
        <f>SUM('Amortisation and Repayments'!H3447:H3464)</f>
        <v>3379213.4071376673</v>
      </c>
      <c r="Q69" s="169">
        <f>-SUM('Amortisation and Repayments'!K3447:K3464)</f>
        <v>-19452250</v>
      </c>
      <c r="R69" s="262">
        <f t="shared" si="12"/>
        <v>13926963.407137666</v>
      </c>
      <c r="S69" s="176">
        <f>SUM('Amortisation and Repayments'!I3462:I3464)</f>
        <v>4498935.0229135808</v>
      </c>
      <c r="T69" s="176">
        <f>'Amortisation and Repayments'!L3464-'Loan Book'!S69</f>
        <v>87059.54181208089</v>
      </c>
      <c r="U69" s="167">
        <f t="shared" si="10"/>
        <v>4585994.5647256617</v>
      </c>
      <c r="V69" s="181"/>
      <c r="W69" s="169">
        <f>'Amortisation and Repayments'!G3464</f>
        <v>1602549.6376483773</v>
      </c>
      <c r="X69" s="169">
        <f>U69-W69</f>
        <v>2983444.9270772841</v>
      </c>
      <c r="Y69" s="244">
        <f>+U69-W69-X69</f>
        <v>0</v>
      </c>
      <c r="Z69" s="181"/>
      <c r="AJ69" s="434" t="str">
        <f>IFERROR(INDEX(Mapping!$J$2:$J$110,MATCH(69,Mapping!$A$2:$A$110,0)),"")</f>
        <v>000104460000064</v>
      </c>
      <c r="AK69" s="435" t="str">
        <f>IFERROR(INDEX(Mapping!$K$2:$K$110,MATCH(69,Mapping!$A$2:$A$110,0)),"")</f>
        <v>High</v>
      </c>
      <c r="AL69" s="432" t="str">
        <f>IFERROR(INDEX('E-Banker master'!$B$2:$B$186,MATCH($AJ69,'E-Banker master'!$A$2:$A$186,0)),"")</f>
        <v>Gibson Gray Cane Furniture</v>
      </c>
      <c r="AM69" s="432" t="str">
        <f>IFERROR(INDEX('E-Banker master'!$E$2:$E$186,MATCH($AJ69,'E-Banker master'!$A$2:$A$186,0)),"")</f>
        <v>H</v>
      </c>
      <c r="AN69" s="433">
        <f>IFERROR(INDEX('E-Banker master'!$N$2:$N$186,MATCH($AJ69,'E-Banker master'!$A$2:$A$186,0)),"")</f>
        <v>30000000</v>
      </c>
      <c r="AO69" s="433">
        <f>IFERROR(INDEX('E-Banker master'!$O$2:$O$186,MATCH($AJ69,'E-Banker master'!$A$2:$A$186,0)),"")</f>
        <v>3070499.52</v>
      </c>
      <c r="AP69" s="433">
        <f>IFERROR(INDEX('E-Banker master'!$P$2:$P$186,MATCH($AJ69,'E-Banker master'!$A$2:$A$186,0)),"")</f>
        <v>14070777.51</v>
      </c>
      <c r="AQ69" s="433">
        <f t="shared" ref="AQ69:AQ100" si="14">IF(OR($AJ69="",AP69=""),"",R69-AP69)</f>
        <v>-143814.10286233388</v>
      </c>
      <c r="AS69" s="444">
        <v>300000</v>
      </c>
      <c r="AT69" s="444">
        <v>723500</v>
      </c>
    </row>
    <row r="70" spans="1:46" x14ac:dyDescent="0.35">
      <c r="A70" s="35"/>
      <c r="B70" s="35"/>
      <c r="C70" s="35"/>
      <c r="D70" s="363">
        <v>66</v>
      </c>
      <c r="E70" s="168" t="s">
        <v>644</v>
      </c>
      <c r="F70" s="169" t="s">
        <v>178</v>
      </c>
      <c r="G70" s="170">
        <v>45064</v>
      </c>
      <c r="H70" s="170">
        <v>46525</v>
      </c>
      <c r="I70" s="171">
        <v>4</v>
      </c>
      <c r="J70" s="178" t="s">
        <v>799</v>
      </c>
      <c r="K70" s="172">
        <v>10</v>
      </c>
      <c r="L70" s="169">
        <v>50000000</v>
      </c>
      <c r="M70" s="173">
        <v>50000000</v>
      </c>
      <c r="N70" s="169"/>
      <c r="O70" s="174">
        <f t="shared" si="13"/>
        <v>50000000</v>
      </c>
      <c r="P70" s="169">
        <f>SUM('Amortisation and Repayments'!H3485:H3502)</f>
        <v>7090473.1099766279</v>
      </c>
      <c r="Q70" s="169">
        <f>-SUM('Amortisation and Repayments'!K3485:K3502)</f>
        <v>-16434440</v>
      </c>
      <c r="R70" s="262">
        <f t="shared" si="12"/>
        <v>40656033.109976627</v>
      </c>
      <c r="S70" s="176">
        <v>0</v>
      </c>
      <c r="T70" s="176">
        <v>0</v>
      </c>
      <c r="U70" s="167">
        <f t="shared" si="10"/>
        <v>0</v>
      </c>
      <c r="V70" s="181"/>
      <c r="W70" s="169">
        <f>U70</f>
        <v>0</v>
      </c>
      <c r="X70" s="169"/>
      <c r="Y70" s="244"/>
      <c r="Z70" s="181"/>
      <c r="AJ70" s="434" t="str">
        <f>IFERROR(INDEX(Mapping!$J$2:$J$110,MATCH(70,Mapping!$A$2:$A$110,0)),"")</f>
        <v>000104460000065</v>
      </c>
      <c r="AK70" s="435" t="str">
        <f>IFERROR(INDEX(Mapping!$K$2:$K$110,MATCH(70,Mapping!$A$2:$A$110,0)),"")</f>
        <v>High</v>
      </c>
      <c r="AL70" s="432" t="str">
        <f>IFERROR(INDEX('E-Banker master'!$B$2:$B$186,MATCH($AJ70,'E-Banker master'!$A$2:$A$186,0)),"")</f>
        <v>House of Men Clothing</v>
      </c>
      <c r="AM70" s="432" t="str">
        <f>IFERROR(INDEX('E-Banker master'!$E$2:$E$186,MATCH($AJ70,'E-Banker master'!$A$2:$A$186,0)),"")</f>
        <v>A</v>
      </c>
      <c r="AN70" s="433">
        <f>IFERROR(INDEX('E-Banker master'!$N$2:$N$186,MATCH($AJ70,'E-Banker master'!$A$2:$A$186,0)),"")</f>
        <v>50000000</v>
      </c>
      <c r="AO70" s="433">
        <f>IFERROR(INDEX('E-Banker master'!$O$2:$O$186,MATCH($AJ70,'E-Banker master'!$A$2:$A$186,0)),"")</f>
        <v>6017032.9199999999</v>
      </c>
      <c r="AP70" s="433">
        <f>IFERROR(INDEX('E-Banker master'!$P$2:$P$186,MATCH($AJ70,'E-Banker master'!$A$2:$A$186,0)),"")</f>
        <v>40660777.880000003</v>
      </c>
      <c r="AQ70" s="433">
        <f t="shared" si="14"/>
        <v>-4744.7700233757496</v>
      </c>
      <c r="AS70" s="444">
        <v>2000000</v>
      </c>
      <c r="AT70" s="444">
        <v>1205000</v>
      </c>
    </row>
    <row r="71" spans="1:46" x14ac:dyDescent="0.35">
      <c r="A71" s="35"/>
      <c r="B71" s="35"/>
      <c r="C71" s="35"/>
      <c r="D71" s="364">
        <v>67</v>
      </c>
      <c r="E71" s="324" t="s">
        <v>645</v>
      </c>
      <c r="F71" s="169" t="s">
        <v>178</v>
      </c>
      <c r="G71" s="170">
        <v>45064</v>
      </c>
      <c r="H71" s="170">
        <v>45795</v>
      </c>
      <c r="I71" s="171">
        <v>2</v>
      </c>
      <c r="J71" s="178" t="s">
        <v>779</v>
      </c>
      <c r="K71" s="172">
        <v>10</v>
      </c>
      <c r="L71" s="169">
        <v>150000000</v>
      </c>
      <c r="M71" s="173">
        <f>54923700+30000000</f>
        <v>84923700</v>
      </c>
      <c r="N71" s="169">
        <f>L71-M71</f>
        <v>65076300</v>
      </c>
      <c r="O71" s="174">
        <f t="shared" si="13"/>
        <v>84923700</v>
      </c>
      <c r="P71" s="169">
        <f>SUM('Amortisation and Repayments'!H3551:H3568)</f>
        <v>9264068.5069237053</v>
      </c>
      <c r="Q71" s="169">
        <f>-SUM('Amortisation and Repayments'!K3551:K3568)</f>
        <v>-59351176.660000004</v>
      </c>
      <c r="R71" s="262">
        <f t="shared" si="12"/>
        <v>34836591.846923701</v>
      </c>
      <c r="S71" s="176"/>
      <c r="T71" s="176"/>
      <c r="U71" s="167"/>
      <c r="V71" s="181"/>
      <c r="W71" s="169"/>
      <c r="X71" s="169">
        <f>+U71-W71</f>
        <v>0</v>
      </c>
      <c r="Y71" s="244"/>
      <c r="Z71" s="181"/>
      <c r="AJ71" s="434" t="str">
        <f>IFERROR(INDEX(Mapping!$J$2:$J$110,MATCH(71,Mapping!$A$2:$A$110,0)),"")</f>
        <v>000104460000066</v>
      </c>
      <c r="AK71" s="435" t="str">
        <f>IFERROR(INDEX(Mapping!$K$2:$K$110,MATCH(71,Mapping!$A$2:$A$110,0)),"")</f>
        <v>High</v>
      </c>
      <c r="AL71" s="432" t="str">
        <f>IFERROR(INDEX('E-Banker master'!$B$2:$B$186,MATCH($AJ71,'E-Banker master'!$A$2:$A$186,0)),"")</f>
        <v>Mphanga Hodings Limited</v>
      </c>
      <c r="AM71" s="432" t="str">
        <f>IFERROR(INDEX('E-Banker master'!$E$2:$E$186,MATCH($AJ71,'E-Banker master'!$A$2:$A$186,0)),"")</f>
        <v>H</v>
      </c>
      <c r="AN71" s="433">
        <f>IFERROR(INDEX('E-Banker master'!$N$2:$N$186,MATCH($AJ71,'E-Banker master'!$A$2:$A$186,0)),"")</f>
        <v>84923700</v>
      </c>
      <c r="AO71" s="433">
        <f>IFERROR(INDEX('E-Banker master'!$O$2:$O$186,MATCH($AJ71,'E-Banker master'!$A$2:$A$186,0)),"")</f>
        <v>8285387.3099999996</v>
      </c>
      <c r="AP71" s="433">
        <f>IFERROR(INDEX('E-Banker master'!$P$2:$P$186,MATCH($AJ71,'E-Banker master'!$A$2:$A$186,0)),"")</f>
        <v>34887586.619999997</v>
      </c>
      <c r="AQ71" s="433">
        <f t="shared" si="14"/>
        <v>-50994.773076295853</v>
      </c>
      <c r="AS71" s="444">
        <v>1500000</v>
      </c>
      <c r="AT71" s="444">
        <v>2474500</v>
      </c>
    </row>
    <row r="72" spans="1:46" x14ac:dyDescent="0.35">
      <c r="A72" s="35"/>
      <c r="B72" s="35"/>
      <c r="C72" s="35"/>
      <c r="D72" s="363">
        <v>68</v>
      </c>
      <c r="E72" s="324" t="s">
        <v>618</v>
      </c>
      <c r="F72" s="169" t="s">
        <v>178</v>
      </c>
      <c r="G72" s="170">
        <v>45065</v>
      </c>
      <c r="H72" s="170">
        <v>45796</v>
      </c>
      <c r="I72" s="171">
        <v>2</v>
      </c>
      <c r="J72" s="178" t="s">
        <v>779</v>
      </c>
      <c r="K72" s="172">
        <v>10</v>
      </c>
      <c r="L72" s="169">
        <v>30000000</v>
      </c>
      <c r="M72" s="173">
        <v>30000000</v>
      </c>
      <c r="N72" s="169"/>
      <c r="O72" s="174">
        <f t="shared" si="13"/>
        <v>30000000</v>
      </c>
      <c r="P72" s="169">
        <f>SUM('Amortisation and Repayments'!H3593:H3610)</f>
        <v>3405102.8326316746</v>
      </c>
      <c r="Q72" s="169">
        <f>-SUM('Amortisation and Repayments'!K3593:K3610)</f>
        <v>-19275199.640000001</v>
      </c>
      <c r="R72" s="262">
        <f t="shared" si="12"/>
        <v>14129903.192631673</v>
      </c>
      <c r="S72" s="176">
        <f>'Amortisation and Repayments'!I3610</f>
        <v>1504851.1559281012</v>
      </c>
      <c r="T72" s="176">
        <f>+'Amortisation and Repayments'!L3610-'Loan Book'!S72</f>
        <v>1734048.4413782174</v>
      </c>
      <c r="U72" s="167">
        <f t="shared" ref="U72:U105" si="15">+SUM(S72:T72)</f>
        <v>3238899.5973063186</v>
      </c>
      <c r="V72" s="181"/>
      <c r="W72" s="169">
        <f>'Amortisation and Repayments'!G3610</f>
        <v>1608149.9455218799</v>
      </c>
      <c r="X72" s="169">
        <f>U72-W72</f>
        <v>1630749.6517844386</v>
      </c>
      <c r="Y72" s="244">
        <v>0</v>
      </c>
      <c r="Z72" s="181"/>
      <c r="AJ72" s="434" t="str">
        <f>IFERROR(INDEX(Mapping!$J$2:$J$110,MATCH(72,Mapping!$A$2:$A$110,0)),"")</f>
        <v>000104450000067</v>
      </c>
      <c r="AK72" s="435" t="str">
        <f>IFERROR(INDEX(Mapping!$K$2:$K$110,MATCH(72,Mapping!$A$2:$A$110,0)),"")</f>
        <v>High</v>
      </c>
      <c r="AL72" s="432" t="str">
        <f>IFERROR(INDEX('E-Banker master'!$B$2:$B$186,MATCH($AJ72,'E-Banker master'!$A$2:$A$186,0)),"")</f>
        <v>Teren Agro Limited</v>
      </c>
      <c r="AM72" s="432" t="str">
        <f>IFERROR(INDEX('E-Banker master'!$E$2:$E$186,MATCH($AJ72,'E-Banker master'!$A$2:$A$186,0)),"")</f>
        <v>D</v>
      </c>
      <c r="AN72" s="433">
        <f>IFERROR(INDEX('E-Banker master'!$N$2:$N$186,MATCH($AJ72,'E-Banker master'!$A$2:$A$186,0)),"")</f>
        <v>30000000</v>
      </c>
      <c r="AO72" s="433">
        <f>IFERROR(INDEX('E-Banker master'!$O$2:$O$186,MATCH($AJ72,'E-Banker master'!$A$2:$A$186,0)),"")</f>
        <v>3057998.89</v>
      </c>
      <c r="AP72" s="433">
        <f>IFERROR(INDEX('E-Banker master'!$P$2:$P$186,MATCH($AJ72,'E-Banker master'!$A$2:$A$186,0)),"")</f>
        <v>14200437.57</v>
      </c>
      <c r="AQ72" s="433">
        <f t="shared" si="14"/>
        <v>-70534.37736832723</v>
      </c>
      <c r="AS72" s="444">
        <v>300000</v>
      </c>
      <c r="AT72" s="444">
        <v>533500</v>
      </c>
    </row>
    <row r="73" spans="1:46" x14ac:dyDescent="0.35">
      <c r="A73" s="35"/>
      <c r="B73" s="35"/>
      <c r="C73" s="35"/>
      <c r="D73" s="363">
        <v>69</v>
      </c>
      <c r="E73" s="168" t="s">
        <v>800</v>
      </c>
      <c r="F73" s="169" t="s">
        <v>178</v>
      </c>
      <c r="G73" s="170">
        <f>'Amortisation and Repayments'!C3637</f>
        <v>45117</v>
      </c>
      <c r="H73" s="170">
        <f>'Amortisation and Repayments'!D3685</f>
        <v>46599</v>
      </c>
      <c r="I73" s="171">
        <f>'Amortisation and Repayments'!D3630</f>
        <v>4</v>
      </c>
      <c r="J73" s="178" t="s">
        <v>779</v>
      </c>
      <c r="K73" s="172">
        <v>10</v>
      </c>
      <c r="L73" s="169">
        <f>'Amortisation and Repayments'!F3637</f>
        <v>250000000</v>
      </c>
      <c r="M73" s="173">
        <f>'Amortisation and Repayments'!F3637</f>
        <v>250000000</v>
      </c>
      <c r="N73" s="169">
        <f>L73-M73</f>
        <v>0</v>
      </c>
      <c r="O73" s="169">
        <f t="shared" si="13"/>
        <v>250000000</v>
      </c>
      <c r="P73" s="169">
        <f>SUM('Amortisation and Repayments'!H3637:H3652)</f>
        <v>30915837.205164157</v>
      </c>
      <c r="Q73" s="169">
        <f>-SUM('Amortisation and Repayments'!K3637:K3652)</f>
        <v>-108191700.66000003</v>
      </c>
      <c r="R73" s="173">
        <f t="shared" si="12"/>
        <v>172724136.54516411</v>
      </c>
      <c r="S73" s="176">
        <f>'Amortisation and Repayments'!I3652</f>
        <v>5199192.1414546464</v>
      </c>
      <c r="T73" s="176">
        <f>'Amortisation and Repayments'!H3652</f>
        <v>1694884.2700694171</v>
      </c>
      <c r="U73" s="167">
        <f t="shared" si="15"/>
        <v>6894076.411524063</v>
      </c>
      <c r="V73" s="181"/>
      <c r="W73" s="169">
        <f>U73</f>
        <v>6894076.411524063</v>
      </c>
      <c r="X73" s="169">
        <f>U73-W73</f>
        <v>0</v>
      </c>
      <c r="Y73" s="244"/>
      <c r="Z73" s="181"/>
      <c r="AJ73" s="434" t="str">
        <f>IFERROR(INDEX(Mapping!$J$2:$J$110,MATCH(73,Mapping!$A$2:$A$110,0)),"")</f>
        <v>000104450000068</v>
      </c>
      <c r="AK73" s="435" t="str">
        <f>IFERROR(INDEX(Mapping!$K$2:$K$110,MATCH(73,Mapping!$A$2:$A$110,0)),"")</f>
        <v>High</v>
      </c>
      <c r="AL73" s="432" t="str">
        <f>IFERROR(INDEX('E-Banker master'!$B$2:$B$186,MATCH($AJ73,'E-Banker master'!$A$2:$A$186,0)),"")</f>
        <v>The Food Empire Limited</v>
      </c>
      <c r="AM73" s="432" t="str">
        <f>IFERROR(INDEX('E-Banker master'!$E$2:$E$186,MATCH($AJ73,'E-Banker master'!$A$2:$A$186,0)),"")</f>
        <v>F</v>
      </c>
      <c r="AN73" s="433">
        <f>IFERROR(INDEX('E-Banker master'!$N$2:$N$186,MATCH($AJ73,'E-Banker master'!$A$2:$A$186,0)),"")</f>
        <v>250000000</v>
      </c>
      <c r="AO73" s="433">
        <f>IFERROR(INDEX('E-Banker master'!$O$2:$O$186,MATCH($AJ73,'E-Banker master'!$A$2:$A$186,0)),"")</f>
        <v>25702633.920000002</v>
      </c>
      <c r="AP73" s="433">
        <f>IFERROR(INDEX('E-Banker master'!$P$2:$P$186,MATCH($AJ73,'E-Banker master'!$A$2:$A$186,0)),"")</f>
        <v>172097958.03</v>
      </c>
      <c r="AQ73" s="433">
        <f t="shared" si="14"/>
        <v>626178.51516410708</v>
      </c>
      <c r="AS73" s="444">
        <v>2500000</v>
      </c>
      <c r="AT73" s="444">
        <v>5585000</v>
      </c>
    </row>
    <row r="74" spans="1:46" x14ac:dyDescent="0.35">
      <c r="A74" s="35"/>
      <c r="B74" s="35"/>
      <c r="C74" s="35"/>
      <c r="D74" s="364">
        <v>70</v>
      </c>
      <c r="E74" s="324" t="s">
        <v>619</v>
      </c>
      <c r="F74" s="169" t="s">
        <v>178</v>
      </c>
      <c r="G74" s="170">
        <f>'Amortisation and Repayments'!C3703</f>
        <v>45127</v>
      </c>
      <c r="H74" s="170">
        <f>'Amortisation and Repayments'!D3751</f>
        <v>46599</v>
      </c>
      <c r="I74" s="171">
        <v>4</v>
      </c>
      <c r="J74" s="178" t="s">
        <v>774</v>
      </c>
      <c r="K74" s="172">
        <v>10</v>
      </c>
      <c r="L74" s="169">
        <f>'Amortisation and Repayments'!D3694</f>
        <v>200000000</v>
      </c>
      <c r="M74" s="173">
        <f>'Amortisation and Repayments'!F3703</f>
        <v>200000000</v>
      </c>
      <c r="N74" s="169"/>
      <c r="O74" s="174">
        <f t="shared" si="13"/>
        <v>200000000</v>
      </c>
      <c r="P74" s="169">
        <f>SUM('Amortisation and Repayments'!H3703:H3718)</f>
        <v>25416237.668236997</v>
      </c>
      <c r="Q74" s="169">
        <f>-SUM('Amortisation and Repayments'!K3703:K3718)</f>
        <v>-19000000</v>
      </c>
      <c r="R74" s="262">
        <f t="shared" si="12"/>
        <v>206416237.668237</v>
      </c>
      <c r="S74" s="176">
        <f>SUM('Amortisation and Repayments'!I3712:I3718)</f>
        <v>30754110.237143688</v>
      </c>
      <c r="T74" s="176">
        <f>'Amortisation and Repayments'!L3718-'Loan Book'!S74</f>
        <v>3991180.4308025837</v>
      </c>
      <c r="U74" s="167">
        <f t="shared" si="15"/>
        <v>34745290.667946272</v>
      </c>
      <c r="V74" s="181"/>
      <c r="W74" s="169">
        <f>'Amortisation and Repayments'!G3718</f>
        <v>5971698.9631051412</v>
      </c>
      <c r="X74" s="169">
        <f>W74*3</f>
        <v>17915096.889315423</v>
      </c>
      <c r="Y74" s="244">
        <f>+U74-W74-X74</f>
        <v>10858494.815525707</v>
      </c>
      <c r="Z74" s="181"/>
      <c r="AJ74" s="434" t="str">
        <f>IFERROR(INDEX(Mapping!$J$2:$J$110,MATCH(74,Mapping!$A$2:$A$110,0)),"")</f>
        <v>000104450000069</v>
      </c>
      <c r="AK74" s="435" t="str">
        <f>IFERROR(INDEX(Mapping!$K$2:$K$110,MATCH(74,Mapping!$A$2:$A$110,0)),"")</f>
        <v>High</v>
      </c>
      <c r="AL74" s="432" t="str">
        <f>IFERROR(INDEX('E-Banker master'!$B$2:$B$186,MATCH($AJ74,'E-Banker master'!$A$2:$A$186,0)),"")</f>
        <v>Chisitu Tea Blenders and Packers Ltd</v>
      </c>
      <c r="AM74" s="432" t="str">
        <f>IFERROR(INDEX('E-Banker master'!$E$2:$E$186,MATCH($AJ74,'E-Banker master'!$A$2:$A$186,0)),"")</f>
        <v>A</v>
      </c>
      <c r="AN74" s="433">
        <f>IFERROR(INDEX('E-Banker master'!$N$2:$N$186,MATCH($AJ74,'E-Banker master'!$A$2:$A$186,0)),"")</f>
        <v>200000000</v>
      </c>
      <c r="AO74" s="433">
        <f>IFERROR(INDEX('E-Banker master'!$O$2:$O$186,MATCH($AJ74,'E-Banker master'!$A$2:$A$186,0)),"")</f>
        <v>20900523.190000001</v>
      </c>
      <c r="AP74" s="433">
        <f>IFERROR(INDEX('E-Banker master'!$P$2:$P$186,MATCH($AJ74,'E-Banker master'!$A$2:$A$186,0)),"")</f>
        <v>207088006.12</v>
      </c>
      <c r="AQ74" s="433">
        <f t="shared" si="14"/>
        <v>-671768.45176300406</v>
      </c>
      <c r="AS74" s="444">
        <v>5000000</v>
      </c>
      <c r="AT74" s="444">
        <v>3270000</v>
      </c>
    </row>
    <row r="75" spans="1:46" x14ac:dyDescent="0.35">
      <c r="A75" s="35"/>
      <c r="B75" s="35"/>
      <c r="C75" s="35"/>
      <c r="D75" s="363">
        <v>71</v>
      </c>
      <c r="E75" s="324" t="s">
        <v>646</v>
      </c>
      <c r="F75" s="169" t="s">
        <v>178</v>
      </c>
      <c r="G75" s="170">
        <f>'Amortisation and Repayments'!C3769</f>
        <v>45127</v>
      </c>
      <c r="H75" s="170">
        <v>46599</v>
      </c>
      <c r="I75" s="171">
        <v>4</v>
      </c>
      <c r="J75" s="178" t="s">
        <v>774</v>
      </c>
      <c r="K75" s="172">
        <v>10</v>
      </c>
      <c r="L75" s="169">
        <v>100000000</v>
      </c>
      <c r="M75" s="173">
        <v>100000000</v>
      </c>
      <c r="N75" s="169">
        <f t="shared" ref="N75:N87" si="16">+L75-M75</f>
        <v>0</v>
      </c>
      <c r="O75" s="174">
        <f t="shared" si="13"/>
        <v>100000000</v>
      </c>
      <c r="P75" s="169">
        <f>SUM('Amortisation and Repayments'!H3769:H3784)</f>
        <v>6836759.204730195</v>
      </c>
      <c r="Q75" s="169">
        <f>-SUM('Amortisation and Repayments'!K3769:K3784)</f>
        <v>-56000000</v>
      </c>
      <c r="R75" s="262">
        <f t="shared" si="12"/>
        <v>50836759.204730198</v>
      </c>
      <c r="S75" s="408">
        <v>4127024.9184564762</v>
      </c>
      <c r="T75" s="176">
        <f>'Amortisation and Repayments'!L3784-'Loan Book'!S75</f>
        <v>0</v>
      </c>
      <c r="U75" s="167">
        <f t="shared" si="15"/>
        <v>4127024.9184564762</v>
      </c>
      <c r="V75" s="181"/>
      <c r="W75" s="169">
        <f>U75</f>
        <v>4127024.9184564762</v>
      </c>
      <c r="X75" s="169">
        <f>+U75-W75</f>
        <v>0</v>
      </c>
      <c r="Y75" s="244"/>
      <c r="Z75" s="181"/>
      <c r="AJ75" s="434" t="str">
        <f>IFERROR(INDEX(Mapping!$J$2:$J$110,MATCH(75,Mapping!$A$2:$A$110,0)),"")</f>
        <v>000104460000070</v>
      </c>
      <c r="AK75" s="435" t="str">
        <f>IFERROR(INDEX(Mapping!$K$2:$K$110,MATCH(75,Mapping!$A$2:$A$110,0)),"")</f>
        <v>High</v>
      </c>
      <c r="AL75" s="432" t="str">
        <f>IFERROR(INDEX('E-Banker master'!$B$2:$B$186,MATCH($AJ75,'E-Banker master'!$A$2:$A$186,0)),"")</f>
        <v>Mchinji Civil Servants SACCO</v>
      </c>
      <c r="AM75" s="432" t="str">
        <f>IFERROR(INDEX('E-Banker master'!$E$2:$E$186,MATCH($AJ75,'E-Banker master'!$A$2:$A$186,0)),"")</f>
        <v>H</v>
      </c>
      <c r="AN75" s="433">
        <f>IFERROR(INDEX('E-Banker master'!$N$2:$N$186,MATCH($AJ75,'E-Banker master'!$A$2:$A$186,0)),"")</f>
        <v>100000000</v>
      </c>
      <c r="AO75" s="433">
        <f>IFERROR(INDEX('E-Banker master'!$O$2:$O$186,MATCH($AJ75,'E-Banker master'!$A$2:$A$186,0)),"")</f>
        <v>5386103.9500000002</v>
      </c>
      <c r="AP75" s="433">
        <f>IFERROR(INDEX('E-Banker master'!$P$2:$P$186,MATCH($AJ75,'E-Banker master'!$A$2:$A$186,0)),"")</f>
        <v>50940060.280000001</v>
      </c>
      <c r="AQ75" s="433">
        <f t="shared" si="14"/>
        <v>-103301.0752698034</v>
      </c>
      <c r="AS75" s="444">
        <v>500000</v>
      </c>
      <c r="AT75" s="444">
        <v>788112</v>
      </c>
    </row>
    <row r="76" spans="1:46" x14ac:dyDescent="0.35">
      <c r="A76" s="35"/>
      <c r="B76" s="35"/>
      <c r="C76" s="35"/>
      <c r="D76" s="385">
        <v>72</v>
      </c>
      <c r="E76" s="324" t="s">
        <v>647</v>
      </c>
      <c r="F76" s="169" t="s">
        <v>178</v>
      </c>
      <c r="G76" s="170">
        <f>'Amortisation and Repayments'!C3852</f>
        <v>45138</v>
      </c>
      <c r="H76" s="170">
        <f>'Amortisation and Repayments'!D3900</f>
        <v>46599</v>
      </c>
      <c r="I76" s="171">
        <v>4</v>
      </c>
      <c r="J76" s="178" t="s">
        <v>774</v>
      </c>
      <c r="K76" s="172">
        <v>10</v>
      </c>
      <c r="L76" s="169">
        <f>'Amortisation and Repayments'!F3852</f>
        <v>236401400</v>
      </c>
      <c r="M76" s="173">
        <f>L76</f>
        <v>236401400</v>
      </c>
      <c r="N76" s="169">
        <f t="shared" si="16"/>
        <v>0</v>
      </c>
      <c r="O76" s="174">
        <f t="shared" si="13"/>
        <v>236401400</v>
      </c>
      <c r="P76" s="169">
        <f>SUM('Amortisation and Repayments'!H3852:H3867)</f>
        <v>29185439.098492417</v>
      </c>
      <c r="Q76" s="169">
        <f>-SUM('Amortisation and Repayments'!K3852:K3867)</f>
        <v>-66679470.249999993</v>
      </c>
      <c r="R76" s="262">
        <f t="shared" si="12"/>
        <v>198907368.84849241</v>
      </c>
      <c r="S76" s="176">
        <v>0</v>
      </c>
      <c r="T76" s="176"/>
      <c r="U76" s="167">
        <f t="shared" si="15"/>
        <v>0</v>
      </c>
      <c r="V76" s="181"/>
      <c r="W76" s="169">
        <f>+U76</f>
        <v>0</v>
      </c>
      <c r="X76" s="169"/>
      <c r="Y76" s="244"/>
      <c r="Z76" s="181"/>
      <c r="AJ76" s="434" t="str">
        <f>IFERROR(INDEX(Mapping!$J$2:$J$110,MATCH(76,Mapping!$A$2:$A$110,0)),"")</f>
        <v>000104460000071</v>
      </c>
      <c r="AK76" s="435" t="str">
        <f>IFERROR(INDEX(Mapping!$K$2:$K$110,MATCH(76,Mapping!$A$2:$A$110,0)),"")</f>
        <v>High</v>
      </c>
      <c r="AL76" s="434" t="str">
        <f>IFERROR(INDEX('E-Banker master'!$B$2:$B$186,MATCH($AJ76,'E-Banker master'!$A$2:$A$186,0)),"")</f>
        <v>Design Management Consultants Ltd</v>
      </c>
      <c r="AM76" s="432" t="str">
        <f>IFERROR(INDEX('E-Banker master'!$E$2:$E$186,MATCH($AJ76,'E-Banker master'!$A$2:$A$186,0)),"")</f>
        <v>A</v>
      </c>
      <c r="AN76" s="433">
        <f>IFERROR(INDEX('E-Banker master'!$N$2:$N$186,MATCH($AJ76,'E-Banker master'!$A$2:$A$186,0)),"")</f>
        <v>236401400</v>
      </c>
      <c r="AO76" s="433">
        <f>IFERROR(INDEX('E-Banker master'!$O$2:$O$186,MATCH($AJ76,'E-Banker master'!$A$2:$A$186,0)),"")</f>
        <v>23864995.690000001</v>
      </c>
      <c r="AP76" s="433">
        <f>IFERROR(INDEX('E-Banker master'!$P$2:$P$186,MATCH($AJ76,'E-Banker master'!$A$2:$A$186,0)),"")</f>
        <v>198864434.30000001</v>
      </c>
      <c r="AQ76" s="433">
        <f t="shared" si="14"/>
        <v>42934.548492401838</v>
      </c>
      <c r="AS76" s="444">
        <v>2290000</v>
      </c>
      <c r="AT76" s="444">
        <v>5111400</v>
      </c>
    </row>
    <row r="77" spans="1:46" x14ac:dyDescent="0.35">
      <c r="A77" s="35"/>
      <c r="B77" s="35"/>
      <c r="C77" s="35"/>
      <c r="D77" s="364">
        <v>73</v>
      </c>
      <c r="E77" s="168" t="s">
        <v>620</v>
      </c>
      <c r="F77" s="169" t="s">
        <v>178</v>
      </c>
      <c r="G77" s="170">
        <f>+'Amortisation and Repayments'!C3918</f>
        <v>45138</v>
      </c>
      <c r="H77" s="170">
        <f>+'Amortisation and Repayments'!D3942</f>
        <v>45868</v>
      </c>
      <c r="I77" s="171">
        <v>2</v>
      </c>
      <c r="J77" s="178" t="s">
        <v>779</v>
      </c>
      <c r="K77" s="172">
        <v>10</v>
      </c>
      <c r="L77" s="169">
        <f>'Amortisation and Repayments'!D3909</f>
        <v>15000000</v>
      </c>
      <c r="M77" s="173">
        <f>L77</f>
        <v>15000000</v>
      </c>
      <c r="N77" s="169">
        <f t="shared" si="16"/>
        <v>0</v>
      </c>
      <c r="O77" s="174">
        <f t="shared" si="13"/>
        <v>15000000</v>
      </c>
      <c r="P77" s="169">
        <f>SUM('Amortisation and Repayments'!H3918:H3933)</f>
        <v>1399810.1152477686</v>
      </c>
      <c r="Q77" s="169">
        <f>-SUM('Amortisation and Repayments'!K3918:K3933)</f>
        <v>-9450000</v>
      </c>
      <c r="R77" s="262">
        <f t="shared" si="12"/>
        <v>6949810.1152477693</v>
      </c>
      <c r="S77" s="176">
        <v>0</v>
      </c>
      <c r="T77" s="176"/>
      <c r="U77" s="167">
        <f t="shared" si="15"/>
        <v>0</v>
      </c>
      <c r="V77" s="181"/>
      <c r="W77" s="169">
        <f>U77</f>
        <v>0</v>
      </c>
      <c r="X77" s="169"/>
      <c r="Y77" s="244"/>
      <c r="Z77" s="181"/>
      <c r="AJ77" s="434" t="str">
        <f>IFERROR(INDEX(Mapping!$J$2:$J$110,MATCH(77,Mapping!$A$2:$A$110,0)),"")</f>
        <v>000104450000072</v>
      </c>
      <c r="AK77" s="435" t="str">
        <f>IFERROR(INDEX(Mapping!$K$2:$K$110,MATCH(77,Mapping!$A$2:$A$110,0)),"")</f>
        <v>High</v>
      </c>
      <c r="AL77" s="432" t="str">
        <f>IFERROR(INDEX('E-Banker master'!$B$2:$B$186,MATCH($AJ77,'E-Banker master'!$A$2:$A$186,0)),"")</f>
        <v>Jescal Enterprise</v>
      </c>
      <c r="AM77" s="432" t="str">
        <f>IFERROR(INDEX('E-Banker master'!$E$2:$E$186,MATCH($AJ77,'E-Banker master'!$A$2:$A$186,0)),"")</f>
        <v>H</v>
      </c>
      <c r="AN77" s="433">
        <f>IFERROR(INDEX('E-Banker master'!$N$2:$N$186,MATCH($AJ77,'E-Banker master'!$A$2:$A$186,0)),"")</f>
        <v>15000000</v>
      </c>
      <c r="AO77" s="433">
        <f>IFERROR(INDEX('E-Banker master'!$O$2:$O$186,MATCH($AJ77,'E-Banker master'!$A$2:$A$186,0)),"")</f>
        <v>1214682.54</v>
      </c>
      <c r="AP77" s="433">
        <f>IFERROR(INDEX('E-Banker master'!$P$2:$P$186,MATCH($AJ77,'E-Banker master'!$A$2:$A$186,0)),"")</f>
        <v>6964564.7699999996</v>
      </c>
      <c r="AQ77" s="433">
        <f t="shared" si="14"/>
        <v>-14754.654752230272</v>
      </c>
      <c r="AS77" s="444">
        <v>150000</v>
      </c>
      <c r="AT77" s="444">
        <v>302000</v>
      </c>
    </row>
    <row r="78" spans="1:46" x14ac:dyDescent="0.35">
      <c r="A78" s="35"/>
      <c r="B78" s="35"/>
      <c r="C78" s="35"/>
      <c r="D78" s="363">
        <v>74</v>
      </c>
      <c r="E78" s="168" t="s">
        <v>648</v>
      </c>
      <c r="F78" s="169" t="s">
        <v>178</v>
      </c>
      <c r="G78" s="170">
        <f>'Amortisation and Repayments'!C3960</f>
        <v>45138</v>
      </c>
      <c r="H78" s="170">
        <f>'Amortisation and Repayments'!D3984</f>
        <v>45868</v>
      </c>
      <c r="I78" s="171">
        <v>2</v>
      </c>
      <c r="J78" s="178" t="s">
        <v>779</v>
      </c>
      <c r="K78" s="172">
        <v>10</v>
      </c>
      <c r="L78" s="169">
        <f>'Amortisation and Repayments'!D3951</f>
        <v>21417000</v>
      </c>
      <c r="M78" s="173">
        <f>L78</f>
        <v>21417000</v>
      </c>
      <c r="N78" s="169">
        <f t="shared" si="16"/>
        <v>0</v>
      </c>
      <c r="O78" s="174">
        <f t="shared" si="13"/>
        <v>21417000</v>
      </c>
      <c r="P78" s="169">
        <f>SUM('Amortisation and Repayments'!H3960:H3975)</f>
        <v>2192029.6052620574</v>
      </c>
      <c r="Q78" s="169">
        <f>-SUM('Amortisation and Repayments'!K3960:K3975)</f>
        <v>-11440601.874220235</v>
      </c>
      <c r="R78" s="262">
        <f t="shared" si="12"/>
        <v>12168427.731041821</v>
      </c>
      <c r="S78" s="176">
        <f>SUM('Amortisation and Repayments'!I3974:I3975)</f>
        <v>2097197.3575748838</v>
      </c>
      <c r="T78" s="176">
        <f>'Amortisation and Repayments'!L3975-'Loan Book'!S78</f>
        <v>190923.00401100051</v>
      </c>
      <c r="U78" s="167">
        <f t="shared" si="15"/>
        <v>2288120.3615858844</v>
      </c>
      <c r="V78" s="181"/>
      <c r="W78" s="169">
        <f>'Amortisation and Repayments'!G3975</f>
        <v>1144060.1863171768</v>
      </c>
      <c r="X78" s="169">
        <f>U78-W78</f>
        <v>1144060.1752687076</v>
      </c>
      <c r="Y78" s="244"/>
      <c r="Z78" s="181"/>
      <c r="AJ78" s="434" t="str">
        <f>IFERROR(INDEX(Mapping!$J$2:$J$110,MATCH(78,Mapping!$A$2:$A$110,0)),"")</f>
        <v>000104460000073</v>
      </c>
      <c r="AK78" s="435" t="str">
        <f>IFERROR(INDEX(Mapping!$K$2:$K$110,MATCH(78,Mapping!$A$2:$A$110,0)),"")</f>
        <v>High</v>
      </c>
      <c r="AL78" s="432" t="str">
        <f>IFERROR(INDEX('E-Banker master'!$B$2:$B$186,MATCH($AJ78,'E-Banker master'!$A$2:$A$186,0)),"")</f>
        <v>Mosa Limited Company</v>
      </c>
      <c r="AM78" s="432" t="str">
        <f>IFERROR(INDEX('E-Banker master'!$E$2:$E$186,MATCH($AJ78,'E-Banker master'!$A$2:$A$186,0)),"")</f>
        <v>D</v>
      </c>
      <c r="AN78" s="433">
        <f>IFERROR(INDEX('E-Banker master'!$N$2:$N$186,MATCH($AJ78,'E-Banker master'!$A$2:$A$186,0)),"")</f>
        <v>21417000</v>
      </c>
      <c r="AO78" s="433">
        <f>IFERROR(INDEX('E-Banker master'!$O$2:$O$186,MATCH($AJ78,'E-Banker master'!$A$2:$A$186,0)),"")</f>
        <v>1892663.9</v>
      </c>
      <c r="AP78" s="433">
        <f>IFERROR(INDEX('E-Banker master'!$P$2:$P$186,MATCH($AJ78,'E-Banker master'!$A$2:$A$186,0)),"")</f>
        <v>12180308.75</v>
      </c>
      <c r="AQ78" s="433">
        <f t="shared" si="14"/>
        <v>-11881.01895817928</v>
      </c>
      <c r="AS78" s="444">
        <v>214170</v>
      </c>
      <c r="AT78" s="444">
        <v>405314</v>
      </c>
    </row>
    <row r="79" spans="1:46" ht="11.4" customHeight="1" x14ac:dyDescent="0.35">
      <c r="A79" s="35"/>
      <c r="B79" s="35"/>
      <c r="C79" s="35"/>
      <c r="D79" s="363">
        <v>75</v>
      </c>
      <c r="E79" s="168" t="s">
        <v>621</v>
      </c>
      <c r="F79" s="169" t="s">
        <v>178</v>
      </c>
      <c r="G79" s="170">
        <f>'Amortisation and Repayments'!C3810</f>
        <v>45108</v>
      </c>
      <c r="H79" s="170">
        <f>'Amortisation and Repayments'!D3834</f>
        <v>45868</v>
      </c>
      <c r="I79" s="171">
        <v>2</v>
      </c>
      <c r="J79" s="178" t="s">
        <v>779</v>
      </c>
      <c r="K79" s="172">
        <v>10</v>
      </c>
      <c r="L79" s="169">
        <f>'Amortisation and Repayments'!F3810</f>
        <v>30000000</v>
      </c>
      <c r="M79" s="173">
        <f>L79</f>
        <v>30000000</v>
      </c>
      <c r="N79" s="169">
        <f t="shared" si="16"/>
        <v>0</v>
      </c>
      <c r="O79" s="174">
        <f t="shared" si="13"/>
        <v>30000000</v>
      </c>
      <c r="P79" s="169">
        <f>SUM('Amortisation and Repayments'!H3810:H3825)</f>
        <v>3230521.0607680068</v>
      </c>
      <c r="Q79" s="169">
        <f>-SUM('Amortisation and Repayments'!K3810:K3825)</f>
        <v>-10572817.949999999</v>
      </c>
      <c r="R79" s="262">
        <f t="shared" si="12"/>
        <v>22657703.110768009</v>
      </c>
      <c r="S79" s="176">
        <f>SUM('Amortisation and Repayments'!I3820:I3825)</f>
        <v>8308065.6740155127</v>
      </c>
      <c r="T79" s="176">
        <f>'Amortisation and Repayments'!L3825-'Loan Book'!S79</f>
        <v>1085525.1626047697</v>
      </c>
      <c r="U79" s="167">
        <f t="shared" si="15"/>
        <v>9393590.8366202824</v>
      </c>
      <c r="V79" s="181"/>
      <c r="W79" s="169">
        <f>'Amortisation and Repayments'!G3825</f>
        <v>1535877.5989707909</v>
      </c>
      <c r="X79" s="169">
        <f>W79*3</f>
        <v>4607632.7969123721</v>
      </c>
      <c r="Y79" s="244">
        <f>+U79-W79-X79</f>
        <v>3250080.4407371189</v>
      </c>
      <c r="Z79" s="181"/>
      <c r="AJ79" s="434" t="str">
        <f>IFERROR(INDEX(Mapping!$J$2:$J$110,MATCH(79,Mapping!$A$2:$A$110,0)),"")</f>
        <v>000104450000074</v>
      </c>
      <c r="AK79" s="435" t="str">
        <f>IFERROR(INDEX(Mapping!$K$2:$K$110,MATCH(79,Mapping!$A$2:$A$110,0)),"")</f>
        <v>High</v>
      </c>
      <c r="AL79" s="432" t="str">
        <f>IFERROR(INDEX('E-Banker master'!$B$2:$B$186,MATCH($AJ79,'E-Banker master'!$A$2:$A$186,0)),"")</f>
        <v>Pamela Investments</v>
      </c>
      <c r="AM79" s="432" t="str">
        <f>IFERROR(INDEX('E-Banker master'!$E$2:$E$186,MATCH($AJ79,'E-Banker master'!$A$2:$A$186,0)),"")</f>
        <v>H</v>
      </c>
      <c r="AN79" s="433">
        <f>IFERROR(INDEX('E-Banker master'!$N$2:$N$186,MATCH($AJ79,'E-Banker master'!$A$2:$A$186,0)),"")</f>
        <v>30000000</v>
      </c>
      <c r="AO79" s="433">
        <f>IFERROR(INDEX('E-Banker master'!$O$2:$O$186,MATCH($AJ79,'E-Banker master'!$A$2:$A$186,0)),"")</f>
        <v>2828628.68</v>
      </c>
      <c r="AP79" s="433">
        <f>IFERROR(INDEX('E-Banker master'!$P$2:$P$186,MATCH($AJ79,'E-Banker master'!$A$2:$A$186,0)),"")</f>
        <v>22848584.379999999</v>
      </c>
      <c r="AQ79" s="433">
        <f t="shared" si="14"/>
        <v>-190881.26923198998</v>
      </c>
      <c r="AS79" s="444">
        <v>300000</v>
      </c>
      <c r="AT79" s="444">
        <v>533500</v>
      </c>
    </row>
    <row r="80" spans="1:46" x14ac:dyDescent="0.35">
      <c r="A80" s="35"/>
      <c r="B80" s="35"/>
      <c r="C80" s="35"/>
      <c r="D80" s="364">
        <v>76</v>
      </c>
      <c r="E80" s="324" t="s">
        <v>504</v>
      </c>
      <c r="F80" s="169" t="s">
        <v>178</v>
      </c>
      <c r="G80" s="170">
        <f>'Amortisation and Repayments'!C4002</f>
        <v>45145</v>
      </c>
      <c r="H80" s="170">
        <f>'Amortisation and Repayments'!D4050</f>
        <v>46630</v>
      </c>
      <c r="I80" s="171">
        <v>4</v>
      </c>
      <c r="J80" s="178">
        <v>0</v>
      </c>
      <c r="K80" s="172">
        <v>10</v>
      </c>
      <c r="L80" s="169">
        <f>'Amortisation and Repayments'!F4002</f>
        <v>250000000</v>
      </c>
      <c r="M80" s="173">
        <v>250000000</v>
      </c>
      <c r="N80" s="169">
        <f t="shared" si="16"/>
        <v>0</v>
      </c>
      <c r="O80" s="174">
        <v>250000000</v>
      </c>
      <c r="P80" s="169">
        <f>SUM('Amortisation and Repayments'!H4002:H4016)</f>
        <v>27681764.803403251</v>
      </c>
      <c r="Q80" s="169">
        <f>-SUM('Amortisation and Repayments'!K4002:K4016)</f>
        <v>-76599092.709999993</v>
      </c>
      <c r="R80" s="262">
        <f t="shared" si="12"/>
        <v>201082672.09340328</v>
      </c>
      <c r="S80" s="176">
        <v>0</v>
      </c>
      <c r="T80" s="176">
        <v>0</v>
      </c>
      <c r="U80" s="167">
        <f t="shared" si="15"/>
        <v>0</v>
      </c>
      <c r="V80" s="181"/>
      <c r="W80" s="169">
        <f>U80</f>
        <v>0</v>
      </c>
      <c r="X80" s="169">
        <v>0</v>
      </c>
      <c r="Y80" s="244"/>
      <c r="Z80" s="181"/>
      <c r="AJ80" s="434" t="str">
        <f>IFERROR(INDEX(Mapping!$J$2:$J$110,MATCH(80,Mapping!$A$2:$A$110,0)),"")</f>
        <v>000104460000075</v>
      </c>
      <c r="AK80" s="435" t="str">
        <f>IFERROR(INDEX(Mapping!$K$2:$K$110,MATCH(80,Mapping!$A$2:$A$110,0)),"")</f>
        <v>High</v>
      </c>
      <c r="AL80" s="432" t="str">
        <f>IFERROR(INDEX('E-Banker master'!$B$2:$B$186,MATCH($AJ80,'E-Banker master'!$A$2:$A$186,0)),"")</f>
        <v>Global Seeds Limited FInES</v>
      </c>
      <c r="AM80" s="432" t="str">
        <f>IFERROR(INDEX('E-Banker master'!$E$2:$E$186,MATCH($AJ80,'E-Banker master'!$A$2:$A$186,0)),"")</f>
        <v>A</v>
      </c>
      <c r="AN80" s="433">
        <f>IFERROR(INDEX('E-Banker master'!$N$2:$N$186,MATCH($AJ80,'E-Banker master'!$A$2:$A$186,0)),"")</f>
        <v>250000000</v>
      </c>
      <c r="AO80" s="433">
        <f>IFERROR(INDEX('E-Banker master'!$O$2:$O$186,MATCH($AJ80,'E-Banker master'!$A$2:$A$186,0)),"")</f>
        <v>22736464.789999999</v>
      </c>
      <c r="AP80" s="433">
        <f>IFERROR(INDEX('E-Banker master'!$P$2:$P$186,MATCH($AJ80,'E-Banker master'!$A$2:$A$186,0)),"")</f>
        <v>201762903.68000001</v>
      </c>
      <c r="AQ80" s="433">
        <f t="shared" si="14"/>
        <v>-680231.58659672737</v>
      </c>
      <c r="AS80" s="444">
        <v>2500000</v>
      </c>
      <c r="AT80" s="444">
        <v>5585500</v>
      </c>
    </row>
    <row r="81" spans="1:46" x14ac:dyDescent="0.35">
      <c r="A81" s="35"/>
      <c r="B81" s="35"/>
      <c r="C81" s="35"/>
      <c r="D81" s="363">
        <v>77</v>
      </c>
      <c r="E81" s="324" t="s">
        <v>589</v>
      </c>
      <c r="F81" s="169" t="s">
        <v>178</v>
      </c>
      <c r="G81" s="170">
        <f>'Amortisation and Repayments'!C4067</f>
        <v>45153</v>
      </c>
      <c r="H81" s="170">
        <f>'Amortisation and Repayments'!D4091</f>
        <v>45899</v>
      </c>
      <c r="I81" s="171">
        <v>2</v>
      </c>
      <c r="J81" s="178" t="s">
        <v>779</v>
      </c>
      <c r="K81" s="172">
        <v>10</v>
      </c>
      <c r="L81" s="169">
        <f>'Amortisation and Repayments'!F4067</f>
        <v>30000000</v>
      </c>
      <c r="M81" s="173">
        <f>'Amortisation and Repayments'!F4067</f>
        <v>30000000</v>
      </c>
      <c r="N81" s="169">
        <f t="shared" si="16"/>
        <v>0</v>
      </c>
      <c r="O81" s="174">
        <f>'Amortisation and Repayments'!F4067</f>
        <v>30000000</v>
      </c>
      <c r="P81" s="169">
        <f>SUM('Amortisation and Repayments'!H4067:H4081)</f>
        <v>3262616.5156346606</v>
      </c>
      <c r="Q81" s="169">
        <f>-SUM('Amortisation and Repayments'!K4067:K4081)-150078.02</f>
        <v>-12250078.02</v>
      </c>
      <c r="R81" s="262">
        <f t="shared" si="12"/>
        <v>21012538.49563466</v>
      </c>
      <c r="S81" s="176">
        <f>'Amortisation and Repayments'!L4081</f>
        <v>363663.20154978102</v>
      </c>
      <c r="T81" s="176">
        <f>'Amortisation and Repayments'!L4081-'Loan Book'!S81</f>
        <v>0</v>
      </c>
      <c r="U81" s="167">
        <f t="shared" si="15"/>
        <v>363663.20154978102</v>
      </c>
      <c r="V81" s="181"/>
      <c r="W81" s="169">
        <f>U81</f>
        <v>363663.20154978102</v>
      </c>
      <c r="X81" s="169"/>
      <c r="Y81" s="244"/>
      <c r="Z81" s="181"/>
      <c r="AJ81" s="434" t="str">
        <f>IFERROR(INDEX(Mapping!$J$2:$J$110,MATCH(81,Mapping!$A$2:$A$110,0)),"")</f>
        <v>000104450000076</v>
      </c>
      <c r="AK81" s="435" t="str">
        <f>IFERROR(INDEX(Mapping!$K$2:$K$110,MATCH(81,Mapping!$A$2:$A$110,0)),"")</f>
        <v>High</v>
      </c>
      <c r="AL81" s="432" t="str">
        <f>IFERROR(INDEX('E-Banker master'!$B$2:$B$186,MATCH($AJ81,'E-Banker master'!$A$2:$A$186,0)),"")</f>
        <v>Beaulaland Food Processors</v>
      </c>
      <c r="AM81" s="432" t="str">
        <f>IFERROR(INDEX('E-Banker master'!$E$2:$E$186,MATCH($AJ81,'E-Banker master'!$A$2:$A$186,0)),"")</f>
        <v>A</v>
      </c>
      <c r="AN81" s="433">
        <f>IFERROR(INDEX('E-Banker master'!$N$2:$N$186,MATCH($AJ81,'E-Banker master'!$A$2:$A$186,0)),"")</f>
        <v>30000000</v>
      </c>
      <c r="AO81" s="433">
        <f>IFERROR(INDEX('E-Banker master'!$O$2:$O$186,MATCH($AJ81,'E-Banker master'!$A$2:$A$186,0)),"")</f>
        <v>2699970.47</v>
      </c>
      <c r="AP81" s="433">
        <f>IFERROR(INDEX('E-Banker master'!$P$2:$P$186,MATCH($AJ81,'E-Banker master'!$A$2:$A$186,0)),"")</f>
        <v>21032811.59</v>
      </c>
      <c r="AQ81" s="433">
        <f t="shared" si="14"/>
        <v>-20273.094365339726</v>
      </c>
      <c r="AS81" s="444">
        <v>300000</v>
      </c>
      <c r="AT81" s="444">
        <v>543500</v>
      </c>
    </row>
    <row r="82" spans="1:46" x14ac:dyDescent="0.35">
      <c r="A82" s="35"/>
      <c r="B82" s="35"/>
      <c r="C82" s="35"/>
      <c r="D82" s="363">
        <v>78</v>
      </c>
      <c r="E82" s="324" t="s">
        <v>613</v>
      </c>
      <c r="F82" s="169" t="s">
        <v>178</v>
      </c>
      <c r="G82" s="170">
        <f>'Amortisation and Repayments'!C4120</f>
        <v>45216</v>
      </c>
      <c r="H82" s="170">
        <f>'Amortisation and Repayments'!D4168</f>
        <v>46691</v>
      </c>
      <c r="I82" s="171">
        <v>4</v>
      </c>
      <c r="J82" s="178" t="s">
        <v>796</v>
      </c>
      <c r="K82" s="172">
        <v>10</v>
      </c>
      <c r="L82" s="169">
        <v>164000000</v>
      </c>
      <c r="M82" s="173">
        <v>164000000</v>
      </c>
      <c r="N82" s="169">
        <f t="shared" si="16"/>
        <v>0</v>
      </c>
      <c r="O82" s="174">
        <f t="shared" ref="O82:O87" si="17">M82</f>
        <v>164000000</v>
      </c>
      <c r="P82" s="169">
        <f>SUM('Amortisation and Repayments'!H4120:'Amortisation and Repayments'!H4132)</f>
        <v>16093760.773823785</v>
      </c>
      <c r="Q82" s="169">
        <f>SUM('Amortisation and Repayments'!K4120:K4132)*-1</f>
        <v>-45237663.299999997</v>
      </c>
      <c r="R82" s="262">
        <f t="shared" si="12"/>
        <v>134856097.47382379</v>
      </c>
      <c r="S82" s="176">
        <v>0</v>
      </c>
      <c r="T82" s="176">
        <v>0</v>
      </c>
      <c r="U82" s="167">
        <f t="shared" si="15"/>
        <v>0</v>
      </c>
      <c r="V82" s="181"/>
      <c r="W82" s="169">
        <f>+U82</f>
        <v>0</v>
      </c>
      <c r="X82" s="169"/>
      <c r="Y82" s="244"/>
      <c r="Z82" s="181"/>
      <c r="AJ82" s="434" t="str">
        <f>IFERROR(INDEX(Mapping!$J$2:$J$110,MATCH(82,Mapping!$A$2:$A$110,0)),"")</f>
        <v>000104450000077</v>
      </c>
      <c r="AK82" s="435" t="str">
        <f>IFERROR(INDEX(Mapping!$K$2:$K$110,MATCH(82,Mapping!$A$2:$A$110,0)),"")</f>
        <v>High</v>
      </c>
      <c r="AL82" s="432" t="str">
        <f>IFERROR(INDEX('E-Banker master'!$B$2:$B$186,MATCH($AJ82,'E-Banker master'!$A$2:$A$186,0)),"")</f>
        <v>Kwithu Kitchens 2</v>
      </c>
      <c r="AM82" s="432" t="str">
        <f>IFERROR(INDEX('E-Banker master'!$E$2:$E$186,MATCH($AJ82,'E-Banker master'!$A$2:$A$186,0)),"")</f>
        <v>A</v>
      </c>
      <c r="AN82" s="433">
        <f>IFERROR(INDEX('E-Banker master'!$N$2:$N$186,MATCH($AJ82,'E-Banker master'!$A$2:$A$186,0)),"")</f>
        <v>164000000</v>
      </c>
      <c r="AO82" s="433">
        <f>IFERROR(INDEX('E-Banker master'!$O$2:$O$186,MATCH($AJ82,'E-Banker master'!$A$2:$A$186,0)),"")</f>
        <v>12535646.84</v>
      </c>
      <c r="AP82" s="433">
        <f>IFERROR(INDEX('E-Banker master'!$P$2:$P$186,MATCH($AJ82,'E-Banker master'!$A$2:$A$186,0)),"")</f>
        <v>134900520.88999999</v>
      </c>
      <c r="AQ82" s="433">
        <f t="shared" si="14"/>
        <v>-44423.416176199913</v>
      </c>
      <c r="AS82" s="444">
        <v>1640000</v>
      </c>
      <c r="AT82" s="444">
        <v>2690400</v>
      </c>
    </row>
    <row r="83" spans="1:46" x14ac:dyDescent="0.35">
      <c r="A83" s="35"/>
      <c r="B83" s="35"/>
      <c r="C83" s="35"/>
      <c r="D83" s="364">
        <v>79</v>
      </c>
      <c r="E83" s="168" t="s">
        <v>649</v>
      </c>
      <c r="F83" s="169" t="s">
        <v>178</v>
      </c>
      <c r="G83" s="170">
        <f>'Amortisation and Repayments'!C4184</f>
        <v>45222</v>
      </c>
      <c r="H83" s="170">
        <f>'Amortisation and Repayments'!D4220</f>
        <v>46326</v>
      </c>
      <c r="I83" s="171">
        <v>3</v>
      </c>
      <c r="J83" s="178" t="s">
        <v>774</v>
      </c>
      <c r="K83" s="172">
        <v>10</v>
      </c>
      <c r="L83" s="169">
        <v>22000000</v>
      </c>
      <c r="M83" s="173">
        <v>22000000</v>
      </c>
      <c r="N83" s="169">
        <f t="shared" si="16"/>
        <v>0</v>
      </c>
      <c r="O83" s="174">
        <f t="shared" si="17"/>
        <v>22000000</v>
      </c>
      <c r="P83" s="169">
        <f>SUM('Amortisation and Repayments'!H4184:H4196)</f>
        <v>2245203.8984841085</v>
      </c>
      <c r="Q83" s="169">
        <f>-SUM('Amortisation and Repayments'!K4184:K4196)</f>
        <v>0</v>
      </c>
      <c r="R83" s="262">
        <f t="shared" si="12"/>
        <v>24245203.898484107</v>
      </c>
      <c r="S83" s="176">
        <f>SUM('Amortisation and Repayments'!I4191:I4196)</f>
        <v>4184896.4416539567</v>
      </c>
      <c r="T83" s="176">
        <f>SUM('Amortisation and Repayments'!H4191:H4196)</f>
        <v>1072303.751907048</v>
      </c>
      <c r="U83" s="167">
        <f t="shared" si="15"/>
        <v>5257200.1935610045</v>
      </c>
      <c r="V83" s="181"/>
      <c r="W83" s="169">
        <f>'Amortisation and Repayments'!G4196</f>
        <v>876200.03226016741</v>
      </c>
      <c r="X83" s="169">
        <f>W83*3</f>
        <v>2628600.0967805022</v>
      </c>
      <c r="Y83" s="244">
        <f>U83-X83-W83</f>
        <v>1752400.0645203348</v>
      </c>
      <c r="Z83" s="181"/>
      <c r="AJ83" s="434" t="str">
        <f>IFERROR(INDEX(Mapping!$J$2:$J$110,MATCH(83,Mapping!$A$2:$A$110,0)),"")</f>
        <v>000104460000078</v>
      </c>
      <c r="AK83" s="435" t="str">
        <f>IFERROR(INDEX(Mapping!$K$2:$K$110,MATCH(83,Mapping!$A$2:$A$110,0)),"")</f>
        <v>High</v>
      </c>
      <c r="AL83" s="432" t="str">
        <f>IFERROR(INDEX('E-Banker master'!$B$2:$B$186,MATCH($AJ83,'E-Banker master'!$A$2:$A$186,0)),"")</f>
        <v>Green Pharmacy</v>
      </c>
      <c r="AM83" s="432" t="str">
        <f>IFERROR(INDEX('E-Banker master'!$E$2:$E$186,MATCH($AJ83,'E-Banker master'!$A$2:$A$186,0)),"")</f>
        <v>D</v>
      </c>
      <c r="AN83" s="433">
        <f>IFERROR(INDEX('E-Banker master'!$N$2:$N$186,MATCH($AJ83,'E-Banker master'!$A$2:$A$186,0)),"")</f>
        <v>22000000</v>
      </c>
      <c r="AO83" s="433">
        <f>IFERROR(INDEX('E-Banker master'!$O$2:$O$186,MATCH($AJ83,'E-Banker master'!$A$2:$A$186,0)),"")</f>
        <v>1735097.9</v>
      </c>
      <c r="AP83" s="433">
        <f>IFERROR(INDEX('E-Banker master'!$P$2:$P$186,MATCH($AJ83,'E-Banker master'!$A$2:$A$186,0)),"")</f>
        <v>24338392.329999998</v>
      </c>
      <c r="AQ83" s="433">
        <f t="shared" si="14"/>
        <v>-93188.431515891105</v>
      </c>
      <c r="AS83" s="444">
        <v>220000</v>
      </c>
      <c r="AT83" s="444">
        <v>406020</v>
      </c>
    </row>
    <row r="84" spans="1:46" x14ac:dyDescent="0.35">
      <c r="A84" s="35"/>
      <c r="B84" s="35"/>
      <c r="C84" s="35"/>
      <c r="D84" s="363">
        <v>80</v>
      </c>
      <c r="E84" s="168" t="s">
        <v>650</v>
      </c>
      <c r="F84" s="169" t="s">
        <v>178</v>
      </c>
      <c r="G84" s="170">
        <f>'Amortisation and Repayments'!C4235</f>
        <v>45217</v>
      </c>
      <c r="H84" s="170">
        <f>'Amortisation and Repayments'!D4283</f>
        <v>46691</v>
      </c>
      <c r="I84" s="171">
        <v>4</v>
      </c>
      <c r="J84" s="178" t="s">
        <v>792</v>
      </c>
      <c r="K84" s="172">
        <v>10</v>
      </c>
      <c r="L84" s="169">
        <v>150000000</v>
      </c>
      <c r="M84" s="173">
        <v>150000000</v>
      </c>
      <c r="N84" s="169">
        <f t="shared" si="16"/>
        <v>0</v>
      </c>
      <c r="O84" s="174">
        <f t="shared" si="17"/>
        <v>150000000</v>
      </c>
      <c r="P84" s="169">
        <f>SUM('Amortisation and Repayments'!H4235:H4247)</f>
        <v>15145313.852350507</v>
      </c>
      <c r="Q84" s="169">
        <f>-SUM('Amortisation and Repayments'!K4238:K4247)</f>
        <v>-28737764.5</v>
      </c>
      <c r="R84" s="262">
        <f t="shared" si="12"/>
        <v>136407549.3523505</v>
      </c>
      <c r="S84" s="176">
        <f>SUM('Amortisation and Repayments'!I4247:I4247)</f>
        <v>3124518.7213463234</v>
      </c>
      <c r="T84" s="176">
        <f>'Amortisation and Repayments'!L4247-'Loan Book'!S84</f>
        <v>1647047.7374753738</v>
      </c>
      <c r="U84" s="167">
        <f t="shared" si="15"/>
        <v>4771566.4588216972</v>
      </c>
      <c r="V84" s="181"/>
      <c r="W84" s="169">
        <f>'Amortisation and Repayments'!G4247</f>
        <v>4247522.901470283</v>
      </c>
      <c r="X84" s="169">
        <f>U84-W84</f>
        <v>524043.55735141411</v>
      </c>
      <c r="Y84" s="244"/>
      <c r="Z84" s="181"/>
      <c r="AJ84" s="434" t="str">
        <f>IFERROR(INDEX(Mapping!$J$2:$J$110,MATCH(84,Mapping!$A$2:$A$110,0)),"")</f>
        <v>000104460000079</v>
      </c>
      <c r="AK84" s="435" t="str">
        <f>IFERROR(INDEX(Mapping!$K$2:$K$110,MATCH(84,Mapping!$A$2:$A$110,0)),"")</f>
        <v>High</v>
      </c>
      <c r="AL84" s="432" t="str">
        <f>IFERROR(INDEX('E-Banker master'!$B$2:$B$186,MATCH($AJ84,'E-Banker master'!$A$2:$A$186,0)),"")</f>
        <v>Lilongwe Private Clinic</v>
      </c>
      <c r="AM84" s="432" t="str">
        <f>IFERROR(INDEX('E-Banker master'!$E$2:$E$186,MATCH($AJ84,'E-Banker master'!$A$2:$A$186,0)),"")</f>
        <v>A</v>
      </c>
      <c r="AN84" s="433">
        <f>IFERROR(INDEX('E-Banker master'!$N$2:$N$186,MATCH($AJ84,'E-Banker master'!$A$2:$A$186,0)),"")</f>
        <v>150000000</v>
      </c>
      <c r="AO84" s="433">
        <f>IFERROR(INDEX('E-Banker master'!$O$2:$O$186,MATCH($AJ84,'E-Banker master'!$A$2:$A$186,0)),"")</f>
        <v>11699047.310000001</v>
      </c>
      <c r="AP84" s="433">
        <f>IFERROR(INDEX('E-Banker master'!$P$2:$P$186,MATCH($AJ84,'E-Banker master'!$A$2:$A$186,0)),"")</f>
        <v>136451765.05000001</v>
      </c>
      <c r="AQ84" s="433">
        <f t="shared" si="14"/>
        <v>-44215.697649508715</v>
      </c>
      <c r="AS84" s="444">
        <v>1500000</v>
      </c>
      <c r="AT84" s="444">
        <v>2465500</v>
      </c>
    </row>
    <row r="85" spans="1:46" x14ac:dyDescent="0.35">
      <c r="A85" s="35"/>
      <c r="B85" s="35"/>
      <c r="C85" s="35"/>
      <c r="D85" s="363">
        <v>81</v>
      </c>
      <c r="E85" s="324" t="s">
        <v>651</v>
      </c>
      <c r="F85" s="169" t="s">
        <v>178</v>
      </c>
      <c r="G85" s="170">
        <f>'Amortisation and Repayments'!C4297</f>
        <v>45217</v>
      </c>
      <c r="H85" s="170">
        <f>'Amortisation and Repayments'!D4345</f>
        <v>46691</v>
      </c>
      <c r="I85" s="171">
        <v>4</v>
      </c>
      <c r="J85" s="178" t="s">
        <v>792</v>
      </c>
      <c r="K85" s="172">
        <v>10</v>
      </c>
      <c r="L85" s="169">
        <v>120000000</v>
      </c>
      <c r="M85" s="173">
        <v>120000000</v>
      </c>
      <c r="N85" s="169">
        <f t="shared" si="16"/>
        <v>0</v>
      </c>
      <c r="O85" s="174">
        <f t="shared" si="17"/>
        <v>120000000</v>
      </c>
      <c r="P85" s="169">
        <f>SUM('Amortisation and Repayments'!H4297:H4309)</f>
        <v>12116251.081880406</v>
      </c>
      <c r="Q85" s="169">
        <f>-SUM('Amortisation and Repayments'!K4297:K4309)</f>
        <v>-25800000</v>
      </c>
      <c r="R85" s="262">
        <f t="shared" si="12"/>
        <v>106316251.08188041</v>
      </c>
      <c r="S85" s="176">
        <f>'Amortisation and Repayments'!L4309-'Loan Book'!T85</f>
        <v>109061.42295818974</v>
      </c>
      <c r="T85" s="176">
        <f>'Amortisation and Repayments'!H4309</f>
        <v>898403.34409916762</v>
      </c>
      <c r="U85" s="167">
        <f t="shared" si="15"/>
        <v>1007464.7670573574</v>
      </c>
      <c r="V85" s="181"/>
      <c r="W85" s="169">
        <f>U85</f>
        <v>1007464.7670573574</v>
      </c>
      <c r="X85" s="169">
        <f>+U85-W85</f>
        <v>0</v>
      </c>
      <c r="Y85" s="244"/>
      <c r="Z85" s="181"/>
      <c r="AJ85" s="434" t="str">
        <f>IFERROR(INDEX(Mapping!$J$2:$J$110,MATCH(85,Mapping!$A$2:$A$110,0)),"")</f>
        <v>000104460000080</v>
      </c>
      <c r="AK85" s="435" t="str">
        <f>IFERROR(INDEX(Mapping!$K$2:$K$110,MATCH(85,Mapping!$A$2:$A$110,0)),"")</f>
        <v>High</v>
      </c>
      <c r="AL85" s="432" t="str">
        <f>IFERROR(INDEX('E-Banker master'!$B$2:$B$186,MATCH($AJ85,'E-Banker master'!$A$2:$A$186,0)),"")</f>
        <v>F&amp;K Construction</v>
      </c>
      <c r="AM85" s="432" t="str">
        <f>IFERROR(INDEX('E-Banker master'!$E$2:$E$186,MATCH($AJ85,'E-Banker master'!$A$2:$A$186,0)),"")</f>
        <v>A</v>
      </c>
      <c r="AN85" s="433">
        <f>IFERROR(INDEX('E-Banker master'!$N$2:$N$186,MATCH($AJ85,'E-Banker master'!$A$2:$A$186,0)),"")</f>
        <v>120000000</v>
      </c>
      <c r="AO85" s="433">
        <f>IFERROR(INDEX('E-Banker master'!$O$2:$O$186,MATCH($AJ85,'E-Banker master'!$A$2:$A$186,0)),"")</f>
        <v>9359237.8499999996</v>
      </c>
      <c r="AP85" s="433">
        <f>IFERROR(INDEX('E-Banker master'!$P$2:$P$186,MATCH($AJ85,'E-Banker master'!$A$2:$A$186,0)),"")</f>
        <v>106376318.79000001</v>
      </c>
      <c r="AQ85" s="433">
        <f t="shared" si="14"/>
        <v>-60067.708119601011</v>
      </c>
      <c r="AS85" s="444">
        <v>1200000</v>
      </c>
      <c r="AT85" s="444">
        <v>3522500</v>
      </c>
    </row>
    <row r="86" spans="1:46" x14ac:dyDescent="0.35">
      <c r="A86" s="35"/>
      <c r="B86" s="35"/>
      <c r="C86" s="35"/>
      <c r="D86" s="364">
        <v>82</v>
      </c>
      <c r="E86" s="324" t="s">
        <v>652</v>
      </c>
      <c r="F86" s="169" t="s">
        <v>178</v>
      </c>
      <c r="G86" s="170">
        <v>45252</v>
      </c>
      <c r="H86" s="170">
        <v>46356</v>
      </c>
      <c r="I86" s="171">
        <v>3</v>
      </c>
      <c r="J86" s="178" t="s">
        <v>796</v>
      </c>
      <c r="K86" s="172">
        <v>10</v>
      </c>
      <c r="L86" s="169">
        <v>60000000</v>
      </c>
      <c r="M86" s="173">
        <v>60000000</v>
      </c>
      <c r="N86" s="169">
        <f t="shared" si="16"/>
        <v>0</v>
      </c>
      <c r="O86" s="174">
        <f t="shared" si="17"/>
        <v>60000000</v>
      </c>
      <c r="P86" s="169">
        <f>SUM('Amortisation and Repayments'!H4362:H4373)</f>
        <v>5256762.8502473561</v>
      </c>
      <c r="Q86" s="169">
        <f>-SUM('Amortisation and Repayments'!K4362:K4373)</f>
        <v>-19842433</v>
      </c>
      <c r="R86" s="262">
        <f t="shared" si="12"/>
        <v>45414329.850247353</v>
      </c>
      <c r="S86" s="176">
        <v>0</v>
      </c>
      <c r="T86" s="176">
        <v>0</v>
      </c>
      <c r="U86" s="167">
        <f t="shared" si="15"/>
        <v>0</v>
      </c>
      <c r="V86" s="181"/>
      <c r="W86" s="169">
        <f>U86</f>
        <v>0</v>
      </c>
      <c r="X86" s="169">
        <v>0</v>
      </c>
      <c r="Y86" s="244"/>
      <c r="Z86" s="181"/>
      <c r="AJ86" s="434" t="str">
        <f>IFERROR(INDEX(Mapping!$J$2:$J$110,MATCH(86,Mapping!$A$2:$A$110,0)),"")</f>
        <v>000104460000081</v>
      </c>
      <c r="AK86" s="435" t="str">
        <f>IFERROR(INDEX(Mapping!$K$2:$K$110,MATCH(86,Mapping!$A$2:$A$110,0)),"")</f>
        <v>High</v>
      </c>
      <c r="AL86" s="432" t="str">
        <f>IFERROR(INDEX('E-Banker master'!$B$2:$B$186,MATCH($AJ86,'E-Banker master'!$A$2:$A$186,0)),"")</f>
        <v>Sanwecka Tech Companions</v>
      </c>
      <c r="AM86" s="432" t="str">
        <f>IFERROR(INDEX('E-Banker master'!$E$2:$E$186,MATCH($AJ86,'E-Banker master'!$A$2:$A$186,0)),"")</f>
        <v>A</v>
      </c>
      <c r="AN86" s="433">
        <f>IFERROR(INDEX('E-Banker master'!$N$2:$N$186,MATCH($AJ86,'E-Banker master'!$A$2:$A$186,0)),"")</f>
        <v>60000000</v>
      </c>
      <c r="AO86" s="433">
        <f>IFERROR(INDEX('E-Banker master'!$O$2:$O$186,MATCH($AJ86,'E-Banker master'!$A$2:$A$186,0)),"")</f>
        <v>3999964.57</v>
      </c>
      <c r="AP86" s="433">
        <f>IFERROR(INDEX('E-Banker master'!$P$2:$P$186,MATCH($AJ86,'E-Banker master'!$A$2:$A$186,0)),"")</f>
        <v>45402003.850000001</v>
      </c>
      <c r="AQ86" s="433">
        <f t="shared" si="14"/>
        <v>12326.000247351825</v>
      </c>
      <c r="AS86" s="444">
        <v>600000</v>
      </c>
      <c r="AT86" s="444">
        <v>1010000</v>
      </c>
    </row>
    <row r="87" spans="1:46" ht="12.65" customHeight="1" x14ac:dyDescent="0.35">
      <c r="A87" s="35"/>
      <c r="B87" s="35"/>
      <c r="C87" s="35"/>
      <c r="D87" s="363">
        <v>83</v>
      </c>
      <c r="E87" s="324" t="s">
        <v>801</v>
      </c>
      <c r="F87" s="169" t="s">
        <v>178</v>
      </c>
      <c r="G87" s="170">
        <f>'Amortisation and Repayments'!C4415</f>
        <v>45261</v>
      </c>
      <c r="H87" s="170">
        <f>'Amortisation and Repayments'!D4426</f>
        <v>45626</v>
      </c>
      <c r="I87" s="171">
        <v>1</v>
      </c>
      <c r="J87" s="178">
        <v>0</v>
      </c>
      <c r="K87" s="172">
        <v>10</v>
      </c>
      <c r="L87" s="169">
        <v>30000000</v>
      </c>
      <c r="M87" s="173">
        <v>30000000</v>
      </c>
      <c r="N87" s="169">
        <f t="shared" si="16"/>
        <v>0</v>
      </c>
      <c r="O87" s="174">
        <f t="shared" si="17"/>
        <v>30000000</v>
      </c>
      <c r="P87" s="169">
        <f>SUM('Amortisation and Repayments'!H4415:H4425)</f>
        <v>1627922.0753910523</v>
      </c>
      <c r="Q87" s="169">
        <f>-SUM('Amortisation and Repayments'!K4415:K4425)</f>
        <v>0</v>
      </c>
      <c r="R87" s="262">
        <f t="shared" si="12"/>
        <v>31627922.075391054</v>
      </c>
      <c r="S87" s="176"/>
      <c r="T87" s="176"/>
      <c r="U87" s="167">
        <f t="shared" si="15"/>
        <v>0</v>
      </c>
      <c r="V87" s="181"/>
      <c r="W87" s="169"/>
      <c r="X87" s="169"/>
      <c r="Y87" s="244"/>
      <c r="Z87" s="181"/>
      <c r="AJ87" s="434" t="str">
        <f>IFERROR(INDEX(Mapping!$J$2:$J$110,MATCH(87,Mapping!$A$2:$A$110,0)),"")</f>
        <v>000104450000060</v>
      </c>
      <c r="AK87" s="435" t="str">
        <f>IFERROR(INDEX(Mapping!$K$2:$K$110,MATCH(87,Mapping!$A$2:$A$110,0)),"")</f>
        <v>High</v>
      </c>
      <c r="AL87" s="432" t="str">
        <f>IFERROR(INDEX('E-Banker master'!$B$2:$B$186,MATCH($AJ87,'E-Banker master'!$A$2:$A$186,0)),"")</f>
        <v>Chuma Mkandawire TA Chikoma Estates</v>
      </c>
      <c r="AM87" s="432" t="str">
        <f>IFERROR(INDEX('E-Banker master'!$E$2:$E$186,MATCH($AJ87,'E-Banker master'!$A$2:$A$186,0)),"")</f>
        <v>H</v>
      </c>
      <c r="AN87" s="433">
        <f>IFERROR(INDEX('E-Banker master'!$N$2:$N$186,MATCH($AJ87,'E-Banker master'!$A$2:$A$186,0)),"")</f>
        <v>30000000</v>
      </c>
      <c r="AO87" s="433">
        <f>IFERROR(INDEX('E-Banker master'!$O$2:$O$186,MATCH($AJ87,'E-Banker master'!$A$2:$A$186,0)),"")</f>
        <v>1433540.13</v>
      </c>
      <c r="AP87" s="433">
        <f>IFERROR(INDEX('E-Banker master'!$P$2:$P$186,MATCH($AJ87,'E-Banker master'!$A$2:$A$186,0)),"")</f>
        <v>32232512.18</v>
      </c>
      <c r="AQ87" s="433">
        <f t="shared" si="14"/>
        <v>-604590.10460894555</v>
      </c>
      <c r="AS87" s="444">
        <v>300000</v>
      </c>
      <c r="AT87" s="444">
        <v>534800</v>
      </c>
    </row>
    <row r="88" spans="1:46" x14ac:dyDescent="0.35">
      <c r="A88" s="35"/>
      <c r="B88" s="35"/>
      <c r="C88" s="35"/>
      <c r="D88" s="385">
        <v>84</v>
      </c>
      <c r="E88" s="168" t="s">
        <v>802</v>
      </c>
      <c r="F88" s="169" t="s">
        <v>178</v>
      </c>
      <c r="G88" s="170">
        <f>'Amortisation and Repayments'!C4443</f>
        <v>45288</v>
      </c>
      <c r="H88" s="170">
        <f>'Amortisation and Repayments'!D4491</f>
        <v>46752</v>
      </c>
      <c r="I88" s="171">
        <v>4</v>
      </c>
      <c r="J88" s="178" t="s">
        <v>792</v>
      </c>
      <c r="K88" s="172">
        <v>10</v>
      </c>
      <c r="L88" s="169">
        <v>120000000</v>
      </c>
      <c r="M88" s="173">
        <f>+L88</f>
        <v>120000000</v>
      </c>
      <c r="N88" s="169">
        <v>0</v>
      </c>
      <c r="O88" s="169">
        <f t="shared" ref="O88:O100" si="18">+M88</f>
        <v>120000000</v>
      </c>
      <c r="P88" s="169">
        <f>SUM('Amortisation and Repayments'!H4443:H4453)</f>
        <v>9976205.7735471632</v>
      </c>
      <c r="Q88" s="169">
        <f>-SUM('Amortisation and Repayments'!K4443:K4453)</f>
        <v>-9355745</v>
      </c>
      <c r="R88" s="173">
        <f t="shared" si="12"/>
        <v>120620460.77354716</v>
      </c>
      <c r="S88" s="176">
        <f>SUM('Amortisation and Repayments'!I4450:I4453)</f>
        <v>9712641.7047061268</v>
      </c>
      <c r="T88" s="176">
        <f>'Amortisation and Repayments'!L4453-'Loan Book'!S88</f>
        <v>620460.77354716696</v>
      </c>
      <c r="U88" s="167">
        <f t="shared" si="15"/>
        <v>10333102.478253294</v>
      </c>
      <c r="V88" s="181"/>
      <c r="W88" s="169">
        <f>'Amortisation and Repayments'!G4453</f>
        <v>3398018.3211762263</v>
      </c>
      <c r="X88" s="169">
        <f>U88-W88</f>
        <v>6935084.1570770675</v>
      </c>
      <c r="Y88" s="244">
        <f>U88-W88-X88</f>
        <v>0</v>
      </c>
      <c r="Z88" s="181"/>
      <c r="AJ88" s="434" t="str">
        <f>IFERROR(INDEX(Mapping!$J$2:$J$110,MATCH(88,Mapping!$A$2:$A$110,0)),"")</f>
        <v>000104460000083</v>
      </c>
      <c r="AK88" s="435" t="str">
        <f>IFERROR(INDEX(Mapping!$K$2:$K$110,MATCH(88,Mapping!$A$2:$A$110,0)),"")</f>
        <v>High</v>
      </c>
      <c r="AL88" s="434" t="str">
        <f>IFERROR(INDEX('E-Banker master'!$B$2:$B$186,MATCH($AJ88,'E-Banker master'!$A$2:$A$186,0)),"")</f>
        <v>Dr Print</v>
      </c>
      <c r="AM88" s="432" t="str">
        <f>IFERROR(INDEX('E-Banker master'!$E$2:$E$186,MATCH($AJ88,'E-Banker master'!$A$2:$A$186,0)),"")</f>
        <v>A</v>
      </c>
      <c r="AN88" s="433">
        <f>IFERROR(INDEX('E-Banker master'!$N$2:$N$186,MATCH($AJ88,'E-Banker master'!$A$2:$A$186,0)),"")</f>
        <v>120000000</v>
      </c>
      <c r="AO88" s="433">
        <f>IFERROR(INDEX('E-Banker master'!$O$2:$O$186,MATCH($AJ88,'E-Banker master'!$A$2:$A$186,0)),"")</f>
        <v>7096774.1900000004</v>
      </c>
      <c r="AP88" s="433">
        <f>IFERROR(INDEX('E-Banker master'!$P$2:$P$186,MATCH($AJ88,'E-Banker master'!$A$2:$A$186,0)),"")</f>
        <v>120829331.66</v>
      </c>
      <c r="AQ88" s="433">
        <f t="shared" si="14"/>
        <v>-208870.88645283878</v>
      </c>
      <c r="AS88" s="444">
        <v>1200000</v>
      </c>
      <c r="AT88" s="444">
        <v>1262500</v>
      </c>
    </row>
    <row r="89" spans="1:46" x14ac:dyDescent="0.35">
      <c r="A89" s="35"/>
      <c r="B89" s="35"/>
      <c r="C89" s="35"/>
      <c r="D89" s="364">
        <v>85</v>
      </c>
      <c r="E89" s="324" t="s">
        <v>623</v>
      </c>
      <c r="F89" s="169" t="s">
        <v>178</v>
      </c>
      <c r="G89" s="170">
        <f>'Amortisation and Repayments'!C4509</f>
        <v>45273</v>
      </c>
      <c r="H89" s="170">
        <f>'Amortisation and Repayments'!D4533</f>
        <v>46022</v>
      </c>
      <c r="I89" s="171">
        <v>2</v>
      </c>
      <c r="J89" s="178" t="s">
        <v>796</v>
      </c>
      <c r="K89" s="172">
        <v>10</v>
      </c>
      <c r="L89" s="169">
        <v>10000000</v>
      </c>
      <c r="M89" s="173">
        <v>10000000</v>
      </c>
      <c r="N89" s="169">
        <v>0</v>
      </c>
      <c r="O89" s="174">
        <f t="shared" si="18"/>
        <v>10000000</v>
      </c>
      <c r="P89" s="169">
        <f>SUM('Amortisation and Repayments'!H4509:H4519)</f>
        <v>804047.53584399458</v>
      </c>
      <c r="Q89" s="169">
        <f>-SUM('Amortisation and Repayments'!K4509:K4519)</f>
        <v>-2905000</v>
      </c>
      <c r="R89" s="262">
        <f t="shared" ref="R89:R108" si="19">SUM(O89:Q89)</f>
        <v>7899047.5358439945</v>
      </c>
      <c r="S89" s="176">
        <f>SUM('Amortisation and Repayments'!I4519:I4519)</f>
        <v>460061.61405626661</v>
      </c>
      <c r="T89" s="176">
        <f>'Amortisation and Repayments'!L4519-'Loan Book'!S89</f>
        <v>580662.57074270165</v>
      </c>
      <c r="U89" s="167">
        <f t="shared" si="15"/>
        <v>1040724.1847989683</v>
      </c>
      <c r="V89" s="181"/>
      <c r="W89" s="169">
        <f>'Amortisation and Repayments'!G4519</f>
        <v>521048.15543211071</v>
      </c>
      <c r="X89" s="169">
        <f>+U89-W89</f>
        <v>519676.02936685755</v>
      </c>
      <c r="Y89" s="244"/>
      <c r="Z89" s="181"/>
      <c r="AJ89" s="434" t="str">
        <f>IFERROR(INDEX(Mapping!$J$2:$J$110,MATCH(89,Mapping!$A$2:$A$110,0)),"")</f>
        <v>000104450000084</v>
      </c>
      <c r="AK89" s="435" t="str">
        <f>IFERROR(INDEX(Mapping!$K$2:$K$110,MATCH(89,Mapping!$A$2:$A$110,0)),"")</f>
        <v>High</v>
      </c>
      <c r="AL89" s="432" t="str">
        <f>IFERROR(INDEX('E-Banker master'!$B$2:$B$186,MATCH($AJ89,'E-Banker master'!$A$2:$A$186,0)),"")</f>
        <v>Ziweto Zathanzi Veterinary Shop</v>
      </c>
      <c r="AM89" s="432" t="str">
        <f>IFERROR(INDEX('E-Banker master'!$E$2:$E$186,MATCH($AJ89,'E-Banker master'!$A$2:$A$186,0)),"")</f>
        <v>A</v>
      </c>
      <c r="AN89" s="433">
        <f>IFERROR(INDEX('E-Banker master'!$N$2:$N$186,MATCH($AJ89,'E-Banker master'!$A$2:$A$186,0)),"")</f>
        <v>10000000</v>
      </c>
      <c r="AO89" s="433">
        <f>IFERROR(INDEX('E-Banker master'!$O$2:$O$186,MATCH($AJ89,'E-Banker master'!$A$2:$A$186,0)),"")</f>
        <v>609712.85</v>
      </c>
      <c r="AP89" s="433">
        <f>IFERROR(INDEX('E-Banker master'!$P$2:$P$186,MATCH($AJ89,'E-Banker master'!$A$2:$A$186,0)),"")</f>
        <v>7917794.6699999999</v>
      </c>
      <c r="AQ89" s="433">
        <f t="shared" si="14"/>
        <v>-18747.134156005457</v>
      </c>
      <c r="AS89" s="444">
        <v>400000</v>
      </c>
      <c r="AT89" s="444">
        <v>151600</v>
      </c>
    </row>
    <row r="90" spans="1:46" x14ac:dyDescent="0.35">
      <c r="A90" s="35"/>
      <c r="B90" s="35"/>
      <c r="C90" s="35"/>
      <c r="D90" s="363">
        <v>86</v>
      </c>
      <c r="E90" s="324" t="s">
        <v>181</v>
      </c>
      <c r="F90" s="169" t="s">
        <v>178</v>
      </c>
      <c r="G90" s="170">
        <f>'Amortisation and Repayments'!C4550</f>
        <v>45317</v>
      </c>
      <c r="H90" s="170">
        <f>'Amortisation and Repayments'!D4586</f>
        <v>46418</v>
      </c>
      <c r="I90" s="171">
        <v>3</v>
      </c>
      <c r="J90" s="178" t="s">
        <v>803</v>
      </c>
      <c r="K90" s="172">
        <v>10</v>
      </c>
      <c r="L90" s="169">
        <f>'Amortisation and Repayments'!D4541</f>
        <v>144500000</v>
      </c>
      <c r="M90" s="173">
        <f t="shared" ref="M90:M98" si="20">+L90</f>
        <v>144500000</v>
      </c>
      <c r="N90" s="169">
        <v>0</v>
      </c>
      <c r="O90" s="174">
        <f t="shared" si="18"/>
        <v>144500000</v>
      </c>
      <c r="P90" s="169">
        <f>SUM('Amortisation and Repayments'!H4550:H4559)</f>
        <v>11415144.918869639</v>
      </c>
      <c r="Q90" s="169">
        <f>-SUM('Amortisation and Repayments'!K4550:K4559)</f>
        <v>0</v>
      </c>
      <c r="R90" s="262">
        <f t="shared" si="19"/>
        <v>155915144.91886964</v>
      </c>
      <c r="S90" s="176"/>
      <c r="T90" s="176"/>
      <c r="U90" s="167">
        <f t="shared" si="15"/>
        <v>0</v>
      </c>
      <c r="V90" s="181"/>
      <c r="W90" s="169"/>
      <c r="X90" s="169"/>
      <c r="Y90" s="244"/>
      <c r="Z90" s="181"/>
      <c r="AJ90" s="434" t="str">
        <f>IFERROR(INDEX(Mapping!$J$2:$J$110,MATCH(90,Mapping!$A$2:$A$110,0)),"")</f>
        <v>000104450000085</v>
      </c>
      <c r="AK90" s="435" t="str">
        <f>IFERROR(INDEX(Mapping!$K$2:$K$110,MATCH(90,Mapping!$A$2:$A$110,0)),"")</f>
        <v>High</v>
      </c>
      <c r="AL90" s="432" t="str">
        <f>IFERROR(INDEX('E-Banker master'!$B$2:$B$186,MATCH($AJ90,'E-Banker master'!$A$2:$A$186,0)),"")</f>
        <v>MMC Limited</v>
      </c>
      <c r="AM90" s="432" t="str">
        <f>IFERROR(INDEX('E-Banker master'!$E$2:$E$186,MATCH($AJ90,'E-Banker master'!$A$2:$A$186,0)),"")</f>
        <v>A</v>
      </c>
      <c r="AN90" s="433">
        <f>IFERROR(INDEX('E-Banker master'!$N$2:$N$186,MATCH($AJ90,'E-Banker master'!$A$2:$A$186,0)),"")</f>
        <v>144500000</v>
      </c>
      <c r="AO90" s="433">
        <f>IFERROR(INDEX('E-Banker master'!$O$2:$O$186,MATCH($AJ90,'E-Banker master'!$A$2:$A$186,0)),"")</f>
        <v>7581339.7999999998</v>
      </c>
      <c r="AP90" s="433">
        <f>IFERROR(INDEX('E-Banker master'!$P$2:$P$186,MATCH($AJ90,'E-Banker master'!$A$2:$A$186,0)),"")</f>
        <v>155946915.83000001</v>
      </c>
      <c r="AQ90" s="433">
        <f t="shared" si="14"/>
        <v>-31770.91113036871</v>
      </c>
      <c r="AS90" s="444">
        <v>1445000</v>
      </c>
      <c r="AT90" s="444">
        <v>2386500</v>
      </c>
    </row>
    <row r="91" spans="1:46" x14ac:dyDescent="0.35">
      <c r="A91" s="35"/>
      <c r="B91" s="35"/>
      <c r="C91" s="35"/>
      <c r="D91" s="363">
        <v>87</v>
      </c>
      <c r="E91" s="168" t="s">
        <v>624</v>
      </c>
      <c r="F91" s="169" t="s">
        <v>178</v>
      </c>
      <c r="G91" s="170">
        <f>'Amortisation and Repayments'!C4551</f>
        <v>45323</v>
      </c>
      <c r="H91" s="170">
        <f>'Amortisation and Repayments'!D4661</f>
        <v>47149</v>
      </c>
      <c r="I91" s="171">
        <v>5</v>
      </c>
      <c r="J91" s="178" t="s">
        <v>804</v>
      </c>
      <c r="K91" s="172">
        <v>10</v>
      </c>
      <c r="L91" s="169">
        <f>'Amortisation and Repayments'!F4602</f>
        <v>350660000</v>
      </c>
      <c r="M91" s="173">
        <f t="shared" si="20"/>
        <v>350660000</v>
      </c>
      <c r="N91" s="169"/>
      <c r="O91" s="311">
        <f t="shared" si="18"/>
        <v>350660000</v>
      </c>
      <c r="P91" s="169">
        <f>SUM('Amortisation and Repayments'!H4602:H4610)</f>
        <v>27193410.83239698</v>
      </c>
      <c r="Q91" s="169">
        <f>-SUM('Amortisation and Repayments'!K4602:K4610)</f>
        <v>0</v>
      </c>
      <c r="R91" s="262">
        <f t="shared" si="19"/>
        <v>377853410.83239698</v>
      </c>
      <c r="S91" s="176"/>
      <c r="T91" s="176"/>
      <c r="U91" s="167">
        <f t="shared" si="15"/>
        <v>0</v>
      </c>
      <c r="V91" s="181"/>
      <c r="W91" s="169"/>
      <c r="X91" s="169"/>
      <c r="Y91" s="244"/>
      <c r="Z91" s="181"/>
      <c r="AJ91" s="434" t="str">
        <f>IFERROR(INDEX(Mapping!$J$2:$J$110,MATCH(91,Mapping!$A$2:$A$110,0)),"")</f>
        <v>000104450000086</v>
      </c>
      <c r="AK91" s="435" t="str">
        <f>IFERROR(INDEX(Mapping!$K$2:$K$110,MATCH(91,Mapping!$A$2:$A$110,0)),"")</f>
        <v>High</v>
      </c>
      <c r="AL91" s="432" t="str">
        <f>IFERROR(INDEX('E-Banker master'!$B$2:$B$186,MATCH($AJ91,'E-Banker master'!$A$2:$A$186,0)),"")</f>
        <v>Chambaika Milling Company</v>
      </c>
      <c r="AM91" s="432" t="str">
        <f>IFERROR(INDEX('E-Banker master'!$E$2:$E$186,MATCH($AJ91,'E-Banker master'!$A$2:$A$186,0)),"")</f>
        <v>A</v>
      </c>
      <c r="AN91" s="433">
        <f>IFERROR(INDEX('E-Banker master'!$N$2:$N$186,MATCH($AJ91,'E-Banker master'!$A$2:$A$186,0)),"")</f>
        <v>350660000</v>
      </c>
      <c r="AO91" s="433">
        <f>IFERROR(INDEX('E-Banker master'!$O$2:$O$186,MATCH($AJ91,'E-Banker master'!$A$2:$A$186,0)),"")</f>
        <v>17902354.850000001</v>
      </c>
      <c r="AP91" s="433">
        <f>IFERROR(INDEX('E-Banker master'!$P$2:$P$186,MATCH($AJ91,'E-Banker master'!$A$2:$A$186,0)),"")</f>
        <v>377930406.22000003</v>
      </c>
      <c r="AQ91" s="433">
        <f t="shared" si="14"/>
        <v>-76995.38760304451</v>
      </c>
      <c r="AS91" s="444">
        <v>14026400</v>
      </c>
      <c r="AT91" s="444">
        <v>7810086</v>
      </c>
    </row>
    <row r="92" spans="1:46" x14ac:dyDescent="0.35">
      <c r="A92" s="35"/>
      <c r="B92" s="35"/>
      <c r="C92" s="35"/>
      <c r="D92" s="364">
        <v>88</v>
      </c>
      <c r="E92" s="324" t="s">
        <v>654</v>
      </c>
      <c r="F92" s="169" t="s">
        <v>178</v>
      </c>
      <c r="G92" s="170">
        <f>'Amortisation and Repayments'!C4678</f>
        <v>45323</v>
      </c>
      <c r="H92" s="170">
        <f>'Amortisation and Repayments'!D4725</f>
        <v>46783</v>
      </c>
      <c r="I92" s="171">
        <v>4</v>
      </c>
      <c r="J92" s="178" t="s">
        <v>792</v>
      </c>
      <c r="K92" s="172">
        <v>10</v>
      </c>
      <c r="L92" s="169">
        <f>'Amortisation and Repayments'!F4678</f>
        <v>200000000</v>
      </c>
      <c r="M92" s="173">
        <f t="shared" si="20"/>
        <v>200000000</v>
      </c>
      <c r="N92" s="169"/>
      <c r="O92" s="174">
        <f t="shared" si="18"/>
        <v>200000000</v>
      </c>
      <c r="P92" s="169">
        <f>SUM('Amortisation and Repayments'!H4678:H4686)</f>
        <v>14899805.021532662</v>
      </c>
      <c r="Q92" s="169">
        <f>-SUM('Amortisation and Repayments'!K4678:K4686)</f>
        <v>-15663001</v>
      </c>
      <c r="R92" s="262">
        <f t="shared" si="19"/>
        <v>199236804.02153265</v>
      </c>
      <c r="S92" s="176">
        <f>SUM('Amortisation and Repayments'!I4685:I4686)</f>
        <v>8093589.3825098872</v>
      </c>
      <c r="T92" s="176">
        <f>'Amortisation and Repayments'!L4686-'Loan Book'!S92</f>
        <v>3233501.2235539351</v>
      </c>
      <c r="U92" s="167">
        <f t="shared" si="15"/>
        <v>11327090.606063822</v>
      </c>
      <c r="V92" s="181"/>
      <c r="W92" s="169">
        <f>'Amortisation and Repayments'!G4686</f>
        <v>5663363.8686879408</v>
      </c>
      <c r="X92" s="169">
        <f>U92-W92</f>
        <v>5663726.7373758815</v>
      </c>
      <c r="Y92" s="244"/>
      <c r="Z92" s="181"/>
      <c r="AJ92" s="434" t="str">
        <f>IFERROR(INDEX(Mapping!$J$2:$J$110,MATCH(92,Mapping!$A$2:$A$110,0)),"")</f>
        <v>000104460000087</v>
      </c>
      <c r="AK92" s="435" t="str">
        <f>IFERROR(INDEX(Mapping!$K$2:$K$110,MATCH(92,Mapping!$A$2:$A$110,0)),"")</f>
        <v>High</v>
      </c>
      <c r="AL92" s="432" t="str">
        <f>IFERROR(INDEX('E-Banker master'!$B$2:$B$186,MATCH($AJ92,'E-Banker master'!$A$2:$A$186,0)),"")</f>
        <v>Kings Foundationn Schools</v>
      </c>
      <c r="AM92" s="432" t="str">
        <f>IFERROR(INDEX('E-Banker master'!$E$2:$E$186,MATCH($AJ92,'E-Banker master'!$A$2:$A$186,0)),"")</f>
        <v>A</v>
      </c>
      <c r="AN92" s="433">
        <f>IFERROR(INDEX('E-Banker master'!$N$2:$N$186,MATCH($AJ92,'E-Banker master'!$A$2:$A$186,0)),"")</f>
        <v>200000000</v>
      </c>
      <c r="AO92" s="433">
        <f>IFERROR(INDEX('E-Banker master'!$O$2:$O$186,MATCH($AJ92,'E-Banker master'!$A$2:$A$186,0)),"")</f>
        <v>10000000</v>
      </c>
      <c r="AP92" s="433">
        <f>IFERROR(INDEX('E-Banker master'!$P$2:$P$186,MATCH($AJ92,'E-Banker master'!$A$2:$A$186,0)),"")</f>
        <v>199386933.16</v>
      </c>
      <c r="AQ92" s="433">
        <f t="shared" si="14"/>
        <v>-150129.13846734166</v>
      </c>
      <c r="AS92" s="444">
        <v>2000000</v>
      </c>
      <c r="AT92" s="444">
        <v>2070500</v>
      </c>
    </row>
    <row r="93" spans="1:46" x14ac:dyDescent="0.35">
      <c r="A93" s="35"/>
      <c r="B93" s="35"/>
      <c r="C93" s="35"/>
      <c r="D93" s="363">
        <v>89</v>
      </c>
      <c r="E93" s="168" t="s">
        <v>655</v>
      </c>
      <c r="F93" s="169" t="s">
        <v>178</v>
      </c>
      <c r="G93" s="170">
        <f>'Amortisation and Repayments'!C4742</f>
        <v>45323</v>
      </c>
      <c r="H93" s="170">
        <f>'Amortisation and Repayments'!D4765</f>
        <v>46053</v>
      </c>
      <c r="I93" s="171">
        <v>2</v>
      </c>
      <c r="J93" s="178" t="s">
        <v>779</v>
      </c>
      <c r="K93" s="172">
        <v>10</v>
      </c>
      <c r="L93" s="169">
        <f>'Amortisation and Repayments'!F4742</f>
        <v>17000000</v>
      </c>
      <c r="M93" s="173">
        <f t="shared" si="20"/>
        <v>17000000</v>
      </c>
      <c r="N93" s="169"/>
      <c r="O93" s="174">
        <f t="shared" si="18"/>
        <v>17000000</v>
      </c>
      <c r="P93" s="169">
        <f>SUM('Amortisation and Repayments'!H4742:H4750)</f>
        <v>1203553.6975019837</v>
      </c>
      <c r="Q93" s="169">
        <f>-SUM('Amortisation and Repayments'!K4742:K4750)</f>
        <v>-5448668.7599999998</v>
      </c>
      <c r="R93" s="262">
        <f t="shared" si="19"/>
        <v>12754884.937501984</v>
      </c>
      <c r="S93" s="176">
        <v>0</v>
      </c>
      <c r="T93" s="176">
        <v>0</v>
      </c>
      <c r="U93" s="167">
        <f t="shared" si="15"/>
        <v>0</v>
      </c>
      <c r="V93" s="181"/>
      <c r="W93" s="169">
        <f>U93</f>
        <v>0</v>
      </c>
      <c r="X93" s="169"/>
      <c r="Y93" s="244"/>
      <c r="Z93" s="181"/>
      <c r="AJ93" s="434" t="str">
        <f>IFERROR(INDEX(Mapping!$J$2:$J$110,MATCH(93,Mapping!$A$2:$A$110,0)),"")</f>
        <v>000104460000088</v>
      </c>
      <c r="AK93" s="435" t="str">
        <f>IFERROR(INDEX(Mapping!$K$2:$K$110,MATCH(93,Mapping!$A$2:$A$110,0)),"")</f>
        <v>High</v>
      </c>
      <c r="AL93" s="432" t="str">
        <f>IFERROR(INDEX('E-Banker master'!$B$2:$B$186,MATCH($AJ93,'E-Banker master'!$A$2:$A$186,0)),"")</f>
        <v>Malasha Briquettes Limited</v>
      </c>
      <c r="AM93" s="432" t="str">
        <f>IFERROR(INDEX('E-Banker master'!$E$2:$E$186,MATCH($AJ93,'E-Banker master'!$A$2:$A$186,0)),"")</f>
        <v>A</v>
      </c>
      <c r="AN93" s="433">
        <f>IFERROR(INDEX('E-Banker master'!$N$2:$N$186,MATCH($AJ93,'E-Banker master'!$A$2:$A$186,0)),"")</f>
        <v>17000000</v>
      </c>
      <c r="AO93" s="433">
        <f>IFERROR(INDEX('E-Banker master'!$O$2:$O$186,MATCH($AJ93,'E-Banker master'!$A$2:$A$186,0)),"")</f>
        <v>845140.47999999998</v>
      </c>
      <c r="AP93" s="433">
        <f>IFERROR(INDEX('E-Banker master'!$P$2:$P$186,MATCH($AJ93,'E-Banker master'!$A$2:$A$186,0)),"")</f>
        <v>12758872.960000001</v>
      </c>
      <c r="AQ93" s="433">
        <f t="shared" si="14"/>
        <v>-3988.022498017177</v>
      </c>
      <c r="AS93" s="444">
        <v>170000</v>
      </c>
      <c r="AT93" s="444">
        <v>324720</v>
      </c>
    </row>
    <row r="94" spans="1:46" x14ac:dyDescent="0.35">
      <c r="A94" s="35"/>
      <c r="B94" s="35"/>
      <c r="C94" s="35"/>
      <c r="D94" s="363">
        <v>90</v>
      </c>
      <c r="E94" s="168" t="s">
        <v>656</v>
      </c>
      <c r="F94" s="169" t="s">
        <v>178</v>
      </c>
      <c r="G94" s="170">
        <f>'Amortisation and Repayments'!C4780</f>
        <v>45342</v>
      </c>
      <c r="H94" s="170">
        <f>'Amortisation and Repayments'!D4827</f>
        <v>46783</v>
      </c>
      <c r="I94" s="171">
        <v>4</v>
      </c>
      <c r="J94" s="178" t="s">
        <v>792</v>
      </c>
      <c r="K94" s="172">
        <v>10</v>
      </c>
      <c r="L94" s="169">
        <f>'Amortisation and Repayments'!F4780</f>
        <v>150000000</v>
      </c>
      <c r="M94" s="173">
        <f t="shared" si="20"/>
        <v>150000000</v>
      </c>
      <c r="N94" s="169"/>
      <c r="O94" s="174">
        <f t="shared" si="18"/>
        <v>150000000</v>
      </c>
      <c r="P94" s="169">
        <f>SUM('Amortisation and Repayments'!H4780:H4788)</f>
        <v>10573130.123877462</v>
      </c>
      <c r="Q94" s="169">
        <f>-SUM('Amortisation and Repayments'!K4780:K4788)</f>
        <v>-13317000</v>
      </c>
      <c r="R94" s="262">
        <f t="shared" si="19"/>
        <v>147256130.12387747</v>
      </c>
      <c r="S94" s="176">
        <v>0</v>
      </c>
      <c r="T94" s="176">
        <v>0</v>
      </c>
      <c r="U94" s="167">
        <f t="shared" si="15"/>
        <v>0</v>
      </c>
      <c r="V94" s="181"/>
      <c r="W94" s="169">
        <f>+U94</f>
        <v>0</v>
      </c>
      <c r="X94" s="169"/>
      <c r="Y94" s="244"/>
      <c r="Z94" s="181"/>
      <c r="AJ94" s="434" t="str">
        <f>IFERROR(INDEX(Mapping!$J$2:$J$110,MATCH(94,Mapping!$A$2:$A$110,0)),"")</f>
        <v>000104460000089</v>
      </c>
      <c r="AK94" s="435" t="str">
        <f>IFERROR(INDEX(Mapping!$K$2:$K$110,MATCH(94,Mapping!$A$2:$A$110,0)),"")</f>
        <v>High</v>
      </c>
      <c r="AL94" s="432" t="str">
        <f>IFERROR(INDEX('E-Banker master'!$B$2:$B$186,MATCH($AJ94,'E-Banker master'!$A$2:$A$186,0)),"")</f>
        <v>Lehome Investment Limited</v>
      </c>
      <c r="AM94" s="432" t="str">
        <f>IFERROR(INDEX('E-Banker master'!$E$2:$E$186,MATCH($AJ94,'E-Banker master'!$A$2:$A$186,0)),"")</f>
        <v>A</v>
      </c>
      <c r="AN94" s="433">
        <f>IFERROR(INDEX('E-Banker master'!$N$2:$N$186,MATCH($AJ94,'E-Banker master'!$A$2:$A$186,0)),"")</f>
        <v>150000000</v>
      </c>
      <c r="AO94" s="433">
        <f>IFERROR(INDEX('E-Banker master'!$O$2:$O$186,MATCH($AJ94,'E-Banker master'!$A$2:$A$186,0)),"")</f>
        <v>6733316.6600000001</v>
      </c>
      <c r="AP94" s="433">
        <f>IFERROR(INDEX('E-Banker master'!$P$2:$P$186,MATCH($AJ94,'E-Banker master'!$A$2:$A$186,0)),"")</f>
        <v>147295308.09</v>
      </c>
      <c r="AQ94" s="433">
        <f t="shared" si="14"/>
        <v>-39177.966122537851</v>
      </c>
      <c r="AS94" s="444">
        <v>1500000</v>
      </c>
      <c r="AT94" s="444">
        <v>2474500</v>
      </c>
    </row>
    <row r="95" spans="1:46" x14ac:dyDescent="0.35">
      <c r="A95" s="35"/>
      <c r="B95" s="35"/>
      <c r="C95" s="35"/>
      <c r="D95" s="364">
        <v>91</v>
      </c>
      <c r="E95" s="168" t="s">
        <v>612</v>
      </c>
      <c r="F95" s="169" t="s">
        <v>178</v>
      </c>
      <c r="G95" s="170">
        <f>'Amortisation and Repayments'!C4845</f>
        <v>45330</v>
      </c>
      <c r="H95" s="170">
        <f>'Amortisation and Repayments'!D4892</f>
        <v>46783</v>
      </c>
      <c r="I95" s="171">
        <v>4</v>
      </c>
      <c r="J95" s="178" t="s">
        <v>792</v>
      </c>
      <c r="K95" s="172">
        <v>10</v>
      </c>
      <c r="L95" s="169">
        <f>'Amortisation and Repayments'!F4845</f>
        <v>130000000</v>
      </c>
      <c r="M95" s="173">
        <f t="shared" si="20"/>
        <v>130000000</v>
      </c>
      <c r="N95" s="169"/>
      <c r="O95" s="174">
        <f t="shared" si="18"/>
        <v>130000000</v>
      </c>
      <c r="P95" s="169">
        <f>SUM('Amortisation and Repayments'!H4845:H4853)</f>
        <v>9401138.183915168</v>
      </c>
      <c r="Q95" s="169">
        <f>-SUM('Amortisation and Repayments'!K4850:K4853)</f>
        <v>-14601400</v>
      </c>
      <c r="R95" s="262">
        <f t="shared" si="19"/>
        <v>124799738.18391517</v>
      </c>
      <c r="S95" s="176">
        <f>SUM('Amortisation and Repayments'!I4853:I4853)</f>
        <v>2619792.1130429395</v>
      </c>
      <c r="T95" s="176">
        <f>'Amortisation and Repayments'!L4853-'Loan Book'!S95</f>
        <v>1034647.2414414934</v>
      </c>
      <c r="U95" s="167">
        <f t="shared" si="15"/>
        <v>3654439.3544844328</v>
      </c>
      <c r="V95" s="181"/>
      <c r="W95" s="169">
        <f>U95</f>
        <v>3654439.3544844328</v>
      </c>
      <c r="X95" s="169">
        <f>U95-W95</f>
        <v>0</v>
      </c>
      <c r="Y95" s="244"/>
      <c r="Z95" s="181"/>
      <c r="AJ95" s="434" t="str">
        <f>IFERROR(INDEX(Mapping!$J$2:$J$110,MATCH(95,Mapping!$A$2:$A$110,0)),"")</f>
        <v>000104450000090</v>
      </c>
      <c r="AK95" s="435" t="str">
        <f>IFERROR(INDEX(Mapping!$K$2:$K$110,MATCH(95,Mapping!$A$2:$A$110,0)),"")</f>
        <v>High</v>
      </c>
      <c r="AL95" s="432" t="str">
        <f>IFERROR(INDEX('E-Banker master'!$B$2:$B$186,MATCH($AJ95,'E-Banker master'!$A$2:$A$186,0)),"")</f>
        <v>JAT Investments</v>
      </c>
      <c r="AM95" s="432" t="str">
        <f>IFERROR(INDEX('E-Banker master'!$E$2:$E$186,MATCH($AJ95,'E-Banker master'!$A$2:$A$186,0)),"")</f>
        <v>A</v>
      </c>
      <c r="AN95" s="433">
        <f>IFERROR(INDEX('E-Banker master'!$N$2:$N$186,MATCH($AJ95,'E-Banker master'!$A$2:$A$186,0)),"")</f>
        <v>130000000</v>
      </c>
      <c r="AO95" s="433">
        <f>IFERROR(INDEX('E-Banker master'!$O$2:$O$186,MATCH($AJ95,'E-Banker master'!$A$2:$A$186,0)),"")</f>
        <v>6242236.3200000003</v>
      </c>
      <c r="AP95" s="433">
        <f>IFERROR(INDEX('E-Banker master'!$P$2:$P$186,MATCH($AJ95,'E-Banker master'!$A$2:$A$186,0)),"")</f>
        <v>124893754.23</v>
      </c>
      <c r="AQ95" s="433">
        <f t="shared" si="14"/>
        <v>-94016.046084836125</v>
      </c>
      <c r="AS95" s="444">
        <v>1300000</v>
      </c>
      <c r="AT95" s="444">
        <v>2923500</v>
      </c>
    </row>
    <row r="96" spans="1:46" x14ac:dyDescent="0.35">
      <c r="A96" s="35"/>
      <c r="B96" s="35"/>
      <c r="C96" s="35"/>
      <c r="D96" s="363">
        <v>92</v>
      </c>
      <c r="E96" s="168" t="s">
        <v>625</v>
      </c>
      <c r="F96" s="169" t="s">
        <v>178</v>
      </c>
      <c r="G96" s="170">
        <f>'Amortisation and Repayments'!C4907</f>
        <v>45351</v>
      </c>
      <c r="H96" s="170">
        <f>'Amortisation and Repayments'!D4955</f>
        <v>46812</v>
      </c>
      <c r="I96" s="171">
        <v>4</v>
      </c>
      <c r="J96" s="178" t="s">
        <v>792</v>
      </c>
      <c r="K96" s="172">
        <v>10</v>
      </c>
      <c r="L96" s="169">
        <f>'Amortisation and Repayments'!F4907</f>
        <v>200000000</v>
      </c>
      <c r="M96" s="173">
        <f t="shared" si="20"/>
        <v>200000000</v>
      </c>
      <c r="N96" s="169"/>
      <c r="O96" s="174">
        <f t="shared" si="18"/>
        <v>200000000</v>
      </c>
      <c r="P96" s="169">
        <f>SUM('Amortisation and Repayments'!H4907:H4915)</f>
        <v>13679167.526462564</v>
      </c>
      <c r="Q96" s="169">
        <f>SUM('Amortisation and Repayments'!K4907:K4915)</f>
        <v>0</v>
      </c>
      <c r="R96" s="262">
        <f t="shared" si="19"/>
        <v>213679167.52646255</v>
      </c>
      <c r="S96" s="176">
        <f>SUM('Amortisation and Repayments'!I4914:I4915)</f>
        <v>8436489.855014801</v>
      </c>
      <c r="T96" s="176">
        <f>'Amortisation and Repayments'!L4915-'Loan Book'!S96</f>
        <v>3468504.862429535</v>
      </c>
      <c r="U96" s="167">
        <f t="shared" si="15"/>
        <v>11904994.717444336</v>
      </c>
      <c r="V96" s="181"/>
      <c r="W96" s="169">
        <f>'Amortisation and Repayments'!G4915</f>
        <v>5952497.358722168</v>
      </c>
      <c r="X96" s="169">
        <f>U96-W96</f>
        <v>5952497.358722168</v>
      </c>
      <c r="Y96" s="244"/>
      <c r="Z96" s="181"/>
      <c r="AJ96" s="434" t="str">
        <f>IFERROR(INDEX(Mapping!$J$2:$J$110,MATCH(96,Mapping!$A$2:$A$110,0)),"")</f>
        <v>000104450000091</v>
      </c>
      <c r="AK96" s="435" t="str">
        <f>IFERROR(INDEX(Mapping!$K$2:$K$110,MATCH(96,Mapping!$A$2:$A$110,0)),"")</f>
        <v>High</v>
      </c>
      <c r="AL96" s="432" t="str">
        <f>IFERROR(INDEX('E-Banker master'!$B$2:$B$186,MATCH($AJ96,'E-Banker master'!$A$2:$A$186,0)),"")</f>
        <v>Chanje Investments</v>
      </c>
      <c r="AM96" s="432" t="str">
        <f>IFERROR(INDEX('E-Banker master'!$E$2:$E$186,MATCH($AJ96,'E-Banker master'!$A$2:$A$186,0)),"")</f>
        <v>D</v>
      </c>
      <c r="AN96" s="433">
        <f>IFERROR(INDEX('E-Banker master'!$N$2:$N$186,MATCH($AJ96,'E-Banker master'!$A$2:$A$186,0)),"")</f>
        <v>200000000</v>
      </c>
      <c r="AO96" s="433">
        <f>IFERROR(INDEX('E-Banker master'!$O$2:$O$186,MATCH($AJ96,'E-Banker master'!$A$2:$A$186,0)),"")</f>
        <v>8473384.4600000009</v>
      </c>
      <c r="AP96" s="433">
        <f>IFERROR(INDEX('E-Banker master'!$P$2:$P$186,MATCH($AJ96,'E-Banker master'!$A$2:$A$186,0)),"")</f>
        <v>213772323.30000001</v>
      </c>
      <c r="AQ96" s="433">
        <f t="shared" si="14"/>
        <v>-93155.773537456989</v>
      </c>
      <c r="AS96" s="444">
        <v>5900000</v>
      </c>
      <c r="AT96" s="444">
        <v>5443974.4699999997</v>
      </c>
    </row>
    <row r="97" spans="1:46" x14ac:dyDescent="0.35">
      <c r="A97" s="35"/>
      <c r="B97" s="35"/>
      <c r="C97" s="35"/>
      <c r="D97" s="363">
        <v>93</v>
      </c>
      <c r="E97" s="324" t="s">
        <v>657</v>
      </c>
      <c r="F97" s="169" t="s">
        <v>178</v>
      </c>
      <c r="G97" s="170">
        <v>45376</v>
      </c>
      <c r="H97" s="170">
        <f>'Amortisation and Repayments'!D4997</f>
        <v>46112</v>
      </c>
      <c r="I97" s="171">
        <v>2</v>
      </c>
      <c r="J97" s="178" t="s">
        <v>779</v>
      </c>
      <c r="K97" s="172">
        <v>10</v>
      </c>
      <c r="L97" s="169">
        <v>30000000</v>
      </c>
      <c r="M97" s="173">
        <f t="shared" si="20"/>
        <v>30000000</v>
      </c>
      <c r="N97" s="169"/>
      <c r="O97" s="174">
        <f t="shared" si="18"/>
        <v>30000000</v>
      </c>
      <c r="P97" s="169">
        <f>SUM('Amortisation and Repayments'!H4973:H4980)</f>
        <v>1764940.4388223868</v>
      </c>
      <c r="Q97" s="169">
        <f>-SUM('Amortisation and Repayments'!K4977:K4980)</f>
        <v>-4807649.2799999993</v>
      </c>
      <c r="R97" s="262">
        <f t="shared" si="19"/>
        <v>26957291.158822387</v>
      </c>
      <c r="S97" s="35">
        <f>SUM('Amortisation and Repayments'!I4980)</f>
        <v>1382410.9467529431</v>
      </c>
      <c r="T97" s="176">
        <f>'Amortisation and Repayments'!L4980-'Loan Book'!S97</f>
        <v>230477.35376087995</v>
      </c>
      <c r="U97" s="167">
        <f t="shared" si="15"/>
        <v>1612888.3005138231</v>
      </c>
      <c r="V97" s="181"/>
      <c r="W97" s="169">
        <f>U97</f>
        <v>1612888.3005138231</v>
      </c>
      <c r="X97" s="169"/>
      <c r="Y97" s="244"/>
      <c r="Z97" s="181"/>
      <c r="AJ97" s="434" t="str">
        <f>IFERROR(INDEX(Mapping!$J$2:$J$110,MATCH(97,Mapping!$A$2:$A$110,0)),"")</f>
        <v>000104460000092</v>
      </c>
      <c r="AK97" s="435" t="str">
        <f>IFERROR(INDEX(Mapping!$K$2:$K$110,MATCH(97,Mapping!$A$2:$A$110,0)),"")</f>
        <v>High</v>
      </c>
      <c r="AL97" s="432" t="str">
        <f>IFERROR(INDEX('E-Banker master'!$B$2:$B$186,MATCH($AJ97,'E-Banker master'!$A$2:$A$186,0)),"")</f>
        <v>FAVOA Innovation &amp; Investments Group</v>
      </c>
      <c r="AM97" s="432" t="str">
        <f>IFERROR(INDEX('E-Banker master'!$E$2:$E$186,MATCH($AJ97,'E-Banker master'!$A$2:$A$186,0)),"")</f>
        <v>D</v>
      </c>
      <c r="AN97" s="433">
        <f>IFERROR(INDEX('E-Banker master'!$N$2:$N$186,MATCH($AJ97,'E-Banker master'!$A$2:$A$186,0)),"")</f>
        <v>30000000</v>
      </c>
      <c r="AO97" s="433">
        <f>IFERROR(INDEX('E-Banker master'!$O$2:$O$186,MATCH($AJ97,'E-Banker master'!$A$2:$A$186,0)),"")</f>
        <v>1062589.8600000001</v>
      </c>
      <c r="AP97" s="433">
        <f>IFERROR(INDEX('E-Banker master'!$P$2:$P$186,MATCH($AJ97,'E-Banker master'!$A$2:$A$186,0)),"")</f>
        <v>26961470.879999999</v>
      </c>
      <c r="AQ97" s="433">
        <f t="shared" si="14"/>
        <v>-4179.7211776115</v>
      </c>
      <c r="AS97" s="444">
        <v>300000</v>
      </c>
      <c r="AT97" s="444">
        <v>353500</v>
      </c>
    </row>
    <row r="98" spans="1:46" ht="11.4" customHeight="1" x14ac:dyDescent="0.35">
      <c r="A98" s="35"/>
      <c r="B98" s="35"/>
      <c r="C98" s="35"/>
      <c r="D98" s="364">
        <v>94</v>
      </c>
      <c r="E98" s="324" t="s">
        <v>658</v>
      </c>
      <c r="F98" s="169" t="s">
        <v>178</v>
      </c>
      <c r="G98" s="170">
        <v>45377</v>
      </c>
      <c r="H98" s="170">
        <f>'Amortisation and Repayments'!D5049</f>
        <v>46477</v>
      </c>
      <c r="I98" s="171">
        <v>3</v>
      </c>
      <c r="J98" s="178" t="s">
        <v>792</v>
      </c>
      <c r="K98" s="172">
        <v>10</v>
      </c>
      <c r="L98" s="169">
        <v>120000000</v>
      </c>
      <c r="M98" s="173">
        <f t="shared" si="20"/>
        <v>120000000</v>
      </c>
      <c r="N98" s="169"/>
      <c r="O98" s="174">
        <f t="shared" si="18"/>
        <v>120000000</v>
      </c>
      <c r="P98" s="169">
        <f>SUM('Amortisation and Repayments'!H5013:H5020)</f>
        <v>7280013.3721526749</v>
      </c>
      <c r="Q98" s="169">
        <f>-SUM('Amortisation and Repayments'!K5013:K5020)</f>
        <v>-4000000</v>
      </c>
      <c r="R98" s="262">
        <f t="shared" si="19"/>
        <v>123280013.37215267</v>
      </c>
      <c r="S98" s="176">
        <f>'Amortisation and Repayments'!L5020</f>
        <v>772862.93421469349</v>
      </c>
      <c r="T98" s="176"/>
      <c r="U98" s="167">
        <f t="shared" si="15"/>
        <v>772862.93421469349</v>
      </c>
      <c r="V98" s="181"/>
      <c r="W98" s="169">
        <f>U98</f>
        <v>772862.93421469349</v>
      </c>
      <c r="X98" s="169"/>
      <c r="Y98" s="244"/>
      <c r="Z98" s="181"/>
      <c r="AJ98" s="434" t="str">
        <f>IFERROR(INDEX(Mapping!$J$2:$J$110,MATCH(98,Mapping!$A$2:$A$110,0)),"")</f>
        <v>000104460000093</v>
      </c>
      <c r="AK98" s="435" t="str">
        <f>IFERROR(INDEX(Mapping!$K$2:$K$110,MATCH(98,Mapping!$A$2:$A$110,0)),"")</f>
        <v>High</v>
      </c>
      <c r="AL98" s="432" t="str">
        <f>IFERROR(INDEX('E-Banker master'!$B$2:$B$186,MATCH($AJ98,'E-Banker master'!$A$2:$A$186,0)),"")</f>
        <v>Difference Construction</v>
      </c>
      <c r="AM98" s="432" t="str">
        <f>IFERROR(INDEX('E-Banker master'!$E$2:$E$186,MATCH($AJ98,'E-Banker master'!$A$2:$A$186,0)),"")</f>
        <v>A</v>
      </c>
      <c r="AN98" s="433">
        <f>IFERROR(INDEX('E-Banker master'!$N$2:$N$186,MATCH($AJ98,'E-Banker master'!$A$2:$A$186,0)),"")</f>
        <v>120000000</v>
      </c>
      <c r="AO98" s="433">
        <f>IFERROR(INDEX('E-Banker master'!$O$2:$O$186,MATCH($AJ98,'E-Banker master'!$A$2:$A$186,0)),"")</f>
        <v>4150318.9</v>
      </c>
      <c r="AP98" s="433">
        <f>IFERROR(INDEX('E-Banker master'!$P$2:$P$186,MATCH($AJ98,'E-Banker master'!$A$2:$A$186,0)),"")</f>
        <v>123213189.98</v>
      </c>
      <c r="AQ98" s="433">
        <f t="shared" si="14"/>
        <v>66823.392152667046</v>
      </c>
      <c r="AS98" s="444">
        <v>1200000</v>
      </c>
      <c r="AT98" s="444">
        <v>1982500</v>
      </c>
    </row>
    <row r="99" spans="1:46" x14ac:dyDescent="0.35">
      <c r="A99" s="35"/>
      <c r="B99" s="35"/>
      <c r="C99" s="35"/>
      <c r="D99" s="363">
        <v>95</v>
      </c>
      <c r="E99" s="324" t="s">
        <v>177</v>
      </c>
      <c r="F99" s="169" t="s">
        <v>178</v>
      </c>
      <c r="G99" s="170">
        <v>45407</v>
      </c>
      <c r="H99" s="170">
        <v>46142</v>
      </c>
      <c r="I99" s="171">
        <v>2</v>
      </c>
      <c r="J99" s="178" t="s">
        <v>779</v>
      </c>
      <c r="K99" s="172">
        <v>10</v>
      </c>
      <c r="L99" s="169">
        <v>30000000</v>
      </c>
      <c r="M99" s="173">
        <v>30000000</v>
      </c>
      <c r="N99" s="169"/>
      <c r="O99" s="174">
        <f t="shared" si="18"/>
        <v>30000000</v>
      </c>
      <c r="P99" s="169">
        <f>SUM('Amortisation and Repayments'!H5065:H5071)</f>
        <v>1543910.0777786213</v>
      </c>
      <c r="Q99" s="169">
        <f>-SUM('Amortisation and Repayments'!K5065:K5072)</f>
        <v>-4208000</v>
      </c>
      <c r="R99" s="262">
        <f t="shared" si="19"/>
        <v>27335910.077778623</v>
      </c>
      <c r="S99" s="176">
        <f>'Amortisation and Repayments'!L5071-'Loan Book'!T99</f>
        <v>373500.76055191713</v>
      </c>
      <c r="T99" s="176">
        <f>'Amortisation and Repayments'!H5071</f>
        <v>234160.90058145762</v>
      </c>
      <c r="U99" s="167">
        <f t="shared" si="15"/>
        <v>607661.66113337479</v>
      </c>
      <c r="V99" s="181"/>
      <c r="W99" s="169">
        <f>U99</f>
        <v>607661.66113337479</v>
      </c>
      <c r="X99" s="169">
        <f>U99-W99</f>
        <v>0</v>
      </c>
      <c r="Y99" s="244"/>
      <c r="Z99" s="181"/>
      <c r="AJ99" s="434" t="str">
        <f>IFERROR(INDEX(Mapping!$J$2:$J$110,MATCH(99,Mapping!$A$2:$A$110,0)),"")</f>
        <v>000104450000037</v>
      </c>
      <c r="AK99" s="435" t="str">
        <f>IFERROR(INDEX(Mapping!$K$2:$K$110,MATCH(99,Mapping!$A$2:$A$110,0)),"")</f>
        <v>High</v>
      </c>
      <c r="AL99" s="432" t="str">
        <f>IFERROR(INDEX('E-Banker master'!$B$2:$B$186,MATCH($AJ99,'E-Banker master'!$A$2:$A$186,0)),"")</f>
        <v>Favoured Farms</v>
      </c>
      <c r="AM99" s="432" t="str">
        <f>IFERROR(INDEX('E-Banker master'!$E$2:$E$186,MATCH($AJ99,'E-Banker master'!$A$2:$A$186,0)),"")</f>
        <v>D</v>
      </c>
      <c r="AN99" s="433">
        <f>IFERROR(INDEX('E-Banker master'!$N$2:$N$186,MATCH($AJ99,'E-Banker master'!$A$2:$A$186,0)),"")</f>
        <v>30000000</v>
      </c>
      <c r="AO99" s="433">
        <f>IFERROR(INDEX('E-Banker master'!$O$2:$O$186,MATCH($AJ99,'E-Banker master'!$A$2:$A$186,0)),"")</f>
        <v>807527.81</v>
      </c>
      <c r="AP99" s="433">
        <f>IFERROR(INDEX('E-Banker master'!$P$2:$P$186,MATCH($AJ99,'E-Banker master'!$A$2:$A$186,0)),"")</f>
        <v>27353908.27</v>
      </c>
      <c r="AQ99" s="433">
        <f t="shared" si="14"/>
        <v>-17998.192221377045</v>
      </c>
      <c r="AS99" s="444">
        <v>300000</v>
      </c>
      <c r="AT99" s="444">
        <v>543500</v>
      </c>
    </row>
    <row r="100" spans="1:46" x14ac:dyDescent="0.35">
      <c r="A100" s="35"/>
      <c r="B100" s="35"/>
      <c r="C100" s="35"/>
      <c r="D100" s="363">
        <v>96</v>
      </c>
      <c r="E100" s="396" t="s">
        <v>626</v>
      </c>
      <c r="F100" s="169" t="s">
        <v>178</v>
      </c>
      <c r="G100" s="170">
        <v>45412</v>
      </c>
      <c r="H100" s="170">
        <v>46142</v>
      </c>
      <c r="I100" s="171">
        <v>2</v>
      </c>
      <c r="J100" s="178" t="s">
        <v>796</v>
      </c>
      <c r="K100" s="172">
        <v>10</v>
      </c>
      <c r="L100" s="169">
        <v>50000000</v>
      </c>
      <c r="M100" s="173">
        <v>50000000</v>
      </c>
      <c r="N100" s="169"/>
      <c r="O100" s="174">
        <f t="shared" si="18"/>
        <v>50000000</v>
      </c>
      <c r="P100" s="169">
        <f>SUM('Amortisation and Repayments'!H5105:H5111)</f>
        <v>2459022.5514334859</v>
      </c>
      <c r="Q100" s="169">
        <f>-SUM('Amortisation and Repayments'!K5106:K5111)</f>
        <v>-9080000</v>
      </c>
      <c r="R100" s="262">
        <f t="shared" si="19"/>
        <v>43379022.551433489</v>
      </c>
      <c r="S100" s="176">
        <v>0</v>
      </c>
      <c r="T100" s="176">
        <v>0</v>
      </c>
      <c r="U100" s="167">
        <f t="shared" si="15"/>
        <v>0</v>
      </c>
      <c r="V100" s="181"/>
      <c r="W100" s="169">
        <v>0</v>
      </c>
      <c r="X100" s="169">
        <f>+U100-W100</f>
        <v>0</v>
      </c>
      <c r="Y100" s="244"/>
      <c r="Z100" s="181"/>
      <c r="AJ100" s="434" t="str">
        <f>IFERROR(INDEX(Mapping!$J$2:$J$110,MATCH(100,Mapping!$A$2:$A$110,0)),"")</f>
        <v>000104450000095</v>
      </c>
      <c r="AK100" s="435" t="str">
        <f>IFERROR(INDEX(Mapping!$K$2:$K$110,MATCH(100,Mapping!$A$2:$A$110,0)),"")</f>
        <v>High</v>
      </c>
      <c r="AL100" s="432" t="str">
        <f>IFERROR(INDEX('E-Banker master'!$B$2:$B$186,MATCH($AJ100,'E-Banker master'!$A$2:$A$186,0)),"")</f>
        <v>Hortinet Foods Limited</v>
      </c>
      <c r="AM100" s="432" t="str">
        <f>IFERROR(INDEX('E-Banker master'!$E$2:$E$186,MATCH($AJ100,'E-Banker master'!$A$2:$A$186,0)),"")</f>
        <v>D</v>
      </c>
      <c r="AN100" s="433">
        <f>IFERROR(INDEX('E-Banker master'!$N$2:$N$186,MATCH($AJ100,'E-Banker master'!$A$2:$A$186,0)),"")</f>
        <v>50000000</v>
      </c>
      <c r="AO100" s="433">
        <f>IFERROR(INDEX('E-Banker master'!$O$2:$O$186,MATCH($AJ100,'E-Banker master'!$A$2:$A$186,0)),"")</f>
        <v>1263888.8899999999</v>
      </c>
      <c r="AP100" s="433">
        <f>IFERROR(INDEX('E-Banker master'!$P$2:$P$186,MATCH($AJ100,'E-Banker master'!$A$2:$A$186,0)),"")</f>
        <v>43437806.509999998</v>
      </c>
      <c r="AQ100" s="433">
        <f t="shared" si="14"/>
        <v>-58783.958566509187</v>
      </c>
      <c r="AS100" s="444">
        <v>500000</v>
      </c>
      <c r="AT100" s="444">
        <v>855500</v>
      </c>
    </row>
    <row r="101" spans="1:46" x14ac:dyDescent="0.35">
      <c r="A101" s="35"/>
      <c r="B101" s="35"/>
      <c r="C101" s="35"/>
      <c r="D101" s="364">
        <v>97</v>
      </c>
      <c r="E101" s="324" t="s">
        <v>659</v>
      </c>
      <c r="F101" s="169" t="s">
        <v>178</v>
      </c>
      <c r="G101" s="170">
        <v>45412</v>
      </c>
      <c r="H101" s="170">
        <v>47238</v>
      </c>
      <c r="I101" s="171">
        <f>+(H101-G101)/365</f>
        <v>5.0027397260273974</v>
      </c>
      <c r="J101" s="178" t="s">
        <v>792</v>
      </c>
      <c r="K101" s="172">
        <v>10</v>
      </c>
      <c r="L101" s="169">
        <v>65000000</v>
      </c>
      <c r="M101" s="173">
        <f>L101</f>
        <v>65000000</v>
      </c>
      <c r="N101" s="169"/>
      <c r="O101" s="174">
        <v>65000000</v>
      </c>
      <c r="P101" s="169">
        <f>SUM('Amortisation and Repayments'!H5143:H5149)</f>
        <v>3268055.555555555</v>
      </c>
      <c r="Q101" s="169">
        <f>-SUM('Amortisation and Repayments'!K5143:K5149)</f>
        <v>-2726388.9</v>
      </c>
      <c r="R101" s="262">
        <f t="shared" si="19"/>
        <v>65541666.655555554</v>
      </c>
      <c r="S101" s="176">
        <f>+'Amortisation and Repayments'!I5149</f>
        <v>0</v>
      </c>
      <c r="T101" s="176">
        <f>SUM('Amortisation and Repayments'!H5148:H5149)</f>
        <v>1083333.3333333333</v>
      </c>
      <c r="U101" s="167">
        <f t="shared" si="15"/>
        <v>1083333.3333333333</v>
      </c>
      <c r="V101" s="181"/>
      <c r="W101" s="169">
        <f>'Amortisation and Repayments'!G5149</f>
        <v>541666.66666666663</v>
      </c>
      <c r="X101" s="169">
        <f>+U101-W101</f>
        <v>541666.66666666663</v>
      </c>
      <c r="Y101" s="244"/>
      <c r="Z101" s="181"/>
      <c r="AJ101" s="434" t="str">
        <f>IFERROR(INDEX(Mapping!$J$2:$J$110,MATCH(101,Mapping!$A$2:$A$110,0)),"")</f>
        <v>000104460000096</v>
      </c>
      <c r="AK101" s="435" t="str">
        <f>IFERROR(INDEX(Mapping!$K$2:$K$110,MATCH(101,Mapping!$A$2:$A$110,0)),"")</f>
        <v>High</v>
      </c>
      <c r="AL101" s="434" t="str">
        <f>IFERROR(INDEX('E-Banker master'!$B$2:$B$186,MATCH($AJ101,'E-Banker master'!$A$2:$A$186,0)),"")</f>
        <v>7 Arts Holdings Limited</v>
      </c>
      <c r="AM101" s="432" t="str">
        <f>IFERROR(INDEX('E-Banker master'!$E$2:$E$186,MATCH($AJ101,'E-Banker master'!$A$2:$A$186,0)),"")</f>
        <v>A</v>
      </c>
      <c r="AN101" s="433">
        <f>IFERROR(INDEX('E-Banker master'!$N$2:$N$186,MATCH($AJ101,'E-Banker master'!$A$2:$A$186,0)),"")</f>
        <v>65000000</v>
      </c>
      <c r="AO101" s="433">
        <f>IFERROR(INDEX('E-Banker master'!$O$2:$O$186,MATCH($AJ101,'E-Banker master'!$A$2:$A$186,0)),"")</f>
        <v>1643055.56</v>
      </c>
      <c r="AP101" s="433">
        <f>IFERROR(INDEX('E-Banker master'!$P$2:$P$186,MATCH($AJ101,'E-Banker master'!$A$2:$A$186,0)),"")</f>
        <v>65552342.399999999</v>
      </c>
      <c r="AQ101" s="433">
        <f t="shared" ref="AQ101:AQ107" si="21">IF(OR($AJ101="",AP101=""),"",R101-AP101)</f>
        <v>-10675.744444444776</v>
      </c>
      <c r="AS101" s="444">
        <v>1097500</v>
      </c>
      <c r="AT101" s="444">
        <v>650000</v>
      </c>
    </row>
    <row r="102" spans="1:46" x14ac:dyDescent="0.35">
      <c r="A102" s="35"/>
      <c r="B102" s="35"/>
      <c r="C102" s="35"/>
      <c r="D102" s="385">
        <v>98</v>
      </c>
      <c r="E102" s="324" t="s">
        <v>805</v>
      </c>
      <c r="F102" s="169" t="s">
        <v>178</v>
      </c>
      <c r="G102" s="170">
        <f>'Amortisation and Repayments'!C5219</f>
        <v>45425</v>
      </c>
      <c r="H102" s="170">
        <f>'Amortisation and Repayments'!D5279</f>
        <v>47238</v>
      </c>
      <c r="I102" s="171">
        <v>6</v>
      </c>
      <c r="J102" s="178" t="s">
        <v>774</v>
      </c>
      <c r="K102" s="391">
        <f>'Amortisation and Repayments'!D5211</f>
        <v>0.32900000000000001</v>
      </c>
      <c r="L102" s="169">
        <f>627746500</f>
        <v>627746500</v>
      </c>
      <c r="M102" s="173">
        <v>627746500</v>
      </c>
      <c r="N102" s="169">
        <f>+L102-M102</f>
        <v>0</v>
      </c>
      <c r="O102" s="174">
        <f t="shared" ref="O102:O108" si="22">M102</f>
        <v>627746500</v>
      </c>
      <c r="P102" s="169">
        <f>SUM('Amortisation and Repayments'!H5219:H5224)</f>
        <v>98723113.615475193</v>
      </c>
      <c r="Q102" s="169">
        <f>-SUM('Amortisation and Repayments'!K5219:K5224)</f>
        <v>0</v>
      </c>
      <c r="R102" s="262">
        <f t="shared" si="19"/>
        <v>726469613.61547518</v>
      </c>
      <c r="S102" s="176">
        <v>0</v>
      </c>
      <c r="T102" s="176"/>
      <c r="U102" s="167">
        <f t="shared" si="15"/>
        <v>0</v>
      </c>
      <c r="V102" s="181"/>
      <c r="W102" s="169"/>
      <c r="X102" s="169"/>
      <c r="Y102" s="244"/>
      <c r="Z102" s="181"/>
      <c r="AJ102" s="434" t="str">
        <f>IFERROR(INDEX(Mapping!$J$2:$J$110,MATCH(102,Mapping!$A$2:$A$110,0)),"")</f>
        <v>000104430000062</v>
      </c>
      <c r="AK102" s="435" t="str">
        <f>IFERROR(INDEX(Mapping!$K$2:$K$110,MATCH(102,Mapping!$A$2:$A$110,0)),"")</f>
        <v>High</v>
      </c>
      <c r="AL102" s="434" t="str">
        <f>IFERROR(INDEX('E-Banker master'!$B$2:$B$186,MATCH($AJ102,'E-Banker master'!$A$2:$A$186,0)),"")</f>
        <v>Ifracon Limited</v>
      </c>
      <c r="AM102" s="432" t="str">
        <f>IFERROR(INDEX('E-Banker master'!$E$2:$E$186,MATCH($AJ102,'E-Banker master'!$A$2:$A$186,0)),"")</f>
        <v>A</v>
      </c>
      <c r="AN102" s="433">
        <f>IFERROR(INDEX('E-Banker master'!$N$2:$N$186,MATCH($AJ102,'E-Banker master'!$A$2:$A$186,0)),"")</f>
        <v>627746500</v>
      </c>
      <c r="AO102" s="433">
        <f>IFERROR(INDEX('E-Banker master'!$O$2:$O$186,MATCH($AJ102,'E-Banker master'!$A$2:$A$186,0)),"")</f>
        <v>41452059.159999996</v>
      </c>
      <c r="AP102" s="433">
        <f>IFERROR(INDEX('E-Banker master'!$P$2:$P$186,MATCH($AJ102,'E-Banker master'!$A$2:$A$186,0)),"")</f>
        <v>726418591.95000005</v>
      </c>
      <c r="AQ102" s="433">
        <f t="shared" si="21"/>
        <v>51021.665475130081</v>
      </c>
      <c r="AS102" s="444">
        <v>18000000</v>
      </c>
      <c r="AT102" s="444">
        <v>7045000</v>
      </c>
    </row>
    <row r="103" spans="1:46" x14ac:dyDescent="0.35">
      <c r="A103" s="35"/>
      <c r="B103" s="35"/>
      <c r="C103" s="35"/>
      <c r="D103" s="363">
        <v>99</v>
      </c>
      <c r="E103" s="324" t="s">
        <v>806</v>
      </c>
      <c r="F103" s="169" t="s">
        <v>178</v>
      </c>
      <c r="G103" s="170">
        <f>'Amortisation and Repayments'!C5295</f>
        <v>45441</v>
      </c>
      <c r="H103" s="170">
        <f>'Amortisation and Repayments'!D5343</f>
        <v>46904</v>
      </c>
      <c r="I103" s="171">
        <v>4</v>
      </c>
      <c r="J103" s="178" t="s">
        <v>792</v>
      </c>
      <c r="K103" s="172">
        <v>10</v>
      </c>
      <c r="L103" s="169">
        <v>400000000</v>
      </c>
      <c r="M103" s="173">
        <v>400000000</v>
      </c>
      <c r="N103" s="169">
        <v>0</v>
      </c>
      <c r="O103" s="174">
        <f t="shared" si="22"/>
        <v>400000000</v>
      </c>
      <c r="P103" s="169">
        <f>SUM('Amortisation and Repayments'!H5295:H5300)</f>
        <v>16888888.888888888</v>
      </c>
      <c r="Q103" s="169">
        <f>-SUM('Amortisation and Repayments'!K5295:K5300)</f>
        <v>-13536796.540000001</v>
      </c>
      <c r="R103" s="262">
        <f t="shared" si="19"/>
        <v>403352092.34888887</v>
      </c>
      <c r="S103" s="35">
        <v>0</v>
      </c>
      <c r="T103" s="176">
        <f>'Amortisation and Repayments'!L5300</f>
        <v>3352092.3488888838</v>
      </c>
      <c r="U103" s="167">
        <f t="shared" si="15"/>
        <v>3352092.3488888838</v>
      </c>
      <c r="V103" s="181"/>
      <c r="W103" s="169">
        <f>U103</f>
        <v>3352092.3488888838</v>
      </c>
      <c r="X103" s="169">
        <f>+U103-W103</f>
        <v>0</v>
      </c>
      <c r="Y103" s="244"/>
      <c r="Z103" s="181"/>
      <c r="AJ103" s="434" t="str">
        <f>IFERROR(INDEX(Mapping!$J$2:$J$110,MATCH(103,Mapping!$A$2:$A$110,0)),"")</f>
        <v>000104460000098</v>
      </c>
      <c r="AK103" s="435" t="str">
        <f>IFERROR(INDEX(Mapping!$K$2:$K$110,MATCH(103,Mapping!$A$2:$A$110,0)),"")</f>
        <v>High</v>
      </c>
      <c r="AL103" s="432" t="str">
        <f>IFERROR(INDEX('E-Banker master'!$B$2:$B$186,MATCH($AJ103,'E-Banker master'!$A$2:$A$186,0)),"")</f>
        <v>INFRAWORKS DEVELOPMENT LIMITED</v>
      </c>
      <c r="AM103" s="432" t="str">
        <f>IFERROR(INDEX('E-Banker master'!$E$2:$E$186,MATCH($AJ103,'E-Banker master'!$A$2:$A$186,0)),"")</f>
        <v>A</v>
      </c>
      <c r="AN103" s="433">
        <f>IFERROR(INDEX('E-Banker master'!$N$2:$N$186,MATCH($AJ103,'E-Banker master'!$A$2:$A$186,0)),"")</f>
        <v>400000000</v>
      </c>
      <c r="AO103" s="433">
        <f>IFERROR(INDEX('E-Banker master'!$O$2:$O$186,MATCH($AJ103,'E-Banker master'!$A$2:$A$186,0)),"")</f>
        <v>6888888.8899999997</v>
      </c>
      <c r="AP103" s="433">
        <f>IFERROR(INDEX('E-Banker master'!$P$2:$P$186,MATCH($AJ103,'E-Banker master'!$A$2:$A$186,0)),"")</f>
        <v>403516713.47000003</v>
      </c>
      <c r="AQ103" s="433">
        <f t="shared" si="21"/>
        <v>-164621.12111115456</v>
      </c>
      <c r="AS103" s="444">
        <v>16000000</v>
      </c>
      <c r="AT103" s="444">
        <v>8900000</v>
      </c>
    </row>
    <row r="104" spans="1:46" x14ac:dyDescent="0.35">
      <c r="A104" s="35"/>
      <c r="B104" s="35"/>
      <c r="C104" s="35"/>
      <c r="D104" s="364">
        <v>100</v>
      </c>
      <c r="E104" s="324" t="s">
        <v>807</v>
      </c>
      <c r="F104" s="169" t="s">
        <v>178</v>
      </c>
      <c r="G104" s="170">
        <f>'Amortisation and Repayments'!C5358</f>
        <v>45448</v>
      </c>
      <c r="H104" s="170">
        <f>'Amortisation and Repayments'!D5405</f>
        <v>46904</v>
      </c>
      <c r="I104" s="171">
        <v>6</v>
      </c>
      <c r="J104" s="178" t="s">
        <v>774</v>
      </c>
      <c r="K104" s="172">
        <v>10</v>
      </c>
      <c r="L104" s="169">
        <f>'Amortisation and Repayments'!D5349</f>
        <v>108431000</v>
      </c>
      <c r="M104" s="173">
        <f>L104</f>
        <v>108431000</v>
      </c>
      <c r="N104" s="169">
        <f>+L104-M104</f>
        <v>0</v>
      </c>
      <c r="O104" s="174">
        <f t="shared" si="22"/>
        <v>108431000</v>
      </c>
      <c r="P104" s="169">
        <f>SUM('Amortisation and Repayments'!H5358:H5362)</f>
        <v>4469342.4211624525</v>
      </c>
      <c r="Q104" s="169">
        <f>SUM('Amortisation and Repayments'!K5358:K5362)</f>
        <v>0</v>
      </c>
      <c r="R104" s="262">
        <f t="shared" si="19"/>
        <v>112900342.42116246</v>
      </c>
      <c r="S104" s="176"/>
      <c r="T104" s="176"/>
      <c r="U104" s="167">
        <f t="shared" si="15"/>
        <v>0</v>
      </c>
      <c r="V104" s="181"/>
      <c r="W104" s="169"/>
      <c r="X104" s="169"/>
      <c r="Y104" s="244"/>
      <c r="Z104" s="181"/>
      <c r="AJ104" s="434" t="str">
        <f>IFERROR(INDEX(Mapping!$J$2:$J$110,MATCH(104,Mapping!$A$2:$A$110,0)),"")</f>
        <v>000104460000099</v>
      </c>
      <c r="AK104" s="435" t="str">
        <f>IFERROR(INDEX(Mapping!$K$2:$K$110,MATCH(104,Mapping!$A$2:$A$110,0)),"")</f>
        <v>High</v>
      </c>
      <c r="AL104" s="432" t="str">
        <f>IFERROR(INDEX('E-Banker master'!$B$2:$B$186,MATCH($AJ104,'E-Banker master'!$A$2:$A$186,0)),"")</f>
        <v>BIO ENERGY RESOURCES LIMITED</v>
      </c>
      <c r="AM104" s="432" t="str">
        <f>IFERROR(INDEX('E-Banker master'!$E$2:$E$186,MATCH($AJ104,'E-Banker master'!$A$2:$A$186,0)),"")</f>
        <v>D</v>
      </c>
      <c r="AN104" s="433">
        <f>IFERROR(INDEX('E-Banker master'!$N$2:$N$186,MATCH($AJ104,'E-Banker master'!$A$2:$A$186,0)),"")</f>
        <v>108431000</v>
      </c>
      <c r="AO104" s="433">
        <f>IFERROR(INDEX('E-Banker master'!$O$2:$O$186,MATCH($AJ104,'E-Banker master'!$A$2:$A$186,0)),"")</f>
        <v>1693230.38</v>
      </c>
      <c r="AP104" s="433">
        <f>IFERROR(INDEX('E-Banker master'!$P$2:$P$186,MATCH($AJ104,'E-Banker master'!$A$2:$A$186,0)),"")</f>
        <v>112923348.17</v>
      </c>
      <c r="AQ104" s="433">
        <f t="shared" si="21"/>
        <v>-23005.748837545514</v>
      </c>
      <c r="AS104" s="444">
        <v>1050000</v>
      </c>
      <c r="AT104" s="444">
        <v>2381000</v>
      </c>
    </row>
    <row r="105" spans="1:46" x14ac:dyDescent="0.35">
      <c r="A105" s="35"/>
      <c r="B105" s="35"/>
      <c r="C105" s="35"/>
      <c r="D105" s="363">
        <v>101</v>
      </c>
      <c r="E105" s="324" t="s">
        <v>808</v>
      </c>
      <c r="F105" s="169" t="s">
        <v>178</v>
      </c>
      <c r="G105" s="170">
        <f>'Amortisation and Repayments'!C5425</f>
        <v>45497</v>
      </c>
      <c r="H105" s="170">
        <f>'Amortisation and Repayments'!D5472</f>
        <v>46934</v>
      </c>
      <c r="I105" s="171">
        <v>4</v>
      </c>
      <c r="J105" s="178" t="s">
        <v>809</v>
      </c>
      <c r="K105" s="172">
        <v>10</v>
      </c>
      <c r="L105" s="169">
        <f>'Amortisation and Repayments'!F5425</f>
        <v>150000000</v>
      </c>
      <c r="M105" s="173">
        <f>L105</f>
        <v>150000000</v>
      </c>
      <c r="N105" s="169">
        <v>0</v>
      </c>
      <c r="O105" s="174">
        <f t="shared" si="22"/>
        <v>150000000</v>
      </c>
      <c r="P105" s="169">
        <f>SUM('Amortisation and Repayments'!H5425:H5428)</f>
        <v>13762541.970117187</v>
      </c>
      <c r="Q105" s="169">
        <f>SUM('Amortisation and Repayments'!K5425:K5427)</f>
        <v>0</v>
      </c>
      <c r="R105" s="262">
        <f t="shared" si="19"/>
        <v>163762541.97011718</v>
      </c>
      <c r="S105" s="176"/>
      <c r="T105" s="176"/>
      <c r="U105" s="167">
        <f t="shared" si="15"/>
        <v>0</v>
      </c>
      <c r="V105" s="181"/>
      <c r="W105" s="169"/>
      <c r="X105" s="169"/>
      <c r="Y105" s="244"/>
      <c r="Z105" s="181"/>
      <c r="AJ105" s="434" t="str">
        <f>IFERROR(INDEX(Mapping!$J$2:$J$110,MATCH(105,Mapping!$A$2:$A$110,0)),"")</f>
        <v>000104420000063</v>
      </c>
      <c r="AK105" s="435" t="str">
        <f>IFERROR(INDEX(Mapping!$K$2:$K$110,MATCH(105,Mapping!$A$2:$A$110,0)),"")</f>
        <v>High</v>
      </c>
      <c r="AL105" s="432" t="str">
        <f>IFERROR(INDEX('E-Banker master'!$B$2:$B$186,MATCH($AJ105,'E-Banker master'!$A$2:$A$186,0)),"")</f>
        <v>HORTINET FOODS LTD</v>
      </c>
      <c r="AM105" s="432" t="str">
        <f>IFERROR(INDEX('E-Banker master'!$E$2:$E$186,MATCH($AJ105,'E-Banker master'!$A$2:$A$186,0)),"")</f>
        <v>D</v>
      </c>
      <c r="AN105" s="433">
        <f>IFERROR(INDEX('E-Banker master'!$N$2:$N$186,MATCH($AJ105,'E-Banker master'!$A$2:$A$186,0)),"")</f>
        <v>150000000</v>
      </c>
      <c r="AO105" s="433">
        <f>IFERROR(INDEX('E-Banker master'!$O$2:$O$186,MATCH($AJ105,'E-Banker master'!$A$2:$A$186,0)),"")</f>
        <v>1692093.19</v>
      </c>
      <c r="AP105" s="433">
        <f>IFERROR(INDEX('E-Banker master'!$P$2:$P$186,MATCH($AJ105,'E-Banker master'!$A$2:$A$186,0)),"")</f>
        <v>164662573.22999999</v>
      </c>
      <c r="AQ105" s="433">
        <f t="shared" si="21"/>
        <v>-900031.25988280773</v>
      </c>
      <c r="AS105" s="444">
        <v>4500000</v>
      </c>
      <c r="AT105" s="444">
        <v>855500</v>
      </c>
    </row>
    <row r="106" spans="1:46" x14ac:dyDescent="0.35">
      <c r="A106" s="35"/>
      <c r="B106" s="35"/>
      <c r="C106" s="35"/>
      <c r="D106" s="364">
        <v>102</v>
      </c>
      <c r="E106" s="324" t="s">
        <v>810</v>
      </c>
      <c r="F106" s="169" t="s">
        <v>178</v>
      </c>
      <c r="G106" s="170">
        <f>'Amortisation and Repayments'!C5488</f>
        <v>45567</v>
      </c>
      <c r="H106" s="170">
        <f>'Amortisation and Repayments'!D5547</f>
        <v>47299</v>
      </c>
      <c r="I106" s="171">
        <v>5</v>
      </c>
      <c r="J106" s="178" t="s">
        <v>777</v>
      </c>
      <c r="K106" s="172">
        <v>10</v>
      </c>
      <c r="L106" s="169">
        <f>'Amortisation and Repayments'!D5479</f>
        <v>200000000</v>
      </c>
      <c r="M106" s="173">
        <f>'Amortisation and Repayments'!D5479</f>
        <v>200000000</v>
      </c>
      <c r="N106" s="169"/>
      <c r="O106" s="174">
        <f t="shared" si="22"/>
        <v>200000000</v>
      </c>
      <c r="P106" s="169">
        <f>SUM('Amortisation and Repayments'!H5488)</f>
        <v>1666666.6666666667</v>
      </c>
      <c r="Q106" s="169"/>
      <c r="R106" s="262">
        <f t="shared" si="19"/>
        <v>201666666.66666666</v>
      </c>
      <c r="S106" s="176"/>
      <c r="T106" s="176"/>
      <c r="U106" s="167"/>
      <c r="V106" s="181"/>
      <c r="W106" s="169"/>
      <c r="X106" s="169"/>
      <c r="Y106" s="244"/>
      <c r="Z106" s="181"/>
      <c r="AJ106" s="434" t="str">
        <f>IFERROR(INDEX(Mapping!$J$2:$J$110,MATCH(106,Mapping!$A$2:$A$110,0)),"")</f>
        <v>000104460000104</v>
      </c>
      <c r="AK106" s="435" t="str">
        <f>IFERROR(INDEX(Mapping!$K$2:$K$110,MATCH(106,Mapping!$A$2:$A$110,0)),"")</f>
        <v>High</v>
      </c>
      <c r="AL106" s="432" t="str">
        <f>IFERROR(INDEX('E-Banker master'!$B$2:$B$186,MATCH($AJ106,'E-Banker master'!$A$2:$A$186,0)),"")</f>
        <v>CHimwemwe mafeni transport</v>
      </c>
      <c r="AM106" s="432" t="str">
        <f>IFERROR(INDEX('E-Banker master'!$E$2:$E$186,MATCH($AJ106,'E-Banker master'!$A$2:$A$186,0)),"")</f>
        <v>A</v>
      </c>
      <c r="AN106" s="433">
        <f>IFERROR(INDEX('E-Banker master'!$N$2:$N$186,MATCH($AJ106,'E-Banker master'!$A$2:$A$186,0)),"")</f>
        <v>0</v>
      </c>
      <c r="AO106" s="433">
        <f>IFERROR(INDEX('E-Banker master'!$O$2:$O$186,MATCH($AJ106,'E-Banker master'!$A$2:$A$186,0)),"")</f>
        <v>0</v>
      </c>
      <c r="AP106" s="433">
        <f>IFERROR(INDEX('E-Banker master'!$P$2:$P$186,MATCH($AJ106,'E-Banker master'!$A$2:$A$186,0)),"")</f>
        <v>200235616.44</v>
      </c>
      <c r="AQ106" s="433">
        <f t="shared" si="21"/>
        <v>1431050.2266666591</v>
      </c>
      <c r="AS106" s="444">
        <v>4250000</v>
      </c>
      <c r="AT106" s="444">
        <v>0</v>
      </c>
    </row>
    <row r="107" spans="1:46" x14ac:dyDescent="0.35">
      <c r="A107" s="35"/>
      <c r="B107" s="35"/>
      <c r="C107" s="35"/>
      <c r="D107" s="363">
        <v>103</v>
      </c>
      <c r="E107" s="324" t="s">
        <v>811</v>
      </c>
      <c r="F107" s="169" t="s">
        <v>178</v>
      </c>
      <c r="G107" s="170">
        <f>'Amortisation and Repayments'!C5564</f>
        <v>45587</v>
      </c>
      <c r="H107" s="170">
        <f>'Amortisation and Repayments'!D5588</f>
        <v>46326</v>
      </c>
      <c r="I107" s="171">
        <v>2</v>
      </c>
      <c r="J107" s="178" t="s">
        <v>779</v>
      </c>
      <c r="K107" s="172">
        <v>33</v>
      </c>
      <c r="L107" s="169">
        <v>50000000</v>
      </c>
      <c r="M107" s="173">
        <f>'Amortisation and Repayments'!D5555</f>
        <v>21295000</v>
      </c>
      <c r="N107" s="169">
        <f>L107-M107</f>
        <v>28705000</v>
      </c>
      <c r="O107" s="174">
        <f t="shared" si="22"/>
        <v>21295000</v>
      </c>
      <c r="P107" s="169">
        <f>SUM('Amortisation and Repayments'!H5564)</f>
        <v>195204.16666666666</v>
      </c>
      <c r="Q107" s="169"/>
      <c r="R107" s="262">
        <f t="shared" si="19"/>
        <v>21490204.166666668</v>
      </c>
      <c r="S107" s="176"/>
      <c r="T107" s="176"/>
      <c r="U107" s="167"/>
      <c r="V107" s="181"/>
      <c r="W107" s="169"/>
      <c r="X107" s="169"/>
      <c r="Y107" s="244"/>
      <c r="Z107" s="181"/>
      <c r="AJ107" s="434" t="str">
        <f>IFERROR(INDEX(Mapping!$J$2:$J$110,MATCH(107,Mapping!$A$2:$A$110,0)),"")</f>
        <v>000104430000064</v>
      </c>
      <c r="AK107" s="435" t="str">
        <f>IFERROR(INDEX(Mapping!$K$2:$K$110,MATCH(107,Mapping!$A$2:$A$110,0)),"")</f>
        <v>High</v>
      </c>
      <c r="AL107" s="432" t="str">
        <f>IFERROR(INDEX('E-Banker master'!$B$2:$B$186,MATCH($AJ107,'E-Banker master'!$A$2:$A$186,0)),"")</f>
        <v xml:space="preserve">agwenda investments limited </v>
      </c>
      <c r="AM107" s="432" t="str">
        <f>IFERROR(INDEX('E-Banker master'!$E$2:$E$186,MATCH($AJ107,'E-Banker master'!$A$2:$A$186,0)),"")</f>
        <v>A</v>
      </c>
      <c r="AN107" s="433">
        <f>IFERROR(INDEX('E-Banker master'!$N$2:$N$186,MATCH($AJ107,'E-Banker master'!$A$2:$A$186,0)),"")</f>
        <v>0</v>
      </c>
      <c r="AO107" s="433">
        <f>IFERROR(INDEX('E-Banker master'!$O$2:$O$186,MATCH($AJ107,'E-Banker master'!$A$2:$A$186,0)),"")</f>
        <v>0</v>
      </c>
      <c r="AP107" s="433">
        <f>IFERROR(INDEX('E-Banker master'!$P$2:$P$186,MATCH($AJ107,'E-Banker master'!$A$2:$A$186,0)),"")</f>
        <v>21295000</v>
      </c>
      <c r="AQ107" s="433">
        <f t="shared" si="21"/>
        <v>195204.16666666791</v>
      </c>
      <c r="AS107" s="444">
        <v>1500000</v>
      </c>
      <c r="AT107" s="444">
        <v>1205000</v>
      </c>
    </row>
    <row r="108" spans="1:46" x14ac:dyDescent="0.35">
      <c r="A108" s="35"/>
      <c r="B108" s="35"/>
      <c r="C108" s="35"/>
      <c r="D108" s="363"/>
      <c r="E108" s="168"/>
      <c r="F108" s="169"/>
      <c r="G108" s="170"/>
      <c r="H108" s="170"/>
      <c r="I108" s="171"/>
      <c r="J108" s="178"/>
      <c r="K108" s="172"/>
      <c r="L108" s="169"/>
      <c r="M108" s="173">
        <f>L108</f>
        <v>0</v>
      </c>
      <c r="N108" s="169"/>
      <c r="O108" s="174">
        <f t="shared" si="22"/>
        <v>0</v>
      </c>
      <c r="P108" s="169"/>
      <c r="Q108" s="169"/>
      <c r="R108" s="262">
        <f t="shared" si="19"/>
        <v>0</v>
      </c>
      <c r="S108" s="176"/>
      <c r="T108" s="176"/>
      <c r="U108" s="174"/>
      <c r="V108" s="181"/>
      <c r="W108" s="169"/>
      <c r="X108" s="169"/>
      <c r="Y108" s="244"/>
      <c r="Z108" s="181"/>
      <c r="AJ108" s="35"/>
      <c r="AK108" s="140"/>
    </row>
    <row r="109" spans="1:46" ht="12" customHeight="1" thickBot="1" x14ac:dyDescent="0.4">
      <c r="D109" s="410"/>
      <c r="E109" s="411"/>
      <c r="F109" s="411"/>
      <c r="G109" s="412"/>
      <c r="H109" s="412"/>
      <c r="I109" s="412"/>
      <c r="J109" s="412"/>
      <c r="K109" s="412"/>
      <c r="L109" s="413">
        <f t="shared" ref="L109:Z109" si="23">SUM(L5:L108)</f>
        <v>11284630008.488287</v>
      </c>
      <c r="M109" s="413">
        <f t="shared" si="23"/>
        <v>10628613984.636288</v>
      </c>
      <c r="N109" s="413">
        <f t="shared" si="23"/>
        <v>164600251.87</v>
      </c>
      <c r="O109" s="413">
        <f t="shared" si="23"/>
        <v>10647085181.259468</v>
      </c>
      <c r="P109" s="413">
        <f t="shared" si="23"/>
        <v>2629120070.4834228</v>
      </c>
      <c r="Q109" s="413">
        <f t="shared" si="23"/>
        <v>-5859918210.9053698</v>
      </c>
      <c r="R109" s="413">
        <f t="shared" si="23"/>
        <v>7394084770.1309977</v>
      </c>
      <c r="S109" s="413">
        <f t="shared" si="23"/>
        <v>482754857.20800143</v>
      </c>
      <c r="T109" s="413">
        <f t="shared" si="23"/>
        <v>232920038.3454867</v>
      </c>
      <c r="U109" s="413">
        <f t="shared" si="23"/>
        <v>715674895.5534879</v>
      </c>
      <c r="V109" s="413">
        <f t="shared" si="23"/>
        <v>0</v>
      </c>
      <c r="W109" s="413">
        <f t="shared" si="23"/>
        <v>119458132.74437754</v>
      </c>
      <c r="X109" s="413">
        <f t="shared" si="23"/>
        <v>323331843.68547302</v>
      </c>
      <c r="Y109" s="413">
        <f t="shared" si="23"/>
        <v>105368218.72041921</v>
      </c>
      <c r="Z109" s="413">
        <f t="shared" si="23"/>
        <v>167036152.59556681</v>
      </c>
      <c r="AJ109" s="35"/>
      <c r="AK109" s="140"/>
    </row>
    <row r="110" spans="1:46" x14ac:dyDescent="0.35">
      <c r="D110" s="146"/>
      <c r="F110" s="147"/>
      <c r="G110" s="147"/>
      <c r="H110" s="147"/>
      <c r="I110" s="147"/>
      <c r="J110" s="147"/>
      <c r="K110" s="147"/>
      <c r="L110" s="147"/>
      <c r="M110" s="148"/>
      <c r="N110" s="148"/>
      <c r="O110" s="147"/>
      <c r="P110" s="147"/>
      <c r="Q110" s="147"/>
      <c r="R110" s="333"/>
      <c r="S110" s="409"/>
      <c r="T110" s="409"/>
      <c r="U110" s="326"/>
      <c r="V110" s="147"/>
      <c r="W110" s="147"/>
      <c r="X110" s="147"/>
      <c r="Y110" s="147"/>
      <c r="Z110" s="147"/>
      <c r="AJ110" s="35"/>
      <c r="AK110" s="140"/>
    </row>
    <row r="111" spans="1:46" ht="14.5" customHeight="1" x14ac:dyDescent="0.35">
      <c r="A111" s="35"/>
      <c r="B111" s="35"/>
      <c r="C111" s="35"/>
      <c r="D111" s="179">
        <v>1</v>
      </c>
      <c r="E111" s="168" t="s">
        <v>181</v>
      </c>
      <c r="F111" s="169" t="s">
        <v>182</v>
      </c>
      <c r="G111" s="170">
        <v>44918</v>
      </c>
      <c r="H111" s="169"/>
      <c r="I111" s="171"/>
      <c r="J111" s="178"/>
      <c r="K111" s="172"/>
      <c r="L111" s="169">
        <v>819476000</v>
      </c>
      <c r="M111" s="173">
        <v>819476000</v>
      </c>
      <c r="N111" s="169">
        <f>L111-M111</f>
        <v>0</v>
      </c>
      <c r="O111" s="174">
        <f t="shared" ref="O111:O116" si="24">M111</f>
        <v>819476000</v>
      </c>
      <c r="P111" s="180"/>
      <c r="Q111" s="180"/>
      <c r="R111" s="330">
        <f t="shared" ref="R111:R116" si="25">SUM(O111:Q111)</f>
        <v>819476000</v>
      </c>
      <c r="S111" s="401"/>
      <c r="T111" s="402"/>
      <c r="U111" s="400"/>
      <c r="V111" s="181"/>
      <c r="W111" s="169"/>
      <c r="X111" s="169"/>
      <c r="Y111" s="169"/>
      <c r="Z111" s="181"/>
      <c r="AA111" s="39"/>
      <c r="AB111" s="39"/>
      <c r="AC111" s="39"/>
      <c r="AD111" s="39"/>
      <c r="AE111" s="39"/>
      <c r="AF111" s="39"/>
      <c r="AG111" s="39"/>
      <c r="AH111" s="39"/>
      <c r="AJ111" s="434">
        <f>IFERROR(INDEX(Mapping!$J$2:$J$110,MATCH(111,Mapping!$A$2:$A$110,0)),"")</f>
        <v>0</v>
      </c>
      <c r="AK111" s="435" t="str">
        <f>IFERROR(INDEX(Mapping!$K$2:$K$110,MATCH(111,Mapping!$A$2:$A$110,0)),"")</f>
        <v>Not matched</v>
      </c>
      <c r="AL111" s="432" t="str">
        <f>IFERROR(INDEX('E-Banker master'!$B$2:$B$186,MATCH($AJ111,'E-Banker master'!$A$2:$A$186,0)),"")</f>
        <v/>
      </c>
      <c r="AM111" s="432" t="str">
        <f>IFERROR(INDEX('E-Banker master'!$E$2:$E$186,MATCH($AJ111,'E-Banker master'!$A$2:$A$186,0)),"")</f>
        <v/>
      </c>
      <c r="AN111" s="433" t="str">
        <f>IFERROR(INDEX('E-Banker master'!$N$2:$N$186,MATCH($AJ111,'E-Banker master'!$A$2:$A$186,0)),"")</f>
        <v/>
      </c>
      <c r="AO111" s="433" t="str">
        <f>IFERROR(INDEX('E-Banker master'!$O$2:$O$186,MATCH($AJ111,'E-Banker master'!$A$2:$A$186,0)),"")</f>
        <v/>
      </c>
      <c r="AP111" s="433" t="str">
        <f>IFERROR(INDEX('E-Banker master'!$P$2:$P$186,MATCH($AJ111,'E-Banker master'!$A$2:$A$186,0)),"")</f>
        <v/>
      </c>
      <c r="AQ111" s="433" t="str">
        <f t="shared" ref="AQ111:AQ116" si="26">IF(OR($AJ111="",AP111=""),"",R111-AP111)</f>
        <v/>
      </c>
    </row>
    <row r="112" spans="1:46" x14ac:dyDescent="0.35">
      <c r="A112" s="35"/>
      <c r="B112" s="35"/>
      <c r="C112" s="35"/>
      <c r="D112" s="179">
        <v>2</v>
      </c>
      <c r="E112" s="168" t="s">
        <v>185</v>
      </c>
      <c r="F112" s="169" t="s">
        <v>182</v>
      </c>
      <c r="G112" s="170">
        <v>44918</v>
      </c>
      <c r="H112" s="169"/>
      <c r="I112" s="171"/>
      <c r="J112" s="178"/>
      <c r="K112" s="172"/>
      <c r="L112" s="169">
        <v>177939650</v>
      </c>
      <c r="M112" s="173">
        <v>177939650</v>
      </c>
      <c r="N112" s="169">
        <f>L112-M112</f>
        <v>0</v>
      </c>
      <c r="O112" s="174">
        <f t="shared" si="24"/>
        <v>177939650</v>
      </c>
      <c r="P112" s="180">
        <v>32126085</v>
      </c>
      <c r="Q112" s="180"/>
      <c r="R112" s="262">
        <f t="shared" si="25"/>
        <v>210065735</v>
      </c>
      <c r="S112" s="169"/>
      <c r="T112" s="169"/>
      <c r="U112" s="281"/>
      <c r="V112" s="181"/>
      <c r="W112" s="169"/>
      <c r="X112" s="169"/>
      <c r="Y112" s="169"/>
      <c r="Z112" s="181"/>
      <c r="AA112" s="39"/>
      <c r="AB112" s="39"/>
      <c r="AC112" s="39"/>
      <c r="AD112" s="39"/>
      <c r="AE112" s="39"/>
      <c r="AF112" s="39"/>
      <c r="AG112" s="39"/>
      <c r="AH112" s="39"/>
      <c r="AJ112" s="434">
        <f>IFERROR(INDEX(Mapping!$J$2:$J$110,MATCH(112,Mapping!$A$2:$A$110,0)),"")</f>
        <v>0</v>
      </c>
      <c r="AK112" s="435" t="str">
        <f>IFERROR(INDEX(Mapping!$K$2:$K$110,MATCH(112,Mapping!$A$2:$A$110,0)),"")</f>
        <v>Not matched</v>
      </c>
      <c r="AL112" s="432" t="str">
        <f>IFERROR(INDEX('E-Banker master'!$B$2:$B$186,MATCH($AJ112,'E-Banker master'!$A$2:$A$186,0)),"")</f>
        <v/>
      </c>
      <c r="AM112" s="432" t="str">
        <f>IFERROR(INDEX('E-Banker master'!$E$2:$E$186,MATCH($AJ112,'E-Banker master'!$A$2:$A$186,0)),"")</f>
        <v/>
      </c>
      <c r="AN112" s="433" t="str">
        <f>IFERROR(INDEX('E-Banker master'!$N$2:$N$186,MATCH($AJ112,'E-Banker master'!$A$2:$A$186,0)),"")</f>
        <v/>
      </c>
      <c r="AO112" s="433" t="str">
        <f>IFERROR(INDEX('E-Banker master'!$O$2:$O$186,MATCH($AJ112,'E-Banker master'!$A$2:$A$186,0)),"")</f>
        <v/>
      </c>
      <c r="AP112" s="433" t="str">
        <f>IFERROR(INDEX('E-Banker master'!$P$2:$P$186,MATCH($AJ112,'E-Banker master'!$A$2:$A$186,0)),"")</f>
        <v/>
      </c>
      <c r="AQ112" s="433" t="str">
        <f t="shared" si="26"/>
        <v/>
      </c>
    </row>
    <row r="113" spans="1:43" x14ac:dyDescent="0.35">
      <c r="A113" s="35"/>
      <c r="B113" s="35"/>
      <c r="C113" s="35"/>
      <c r="D113" s="179">
        <v>3</v>
      </c>
      <c r="E113" s="168" t="s">
        <v>187</v>
      </c>
      <c r="F113" s="169" t="s">
        <v>182</v>
      </c>
      <c r="G113" s="170">
        <v>45016</v>
      </c>
      <c r="H113" s="169"/>
      <c r="I113" s="171"/>
      <c r="J113" s="178"/>
      <c r="K113" s="172"/>
      <c r="L113" s="169">
        <v>1500000000</v>
      </c>
      <c r="M113" s="173">
        <v>1500000000</v>
      </c>
      <c r="N113" s="169">
        <f>L113-M113</f>
        <v>0</v>
      </c>
      <c r="O113" s="174">
        <f t="shared" si="24"/>
        <v>1500000000</v>
      </c>
      <c r="P113" s="180"/>
      <c r="Q113" s="180">
        <f>-21718750-102656250</f>
        <v>-124375000</v>
      </c>
      <c r="R113" s="262">
        <f t="shared" si="25"/>
        <v>1375625000</v>
      </c>
      <c r="S113" s="148"/>
      <c r="T113" s="148"/>
      <c r="U113" s="240"/>
      <c r="V113" s="147"/>
      <c r="W113" s="148"/>
      <c r="X113" s="148"/>
      <c r="Y113" s="148"/>
      <c r="Z113" s="147"/>
      <c r="AJ113" s="434">
        <f>IFERROR(INDEX(Mapping!$J$2:$J$110,MATCH(113,Mapping!$A$2:$A$110,0)),"")</f>
        <v>0</v>
      </c>
      <c r="AK113" s="435" t="str">
        <f>IFERROR(INDEX(Mapping!$K$2:$K$110,MATCH(113,Mapping!$A$2:$A$110,0)),"")</f>
        <v>Not matched</v>
      </c>
      <c r="AL113" s="432" t="str">
        <f>IFERROR(INDEX('E-Banker master'!$B$2:$B$186,MATCH($AJ113,'E-Banker master'!$A$2:$A$186,0)),"")</f>
        <v/>
      </c>
      <c r="AM113" s="432" t="str">
        <f>IFERROR(INDEX('E-Banker master'!$E$2:$E$186,MATCH($AJ113,'E-Banker master'!$A$2:$A$186,0)),"")</f>
        <v/>
      </c>
      <c r="AN113" s="433" t="str">
        <f>IFERROR(INDEX('E-Banker master'!$N$2:$N$186,MATCH($AJ113,'E-Banker master'!$A$2:$A$186,0)),"")</f>
        <v/>
      </c>
      <c r="AO113" s="433" t="str">
        <f>IFERROR(INDEX('E-Banker master'!$O$2:$O$186,MATCH($AJ113,'E-Banker master'!$A$2:$A$186,0)),"")</f>
        <v/>
      </c>
      <c r="AP113" s="433" t="str">
        <f>IFERROR(INDEX('E-Banker master'!$P$2:$P$186,MATCH($AJ113,'E-Banker master'!$A$2:$A$186,0)),"")</f>
        <v/>
      </c>
      <c r="AQ113" s="433" t="str">
        <f t="shared" si="26"/>
        <v/>
      </c>
    </row>
    <row r="114" spans="1:43" x14ac:dyDescent="0.35">
      <c r="A114" s="35"/>
      <c r="B114" s="35"/>
      <c r="C114" s="35"/>
      <c r="D114" s="179">
        <v>4</v>
      </c>
      <c r="E114" s="324" t="s">
        <v>693</v>
      </c>
      <c r="F114" s="169" t="s">
        <v>182</v>
      </c>
      <c r="G114" s="170">
        <v>45443</v>
      </c>
      <c r="H114" s="169"/>
      <c r="I114" s="171"/>
      <c r="J114" s="178"/>
      <c r="K114" s="172"/>
      <c r="L114" s="169">
        <v>2500000000</v>
      </c>
      <c r="M114" s="173">
        <v>2500000000</v>
      </c>
      <c r="N114" s="169">
        <f>L114-M114</f>
        <v>0</v>
      </c>
      <c r="O114" s="174">
        <f t="shared" si="24"/>
        <v>2500000000</v>
      </c>
      <c r="P114" s="180"/>
      <c r="Q114" s="180"/>
      <c r="R114" s="262">
        <f t="shared" si="25"/>
        <v>2500000000</v>
      </c>
      <c r="S114" s="148"/>
      <c r="T114" s="35"/>
      <c r="U114" s="240"/>
      <c r="V114" s="237"/>
      <c r="W114" s="148"/>
      <c r="X114" s="148"/>
      <c r="Y114" s="148"/>
      <c r="Z114" s="147"/>
      <c r="AJ114" s="434" t="str">
        <f>IFERROR(INDEX(Mapping!$J$2:$J$110,MATCH(114,Mapping!$A$2:$A$110,0)),"")</f>
        <v>000104470000004</v>
      </c>
      <c r="AK114" s="435" t="str">
        <f>IFERROR(INDEX(Mapping!$K$2:$K$110,MATCH(114,Mapping!$A$2:$A$110,0)),"")</f>
        <v>High</v>
      </c>
      <c r="AL114" s="432" t="str">
        <f>IFERROR(INDEX('E-Banker master'!$B$2:$B$186,MATCH($AJ114,'E-Banker master'!$A$2:$A$186,0)),"")</f>
        <v>NASCOMEX Limited</v>
      </c>
      <c r="AM114" s="432" t="str">
        <f>IFERROR(INDEX('E-Banker master'!$E$2:$E$186,MATCH($AJ114,'E-Banker master'!$A$2:$A$186,0)),"")</f>
        <v>A</v>
      </c>
      <c r="AN114" s="433">
        <f>IFERROR(INDEX('E-Banker master'!$N$2:$N$186,MATCH($AJ114,'E-Banker master'!$A$2:$A$186,0)),"")</f>
        <v>0</v>
      </c>
      <c r="AO114" s="433">
        <f>IFERROR(INDEX('E-Banker master'!$O$2:$O$186,MATCH($AJ114,'E-Banker master'!$A$2:$A$186,0)),"")</f>
        <v>0</v>
      </c>
      <c r="AP114" s="433">
        <f>IFERROR(INDEX('E-Banker master'!$P$2:$P$186,MATCH($AJ114,'E-Banker master'!$A$2:$A$186,0)),"")</f>
        <v>0</v>
      </c>
      <c r="AQ114" s="433">
        <f t="shared" si="26"/>
        <v>2500000000</v>
      </c>
    </row>
    <row r="115" spans="1:43" x14ac:dyDescent="0.35">
      <c r="A115" s="35"/>
      <c r="B115" s="35"/>
      <c r="C115" s="35"/>
      <c r="D115" s="179">
        <v>5</v>
      </c>
      <c r="E115" s="168" t="s">
        <v>785</v>
      </c>
      <c r="F115" s="169" t="s">
        <v>182</v>
      </c>
      <c r="G115" s="170">
        <v>45446</v>
      </c>
      <c r="H115" s="169"/>
      <c r="I115" s="171"/>
      <c r="J115" s="178"/>
      <c r="K115" s="172"/>
      <c r="L115" s="169">
        <v>500000000</v>
      </c>
      <c r="M115" s="173">
        <f>+L115</f>
        <v>500000000</v>
      </c>
      <c r="N115" s="169">
        <v>0</v>
      </c>
      <c r="O115" s="174">
        <f t="shared" si="24"/>
        <v>500000000</v>
      </c>
      <c r="P115" s="180"/>
      <c r="Q115" s="180"/>
      <c r="R115" s="262">
        <f t="shared" si="25"/>
        <v>500000000</v>
      </c>
      <c r="S115" s="148"/>
      <c r="T115" s="35"/>
      <c r="U115" s="240"/>
      <c r="V115" s="237"/>
      <c r="W115" s="148"/>
      <c r="X115" s="148"/>
      <c r="Y115" s="148"/>
      <c r="Z115" s="147"/>
      <c r="AJ115" s="434" t="str">
        <f>IFERROR(INDEX(Mapping!$J$2:$J$110,MATCH(115,Mapping!$A$2:$A$110,0)),"")</f>
        <v>000104430000057</v>
      </c>
      <c r="AK115" s="435" t="str">
        <f>IFERROR(INDEX(Mapping!$K$2:$K$110,MATCH(115,Mapping!$A$2:$A$110,0)),"")</f>
        <v>High</v>
      </c>
      <c r="AL115" s="432" t="str">
        <f>IFERROR(INDEX('E-Banker master'!$B$2:$B$186,MATCH($AJ115,'E-Banker master'!$A$2:$A$186,0)),"")</f>
        <v>NATURES GIFT LIMITED</v>
      </c>
      <c r="AM115" s="432" t="str">
        <f>IFERROR(INDEX('E-Banker master'!$E$2:$E$186,MATCH($AJ115,'E-Banker master'!$A$2:$A$186,0)),"")</f>
        <v>C</v>
      </c>
      <c r="AN115" s="433">
        <f>IFERROR(INDEX('E-Banker master'!$N$2:$N$186,MATCH($AJ115,'E-Banker master'!$A$2:$A$186,0)),"")</f>
        <v>0</v>
      </c>
      <c r="AO115" s="433">
        <f>IFERROR(INDEX('E-Banker master'!$O$2:$O$186,MATCH($AJ115,'E-Banker master'!$A$2:$A$186,0)),"")</f>
        <v>0</v>
      </c>
      <c r="AP115" s="433">
        <f>IFERROR(INDEX('E-Banker master'!$P$2:$P$186,MATCH($AJ115,'E-Banker master'!$A$2:$A$186,0)),"")</f>
        <v>0</v>
      </c>
      <c r="AQ115" s="433">
        <f t="shared" si="26"/>
        <v>500000000</v>
      </c>
    </row>
    <row r="116" spans="1:43" x14ac:dyDescent="0.35">
      <c r="A116" s="35"/>
      <c r="B116" s="35"/>
      <c r="C116" s="35"/>
      <c r="D116" s="179">
        <v>6</v>
      </c>
      <c r="E116" s="324" t="s">
        <v>812</v>
      </c>
      <c r="F116" s="169" t="s">
        <v>182</v>
      </c>
      <c r="G116" s="170">
        <v>45488</v>
      </c>
      <c r="H116" s="169"/>
      <c r="I116" s="171"/>
      <c r="J116" s="178"/>
      <c r="K116" s="172"/>
      <c r="L116" s="169">
        <v>250000000</v>
      </c>
      <c r="M116" s="173">
        <f>+L116</f>
        <v>250000000</v>
      </c>
      <c r="N116" s="169"/>
      <c r="O116" s="174">
        <f t="shared" si="24"/>
        <v>250000000</v>
      </c>
      <c r="P116" s="180"/>
      <c r="Q116" s="180"/>
      <c r="R116" s="262">
        <f t="shared" si="25"/>
        <v>250000000</v>
      </c>
      <c r="S116" s="148"/>
      <c r="T116" s="35"/>
      <c r="U116" s="240"/>
      <c r="V116" s="237"/>
      <c r="W116" s="148"/>
      <c r="X116" s="148"/>
      <c r="Y116" s="148"/>
      <c r="Z116" s="147"/>
      <c r="AJ116" s="434" t="str">
        <f>IFERROR(INDEX(Mapping!$J$2:$J$110,MATCH(116,Mapping!$A$2:$A$110,0)),"")</f>
        <v>000104430000060</v>
      </c>
      <c r="AK116" s="435" t="str">
        <f>IFERROR(INDEX(Mapping!$K$2:$K$110,MATCH(116,Mapping!$A$2:$A$110,0)),"")</f>
        <v>High</v>
      </c>
      <c r="AL116" s="432" t="str">
        <f>IFERROR(INDEX('E-Banker master'!$B$2:$B$186,MATCH($AJ116,'E-Banker master'!$A$2:$A$186,0)),"")</f>
        <v>SMALL FARM CITIES AFRICA LIMITED</v>
      </c>
      <c r="AM116" s="432" t="str">
        <f>IFERROR(INDEX('E-Banker master'!$E$2:$E$186,MATCH($AJ116,'E-Banker master'!$A$2:$A$186,0)),"")</f>
        <v>C</v>
      </c>
      <c r="AN116" s="433">
        <f>IFERROR(INDEX('E-Banker master'!$N$2:$N$186,MATCH($AJ116,'E-Banker master'!$A$2:$A$186,0)),"")</f>
        <v>0</v>
      </c>
      <c r="AO116" s="433">
        <f>IFERROR(INDEX('E-Banker master'!$O$2:$O$186,MATCH($AJ116,'E-Banker master'!$A$2:$A$186,0)),"")</f>
        <v>0</v>
      </c>
      <c r="AP116" s="433">
        <f>IFERROR(INDEX('E-Banker master'!$P$2:$P$186,MATCH($AJ116,'E-Banker master'!$A$2:$A$186,0)),"")</f>
        <v>0</v>
      </c>
      <c r="AQ116" s="433">
        <f t="shared" si="26"/>
        <v>250000000</v>
      </c>
    </row>
    <row r="117" spans="1:43" x14ac:dyDescent="0.35">
      <c r="A117" s="35"/>
      <c r="B117" s="35"/>
      <c r="C117" s="35"/>
      <c r="D117" s="179"/>
      <c r="E117" s="324"/>
      <c r="F117" s="169"/>
      <c r="G117" s="170"/>
      <c r="H117" s="169"/>
      <c r="I117" s="171"/>
      <c r="J117" s="178"/>
      <c r="K117" s="172"/>
      <c r="L117" s="169"/>
      <c r="M117" s="173"/>
      <c r="N117" s="169"/>
      <c r="O117" s="174"/>
      <c r="P117" s="180"/>
      <c r="Q117" s="180"/>
      <c r="R117" s="262"/>
      <c r="S117" s="148"/>
      <c r="T117" s="35"/>
      <c r="U117" s="240"/>
      <c r="V117" s="237"/>
      <c r="W117" s="148"/>
      <c r="X117" s="148"/>
      <c r="Y117" s="148"/>
      <c r="Z117" s="147"/>
      <c r="AJ117" s="35"/>
      <c r="AK117" s="140"/>
    </row>
    <row r="118" spans="1:43" x14ac:dyDescent="0.35">
      <c r="A118" s="35"/>
      <c r="B118" s="35"/>
      <c r="C118" s="35"/>
      <c r="D118" s="179"/>
      <c r="E118" s="168"/>
      <c r="F118" s="169"/>
      <c r="G118" s="169"/>
      <c r="H118" s="169"/>
      <c r="I118" s="171"/>
      <c r="J118" s="178"/>
      <c r="K118" s="172"/>
      <c r="L118" s="174">
        <f t="shared" ref="L118:R118" si="27">SUM(L111:L116)</f>
        <v>5747415650</v>
      </c>
      <c r="M118" s="174">
        <f t="shared" si="27"/>
        <v>5747415650</v>
      </c>
      <c r="N118" s="174">
        <f t="shared" si="27"/>
        <v>0</v>
      </c>
      <c r="O118" s="174">
        <f t="shared" si="27"/>
        <v>5747415650</v>
      </c>
      <c r="P118" s="174">
        <f t="shared" si="27"/>
        <v>32126085</v>
      </c>
      <c r="Q118" s="174">
        <f t="shared" si="27"/>
        <v>-124375000</v>
      </c>
      <c r="R118" s="262">
        <f t="shared" si="27"/>
        <v>5655166735</v>
      </c>
      <c r="S118" s="148"/>
      <c r="T118" s="148"/>
      <c r="U118" s="240"/>
      <c r="V118" s="147"/>
      <c r="W118" s="148"/>
      <c r="X118" s="148"/>
      <c r="Y118" s="148"/>
      <c r="Z118" s="147"/>
      <c r="AJ118" s="35"/>
      <c r="AK118" s="140"/>
    </row>
    <row r="119" spans="1:43" x14ac:dyDescent="0.35">
      <c r="D119" s="146"/>
      <c r="F119" s="147"/>
      <c r="G119" s="147"/>
      <c r="H119" s="147"/>
      <c r="I119" s="147"/>
      <c r="J119" s="147"/>
      <c r="K119" s="147"/>
      <c r="L119" s="147"/>
      <c r="M119" s="148"/>
      <c r="N119" s="148"/>
      <c r="O119" s="147"/>
      <c r="P119" s="147"/>
      <c r="Q119" s="237"/>
      <c r="R119" s="390"/>
      <c r="S119" s="237"/>
      <c r="T119" s="148"/>
      <c r="U119" s="189"/>
      <c r="V119" s="147"/>
      <c r="W119" s="147"/>
      <c r="X119" s="147"/>
      <c r="Y119" s="147"/>
      <c r="Z119" s="147"/>
      <c r="AJ119" s="35"/>
      <c r="AK119" s="140"/>
    </row>
    <row r="120" spans="1:43" x14ac:dyDescent="0.35">
      <c r="D120" s="146"/>
      <c r="E120" s="182" t="s">
        <v>813</v>
      </c>
      <c r="F120" s="183"/>
      <c r="G120" s="183"/>
      <c r="H120" s="183"/>
      <c r="I120" s="183"/>
      <c r="J120" s="183"/>
      <c r="K120" s="184"/>
      <c r="L120" s="185">
        <f t="shared" ref="L120:R120" si="28">L109+L118</f>
        <v>17032045658.488287</v>
      </c>
      <c r="M120" s="185">
        <f t="shared" si="28"/>
        <v>16376029634.636288</v>
      </c>
      <c r="N120" s="185">
        <f t="shared" si="28"/>
        <v>164600251.87</v>
      </c>
      <c r="O120" s="185">
        <f t="shared" si="28"/>
        <v>16394500831.259468</v>
      </c>
      <c r="P120" s="185">
        <f t="shared" si="28"/>
        <v>2661246155.4834228</v>
      </c>
      <c r="Q120" s="174">
        <f t="shared" si="28"/>
        <v>-5984293210.9053698</v>
      </c>
      <c r="R120" s="334">
        <f t="shared" si="28"/>
        <v>13049251505.130997</v>
      </c>
      <c r="S120" s="147"/>
      <c r="T120" s="362"/>
      <c r="U120" s="326"/>
      <c r="V120" s="147"/>
      <c r="W120" s="186"/>
      <c r="X120" s="186">
        <f>X109/U109</f>
        <v>0.45178592360070835</v>
      </c>
      <c r="Y120" s="186">
        <f>Y109/U109</f>
        <v>0.14722916700735975</v>
      </c>
      <c r="Z120" s="147"/>
      <c r="AJ120" s="35"/>
      <c r="AK120" s="140"/>
    </row>
    <row r="121" spans="1:43" ht="12" customHeight="1" thickBot="1" x14ac:dyDescent="0.4">
      <c r="D121" s="146"/>
      <c r="F121" s="147"/>
      <c r="G121" s="147"/>
      <c r="H121" s="147"/>
      <c r="I121" s="147"/>
      <c r="J121" s="147"/>
      <c r="K121" s="147"/>
      <c r="L121" s="147"/>
      <c r="M121" s="148"/>
      <c r="N121" s="148"/>
      <c r="O121" s="147"/>
      <c r="P121" s="147"/>
      <c r="Q121" s="147"/>
      <c r="R121" s="239"/>
      <c r="S121" s="147"/>
      <c r="T121" s="148"/>
      <c r="U121" s="189"/>
      <c r="V121" s="147"/>
      <c r="W121" s="147"/>
      <c r="X121" s="147"/>
      <c r="Y121" s="147"/>
      <c r="Z121" s="147"/>
      <c r="AJ121" s="35"/>
      <c r="AK121" s="140"/>
    </row>
    <row r="122" spans="1:43" ht="12" customHeight="1" thickBot="1" x14ac:dyDescent="0.4">
      <c r="D122" s="146"/>
      <c r="F122" s="147"/>
      <c r="G122" s="147"/>
      <c r="H122" s="147"/>
      <c r="I122" s="147"/>
      <c r="J122" s="147"/>
      <c r="K122" s="147"/>
      <c r="L122" s="147"/>
      <c r="M122" s="148"/>
      <c r="N122" s="148"/>
      <c r="O122" s="237"/>
      <c r="P122" s="147"/>
      <c r="Q122" s="187" t="s">
        <v>814</v>
      </c>
      <c r="R122" s="335">
        <f>R7+R10+R13+R17+R27+R9+R22+R46+R51+R20+R54+R16</f>
        <v>717090561.72296894</v>
      </c>
      <c r="S122" s="148"/>
      <c r="T122" s="148"/>
      <c r="U122" s="414"/>
      <c r="V122" s="147"/>
      <c r="W122" s="147"/>
      <c r="X122" s="189"/>
      <c r="Y122" s="190"/>
      <c r="Z122" s="147"/>
      <c r="AJ122" s="35"/>
      <c r="AK122" s="140"/>
    </row>
    <row r="123" spans="1:43" ht="12" customHeight="1" thickBot="1" x14ac:dyDescent="0.4">
      <c r="D123" s="146"/>
      <c r="F123" s="147"/>
      <c r="G123" s="147"/>
      <c r="H123" s="147"/>
      <c r="I123" s="147"/>
      <c r="J123" s="147"/>
      <c r="K123" s="147"/>
      <c r="L123" s="147"/>
      <c r="M123" s="148"/>
      <c r="N123" s="148"/>
      <c r="O123" s="147"/>
      <c r="P123" s="147"/>
      <c r="Q123" s="191"/>
      <c r="R123" s="239"/>
      <c r="S123" s="147"/>
      <c r="T123" s="326"/>
      <c r="U123" s="189"/>
      <c r="V123" s="147"/>
      <c r="W123" s="147"/>
      <c r="X123" s="147"/>
      <c r="Y123" s="147"/>
      <c r="Z123" s="147"/>
      <c r="AJ123" s="35"/>
      <c r="AK123" s="140"/>
    </row>
    <row r="124" spans="1:43" ht="12" customHeight="1" thickBot="1" x14ac:dyDescent="0.4">
      <c r="D124" s="146"/>
      <c r="F124" s="147"/>
      <c r="G124" s="147"/>
      <c r="H124" s="147"/>
      <c r="I124" s="147"/>
      <c r="J124" s="147"/>
      <c r="K124" s="147"/>
      <c r="L124" s="147"/>
      <c r="M124" s="148"/>
      <c r="N124" s="148"/>
      <c r="O124" s="147"/>
      <c r="P124" s="147"/>
      <c r="Q124" s="191" t="s">
        <v>815</v>
      </c>
      <c r="R124" s="336">
        <f>R122/R109</f>
        <v>9.6981652769212778E-2</v>
      </c>
      <c r="S124" s="147"/>
      <c r="T124" s="188"/>
      <c r="U124" s="414"/>
      <c r="V124" s="147"/>
      <c r="W124" s="147"/>
      <c r="X124" s="147"/>
      <c r="Y124" s="192"/>
      <c r="Z124" s="147"/>
      <c r="AJ124" s="35"/>
      <c r="AK124" s="140"/>
    </row>
    <row r="125" spans="1:43" ht="12" customHeight="1" thickBot="1" x14ac:dyDescent="0.4">
      <c r="T125" s="40"/>
      <c r="U125" s="415"/>
      <c r="AJ125" s="35"/>
      <c r="AK125" s="140"/>
    </row>
    <row r="126" spans="1:43" ht="23.5" customHeight="1" thickBot="1" x14ac:dyDescent="0.4">
      <c r="Q126" s="206" t="s">
        <v>816</v>
      </c>
      <c r="R126" s="337" t="e">
        <f>S126/T126</f>
        <v>#DIV/0!</v>
      </c>
      <c r="S126" s="40"/>
      <c r="T126" s="40"/>
      <c r="U126" s="415"/>
      <c r="AJ126" s="35"/>
      <c r="AK126" s="140"/>
    </row>
    <row r="127" spans="1:43" x14ac:dyDescent="0.35">
      <c r="O127" s="40"/>
      <c r="AJ127" s="35"/>
      <c r="AK127" s="140"/>
    </row>
    <row r="128" spans="1:43" x14ac:dyDescent="0.35">
      <c r="O128" s="40"/>
      <c r="AJ128" s="35"/>
      <c r="AK128" s="140"/>
    </row>
    <row r="129" spans="13:37" outlineLevel="1" x14ac:dyDescent="0.35">
      <c r="O129" s="140"/>
      <c r="AJ129" s="35"/>
      <c r="AK129" s="140"/>
    </row>
    <row r="130" spans="13:37" ht="12" customHeight="1" outlineLevel="1" thickBot="1" x14ac:dyDescent="0.4">
      <c r="AJ130" s="35"/>
    </row>
    <row r="131" spans="13:37" ht="37.25" customHeight="1" outlineLevel="1" thickBot="1" x14ac:dyDescent="0.4">
      <c r="M131" s="98"/>
      <c r="N131" s="99"/>
      <c r="O131" s="100" t="s">
        <v>817</v>
      </c>
      <c r="P131" s="100" t="s">
        <v>818</v>
      </c>
      <c r="Q131" s="99" t="s">
        <v>819</v>
      </c>
      <c r="R131" s="338" t="s">
        <v>820</v>
      </c>
      <c r="AJ131" s="35"/>
    </row>
    <row r="132" spans="13:37" ht="38" customHeight="1" outlineLevel="1" thickBot="1" x14ac:dyDescent="0.4">
      <c r="M132" s="93" t="s">
        <v>821</v>
      </c>
      <c r="N132" s="94"/>
      <c r="O132" s="94"/>
      <c r="P132" s="94"/>
      <c r="Q132" s="94"/>
      <c r="R132" s="339"/>
      <c r="AJ132" s="35"/>
    </row>
    <row r="133" spans="13:37" ht="38" customHeight="1" outlineLevel="1" thickBot="1" x14ac:dyDescent="0.4">
      <c r="M133" s="93" t="s">
        <v>822</v>
      </c>
      <c r="N133" s="95"/>
      <c r="O133" s="95" t="s">
        <v>768</v>
      </c>
      <c r="P133" s="95" t="s">
        <v>768</v>
      </c>
      <c r="Q133" s="95" t="s">
        <v>768</v>
      </c>
      <c r="R133" s="340">
        <v>0</v>
      </c>
      <c r="AJ133" s="35"/>
    </row>
    <row r="134" spans="13:37" ht="13" customHeight="1" outlineLevel="1" thickBot="1" x14ac:dyDescent="0.4">
      <c r="M134" s="93" t="s">
        <v>182</v>
      </c>
      <c r="N134" s="95"/>
      <c r="O134" s="95" t="s">
        <v>768</v>
      </c>
      <c r="P134" s="95" t="s">
        <v>768</v>
      </c>
      <c r="Q134" s="95" t="s">
        <v>768</v>
      </c>
      <c r="R134" s="340">
        <v>0</v>
      </c>
      <c r="AJ134" s="35"/>
    </row>
    <row r="135" spans="13:37" ht="13" customHeight="1" outlineLevel="1" thickBot="1" x14ac:dyDescent="0.4">
      <c r="M135" s="96" t="s">
        <v>823</v>
      </c>
      <c r="N135" s="97"/>
      <c r="O135" s="97">
        <f>SUM(O132:O134)</f>
        <v>0</v>
      </c>
      <c r="P135" s="97">
        <f>SUM(P132:P134)</f>
        <v>0</v>
      </c>
      <c r="Q135" s="97">
        <f>SUM(Q132:Q134)</f>
        <v>0</v>
      </c>
      <c r="R135" s="341">
        <f>SUM(R132:R134)</f>
        <v>0</v>
      </c>
      <c r="AJ135" s="35"/>
    </row>
    <row r="136" spans="13:37" outlineLevel="1" x14ac:dyDescent="0.35">
      <c r="AJ136" s="35"/>
    </row>
    <row r="137" spans="13:37" x14ac:dyDescent="0.35">
      <c r="R137" s="342"/>
      <c r="AJ137" s="35"/>
    </row>
  </sheetData>
  <autoFilter ref="A1:AP137" xr:uid="{00000000-0009-0000-0000-000008000000}"/>
  <pageMargins left="0.70866141732283505" right="0.70866141732283505" top="0.74803149606299202" bottom="0.74803149606299202" header="0.31496062992126" footer="0.31496062992126"/>
  <pageSetup scale="80" orientation="portrait"/>
  <legacy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3">
    <tabColor rgb="FF92D050"/>
    <pageSetUpPr fitToPage="1"/>
  </sheetPr>
  <dimension ref="A1:S5624"/>
  <sheetViews>
    <sheetView showGridLines="0" topLeftCell="C1" zoomScale="83" zoomScaleNormal="92" workbookViewId="0">
      <selection activeCell="C3799" sqref="C3799"/>
    </sheetView>
  </sheetViews>
  <sheetFormatPr defaultColWidth="8.81640625" defaultRowHeight="14.5" outlineLevelRow="1" x14ac:dyDescent="0.35"/>
  <cols>
    <col min="1" max="1" width="1.54296875" style="6" customWidth="1"/>
    <col min="2" max="2" width="5.453125" style="6" customWidth="1"/>
    <col min="3" max="3" width="17.1796875" style="6" customWidth="1"/>
    <col min="4" max="4" width="20" style="6" customWidth="1"/>
    <col min="5" max="5" width="15.54296875" style="6" customWidth="1"/>
    <col min="6" max="6" width="14.1796875" style="7" customWidth="1"/>
    <col min="7" max="7" width="14.90625" style="7" bestFit="1" customWidth="1"/>
    <col min="8" max="8" width="15.1796875" style="7" customWidth="1"/>
    <col min="9" max="9" width="23.453125" style="7" customWidth="1"/>
    <col min="10" max="10" width="18.90625" style="7" bestFit="1" customWidth="1"/>
    <col min="11" max="11" width="17.453125" style="6" customWidth="1"/>
    <col min="12" max="12" width="22.81640625" style="6" customWidth="1"/>
    <col min="13" max="13" width="22.54296875" style="7" customWidth="1"/>
    <col min="14" max="14" width="18.08984375" style="6" customWidth="1"/>
    <col min="15" max="15" width="14.54296875" style="6" bestFit="1" customWidth="1"/>
    <col min="16" max="16" width="14.90625" style="6" bestFit="1" customWidth="1"/>
    <col min="17" max="17" width="8.81640625" style="6" customWidth="1"/>
    <col min="18" max="18" width="30" customWidth="1"/>
    <col min="19" max="19" width="22" customWidth="1"/>
    <col min="20" max="16384" width="8.81640625" style="6"/>
  </cols>
  <sheetData>
    <row r="1" spans="2:19" s="1" customFormat="1" ht="11.5" customHeight="1" x14ac:dyDescent="0.35">
      <c r="C1" s="2" t="s">
        <v>824</v>
      </c>
      <c r="D1" s="3"/>
      <c r="E1" s="3"/>
      <c r="F1" s="3"/>
      <c r="G1" s="3"/>
      <c r="H1" s="3"/>
      <c r="I1" s="3"/>
      <c r="J1" s="3"/>
      <c r="K1" s="3"/>
      <c r="L1" s="3"/>
      <c r="M1" s="3"/>
      <c r="N1" s="3"/>
      <c r="O1" s="3"/>
      <c r="R1" s="430" t="s">
        <v>825</v>
      </c>
    </row>
    <row r="2" spans="2:19" s="1" customFormat="1" ht="11.5" customHeight="1" x14ac:dyDescent="0.25">
      <c r="C2" s="4"/>
      <c r="D2" s="5"/>
      <c r="E2" s="5"/>
      <c r="F2" s="5"/>
      <c r="G2" s="5"/>
      <c r="H2" s="5"/>
      <c r="I2" s="5"/>
      <c r="J2" s="5"/>
      <c r="K2" s="3"/>
      <c r="L2" s="3"/>
      <c r="M2" s="3"/>
      <c r="N2" s="3"/>
      <c r="O2" s="3"/>
    </row>
    <row r="3" spans="2:19" hidden="1" x14ac:dyDescent="0.35">
      <c r="D3" s="7"/>
      <c r="E3" s="7"/>
      <c r="K3" s="7"/>
      <c r="L3" s="7"/>
      <c r="N3" s="7"/>
      <c r="O3" s="7"/>
    </row>
    <row r="4" spans="2:19" s="1" customFormat="1" ht="11.5" hidden="1" customHeight="1" x14ac:dyDescent="0.35">
      <c r="C4" s="8" t="s">
        <v>826</v>
      </c>
      <c r="D4" s="3"/>
      <c r="E4" s="3"/>
      <c r="F4" s="3"/>
      <c r="G4" s="3"/>
      <c r="H4" s="3"/>
      <c r="I4" s="3"/>
      <c r="J4" s="231" t="s">
        <v>827</v>
      </c>
      <c r="K4" s="3" t="s">
        <v>828</v>
      </c>
      <c r="L4" s="231" t="s">
        <v>829</v>
      </c>
      <c r="M4" s="231" t="s">
        <v>830</v>
      </c>
      <c r="N4" s="231" t="s">
        <v>831</v>
      </c>
      <c r="O4" s="3"/>
      <c r="R4" s="438" t="s">
        <v>832</v>
      </c>
      <c r="S4" s="432" t="str">
        <f>IFERROR(INDEX(Blocks!$I$2:$I$101,MATCH(1,Blocks!$A$2:$A$101,0)),"")</f>
        <v>000104430000001</v>
      </c>
    </row>
    <row r="5" spans="2:19" s="1" customFormat="1" ht="11.5" hidden="1" customHeight="1" x14ac:dyDescent="0.35">
      <c r="D5" s="3" t="s">
        <v>833</v>
      </c>
      <c r="E5" s="3"/>
      <c r="F5" s="3"/>
      <c r="G5" s="3"/>
      <c r="H5" s="3"/>
      <c r="I5" s="231">
        <v>44805</v>
      </c>
      <c r="J5" s="230">
        <v>44866</v>
      </c>
      <c r="K5" s="230">
        <v>44896</v>
      </c>
      <c r="L5" s="230">
        <v>45047</v>
      </c>
      <c r="M5" s="230">
        <v>45108</v>
      </c>
      <c r="N5" s="230">
        <v>45139</v>
      </c>
      <c r="O5" s="3"/>
      <c r="R5" s="438" t="s">
        <v>834</v>
      </c>
      <c r="S5" s="432" t="str">
        <f>IFERROR(INDEX(Blocks!$H$2:$H$101,MATCH(1,Blocks!$A$2:$A$101,0)),"")</f>
        <v>Chikho Hotel Limited</v>
      </c>
    </row>
    <row r="6" spans="2:19" s="1" customFormat="1" ht="11.5" hidden="1" customHeight="1" x14ac:dyDescent="0.35">
      <c r="C6" s="9" t="s">
        <v>835</v>
      </c>
      <c r="D6" s="10">
        <v>607931248.68072712</v>
      </c>
      <c r="E6" s="3"/>
      <c r="F6" s="3"/>
      <c r="G6" s="267" t="s">
        <v>835</v>
      </c>
      <c r="H6" s="10">
        <v>606836176.44577456</v>
      </c>
      <c r="I6" s="231" t="s">
        <v>836</v>
      </c>
      <c r="J6" s="231" t="s">
        <v>836</v>
      </c>
      <c r="K6" s="231" t="s">
        <v>836</v>
      </c>
      <c r="L6" s="231" t="s">
        <v>836</v>
      </c>
      <c r="M6" s="231" t="s">
        <v>836</v>
      </c>
      <c r="N6" s="231" t="s">
        <v>836</v>
      </c>
      <c r="O6" s="3"/>
      <c r="R6" s="438" t="s">
        <v>223</v>
      </c>
      <c r="S6" s="433">
        <f>IFERROR(INDEX('E-Banker master'!$N$2:$N$186,MATCH(S4,'E-Banker master'!$A$2:$A$186,0)),"")</f>
        <v>0</v>
      </c>
    </row>
    <row r="7" spans="2:19" s="1" customFormat="1" ht="11.5" hidden="1" customHeight="1" x14ac:dyDescent="0.35">
      <c r="C7" s="11" t="s">
        <v>837</v>
      </c>
      <c r="D7" s="12">
        <v>0.19270000000000001</v>
      </c>
      <c r="E7" s="13"/>
      <c r="F7" s="3"/>
      <c r="G7" s="268" t="s">
        <v>837</v>
      </c>
      <c r="H7" s="266">
        <v>0.20569999999999999</v>
      </c>
      <c r="I7" s="3">
        <f>H7+0.4%</f>
        <v>0.2097</v>
      </c>
      <c r="J7" s="3">
        <f>20.97%+2.7%</f>
        <v>0.23669999999999999</v>
      </c>
      <c r="K7" s="13">
        <f>23.67%+0.7%</f>
        <v>0.24370000000000003</v>
      </c>
      <c r="L7" s="13">
        <f>K7+2.7%</f>
        <v>0.27070000000000005</v>
      </c>
      <c r="M7" s="13">
        <f>L7+1.4%</f>
        <v>0.28470000000000006</v>
      </c>
      <c r="N7" s="13">
        <f>M7+1.3%</f>
        <v>0.29770000000000008</v>
      </c>
      <c r="O7" s="3"/>
      <c r="R7" s="438" t="s">
        <v>52</v>
      </c>
      <c r="S7" s="433">
        <f>IFERROR(INDEX('E-Banker master'!$P$2:$P$186,MATCH(S4,'E-Banker master'!$A$2:$A$186,0)),"")</f>
        <v>0</v>
      </c>
    </row>
    <row r="8" spans="2:19" s="1" customFormat="1" ht="11.5" hidden="1" customHeight="1" x14ac:dyDescent="0.25">
      <c r="C8" s="11" t="s">
        <v>838</v>
      </c>
      <c r="D8" s="14">
        <v>12</v>
      </c>
      <c r="F8" s="3"/>
      <c r="G8" s="268" t="s">
        <v>838</v>
      </c>
      <c r="H8" s="266">
        <v>12</v>
      </c>
      <c r="I8" s="3"/>
      <c r="J8" s="3"/>
      <c r="M8" s="3"/>
    </row>
    <row r="9" spans="2:19" s="1" customFormat="1" ht="11.5" hidden="1" customHeight="1" x14ac:dyDescent="0.25">
      <c r="C9" s="11" t="s">
        <v>839</v>
      </c>
      <c r="D9" s="14">
        <v>12</v>
      </c>
      <c r="F9" s="3"/>
      <c r="G9" s="268" t="s">
        <v>839</v>
      </c>
      <c r="H9" s="266">
        <v>12</v>
      </c>
      <c r="I9" s="3" t="s">
        <v>840</v>
      </c>
      <c r="J9" s="3" t="s">
        <v>841</v>
      </c>
      <c r="K9" s="3" t="s">
        <v>842</v>
      </c>
      <c r="M9" s="3"/>
    </row>
    <row r="10" spans="2:19" s="1" customFormat="1" ht="11.5" hidden="1" customHeight="1" x14ac:dyDescent="0.25">
      <c r="C10" s="11" t="s">
        <v>843</v>
      </c>
      <c r="D10" s="15">
        <f>D8*D9</f>
        <v>144</v>
      </c>
      <c r="F10" s="3"/>
      <c r="G10" s="268" t="s">
        <v>843</v>
      </c>
      <c r="H10" s="266">
        <v>143</v>
      </c>
      <c r="I10" s="231">
        <v>45170</v>
      </c>
      <c r="J10" s="230">
        <v>45200</v>
      </c>
      <c r="K10" s="230">
        <v>45261</v>
      </c>
      <c r="M10" s="3"/>
    </row>
    <row r="11" spans="2:19" s="1" customFormat="1" ht="11.5" hidden="1" customHeight="1" x14ac:dyDescent="0.25">
      <c r="C11" s="11" t="s">
        <v>844</v>
      </c>
      <c r="D11" s="16">
        <v>365</v>
      </c>
      <c r="F11" s="3"/>
      <c r="G11" s="268" t="s">
        <v>844</v>
      </c>
      <c r="H11" s="266">
        <v>365</v>
      </c>
      <c r="I11" s="231" t="s">
        <v>836</v>
      </c>
      <c r="J11" s="231" t="s">
        <v>836</v>
      </c>
      <c r="K11" s="231" t="s">
        <v>836</v>
      </c>
      <c r="M11" s="3"/>
    </row>
    <row r="12" spans="2:19" s="1" customFormat="1" ht="11.5" hidden="1" customHeight="1" x14ac:dyDescent="0.25">
      <c r="C12" s="17" t="s">
        <v>845</v>
      </c>
      <c r="D12" s="18">
        <f>-PMT(D7/D9,D10,D6,0,0)</f>
        <v>10857434.870017258</v>
      </c>
      <c r="E12" s="3"/>
      <c r="F12" s="3"/>
      <c r="G12" s="269" t="s">
        <v>845</v>
      </c>
      <c r="H12" s="18">
        <f>-PMT(H7/H9,H10,H6,0,0)</f>
        <v>11405828.532966318</v>
      </c>
      <c r="I12" s="3">
        <f>N7+0.7%</f>
        <v>0.30470000000000008</v>
      </c>
      <c r="J12" s="13">
        <f>I12+0.1%</f>
        <v>0.30570000000000008</v>
      </c>
      <c r="K12" s="13">
        <f>J12+0.1%</f>
        <v>0.30670000000000008</v>
      </c>
      <c r="M12" s="3"/>
    </row>
    <row r="13" spans="2:19" s="1" customFormat="1" ht="11.5" hidden="1" customHeight="1" x14ac:dyDescent="0.25">
      <c r="D13" s="3"/>
      <c r="E13" s="3"/>
      <c r="F13" s="3"/>
      <c r="G13" s="3"/>
      <c r="H13" s="3"/>
      <c r="I13" s="3"/>
      <c r="J13" s="3"/>
      <c r="M13" s="3"/>
    </row>
    <row r="14" spans="2:19" s="1" customFormat="1" ht="11.5" hidden="1" customHeight="1" x14ac:dyDescent="0.25">
      <c r="C14" s="19" t="s">
        <v>846</v>
      </c>
      <c r="D14" s="20" t="s">
        <v>847</v>
      </c>
      <c r="E14" s="20" t="s">
        <v>764</v>
      </c>
      <c r="F14" s="270" t="s">
        <v>848</v>
      </c>
      <c r="G14" s="270" t="s">
        <v>849</v>
      </c>
      <c r="H14" s="270" t="s">
        <v>742</v>
      </c>
      <c r="I14" s="270" t="s">
        <v>740</v>
      </c>
      <c r="J14" s="270" t="s">
        <v>850</v>
      </c>
      <c r="K14" s="21" t="s">
        <v>851</v>
      </c>
      <c r="L14" s="21" t="s">
        <v>852</v>
      </c>
      <c r="M14" s="3"/>
      <c r="N14" s="3"/>
    </row>
    <row r="15" spans="2:19" s="1" customFormat="1" ht="11.5" hidden="1" customHeight="1" x14ac:dyDescent="0.25">
      <c r="B15" s="1">
        <v>1</v>
      </c>
      <c r="C15" s="22">
        <v>44652</v>
      </c>
      <c r="D15" s="22">
        <v>44681</v>
      </c>
      <c r="E15" s="23">
        <f t="shared" ref="E15:E34" si="0">D15-C15+1</f>
        <v>30</v>
      </c>
      <c r="F15" s="3">
        <f>D6</f>
        <v>607931248.68072712</v>
      </c>
      <c r="G15" s="3">
        <f>-PMT($D$7/$D$9,144,$F$15,,0)</f>
        <v>10857434.870017258</v>
      </c>
      <c r="H15" s="3">
        <f>$D$7/$D$9*F15</f>
        <v>9762362.6350646764</v>
      </c>
      <c r="I15" s="3">
        <f t="shared" ref="I15:I36" si="1">G15-H15</f>
        <v>1095072.234952582</v>
      </c>
      <c r="J15" s="3">
        <f t="shared" ref="J15:J32" si="2">F15-I15</f>
        <v>606836176.44577456</v>
      </c>
      <c r="K15" s="24">
        <v>10857434.869999999</v>
      </c>
      <c r="L15" s="24">
        <f>G15-K15</f>
        <v>1.7259269952774048E-5</v>
      </c>
      <c r="M15" s="142"/>
      <c r="O15" s="25"/>
      <c r="P15" s="25"/>
    </row>
    <row r="16" spans="2:19" s="1" customFormat="1" ht="11.5" hidden="1" customHeight="1" x14ac:dyDescent="0.25">
      <c r="B16" s="1">
        <v>2</v>
      </c>
      <c r="C16" s="22">
        <v>44682</v>
      </c>
      <c r="D16" s="22">
        <v>44712</v>
      </c>
      <c r="E16" s="23">
        <f t="shared" si="0"/>
        <v>31</v>
      </c>
      <c r="F16" s="3">
        <f>J15+F6</f>
        <v>606836176.44577456</v>
      </c>
      <c r="G16" s="3">
        <f>-PMT($H$7/$D$9,143,$F$16,,0)</f>
        <v>11405828.532966318</v>
      </c>
      <c r="H16" s="3">
        <f>$H$7/$D$9*F16</f>
        <v>10402183.457907986</v>
      </c>
      <c r="I16" s="3">
        <f t="shared" si="1"/>
        <v>1003645.0750583317</v>
      </c>
      <c r="J16" s="3">
        <f t="shared" si="2"/>
        <v>605832531.37071621</v>
      </c>
      <c r="K16" s="24">
        <v>10857434.869999999</v>
      </c>
      <c r="L16" s="24">
        <f>G16-K16</f>
        <v>548393.66296631843</v>
      </c>
      <c r="M16" s="3"/>
      <c r="N16" s="3"/>
    </row>
    <row r="17" spans="2:14" s="283" customFormat="1" ht="11.5" hidden="1" customHeight="1" x14ac:dyDescent="0.25">
      <c r="B17" s="283">
        <v>3</v>
      </c>
      <c r="C17" s="284">
        <v>44713</v>
      </c>
      <c r="D17" s="284">
        <v>44742</v>
      </c>
      <c r="E17" s="285">
        <f t="shared" si="0"/>
        <v>30</v>
      </c>
      <c r="F17" s="271">
        <f>J16+F7</f>
        <v>605832531.37071621</v>
      </c>
      <c r="G17" s="271">
        <f>-PMT($H$7/$D$9,143,$F$16,,0)</f>
        <v>11405828.532966318</v>
      </c>
      <c r="H17" s="271">
        <f>$H$7/$D$9*F17</f>
        <v>10384979.308579693</v>
      </c>
      <c r="I17" s="271">
        <f t="shared" si="1"/>
        <v>1020849.224386625</v>
      </c>
      <c r="J17" s="271">
        <f t="shared" si="2"/>
        <v>604811682.14632964</v>
      </c>
      <c r="K17" s="31">
        <f>548393.66+11405828.54</f>
        <v>11954222.199999999</v>
      </c>
      <c r="L17" s="31">
        <f t="shared" ref="L17:L32" si="3">L16+G17-K17</f>
        <v>-4.0673632174730301E-3</v>
      </c>
      <c r="M17" s="271"/>
      <c r="N17" s="271"/>
    </row>
    <row r="18" spans="2:14" s="1" customFormat="1" ht="11.5" hidden="1" customHeight="1" x14ac:dyDescent="0.25">
      <c r="B18" s="1">
        <v>4</v>
      </c>
      <c r="C18" s="22">
        <v>44743</v>
      </c>
      <c r="D18" s="22">
        <v>44773</v>
      </c>
      <c r="E18" s="23">
        <f t="shared" si="0"/>
        <v>31</v>
      </c>
      <c r="F18" s="3">
        <f t="shared" ref="F18:F36" si="4">J17</f>
        <v>604811682.14632964</v>
      </c>
      <c r="G18" s="3">
        <f>-PMT($H$7/$D$9,143,$F$16,,0)</f>
        <v>11405828.532966318</v>
      </c>
      <c r="H18" s="3">
        <f>$H$7/$D$9*F18</f>
        <v>10367480.251458334</v>
      </c>
      <c r="I18" s="3">
        <f t="shared" si="1"/>
        <v>1038348.2815079838</v>
      </c>
      <c r="J18" s="3">
        <f t="shared" si="2"/>
        <v>603773333.86482167</v>
      </c>
      <c r="K18" s="24">
        <v>11405828.529999999</v>
      </c>
      <c r="L18" s="24">
        <f t="shared" si="3"/>
        <v>-1.1010449379682541E-3</v>
      </c>
      <c r="M18" s="3"/>
      <c r="N18" s="3"/>
    </row>
    <row r="19" spans="2:14" s="1" customFormat="1" ht="11.5" hidden="1" customHeight="1" x14ac:dyDescent="0.25">
      <c r="B19" s="1">
        <v>5</v>
      </c>
      <c r="C19" s="22">
        <v>44774</v>
      </c>
      <c r="D19" s="22">
        <v>44804</v>
      </c>
      <c r="E19" s="23">
        <f t="shared" si="0"/>
        <v>31</v>
      </c>
      <c r="F19" s="3">
        <f t="shared" si="4"/>
        <v>603773333.86482167</v>
      </c>
      <c r="G19" s="3">
        <f>-PMT($H$7/$D$9,143,$F$16,,0)</f>
        <v>11405828.532966318</v>
      </c>
      <c r="H19" s="3">
        <f>$H$7/$D$9*F19</f>
        <v>10349681.231332818</v>
      </c>
      <c r="I19" s="3">
        <f t="shared" si="1"/>
        <v>1056147.3016334996</v>
      </c>
      <c r="J19" s="3">
        <f t="shared" si="2"/>
        <v>602717186.5631882</v>
      </c>
      <c r="K19" s="24">
        <v>11405828.529999999</v>
      </c>
      <c r="L19" s="24">
        <f t="shared" si="3"/>
        <v>1.8652733415365219E-3</v>
      </c>
      <c r="M19" s="3"/>
      <c r="N19" s="3"/>
    </row>
    <row r="20" spans="2:14" s="1" customFormat="1" ht="11.5" hidden="1" customHeight="1" x14ac:dyDescent="0.25">
      <c r="B20" s="1">
        <v>6</v>
      </c>
      <c r="C20" s="22">
        <v>44805</v>
      </c>
      <c r="D20" s="22">
        <v>44834</v>
      </c>
      <c r="E20" s="23">
        <f t="shared" si="0"/>
        <v>30</v>
      </c>
      <c r="F20" s="3">
        <f t="shared" si="4"/>
        <v>602717186.5631882</v>
      </c>
      <c r="G20" s="3">
        <f>-PMT($I$7/$D$9,139,$F$20,,0)</f>
        <v>11574042.676913859</v>
      </c>
      <c r="H20" s="3">
        <f>$I$7/$D$9*F20</f>
        <v>10532482.835191714</v>
      </c>
      <c r="I20" s="3">
        <f t="shared" si="1"/>
        <v>1041559.8417221457</v>
      </c>
      <c r="J20" s="3">
        <f t="shared" si="2"/>
        <v>601675626.72146606</v>
      </c>
      <c r="K20" s="24">
        <v>11405828.529999999</v>
      </c>
      <c r="L20" s="24">
        <f t="shared" si="3"/>
        <v>168214.14877913333</v>
      </c>
      <c r="M20" s="3"/>
    </row>
    <row r="21" spans="2:14" s="1" customFormat="1" ht="11.5" hidden="1" customHeight="1" x14ac:dyDescent="0.25">
      <c r="B21" s="1">
        <v>7</v>
      </c>
      <c r="C21" s="22">
        <v>44835</v>
      </c>
      <c r="D21" s="22">
        <v>44865</v>
      </c>
      <c r="E21" s="23">
        <f t="shared" si="0"/>
        <v>31</v>
      </c>
      <c r="F21" s="3">
        <f t="shared" si="4"/>
        <v>601675626.72146606</v>
      </c>
      <c r="G21" s="3">
        <f>-PMT($I$7/$D$9,139,$F$20,,0)</f>
        <v>11574042.676913859</v>
      </c>
      <c r="H21" s="3">
        <f>$I$7/$D$9*F21</f>
        <v>10514281.576957621</v>
      </c>
      <c r="I21" s="3">
        <f t="shared" si="1"/>
        <v>1059761.0999562386</v>
      </c>
      <c r="J21" s="3">
        <f t="shared" si="2"/>
        <v>600615865.62150979</v>
      </c>
      <c r="K21" s="24">
        <v>11405828.529999999</v>
      </c>
      <c r="L21" s="24">
        <f t="shared" si="3"/>
        <v>336428.29569299333</v>
      </c>
      <c r="M21" s="24"/>
    </row>
    <row r="22" spans="2:14" s="1" customFormat="1" ht="11.5" hidden="1" customHeight="1" x14ac:dyDescent="0.25">
      <c r="B22" s="1">
        <v>8</v>
      </c>
      <c r="C22" s="22">
        <v>44866</v>
      </c>
      <c r="D22" s="22">
        <v>44895</v>
      </c>
      <c r="E22" s="23">
        <f t="shared" si="0"/>
        <v>30</v>
      </c>
      <c r="F22" s="3">
        <f t="shared" si="4"/>
        <v>600615865.62150979</v>
      </c>
      <c r="G22" s="3">
        <f>-PMT($J$7/$D$9,137,$F$22,,0)</f>
        <v>12722953.712759065</v>
      </c>
      <c r="H22" s="3">
        <f>$J$7/$D$9*F22</f>
        <v>11847147.94938428</v>
      </c>
      <c r="I22" s="3">
        <f t="shared" si="1"/>
        <v>875805.76337478496</v>
      </c>
      <c r="J22" s="3">
        <f t="shared" si="2"/>
        <v>599740059.85813498</v>
      </c>
      <c r="K22" s="24">
        <v>11405828.529999999</v>
      </c>
      <c r="L22" s="24">
        <f t="shared" si="3"/>
        <v>1653553.4784520585</v>
      </c>
      <c r="M22" s="3"/>
    </row>
    <row r="23" spans="2:14" s="1" customFormat="1" ht="11.5" hidden="1" customHeight="1" x14ac:dyDescent="0.25">
      <c r="B23" s="1">
        <v>9</v>
      </c>
      <c r="C23" s="22">
        <v>44896</v>
      </c>
      <c r="D23" s="22">
        <v>44926</v>
      </c>
      <c r="E23" s="23">
        <f t="shared" si="0"/>
        <v>31</v>
      </c>
      <c r="F23" s="3">
        <f t="shared" si="4"/>
        <v>599740059.85813498</v>
      </c>
      <c r="G23" s="3">
        <f>-PMT($K$7/$D$9,136,$F$23,,0)</f>
        <v>13025630.264233094</v>
      </c>
      <c r="H23" s="3">
        <f>$K$7/$D$9*F23</f>
        <v>12179721.048952293</v>
      </c>
      <c r="I23" s="3">
        <f t="shared" si="1"/>
        <v>845909.21528080106</v>
      </c>
      <c r="J23" s="3">
        <f t="shared" si="2"/>
        <v>598894150.64285421</v>
      </c>
      <c r="K23" s="24"/>
      <c r="L23" s="24">
        <f t="shared" si="3"/>
        <v>14679183.742685152</v>
      </c>
      <c r="M23" s="286"/>
      <c r="N23" s="24"/>
    </row>
    <row r="24" spans="2:14" s="1" customFormat="1" ht="11.5" hidden="1" customHeight="1" x14ac:dyDescent="0.25">
      <c r="B24" s="1">
        <v>10</v>
      </c>
      <c r="C24" s="22">
        <v>44927</v>
      </c>
      <c r="D24" s="22">
        <v>44957</v>
      </c>
      <c r="E24" s="23">
        <f t="shared" si="0"/>
        <v>31</v>
      </c>
      <c r="F24" s="3">
        <f t="shared" si="4"/>
        <v>598894150.64285421</v>
      </c>
      <c r="G24" s="3">
        <f>-PMT($K$7/$D$9,136,$F$23,,0)</f>
        <v>13025630.264233094</v>
      </c>
      <c r="H24" s="3">
        <f>$K$7/$D$9*F24</f>
        <v>12162542.042638632</v>
      </c>
      <c r="I24" s="3">
        <f t="shared" si="1"/>
        <v>863088.22159446217</v>
      </c>
      <c r="J24" s="3">
        <f t="shared" si="2"/>
        <v>598031062.42125976</v>
      </c>
      <c r="K24" s="24">
        <f>14679183.74+13025630.25</f>
        <v>27704813.990000002</v>
      </c>
      <c r="L24" s="24">
        <f t="shared" si="3"/>
        <v>1.691824197769165E-2</v>
      </c>
      <c r="M24" s="3"/>
    </row>
    <row r="25" spans="2:14" s="1" customFormat="1" ht="11.5" hidden="1" customHeight="1" x14ac:dyDescent="0.25">
      <c r="B25" s="1">
        <v>11</v>
      </c>
      <c r="C25" s="22">
        <v>44958</v>
      </c>
      <c r="D25" s="22">
        <v>44985</v>
      </c>
      <c r="E25" s="23">
        <f t="shared" si="0"/>
        <v>28</v>
      </c>
      <c r="F25" s="3">
        <f t="shared" si="4"/>
        <v>598031062.42125976</v>
      </c>
      <c r="G25" s="3">
        <f>-PMT($K$7/$D$9,136,$F$23,,0)</f>
        <v>13025630.264233094</v>
      </c>
      <c r="H25" s="3">
        <f>$K$7/$D$9*F25</f>
        <v>12145014.159338418</v>
      </c>
      <c r="I25" s="3">
        <f t="shared" si="1"/>
        <v>880616.10489467531</v>
      </c>
      <c r="J25" s="3">
        <f t="shared" si="2"/>
        <v>597150446.31636512</v>
      </c>
      <c r="K25" s="24">
        <v>13025630.26</v>
      </c>
      <c r="L25" s="24">
        <f t="shared" si="3"/>
        <v>2.1151335909962654E-2</v>
      </c>
      <c r="M25" s="3"/>
    </row>
    <row r="26" spans="2:14" s="1" customFormat="1" ht="11.5" hidden="1" customHeight="1" x14ac:dyDescent="0.25">
      <c r="B26" s="1">
        <v>12</v>
      </c>
      <c r="C26" s="22">
        <v>44986</v>
      </c>
      <c r="D26" s="22">
        <v>45016</v>
      </c>
      <c r="E26" s="23">
        <f t="shared" si="0"/>
        <v>31</v>
      </c>
      <c r="F26" s="3">
        <f t="shared" si="4"/>
        <v>597150446.31636512</v>
      </c>
      <c r="G26" s="3">
        <f>-PMT($K$7/$D$9,136,$F$23,,0)</f>
        <v>13025630.264233094</v>
      </c>
      <c r="H26" s="3">
        <f>$K$7/$D$9*F26</f>
        <v>12127130.313941516</v>
      </c>
      <c r="I26" s="3">
        <f t="shared" si="1"/>
        <v>898499.95029157773</v>
      </c>
      <c r="J26" s="3">
        <f t="shared" si="2"/>
        <v>596251946.36607349</v>
      </c>
      <c r="K26" s="24">
        <v>13025630.26</v>
      </c>
      <c r="L26" s="24">
        <f t="shared" si="3"/>
        <v>2.5384429842233658E-2</v>
      </c>
      <c r="M26" s="3"/>
      <c r="N26" s="24"/>
    </row>
    <row r="27" spans="2:14" s="1" customFormat="1" ht="11.5" hidden="1" customHeight="1" x14ac:dyDescent="0.25">
      <c r="B27" s="1">
        <v>13</v>
      </c>
      <c r="C27" s="22">
        <v>45017</v>
      </c>
      <c r="D27" s="22">
        <v>45046</v>
      </c>
      <c r="E27" s="23">
        <f t="shared" si="0"/>
        <v>30</v>
      </c>
      <c r="F27" s="3">
        <f t="shared" si="4"/>
        <v>596251946.36607349</v>
      </c>
      <c r="G27" s="3">
        <f>-PMT($K$7/$D$9,136,$F$23,,0)</f>
        <v>13025630.264233094</v>
      </c>
      <c r="H27" s="3">
        <f>$K$7/$D$9*F27</f>
        <v>12108883.27745101</v>
      </c>
      <c r="I27" s="3">
        <f t="shared" si="1"/>
        <v>916746.98678208329</v>
      </c>
      <c r="J27" s="3">
        <f t="shared" si="2"/>
        <v>595335199.37929142</v>
      </c>
      <c r="K27" s="24">
        <v>13025630.26</v>
      </c>
      <c r="L27" s="24">
        <f t="shared" si="3"/>
        <v>2.9617523774504662E-2</v>
      </c>
      <c r="M27" s="3"/>
    </row>
    <row r="28" spans="2:14" s="1" customFormat="1" ht="11.5" hidden="1" customHeight="1" x14ac:dyDescent="0.25">
      <c r="B28" s="1">
        <v>14</v>
      </c>
      <c r="C28" s="22">
        <v>45047</v>
      </c>
      <c r="D28" s="22">
        <v>45077</v>
      </c>
      <c r="E28" s="23">
        <f t="shared" si="0"/>
        <v>31</v>
      </c>
      <c r="F28" s="3">
        <f t="shared" si="4"/>
        <v>595335199.37929142</v>
      </c>
      <c r="G28" s="3">
        <f>-PMT($L$7/$D$9,131,$F$28,,0)</f>
        <v>14193517.622261345</v>
      </c>
      <c r="H28" s="3">
        <f>$L$7/$D$9*F28</f>
        <v>13429769.872664517</v>
      </c>
      <c r="I28" s="3">
        <f t="shared" si="1"/>
        <v>763747.74959682859</v>
      </c>
      <c r="J28" s="3">
        <f t="shared" si="2"/>
        <v>594571451.62969458</v>
      </c>
      <c r="K28" s="24">
        <v>13025630.26</v>
      </c>
      <c r="L28" s="24">
        <f t="shared" si="3"/>
        <v>1167887.3918788694</v>
      </c>
      <c r="M28" s="3" t="e">
        <f>+[2]Sheet2!$AD$4</f>
        <v>#REF!</v>
      </c>
    </row>
    <row r="29" spans="2:14" s="1" customFormat="1" ht="11.5" hidden="1" customHeight="1" x14ac:dyDescent="0.25">
      <c r="B29" s="1">
        <v>15</v>
      </c>
      <c r="C29" s="22">
        <v>45078</v>
      </c>
      <c r="D29" s="22">
        <v>45107</v>
      </c>
      <c r="E29" s="23">
        <f t="shared" si="0"/>
        <v>30</v>
      </c>
      <c r="F29" s="3">
        <f t="shared" si="4"/>
        <v>594571451.62969458</v>
      </c>
      <c r="G29" s="3">
        <f>-PMT($L$7/$D$9,131,$F$28,,0)</f>
        <v>14193517.622261345</v>
      </c>
      <c r="H29" s="3">
        <f>$L$7/$D$9*F29</f>
        <v>13412540.99634653</v>
      </c>
      <c r="I29" s="3">
        <f t="shared" si="1"/>
        <v>780976.62591481581</v>
      </c>
      <c r="J29" s="3">
        <f t="shared" si="2"/>
        <v>593790475.00377977</v>
      </c>
      <c r="K29" s="24">
        <v>13025630.26</v>
      </c>
      <c r="L29" s="26">
        <f t="shared" si="3"/>
        <v>2335774.754140215</v>
      </c>
      <c r="M29" s="3"/>
    </row>
    <row r="30" spans="2:14" s="1" customFormat="1" ht="11.5" hidden="1" customHeight="1" x14ac:dyDescent="0.25">
      <c r="B30" s="1">
        <v>16</v>
      </c>
      <c r="C30" s="22">
        <v>45108</v>
      </c>
      <c r="D30" s="22">
        <v>45138</v>
      </c>
      <c r="E30" s="23">
        <f t="shared" si="0"/>
        <v>31</v>
      </c>
      <c r="F30" s="3">
        <f t="shared" si="4"/>
        <v>593790475.00377977</v>
      </c>
      <c r="G30" s="271">
        <f>-PMT($M$7/$D$9,129,$F$30,,0)</f>
        <v>14806821.527594594</v>
      </c>
      <c r="H30" s="3">
        <f>$M$7/$D$9*F30</f>
        <v>14087679.019464679</v>
      </c>
      <c r="I30" s="3">
        <f t="shared" si="1"/>
        <v>719142.50812991522</v>
      </c>
      <c r="J30" s="3">
        <f t="shared" si="2"/>
        <v>593071332.49564981</v>
      </c>
      <c r="K30" s="24">
        <v>13025630.26</v>
      </c>
      <c r="L30" s="26">
        <f t="shared" si="3"/>
        <v>4116966.0217348095</v>
      </c>
      <c r="M30" s="3"/>
    </row>
    <row r="31" spans="2:14" s="1" customFormat="1" ht="11.5" hidden="1" customHeight="1" x14ac:dyDescent="0.25">
      <c r="B31" s="1">
        <v>17</v>
      </c>
      <c r="C31" s="22">
        <v>45139</v>
      </c>
      <c r="D31" s="22">
        <v>45169</v>
      </c>
      <c r="E31" s="23">
        <f t="shared" si="0"/>
        <v>31</v>
      </c>
      <c r="F31" s="3">
        <f t="shared" si="4"/>
        <v>593071332.49564981</v>
      </c>
      <c r="G31" s="271">
        <f>-PMT($N$7/$D$9,128,$F$31,,0)</f>
        <v>15381034.571895653</v>
      </c>
      <c r="H31" s="3">
        <f>$N$7/$D$9*F31</f>
        <v>14713111.306996249</v>
      </c>
      <c r="I31" s="3">
        <f t="shared" si="1"/>
        <v>667923.26489940472</v>
      </c>
      <c r="J31" s="3">
        <f t="shared" si="2"/>
        <v>592403409.23075044</v>
      </c>
      <c r="K31" s="31">
        <v>13025630.26</v>
      </c>
      <c r="L31" s="24">
        <f t="shared" si="3"/>
        <v>6472370.3336304631</v>
      </c>
      <c r="M31" s="3"/>
    </row>
    <row r="32" spans="2:14" s="1" customFormat="1" ht="11.5" hidden="1" customHeight="1" x14ac:dyDescent="0.25">
      <c r="B32" s="1">
        <v>18</v>
      </c>
      <c r="C32" s="22">
        <v>45170</v>
      </c>
      <c r="D32" s="22">
        <v>45199</v>
      </c>
      <c r="E32" s="23">
        <f t="shared" si="0"/>
        <v>30</v>
      </c>
      <c r="F32" s="3">
        <f t="shared" si="4"/>
        <v>592403409.23075044</v>
      </c>
      <c r="G32" s="271">
        <f>-PMT($I$12/$D$9,127,$F$32,,0)</f>
        <v>15691743.814288959</v>
      </c>
      <c r="H32" s="3">
        <f>$I$12/$D$9*F32</f>
        <v>15042109.899384143</v>
      </c>
      <c r="I32" s="3">
        <f t="shared" si="1"/>
        <v>649633.91490481608</v>
      </c>
      <c r="J32" s="3">
        <f t="shared" si="2"/>
        <v>591753775.31584561</v>
      </c>
      <c r="K32" s="24">
        <f>6472370.33+13025630.26</f>
        <v>19498000.59</v>
      </c>
      <c r="L32" s="24">
        <f t="shared" si="3"/>
        <v>2666113.557919424</v>
      </c>
      <c r="M32" s="3">
        <f>K33-G33-L32</f>
        <v>191092566.90450251</v>
      </c>
    </row>
    <row r="33" spans="2:19" s="1" customFormat="1" ht="11.5" hidden="1" customHeight="1" x14ac:dyDescent="0.25">
      <c r="B33" s="1">
        <v>19</v>
      </c>
      <c r="C33" s="22">
        <v>45200</v>
      </c>
      <c r="D33" s="22">
        <v>45230</v>
      </c>
      <c r="E33" s="23">
        <f t="shared" si="0"/>
        <v>31</v>
      </c>
      <c r="F33" s="3">
        <f t="shared" si="4"/>
        <v>591753775.31584561</v>
      </c>
      <c r="G33" s="271">
        <f>-PMT($J$12/$D$9,126,$F$33,,0)</f>
        <v>15736135.837578101</v>
      </c>
      <c r="H33" s="3">
        <f>$J$12/$D$9*F33</f>
        <v>15074927.426171172</v>
      </c>
      <c r="I33" s="3">
        <f t="shared" si="1"/>
        <v>661208.41140692867</v>
      </c>
      <c r="J33" s="3">
        <f>F33-I33-M32</f>
        <v>399999999.99993622</v>
      </c>
      <c r="K33" s="24">
        <f>209494816.3</f>
        <v>209494816.30000001</v>
      </c>
      <c r="L33" s="24"/>
      <c r="M33" s="3"/>
    </row>
    <row r="34" spans="2:19" s="1" customFormat="1" ht="11.5" hidden="1" customHeight="1" x14ac:dyDescent="0.25">
      <c r="B34" s="1">
        <v>20</v>
      </c>
      <c r="C34" s="22">
        <v>45231</v>
      </c>
      <c r="D34" s="22">
        <v>45244</v>
      </c>
      <c r="E34" s="23">
        <f t="shared" si="0"/>
        <v>14</v>
      </c>
      <c r="F34" s="3">
        <f t="shared" si="4"/>
        <v>399999999.99993622</v>
      </c>
      <c r="G34" s="271">
        <v>204355178.08000001</v>
      </c>
      <c r="H34" s="3">
        <f>($J$12*F34)*13/365</f>
        <v>4355178.0821910882</v>
      </c>
      <c r="I34" s="3">
        <f t="shared" si="1"/>
        <v>199999999.99780893</v>
      </c>
      <c r="J34" s="3">
        <f>F34-I34</f>
        <v>200000000.00212729</v>
      </c>
      <c r="K34" s="24">
        <f>204355178.08+5324423.52</f>
        <v>209679601.60000002</v>
      </c>
      <c r="L34" s="205">
        <f>L33+G34-K34</f>
        <v>-5324423.5200000107</v>
      </c>
      <c r="M34" s="3"/>
    </row>
    <row r="35" spans="2:19" s="1" customFormat="1" ht="11.5" hidden="1" customHeight="1" x14ac:dyDescent="0.25">
      <c r="C35" s="22">
        <v>45244</v>
      </c>
      <c r="D35" s="22">
        <v>45260</v>
      </c>
      <c r="E35" s="23">
        <v>16</v>
      </c>
      <c r="F35" s="3">
        <f t="shared" si="4"/>
        <v>200000000.00212729</v>
      </c>
      <c r="G35" s="271">
        <f>100000000+5324423.52</f>
        <v>105324423.52</v>
      </c>
      <c r="H35" s="3">
        <f>($J$12*F35)*16/365</f>
        <v>2680109.5890696035</v>
      </c>
      <c r="I35" s="3">
        <f t="shared" si="1"/>
        <v>102644313.93093039</v>
      </c>
      <c r="J35" s="3">
        <f>F35-I35</f>
        <v>97355686.071196899</v>
      </c>
      <c r="K35" s="24">
        <v>100000000</v>
      </c>
      <c r="L35" s="205">
        <f>L34+G35-K35</f>
        <v>0</v>
      </c>
      <c r="M35" s="3"/>
    </row>
    <row r="36" spans="2:19" s="1" customFormat="1" ht="11.5" hidden="1" customHeight="1" x14ac:dyDescent="0.25">
      <c r="B36" s="1">
        <v>21</v>
      </c>
      <c r="C36" s="22">
        <v>45261</v>
      </c>
      <c r="D36" s="22">
        <v>45291</v>
      </c>
      <c r="E36" s="23">
        <f>D36-C36+1</f>
        <v>31</v>
      </c>
      <c r="F36" s="3">
        <f t="shared" si="4"/>
        <v>97355686.071196899</v>
      </c>
      <c r="G36" s="271">
        <v>98800475.859999999</v>
      </c>
      <c r="H36" s="3">
        <f>($K$12/$D$9*F36)*18/31</f>
        <v>1444789.7863565853</v>
      </c>
      <c r="I36" s="3">
        <f t="shared" si="1"/>
        <v>97355686.073643416</v>
      </c>
      <c r="J36" s="3">
        <f>F36-I36</f>
        <v>-2.4465173482894897E-3</v>
      </c>
      <c r="K36" s="24">
        <f>F36+H36</f>
        <v>98800475.857553482</v>
      </c>
      <c r="L36" s="24" t="s">
        <v>853</v>
      </c>
      <c r="M36" s="3"/>
    </row>
    <row r="37" spans="2:19" s="1" customFormat="1" ht="11.5" hidden="1" customHeight="1" x14ac:dyDescent="0.25">
      <c r="C37" s="22"/>
      <c r="D37" s="22"/>
      <c r="E37" s="23"/>
      <c r="F37" s="3"/>
      <c r="G37" s="3"/>
      <c r="H37" s="3"/>
      <c r="I37" s="3"/>
      <c r="J37" s="3"/>
      <c r="K37" s="24"/>
      <c r="L37" s="24"/>
      <c r="M37" s="3"/>
    </row>
    <row r="38" spans="2:19" s="1" customFormat="1" ht="11.5" hidden="1" customHeight="1" x14ac:dyDescent="0.25">
      <c r="E38" s="28">
        <f>SUM(E15:E36)</f>
        <v>640</v>
      </c>
      <c r="F38" s="3"/>
      <c r="G38" s="3"/>
      <c r="H38" s="3"/>
      <c r="I38" s="3"/>
      <c r="J38" s="3"/>
      <c r="M38" s="3"/>
    </row>
    <row r="39" spans="2:19" s="1" customFormat="1" ht="11.5" customHeight="1" x14ac:dyDescent="0.25">
      <c r="F39" s="3"/>
      <c r="G39" s="3"/>
      <c r="H39" s="3"/>
      <c r="I39" s="3"/>
      <c r="J39" s="3"/>
      <c r="M39" s="3"/>
    </row>
    <row r="40" spans="2:19" s="1" customFormat="1" ht="11.5" customHeight="1" x14ac:dyDescent="0.25">
      <c r="F40" s="3">
        <f>+D45-12.2</f>
        <v>-12.0001</v>
      </c>
      <c r="G40" s="3"/>
      <c r="H40" s="3"/>
      <c r="I40" s="3"/>
      <c r="J40" s="3"/>
      <c r="M40" s="3"/>
    </row>
    <row r="41" spans="2:19" s="1" customFormat="1" ht="11.5" customHeight="1" x14ac:dyDescent="0.35">
      <c r="C41" s="8" t="s">
        <v>854</v>
      </c>
      <c r="D41" s="3"/>
      <c r="E41" s="3"/>
      <c r="F41" s="3">
        <f>+D45-12.2%</f>
        <v>7.7899999999999997E-2</v>
      </c>
      <c r="G41" s="3"/>
      <c r="H41" s="3"/>
      <c r="I41" s="3"/>
      <c r="J41" s="3"/>
      <c r="K41" s="3"/>
      <c r="L41" s="3"/>
      <c r="M41" s="3"/>
      <c r="R41" s="438" t="s">
        <v>832</v>
      </c>
      <c r="S41" s="432" t="str">
        <f>IFERROR(INDEX(Blocks!$I$2:$I$101,MATCH(2,Blocks!$A$2:$A$101,0)),"")</f>
        <v>000104430000002</v>
      </c>
    </row>
    <row r="42" spans="2:19" s="1" customFormat="1" ht="11.5" customHeight="1" x14ac:dyDescent="0.35">
      <c r="C42" s="8"/>
      <c r="D42" s="3"/>
      <c r="E42" s="3"/>
      <c r="F42" s="3"/>
      <c r="G42" s="3"/>
      <c r="H42" s="3"/>
      <c r="I42" s="231" t="s">
        <v>827</v>
      </c>
      <c r="J42" s="3" t="s">
        <v>828</v>
      </c>
      <c r="K42" s="231" t="s">
        <v>829</v>
      </c>
      <c r="L42" s="231" t="s">
        <v>830</v>
      </c>
      <c r="M42" s="231" t="s">
        <v>831</v>
      </c>
      <c r="R42" s="438" t="s">
        <v>834</v>
      </c>
      <c r="S42" s="432" t="str">
        <f>IFERROR(INDEX(Blocks!$H$2:$H$101,MATCH(2,Blocks!$A$2:$A$101,0)),"")</f>
        <v>Edge View Academy Limited</v>
      </c>
    </row>
    <row r="43" spans="2:19" s="1" customFormat="1" ht="11.5" customHeight="1" x14ac:dyDescent="0.35">
      <c r="D43" s="258" t="s">
        <v>833</v>
      </c>
      <c r="E43" s="3"/>
      <c r="F43" s="29"/>
      <c r="G43" s="29"/>
      <c r="H43" s="231">
        <v>44805</v>
      </c>
      <c r="I43" s="231">
        <v>44866</v>
      </c>
      <c r="J43" s="231">
        <v>44896</v>
      </c>
      <c r="K43" s="278">
        <v>45047</v>
      </c>
      <c r="L43" s="230">
        <v>45108</v>
      </c>
      <c r="M43" s="230">
        <v>45139</v>
      </c>
      <c r="R43" s="438" t="s">
        <v>223</v>
      </c>
      <c r="S43" s="433">
        <f>IFERROR(INDEX('E-Banker master'!$N$2:$N$186,MATCH(S41,'E-Banker master'!$A$2:$A$186,0)),"")</f>
        <v>331395845.48000002</v>
      </c>
    </row>
    <row r="44" spans="2:19" s="1" customFormat="1" ht="11.5" customHeight="1" x14ac:dyDescent="0.35">
      <c r="C44" s="9" t="s">
        <v>835</v>
      </c>
      <c r="D44" s="10">
        <v>331395845.48046201</v>
      </c>
      <c r="E44" s="3"/>
      <c r="F44" s="267" t="s">
        <v>835</v>
      </c>
      <c r="G44" s="10">
        <v>330832214.07115602</v>
      </c>
      <c r="H44" s="231" t="s">
        <v>836</v>
      </c>
      <c r="I44" s="231" t="s">
        <v>836</v>
      </c>
      <c r="J44" s="231" t="s">
        <v>836</v>
      </c>
      <c r="K44" s="231" t="s">
        <v>836</v>
      </c>
      <c r="L44" s="231" t="s">
        <v>836</v>
      </c>
      <c r="M44" s="231" t="s">
        <v>836</v>
      </c>
      <c r="R44" s="438" t="s">
        <v>52</v>
      </c>
      <c r="S44" s="433">
        <f>IFERROR(INDEX('E-Banker master'!$P$2:$P$186,MATCH(S41,'E-Banker master'!$A$2:$A$186,0)),"")</f>
        <v>378644731.35000002</v>
      </c>
    </row>
    <row r="45" spans="2:19" s="1" customFormat="1" ht="11.5" customHeight="1" x14ac:dyDescent="0.25">
      <c r="C45" s="11" t="s">
        <v>837</v>
      </c>
      <c r="D45" s="12">
        <v>0.19989999999999999</v>
      </c>
      <c r="E45" s="13"/>
      <c r="F45" s="268" t="s">
        <v>837</v>
      </c>
      <c r="G45" s="266">
        <v>0.21290000000000001</v>
      </c>
      <c r="H45" s="3">
        <f>G45+0.4%</f>
        <v>0.21690000000000001</v>
      </c>
      <c r="I45" s="3">
        <f>21.69%+2.7%</f>
        <v>0.24390000000000001</v>
      </c>
      <c r="J45" s="3">
        <f>I45+0.7%</f>
        <v>0.25090000000000001</v>
      </c>
      <c r="K45" s="13">
        <f>J45+2.7%</f>
        <v>0.27790000000000004</v>
      </c>
      <c r="L45" s="13">
        <f>K45+1.4%</f>
        <v>0.29190000000000005</v>
      </c>
      <c r="M45" s="13">
        <f>L45+1.3%</f>
        <v>0.30490000000000006</v>
      </c>
    </row>
    <row r="46" spans="2:19" s="1" customFormat="1" ht="11.5" customHeight="1" x14ac:dyDescent="0.25">
      <c r="C46" s="11" t="s">
        <v>838</v>
      </c>
      <c r="D46" s="14">
        <v>12</v>
      </c>
      <c r="F46" s="268" t="s">
        <v>838</v>
      </c>
      <c r="G46" s="266">
        <v>12</v>
      </c>
      <c r="H46" s="3"/>
      <c r="I46" s="3"/>
      <c r="J46" s="3"/>
      <c r="M46" s="3"/>
    </row>
    <row r="47" spans="2:19" s="1" customFormat="1" ht="11.5" customHeight="1" x14ac:dyDescent="0.25">
      <c r="C47" s="11" t="s">
        <v>839</v>
      </c>
      <c r="D47" s="14">
        <v>12</v>
      </c>
      <c r="F47" s="268" t="s">
        <v>839</v>
      </c>
      <c r="G47" s="266">
        <v>12</v>
      </c>
      <c r="H47" s="3" t="s">
        <v>840</v>
      </c>
      <c r="I47" s="3" t="s">
        <v>841</v>
      </c>
      <c r="J47" s="3" t="s">
        <v>842</v>
      </c>
      <c r="K47" s="3" t="s">
        <v>855</v>
      </c>
      <c r="L47" s="344" t="s">
        <v>856</v>
      </c>
      <c r="M47" s="344" t="s">
        <v>857</v>
      </c>
      <c r="N47" s="344" t="s">
        <v>858</v>
      </c>
    </row>
    <row r="48" spans="2:19" s="1" customFormat="1" ht="11.5" customHeight="1" x14ac:dyDescent="0.25">
      <c r="C48" s="11" t="s">
        <v>843</v>
      </c>
      <c r="D48" s="15">
        <f>D46*D47</f>
        <v>144</v>
      </c>
      <c r="F48" s="268" t="s">
        <v>843</v>
      </c>
      <c r="G48" s="266">
        <v>143</v>
      </c>
      <c r="H48" s="230">
        <v>45170</v>
      </c>
      <c r="I48" s="231">
        <v>45200</v>
      </c>
      <c r="J48" s="230">
        <v>45261</v>
      </c>
      <c r="K48" s="230">
        <v>44958</v>
      </c>
      <c r="L48" s="343">
        <v>45047</v>
      </c>
      <c r="M48" s="343">
        <v>45078</v>
      </c>
      <c r="N48" s="343">
        <v>45108</v>
      </c>
    </row>
    <row r="49" spans="2:14" s="1" customFormat="1" ht="11.5" customHeight="1" x14ac:dyDescent="0.25">
      <c r="C49" s="11" t="s">
        <v>844</v>
      </c>
      <c r="D49" s="16">
        <v>365</v>
      </c>
      <c r="F49" s="268" t="s">
        <v>844</v>
      </c>
      <c r="G49" s="266">
        <v>365</v>
      </c>
      <c r="H49" s="231" t="s">
        <v>836</v>
      </c>
      <c r="I49" s="231" t="s">
        <v>836</v>
      </c>
      <c r="J49" s="231" t="s">
        <v>836</v>
      </c>
      <c r="K49" s="231" t="s">
        <v>836</v>
      </c>
      <c r="L49" s="344" t="s">
        <v>836</v>
      </c>
      <c r="M49" s="344" t="s">
        <v>836</v>
      </c>
      <c r="N49" s="344" t="s">
        <v>836</v>
      </c>
    </row>
    <row r="50" spans="2:14" s="1" customFormat="1" ht="11.5" customHeight="1" x14ac:dyDescent="0.25">
      <c r="C50" s="17" t="s">
        <v>845</v>
      </c>
      <c r="D50" s="18">
        <f>-PMT(D45/D47,D48,D44,0,0)</f>
        <v>6084133.8686013762</v>
      </c>
      <c r="E50" s="3"/>
      <c r="F50" s="269" t="s">
        <v>845</v>
      </c>
      <c r="G50" s="18">
        <f>-PMT(G45/G47,G48,G44,0,0)</f>
        <v>6386000.9281104747</v>
      </c>
      <c r="H50" s="13">
        <f>M45+0.7%</f>
        <v>0.31190000000000007</v>
      </c>
      <c r="I50" s="3">
        <f>H50+0.1%</f>
        <v>0.31290000000000007</v>
      </c>
      <c r="J50" s="13">
        <f>I50+0.1%</f>
        <v>0.31390000000000007</v>
      </c>
      <c r="K50" s="13">
        <f>J50+1.3%</f>
        <v>0.32690000000000008</v>
      </c>
      <c r="L50" s="257">
        <f>+K50+0.1%</f>
        <v>0.32790000000000008</v>
      </c>
      <c r="M50" s="257">
        <f>+L50+0.1%</f>
        <v>0.32890000000000008</v>
      </c>
      <c r="N50" s="257">
        <f>+M50+0.3%</f>
        <v>0.33190000000000008</v>
      </c>
    </row>
    <row r="51" spans="2:14" s="1" customFormat="1" ht="11.5" customHeight="1" x14ac:dyDescent="0.25">
      <c r="D51" s="3"/>
      <c r="E51" s="3"/>
      <c r="F51" s="3"/>
      <c r="G51" s="3"/>
      <c r="H51" s="3"/>
      <c r="I51" s="3"/>
      <c r="J51" s="3"/>
      <c r="M51" s="3"/>
    </row>
    <row r="52" spans="2:14" x14ac:dyDescent="0.35">
      <c r="B52" s="1"/>
      <c r="C52" s="19" t="s">
        <v>846</v>
      </c>
      <c r="D52" s="20" t="s">
        <v>847</v>
      </c>
      <c r="E52" s="20" t="s">
        <v>764</v>
      </c>
      <c r="F52" s="270" t="s">
        <v>848</v>
      </c>
      <c r="G52" s="270" t="s">
        <v>849</v>
      </c>
      <c r="H52" s="270" t="s">
        <v>742</v>
      </c>
      <c r="I52" s="270" t="s">
        <v>740</v>
      </c>
      <c r="J52" s="270" t="s">
        <v>850</v>
      </c>
      <c r="K52" s="21" t="s">
        <v>851</v>
      </c>
      <c r="L52" s="21" t="s">
        <v>852</v>
      </c>
    </row>
    <row r="53" spans="2:14" x14ac:dyDescent="0.35">
      <c r="B53" s="1">
        <v>1</v>
      </c>
      <c r="C53" s="22">
        <v>44652</v>
      </c>
      <c r="D53" s="22">
        <v>44681</v>
      </c>
      <c r="E53" s="23">
        <f t="shared" ref="E53:E84" si="5">D53-C53+1</f>
        <v>30</v>
      </c>
      <c r="F53" s="3">
        <f>D44</f>
        <v>331395845.48046201</v>
      </c>
      <c r="G53" s="3">
        <f>-PMT($D$45/$D$47,144,$F$53,,0)</f>
        <v>6084133.8686013762</v>
      </c>
      <c r="H53" s="3">
        <f>$D$45/$D$47*F53</f>
        <v>5520502.4592953632</v>
      </c>
      <c r="I53" s="3">
        <f t="shared" ref="I53:I84" si="6">G53-H53</f>
        <v>563631.40930601303</v>
      </c>
      <c r="J53" s="3">
        <f t="shared" ref="J53:J84" si="7">F53-I53</f>
        <v>330832214.07115602</v>
      </c>
      <c r="K53" s="24">
        <v>6100000</v>
      </c>
      <c r="L53" s="24">
        <f>G53-K53</f>
        <v>-15866.131398623809</v>
      </c>
    </row>
    <row r="54" spans="2:14" x14ac:dyDescent="0.35">
      <c r="B54" s="1">
        <v>2</v>
      </c>
      <c r="C54" s="22">
        <v>44682</v>
      </c>
      <c r="D54" s="22">
        <v>44712</v>
      </c>
      <c r="E54" s="23">
        <f t="shared" si="5"/>
        <v>31</v>
      </c>
      <c r="F54" s="3">
        <f t="shared" ref="F54:F85" si="8">J53</f>
        <v>330832214.07115602</v>
      </c>
      <c r="G54" s="3">
        <f>-PMT($G$45/$D$47,143,$F$54,0)</f>
        <v>6386000.9281104747</v>
      </c>
      <c r="H54" s="3">
        <f>$G$45/$D$47*F54</f>
        <v>5869514.8646457596</v>
      </c>
      <c r="I54" s="3">
        <f t="shared" si="6"/>
        <v>516486.06346471515</v>
      </c>
      <c r="J54" s="3">
        <f t="shared" si="7"/>
        <v>330315728.00769132</v>
      </c>
      <c r="K54" s="24">
        <v>6387000</v>
      </c>
      <c r="L54" s="24">
        <f t="shared" ref="L54:L83" si="9">L53+G54-K54</f>
        <v>-16865.203288149089</v>
      </c>
    </row>
    <row r="55" spans="2:14" x14ac:dyDescent="0.35">
      <c r="B55" s="1">
        <v>3</v>
      </c>
      <c r="C55" s="22">
        <v>44713</v>
      </c>
      <c r="D55" s="22">
        <v>44742</v>
      </c>
      <c r="E55" s="23">
        <f t="shared" si="5"/>
        <v>30</v>
      </c>
      <c r="F55" s="3">
        <f t="shared" si="8"/>
        <v>330315728.00769132</v>
      </c>
      <c r="G55" s="3">
        <f>-PMT($G$45/$D$47,143,$F$54,0)</f>
        <v>6386000.9281104747</v>
      </c>
      <c r="H55" s="3">
        <f>$G$45/$D$47*F55</f>
        <v>5860351.5410697898</v>
      </c>
      <c r="I55" s="3">
        <f t="shared" si="6"/>
        <v>525649.38704068493</v>
      </c>
      <c r="J55" s="3">
        <f t="shared" si="7"/>
        <v>329790078.62065065</v>
      </c>
      <c r="K55" s="24">
        <v>0</v>
      </c>
      <c r="L55" s="24">
        <f t="shared" si="9"/>
        <v>6369135.7248223256</v>
      </c>
    </row>
    <row r="56" spans="2:14" x14ac:dyDescent="0.35">
      <c r="B56" s="1">
        <v>4</v>
      </c>
      <c r="C56" s="22">
        <v>44743</v>
      </c>
      <c r="D56" s="22">
        <v>44773</v>
      </c>
      <c r="E56" s="23">
        <f t="shared" si="5"/>
        <v>31</v>
      </c>
      <c r="F56" s="3">
        <f t="shared" si="8"/>
        <v>329790078.62065065</v>
      </c>
      <c r="G56" s="3">
        <f>-PMT($G$45/$D$47,143,$F$54,0)</f>
        <v>6386000.9281104747</v>
      </c>
      <c r="H56" s="3">
        <f>$G$45/$D$47*F56</f>
        <v>5851025.6448613768</v>
      </c>
      <c r="I56" s="3">
        <f t="shared" si="6"/>
        <v>534975.28324909788</v>
      </c>
      <c r="J56" s="3">
        <f t="shared" si="7"/>
        <v>329255103.33740157</v>
      </c>
      <c r="K56" s="24">
        <v>0</v>
      </c>
      <c r="L56" s="24">
        <f t="shared" si="9"/>
        <v>12755136.6529328</v>
      </c>
    </row>
    <row r="57" spans="2:14" x14ac:dyDescent="0.35">
      <c r="B57" s="1">
        <v>5</v>
      </c>
      <c r="C57" s="22">
        <v>44774</v>
      </c>
      <c r="D57" s="22">
        <v>44804</v>
      </c>
      <c r="E57" s="23">
        <f t="shared" si="5"/>
        <v>31</v>
      </c>
      <c r="F57" s="3">
        <f t="shared" si="8"/>
        <v>329255103.33740157</v>
      </c>
      <c r="G57" s="3">
        <f>-PMT($G$45/$D$47,143,$F$54,0)</f>
        <v>6386000.9281104747</v>
      </c>
      <c r="H57" s="3">
        <f>$G$45/$D$47*F57</f>
        <v>5841534.2917110659</v>
      </c>
      <c r="I57" s="3">
        <f t="shared" si="6"/>
        <v>544466.6363994088</v>
      </c>
      <c r="J57" s="3">
        <f t="shared" si="7"/>
        <v>328710636.70100218</v>
      </c>
      <c r="K57" s="24">
        <v>13000000</v>
      </c>
      <c r="L57" s="24">
        <f t="shared" si="9"/>
        <v>6141137.5810432732</v>
      </c>
    </row>
    <row r="58" spans="2:14" x14ac:dyDescent="0.35">
      <c r="B58" s="1">
        <v>6</v>
      </c>
      <c r="C58" s="22">
        <v>44805</v>
      </c>
      <c r="D58" s="22">
        <v>44834</v>
      </c>
      <c r="E58" s="23">
        <f t="shared" si="5"/>
        <v>30</v>
      </c>
      <c r="F58" s="3">
        <f t="shared" si="8"/>
        <v>328710636.70100218</v>
      </c>
      <c r="G58" s="3">
        <f>-PMT($H$45/$D$47,139,$F$58,0)</f>
        <v>6478590.4310547961</v>
      </c>
      <c r="H58" s="3">
        <f>$H$45/$D$47*F58</f>
        <v>5941444.7583706146</v>
      </c>
      <c r="I58" s="3">
        <f t="shared" si="6"/>
        <v>537145.67268418148</v>
      </c>
      <c r="J58" s="3">
        <f t="shared" si="7"/>
        <v>328173491.02831799</v>
      </c>
      <c r="K58" s="24"/>
      <c r="L58" s="24">
        <f t="shared" si="9"/>
        <v>12619728.01209807</v>
      </c>
    </row>
    <row r="59" spans="2:14" x14ac:dyDescent="0.35">
      <c r="B59" s="1">
        <v>7</v>
      </c>
      <c r="C59" s="22">
        <v>44835</v>
      </c>
      <c r="D59" s="22">
        <v>44865</v>
      </c>
      <c r="E59" s="23">
        <f t="shared" si="5"/>
        <v>31</v>
      </c>
      <c r="F59" s="3">
        <f t="shared" si="8"/>
        <v>328173491.02831799</v>
      </c>
      <c r="G59" s="3">
        <f>-PMT($H$45/$D$47,139,$F$58,0)</f>
        <v>6478590.4310547961</v>
      </c>
      <c r="H59" s="3">
        <f>$H$45/$D$47*F59</f>
        <v>5931735.8503368478</v>
      </c>
      <c r="I59" s="3">
        <f t="shared" si="6"/>
        <v>546854.58071794827</v>
      </c>
      <c r="J59" s="3">
        <f t="shared" si="7"/>
        <v>327626636.44760007</v>
      </c>
      <c r="K59" s="24">
        <v>0</v>
      </c>
      <c r="L59" s="24">
        <f t="shared" si="9"/>
        <v>19098318.443152867</v>
      </c>
    </row>
    <row r="60" spans="2:14" x14ac:dyDescent="0.35">
      <c r="B60" s="1">
        <v>8</v>
      </c>
      <c r="C60" s="22">
        <v>44866</v>
      </c>
      <c r="D60" s="22">
        <v>44895</v>
      </c>
      <c r="E60" s="23">
        <f t="shared" si="5"/>
        <v>30</v>
      </c>
      <c r="F60" s="3">
        <f t="shared" si="8"/>
        <v>327626636.44760007</v>
      </c>
      <c r="G60" s="3">
        <f>-PMT($I$45/$D$47,137,$F$60,0)</f>
        <v>7110583.286859029</v>
      </c>
      <c r="H60" s="3">
        <f>$I$45/$D$47*F60</f>
        <v>6659011.3857974708</v>
      </c>
      <c r="I60" s="3">
        <f t="shared" si="6"/>
        <v>451571.90106155816</v>
      </c>
      <c r="J60" s="3">
        <f t="shared" si="7"/>
        <v>327175064.54653853</v>
      </c>
      <c r="K60" s="24">
        <f>2500000+1500000</f>
        <v>4000000</v>
      </c>
      <c r="L60" s="24">
        <f t="shared" si="9"/>
        <v>22208901.730011895</v>
      </c>
    </row>
    <row r="61" spans="2:14" x14ac:dyDescent="0.35">
      <c r="B61" s="1">
        <v>9</v>
      </c>
      <c r="C61" s="22">
        <v>44896</v>
      </c>
      <c r="D61" s="22">
        <v>44926</v>
      </c>
      <c r="E61" s="23">
        <f t="shared" si="5"/>
        <v>31</v>
      </c>
      <c r="F61" s="3">
        <f t="shared" si="8"/>
        <v>327175064.54653853</v>
      </c>
      <c r="G61" s="3">
        <f>-PMT($J$45/$D$47,136,$F$61,0)</f>
        <v>7276951.5857680179</v>
      </c>
      <c r="H61" s="3">
        <f>$J$45/$D$47*F61</f>
        <v>6840685.3078938769</v>
      </c>
      <c r="I61" s="3">
        <f t="shared" si="6"/>
        <v>436266.277874141</v>
      </c>
      <c r="J61" s="3">
        <f t="shared" si="7"/>
        <v>326738798.26866442</v>
      </c>
      <c r="K61" s="24">
        <v>5000000</v>
      </c>
      <c r="L61" s="24">
        <f t="shared" si="9"/>
        <v>24485853.315779913</v>
      </c>
    </row>
    <row r="62" spans="2:14" x14ac:dyDescent="0.35">
      <c r="B62" s="1">
        <v>10</v>
      </c>
      <c r="C62" s="22">
        <v>44927</v>
      </c>
      <c r="D62" s="22">
        <v>44957</v>
      </c>
      <c r="E62" s="23">
        <f t="shared" si="5"/>
        <v>31</v>
      </c>
      <c r="F62" s="3">
        <f t="shared" si="8"/>
        <v>326738798.26866442</v>
      </c>
      <c r="G62" s="3">
        <f>-PMT($J$45/$D$47,136,$F$61,0)</f>
        <v>7276951.5857680179</v>
      </c>
      <c r="H62" s="3">
        <f>$J$45/$D$47*F62</f>
        <v>6831563.7071339926</v>
      </c>
      <c r="I62" s="3">
        <f t="shared" si="6"/>
        <v>445387.87863402534</v>
      </c>
      <c r="J62" s="3">
        <f t="shared" si="7"/>
        <v>326293410.39003038</v>
      </c>
      <c r="K62" s="24">
        <v>0</v>
      </c>
      <c r="L62" s="26">
        <f t="shared" si="9"/>
        <v>31762804.901547931</v>
      </c>
    </row>
    <row r="63" spans="2:14" x14ac:dyDescent="0.35">
      <c r="B63" s="1">
        <v>11</v>
      </c>
      <c r="C63" s="22">
        <v>44958</v>
      </c>
      <c r="D63" s="22">
        <v>44985</v>
      </c>
      <c r="E63" s="23">
        <f t="shared" si="5"/>
        <v>28</v>
      </c>
      <c r="F63" s="3">
        <f t="shared" si="8"/>
        <v>326293410.39003038</v>
      </c>
      <c r="G63" s="3">
        <f>-PMT($J$45/$D$47,136,$F$61,0)</f>
        <v>7276951.5857680179</v>
      </c>
      <c r="H63" s="3">
        <f>$J$45/$D$47*F63</f>
        <v>6822251.3889048854</v>
      </c>
      <c r="I63" s="3">
        <f t="shared" si="6"/>
        <v>454700.19686313253</v>
      </c>
      <c r="J63" s="3">
        <f t="shared" si="7"/>
        <v>325838710.19316727</v>
      </c>
      <c r="K63" s="24">
        <v>10000000</v>
      </c>
      <c r="L63" s="24">
        <f t="shared" si="9"/>
        <v>29039756.487315953</v>
      </c>
    </row>
    <row r="64" spans="2:14" x14ac:dyDescent="0.35">
      <c r="B64" s="1">
        <v>12</v>
      </c>
      <c r="C64" s="22">
        <v>44986</v>
      </c>
      <c r="D64" s="22">
        <v>45016</v>
      </c>
      <c r="E64" s="23">
        <f t="shared" si="5"/>
        <v>31</v>
      </c>
      <c r="F64" s="3">
        <f t="shared" si="8"/>
        <v>325838710.19316727</v>
      </c>
      <c r="G64" s="3">
        <f>-PMT($J$45/$D$47,136,$F$61,0)</f>
        <v>7276951.5857680179</v>
      </c>
      <c r="H64" s="3">
        <f>$J$45/$D$47*F64</f>
        <v>6812744.3656221395</v>
      </c>
      <c r="I64" s="3">
        <f t="shared" si="6"/>
        <v>464207.22014587838</v>
      </c>
      <c r="J64" s="3">
        <f t="shared" si="7"/>
        <v>325374502.97302139</v>
      </c>
      <c r="K64" s="24">
        <v>25000000</v>
      </c>
      <c r="L64" s="24">
        <f t="shared" si="9"/>
        <v>11316708.073083967</v>
      </c>
    </row>
    <row r="65" spans="2:14" x14ac:dyDescent="0.35">
      <c r="B65" s="1">
        <v>13</v>
      </c>
      <c r="C65" s="22">
        <v>45017</v>
      </c>
      <c r="D65" s="22">
        <v>45046</v>
      </c>
      <c r="E65" s="23">
        <f t="shared" si="5"/>
        <v>30</v>
      </c>
      <c r="F65" s="3">
        <f t="shared" si="8"/>
        <v>325374502.97302139</v>
      </c>
      <c r="G65" s="3">
        <f>-PMT($J$45/$D$47,136,$F$61,0)</f>
        <v>7276951.5857680179</v>
      </c>
      <c r="H65" s="3">
        <f>$J$45/$D$47*F65</f>
        <v>6803038.5663275896</v>
      </c>
      <c r="I65" s="3">
        <f t="shared" si="6"/>
        <v>473913.01944042835</v>
      </c>
      <c r="J65" s="3">
        <f t="shared" si="7"/>
        <v>324900589.95358098</v>
      </c>
      <c r="K65" s="24">
        <v>0</v>
      </c>
      <c r="L65" s="24">
        <f t="shared" si="9"/>
        <v>18593659.658851985</v>
      </c>
    </row>
    <row r="66" spans="2:14" x14ac:dyDescent="0.35">
      <c r="B66" s="1">
        <v>14</v>
      </c>
      <c r="C66" s="259">
        <v>45047</v>
      </c>
      <c r="D66" s="259">
        <v>45077</v>
      </c>
      <c r="E66" s="260">
        <f t="shared" si="5"/>
        <v>31</v>
      </c>
      <c r="F66" s="5">
        <f t="shared" si="8"/>
        <v>324900589.95358098</v>
      </c>
      <c r="G66" s="5">
        <f>-PMT($K$45/$D$47,131,$F$66,0)</f>
        <v>7918743.8160734726</v>
      </c>
      <c r="H66" s="5">
        <f>$K$45/$D$47*F66</f>
        <v>7524156.1623416804</v>
      </c>
      <c r="I66" s="5">
        <f t="shared" si="6"/>
        <v>394587.65373179223</v>
      </c>
      <c r="J66" s="5">
        <f t="shared" si="7"/>
        <v>324506002.29984921</v>
      </c>
      <c r="K66" s="24">
        <v>5000000</v>
      </c>
      <c r="L66" s="24">
        <f t="shared" si="9"/>
        <v>21512403.474925458</v>
      </c>
    </row>
    <row r="67" spans="2:14" x14ac:dyDescent="0.35">
      <c r="B67" s="1">
        <v>15</v>
      </c>
      <c r="C67" s="22">
        <v>45078</v>
      </c>
      <c r="D67" s="22">
        <v>45107</v>
      </c>
      <c r="E67" s="23">
        <f t="shared" si="5"/>
        <v>30</v>
      </c>
      <c r="F67" s="3">
        <f t="shared" si="8"/>
        <v>324506002.29984921</v>
      </c>
      <c r="G67" s="3">
        <f>-PMT($K$45/$D$47,131,$F$66,0)</f>
        <v>7918743.8160734726</v>
      </c>
      <c r="H67" s="3">
        <f>$K$45/$D$47*F67</f>
        <v>7515018.1699273419</v>
      </c>
      <c r="I67" s="3">
        <f t="shared" si="6"/>
        <v>403725.64614613075</v>
      </c>
      <c r="J67" s="3">
        <f t="shared" si="7"/>
        <v>324102276.65370309</v>
      </c>
      <c r="K67" s="24">
        <v>8000000</v>
      </c>
      <c r="L67" s="26">
        <f t="shared" si="9"/>
        <v>21431147.290998932</v>
      </c>
      <c r="N67" s="141"/>
    </row>
    <row r="68" spans="2:14" x14ac:dyDescent="0.35">
      <c r="B68" s="1">
        <v>16</v>
      </c>
      <c r="C68" s="22">
        <v>45108</v>
      </c>
      <c r="D68" s="22">
        <v>45138</v>
      </c>
      <c r="E68" s="23">
        <f t="shared" si="5"/>
        <v>31</v>
      </c>
      <c r="F68" s="3">
        <f t="shared" si="8"/>
        <v>324102276.65370309</v>
      </c>
      <c r="G68" s="3">
        <f>-PMT($L$45/$D$47,129,$F$68,0)</f>
        <v>8255557.3854913497</v>
      </c>
      <c r="H68" s="3">
        <f>$L$45/$D$47*F68</f>
        <v>7883787.8796013286</v>
      </c>
      <c r="I68" s="3">
        <f t="shared" si="6"/>
        <v>371769.5058900211</v>
      </c>
      <c r="J68" s="3">
        <f t="shared" si="7"/>
        <v>323730507.14781308</v>
      </c>
      <c r="K68" s="24"/>
      <c r="L68" s="26">
        <f t="shared" si="9"/>
        <v>29686704.676490281</v>
      </c>
      <c r="N68" s="32"/>
    </row>
    <row r="69" spans="2:14" x14ac:dyDescent="0.35">
      <c r="B69" s="1">
        <v>17</v>
      </c>
      <c r="C69" s="22">
        <v>45139</v>
      </c>
      <c r="D69" s="22">
        <v>45169</v>
      </c>
      <c r="E69" s="23">
        <f t="shared" si="5"/>
        <v>31</v>
      </c>
      <c r="F69" s="3">
        <f t="shared" si="8"/>
        <v>323730507.14781308</v>
      </c>
      <c r="G69" s="3">
        <f>-PMT($M$45/$D$47,128,$F$69,0)</f>
        <v>8570774.6193731111</v>
      </c>
      <c r="H69" s="3">
        <f>$M$45/$D$47*F69</f>
        <v>8225452.6357806856</v>
      </c>
      <c r="I69" s="3">
        <f t="shared" si="6"/>
        <v>345321.98359242547</v>
      </c>
      <c r="J69" s="3">
        <f t="shared" si="7"/>
        <v>323385185.16422063</v>
      </c>
      <c r="K69" s="24">
        <v>10000000</v>
      </c>
      <c r="L69" s="24">
        <f t="shared" si="9"/>
        <v>28257479.29586339</v>
      </c>
      <c r="N69" s="32"/>
    </row>
    <row r="70" spans="2:14" x14ac:dyDescent="0.35">
      <c r="B70" s="1">
        <v>18</v>
      </c>
      <c r="C70" s="22">
        <v>45170</v>
      </c>
      <c r="D70" s="22">
        <v>45199</v>
      </c>
      <c r="E70" s="23">
        <f t="shared" si="5"/>
        <v>30</v>
      </c>
      <c r="F70" s="3">
        <f t="shared" si="8"/>
        <v>323385185.16422063</v>
      </c>
      <c r="G70" s="3">
        <f>-PMT($H$50/$D$47,127,$F$70,0)</f>
        <v>8741296.5270118434</v>
      </c>
      <c r="H70" s="3">
        <f>$H$50/$D$47*F70</f>
        <v>8405319.9377267025</v>
      </c>
      <c r="I70" s="3">
        <f t="shared" si="6"/>
        <v>335976.58928514086</v>
      </c>
      <c r="J70" s="3">
        <f t="shared" si="7"/>
        <v>323049208.5749355</v>
      </c>
      <c r="K70" s="24">
        <v>10000000</v>
      </c>
      <c r="L70" s="24">
        <f t="shared" si="9"/>
        <v>26998775.822875232</v>
      </c>
    </row>
    <row r="71" spans="2:14" x14ac:dyDescent="0.35">
      <c r="B71" s="1">
        <v>19</v>
      </c>
      <c r="C71" s="22">
        <v>45200</v>
      </c>
      <c r="D71" s="22">
        <v>45230</v>
      </c>
      <c r="E71" s="23">
        <f t="shared" si="5"/>
        <v>31</v>
      </c>
      <c r="F71" s="3">
        <f t="shared" si="8"/>
        <v>323049208.5749355</v>
      </c>
      <c r="G71" s="3">
        <f>-PMT($I$50/$D$47,126,$F$71,0)</f>
        <v>8765658.5983125903</v>
      </c>
      <c r="H71" s="3">
        <f>$I$50/$D$47*F71</f>
        <v>8423508.1135914437</v>
      </c>
      <c r="I71" s="3">
        <f t="shared" si="6"/>
        <v>342150.48472114652</v>
      </c>
      <c r="J71" s="3">
        <f t="shared" si="7"/>
        <v>322707058.09021437</v>
      </c>
      <c r="K71" s="24">
        <v>0</v>
      </c>
      <c r="L71" s="24">
        <f t="shared" si="9"/>
        <v>35764434.421187818</v>
      </c>
    </row>
    <row r="72" spans="2:14" x14ac:dyDescent="0.35">
      <c r="B72" s="1">
        <v>20</v>
      </c>
      <c r="C72" s="22">
        <v>45231</v>
      </c>
      <c r="D72" s="22">
        <v>45260</v>
      </c>
      <c r="E72" s="23">
        <f t="shared" si="5"/>
        <v>30</v>
      </c>
      <c r="F72" s="3">
        <f t="shared" si="8"/>
        <v>322707058.09021437</v>
      </c>
      <c r="G72" s="3">
        <f>-PMT($I$50/$D$47,126,$F$71,0)</f>
        <v>8765658.5983125903</v>
      </c>
      <c r="H72" s="3">
        <f>$I$50/$D$47*F72</f>
        <v>8414586.539702341</v>
      </c>
      <c r="I72" s="3">
        <f t="shared" si="6"/>
        <v>351072.05861024931</v>
      </c>
      <c r="J72" s="3">
        <f t="shared" si="7"/>
        <v>322355986.03160411</v>
      </c>
      <c r="K72" s="24">
        <v>5000000</v>
      </c>
      <c r="L72" s="24">
        <f t="shared" si="9"/>
        <v>39530093.019500405</v>
      </c>
    </row>
    <row r="73" spans="2:14" x14ac:dyDescent="0.35">
      <c r="B73" s="1">
        <v>21</v>
      </c>
      <c r="C73" s="22">
        <v>45261</v>
      </c>
      <c r="D73" s="22">
        <v>45291</v>
      </c>
      <c r="E73" s="23">
        <f t="shared" si="5"/>
        <v>31</v>
      </c>
      <c r="F73" s="3">
        <f t="shared" si="8"/>
        <v>322355986.03160411</v>
      </c>
      <c r="G73" s="3">
        <f>-PMT($J$50/$D$47,124,$F$73,0)</f>
        <v>8789898.3603837397</v>
      </c>
      <c r="H73" s="3">
        <f>$J$50/$D$47*F73</f>
        <v>8432295.3346100468</v>
      </c>
      <c r="I73" s="3">
        <f t="shared" si="6"/>
        <v>357603.02577369288</v>
      </c>
      <c r="J73" s="3">
        <f t="shared" si="7"/>
        <v>321998383.00583041</v>
      </c>
      <c r="K73" s="24"/>
      <c r="L73" s="24">
        <f t="shared" si="9"/>
        <v>48319991.379884146</v>
      </c>
    </row>
    <row r="74" spans="2:14" x14ac:dyDescent="0.35">
      <c r="B74" s="1">
        <v>22</v>
      </c>
      <c r="C74" s="22">
        <v>45292</v>
      </c>
      <c r="D74" s="22">
        <v>45322</v>
      </c>
      <c r="E74" s="23">
        <f t="shared" si="5"/>
        <v>31</v>
      </c>
      <c r="F74" s="3">
        <f t="shared" si="8"/>
        <v>321998383.00583041</v>
      </c>
      <c r="G74" s="3">
        <f>-PMT($J$50/$D$47,124,$F$73,0)</f>
        <v>8789898.3603837397</v>
      </c>
      <c r="H74" s="3">
        <f>$J$50/$D$47*F74</f>
        <v>8422941.0354608484</v>
      </c>
      <c r="I74" s="3">
        <f t="shared" si="6"/>
        <v>366957.32492289133</v>
      </c>
      <c r="J74" s="3">
        <f t="shared" si="7"/>
        <v>321631425.68090749</v>
      </c>
      <c r="K74" s="24">
        <f>10000000+5000000+5000000</f>
        <v>20000000</v>
      </c>
      <c r="L74" s="24">
        <f t="shared" si="9"/>
        <v>37109889.740267888</v>
      </c>
    </row>
    <row r="75" spans="2:14" x14ac:dyDescent="0.35">
      <c r="B75" s="1">
        <v>23</v>
      </c>
      <c r="C75" s="22">
        <v>45323</v>
      </c>
      <c r="D75" s="22">
        <v>45351</v>
      </c>
      <c r="E75" s="23">
        <f t="shared" si="5"/>
        <v>29</v>
      </c>
      <c r="F75" s="3">
        <f t="shared" si="8"/>
        <v>321631425.68090749</v>
      </c>
      <c r="G75" s="3">
        <f>-PMT($K$50/$D$47,122,$F$75,0)</f>
        <v>9104706.0725078881</v>
      </c>
      <c r="H75" s="3">
        <f>$K$50/$D$47*F75</f>
        <v>8761776.0879240576</v>
      </c>
      <c r="I75" s="3">
        <f t="shared" si="6"/>
        <v>342929.98458383046</v>
      </c>
      <c r="J75" s="3">
        <f t="shared" si="7"/>
        <v>321288495.69632363</v>
      </c>
      <c r="K75" s="24"/>
      <c r="L75" s="24">
        <f t="shared" si="9"/>
        <v>46214595.812775776</v>
      </c>
    </row>
    <row r="76" spans="2:14" x14ac:dyDescent="0.35">
      <c r="B76" s="1">
        <v>24</v>
      </c>
      <c r="C76" s="22">
        <v>45352</v>
      </c>
      <c r="D76" s="22">
        <v>45382</v>
      </c>
      <c r="E76" s="23">
        <f t="shared" si="5"/>
        <v>31</v>
      </c>
      <c r="F76" s="3">
        <f t="shared" si="8"/>
        <v>321288495.69632363</v>
      </c>
      <c r="G76" s="3">
        <f>-PMT($K$50/$D$47,122,$F$75,0)</f>
        <v>9104706.0725078881</v>
      </c>
      <c r="H76" s="3">
        <f>$K$50/$D$47*F76</f>
        <v>8752434.1035940181</v>
      </c>
      <c r="I76" s="3">
        <f t="shared" si="6"/>
        <v>352271.96891386993</v>
      </c>
      <c r="J76" s="3">
        <f t="shared" si="7"/>
        <v>320936223.72740978</v>
      </c>
      <c r="K76" s="24">
        <v>20000000</v>
      </c>
      <c r="L76" s="24">
        <f t="shared" si="9"/>
        <v>35319301.885283664</v>
      </c>
    </row>
    <row r="77" spans="2:14" x14ac:dyDescent="0.35">
      <c r="B77" s="1">
        <v>25</v>
      </c>
      <c r="C77" s="22">
        <v>45383</v>
      </c>
      <c r="D77" s="22">
        <v>45412</v>
      </c>
      <c r="E77" s="23">
        <f t="shared" si="5"/>
        <v>30</v>
      </c>
      <c r="F77" s="3">
        <f t="shared" si="8"/>
        <v>320936223.72740978</v>
      </c>
      <c r="G77" s="3">
        <f>-PMT($K$50/$D$47,122,$F$75,0)</f>
        <v>9104706.0725078881</v>
      </c>
      <c r="H77" s="3">
        <f>$K$50/$D$47*F77</f>
        <v>8742837.6280408576</v>
      </c>
      <c r="I77" s="3">
        <f t="shared" si="6"/>
        <v>361868.44446703047</v>
      </c>
      <c r="J77" s="3">
        <f t="shared" si="7"/>
        <v>320574355.28294277</v>
      </c>
      <c r="K77" s="24">
        <v>10000000</v>
      </c>
      <c r="L77" s="24">
        <f t="shared" si="9"/>
        <v>34424007.957791552</v>
      </c>
    </row>
    <row r="78" spans="2:14" x14ac:dyDescent="0.35">
      <c r="B78" s="1">
        <v>26</v>
      </c>
      <c r="C78" s="22">
        <v>45413</v>
      </c>
      <c r="D78" s="22">
        <v>45443</v>
      </c>
      <c r="E78" s="23">
        <f t="shared" si="5"/>
        <v>31</v>
      </c>
      <c r="F78" s="3">
        <f t="shared" si="8"/>
        <v>320574355.28294277</v>
      </c>
      <c r="G78" s="3">
        <f>-PMT($L$50/$D$47,119,$F$78,0)</f>
        <v>9128824.7384879086</v>
      </c>
      <c r="H78" s="3">
        <f>$L$50/$D$47*F78</f>
        <v>8759694.2581064124</v>
      </c>
      <c r="I78" s="3">
        <f t="shared" si="6"/>
        <v>369130.48038149625</v>
      </c>
      <c r="J78" s="3">
        <f t="shared" si="7"/>
        <v>320205224.80256128</v>
      </c>
      <c r="K78" s="24"/>
      <c r="L78" s="24">
        <f t="shared" si="9"/>
        <v>43552832.696279459</v>
      </c>
    </row>
    <row r="79" spans="2:14" x14ac:dyDescent="0.35">
      <c r="B79" s="1">
        <v>27</v>
      </c>
      <c r="C79" s="22">
        <v>45444</v>
      </c>
      <c r="D79" s="22">
        <v>45473</v>
      </c>
      <c r="E79" s="23">
        <f t="shared" si="5"/>
        <v>30</v>
      </c>
      <c r="F79" s="3">
        <f t="shared" si="8"/>
        <v>320205224.80256128</v>
      </c>
      <c r="G79" s="3">
        <f>-PMT($M$50/$D$47,118,$F$79,0)</f>
        <v>9152886.1927396338</v>
      </c>
      <c r="H79" s="3">
        <f>$M$50/$D$47*F79</f>
        <v>8776291.5364635363</v>
      </c>
      <c r="I79" s="3">
        <f t="shared" si="6"/>
        <v>376594.65627609752</v>
      </c>
      <c r="J79" s="3">
        <f t="shared" si="7"/>
        <v>319828630.14628518</v>
      </c>
      <c r="K79" s="24">
        <v>10000000</v>
      </c>
      <c r="L79" s="24">
        <f t="shared" si="9"/>
        <v>42705718.889019094</v>
      </c>
    </row>
    <row r="80" spans="2:14" x14ac:dyDescent="0.35">
      <c r="B80" s="1">
        <v>28</v>
      </c>
      <c r="C80" s="22">
        <v>45474</v>
      </c>
      <c r="D80" s="22">
        <v>45504</v>
      </c>
      <c r="E80" s="23">
        <f t="shared" si="5"/>
        <v>31</v>
      </c>
      <c r="F80" s="3">
        <f t="shared" si="8"/>
        <v>319828630.14628518</v>
      </c>
      <c r="G80" s="298">
        <f t="shared" ref="G80:G111" si="10">-PMT($N$50/$D$47,117,$F$80,0)</f>
        <v>9224945.2186479196</v>
      </c>
      <c r="H80" s="3">
        <f t="shared" ref="H80:H111" si="11">$N$50/$D$47*F80</f>
        <v>8845926.8621293399</v>
      </c>
      <c r="I80" s="3">
        <f t="shared" si="6"/>
        <v>379018.35651857965</v>
      </c>
      <c r="J80" s="3">
        <f t="shared" si="7"/>
        <v>319449611.78976661</v>
      </c>
      <c r="K80" s="24"/>
      <c r="L80" s="24">
        <f t="shared" si="9"/>
        <v>51930664.107667014</v>
      </c>
    </row>
    <row r="81" spans="2:12" x14ac:dyDescent="0.35">
      <c r="B81" s="1">
        <v>29</v>
      </c>
      <c r="C81" s="22">
        <v>45505</v>
      </c>
      <c r="D81" s="22">
        <v>45535</v>
      </c>
      <c r="E81" s="23">
        <f t="shared" si="5"/>
        <v>31</v>
      </c>
      <c r="F81" s="3">
        <f t="shared" si="8"/>
        <v>319449611.78976661</v>
      </c>
      <c r="G81" s="298">
        <f t="shared" si="10"/>
        <v>9224945.2186479196</v>
      </c>
      <c r="H81" s="3">
        <f t="shared" si="11"/>
        <v>8835443.8460852969</v>
      </c>
      <c r="I81" s="3">
        <f t="shared" si="6"/>
        <v>389501.37256262265</v>
      </c>
      <c r="J81" s="3">
        <f t="shared" si="7"/>
        <v>319060110.41720396</v>
      </c>
      <c r="K81" s="24">
        <v>10000000</v>
      </c>
      <c r="L81" s="24">
        <f t="shared" si="9"/>
        <v>51155609.326314934</v>
      </c>
    </row>
    <row r="82" spans="2:12" x14ac:dyDescent="0.35">
      <c r="B82" s="1">
        <v>30</v>
      </c>
      <c r="C82" s="22">
        <v>45536</v>
      </c>
      <c r="D82" s="22">
        <v>45565</v>
      </c>
      <c r="E82" s="23">
        <f t="shared" si="5"/>
        <v>30</v>
      </c>
      <c r="F82" s="3">
        <f t="shared" si="8"/>
        <v>319060110.41720396</v>
      </c>
      <c r="G82" s="298">
        <f t="shared" si="10"/>
        <v>9224945.2186479196</v>
      </c>
      <c r="H82" s="3">
        <f t="shared" si="11"/>
        <v>8824670.8872891683</v>
      </c>
      <c r="I82" s="3">
        <f t="shared" si="6"/>
        <v>400274.33135875128</v>
      </c>
      <c r="J82" s="3">
        <f t="shared" si="7"/>
        <v>318659836.08584523</v>
      </c>
      <c r="K82" s="24"/>
      <c r="L82" s="24">
        <f t="shared" si="9"/>
        <v>60380554.544962853</v>
      </c>
    </row>
    <row r="83" spans="2:12" x14ac:dyDescent="0.35">
      <c r="B83" s="1">
        <v>31</v>
      </c>
      <c r="C83" s="22">
        <v>45566</v>
      </c>
      <c r="D83" s="22">
        <v>45596</v>
      </c>
      <c r="E83" s="23">
        <f t="shared" si="5"/>
        <v>31</v>
      </c>
      <c r="F83" s="3">
        <f t="shared" si="8"/>
        <v>318659836.08584523</v>
      </c>
      <c r="G83" s="298">
        <f t="shared" si="10"/>
        <v>9224945.2186479196</v>
      </c>
      <c r="H83" s="3">
        <f t="shared" si="11"/>
        <v>8813599.9664076716</v>
      </c>
      <c r="I83" s="3">
        <f t="shared" si="6"/>
        <v>411345.25224024802</v>
      </c>
      <c r="J83" s="3">
        <f t="shared" si="7"/>
        <v>318248490.83360499</v>
      </c>
      <c r="K83" s="24">
        <f>10000000+5000000</f>
        <v>15000000</v>
      </c>
      <c r="L83" s="204">
        <f t="shared" si="9"/>
        <v>54605499.76361078</v>
      </c>
    </row>
    <row r="84" spans="2:12" x14ac:dyDescent="0.35">
      <c r="B84" s="1">
        <v>32</v>
      </c>
      <c r="C84" s="22">
        <v>45597</v>
      </c>
      <c r="D84" s="22">
        <v>45626</v>
      </c>
      <c r="E84" s="23">
        <f t="shared" si="5"/>
        <v>30</v>
      </c>
      <c r="F84" s="3">
        <f t="shared" si="8"/>
        <v>318248490.83360499</v>
      </c>
      <c r="G84" s="298">
        <f t="shared" si="10"/>
        <v>9224945.2186479196</v>
      </c>
      <c r="H84" s="3">
        <f t="shared" si="11"/>
        <v>8802222.8423061278</v>
      </c>
      <c r="I84" s="3">
        <f t="shared" si="6"/>
        <v>422722.37634179182</v>
      </c>
      <c r="J84" s="3">
        <f t="shared" si="7"/>
        <v>317825768.45726317</v>
      </c>
      <c r="K84" s="24"/>
      <c r="L84" s="24"/>
    </row>
    <row r="85" spans="2:12" x14ac:dyDescent="0.35">
      <c r="B85" s="1">
        <v>33</v>
      </c>
      <c r="C85" s="22">
        <v>45627</v>
      </c>
      <c r="D85" s="22">
        <v>45657</v>
      </c>
      <c r="E85" s="23">
        <f t="shared" ref="E85:E116" si="12">D85-C85+1</f>
        <v>31</v>
      </c>
      <c r="F85" s="3">
        <f t="shared" si="8"/>
        <v>317825768.45726317</v>
      </c>
      <c r="G85" s="298">
        <f t="shared" si="10"/>
        <v>9224945.2186479196</v>
      </c>
      <c r="H85" s="3">
        <f t="shared" si="11"/>
        <v>8790531.0459138062</v>
      </c>
      <c r="I85" s="3">
        <f t="shared" ref="I85:I116" si="13">G85-H85</f>
        <v>434414.17273411341</v>
      </c>
      <c r="J85" s="3">
        <f t="shared" ref="J85:J116" si="14">F85-I85</f>
        <v>317391354.28452903</v>
      </c>
      <c r="K85" s="24"/>
      <c r="L85" s="24"/>
    </row>
    <row r="86" spans="2:12" x14ac:dyDescent="0.35">
      <c r="B86" s="1">
        <v>34</v>
      </c>
      <c r="C86" s="22">
        <v>45658</v>
      </c>
      <c r="D86" s="22">
        <v>45688</v>
      </c>
      <c r="E86" s="23">
        <f t="shared" si="12"/>
        <v>31</v>
      </c>
      <c r="F86" s="3">
        <f t="shared" ref="F86:F117" si="15">J85</f>
        <v>317391354.28452903</v>
      </c>
      <c r="G86" s="298">
        <f t="shared" si="10"/>
        <v>9224945.2186479196</v>
      </c>
      <c r="H86" s="3">
        <f t="shared" si="11"/>
        <v>8778515.8739196006</v>
      </c>
      <c r="I86" s="3">
        <f t="shared" si="13"/>
        <v>446429.34472831897</v>
      </c>
      <c r="J86" s="3">
        <f t="shared" si="14"/>
        <v>316944924.93980074</v>
      </c>
      <c r="K86" s="24"/>
      <c r="L86" s="24"/>
    </row>
    <row r="87" spans="2:12" x14ac:dyDescent="0.35">
      <c r="B87" s="1">
        <v>35</v>
      </c>
      <c r="C87" s="22">
        <v>45689</v>
      </c>
      <c r="D87" s="22">
        <v>45716</v>
      </c>
      <c r="E87" s="23">
        <f t="shared" si="12"/>
        <v>28</v>
      </c>
      <c r="F87" s="3">
        <f t="shared" si="15"/>
        <v>316944924.93980074</v>
      </c>
      <c r="G87" s="298">
        <f t="shared" si="10"/>
        <v>9224945.2186479196</v>
      </c>
      <c r="H87" s="3">
        <f t="shared" si="11"/>
        <v>8766168.3822933249</v>
      </c>
      <c r="I87" s="3">
        <f t="shared" si="13"/>
        <v>458776.83635459468</v>
      </c>
      <c r="J87" s="3">
        <f t="shared" si="14"/>
        <v>316486148.10344613</v>
      </c>
      <c r="K87" s="24"/>
      <c r="L87" s="24"/>
    </row>
    <row r="88" spans="2:12" x14ac:dyDescent="0.35">
      <c r="B88" s="1">
        <v>36</v>
      </c>
      <c r="C88" s="22">
        <v>45717</v>
      </c>
      <c r="D88" s="22">
        <v>45747</v>
      </c>
      <c r="E88" s="23">
        <f t="shared" si="12"/>
        <v>31</v>
      </c>
      <c r="F88" s="3">
        <f t="shared" si="15"/>
        <v>316486148.10344613</v>
      </c>
      <c r="G88" s="298">
        <f t="shared" si="10"/>
        <v>9224945.2186479196</v>
      </c>
      <c r="H88" s="3">
        <f t="shared" si="11"/>
        <v>8753479.3796278164</v>
      </c>
      <c r="I88" s="3">
        <f t="shared" si="13"/>
        <v>471465.83902010322</v>
      </c>
      <c r="J88" s="3">
        <f t="shared" si="14"/>
        <v>316014682.26442599</v>
      </c>
      <c r="K88" s="24"/>
      <c r="L88" s="24"/>
    </row>
    <row r="89" spans="2:12" x14ac:dyDescent="0.35">
      <c r="B89" s="1">
        <v>37</v>
      </c>
      <c r="C89" s="22">
        <v>45748</v>
      </c>
      <c r="D89" s="22">
        <v>45777</v>
      </c>
      <c r="E89" s="23">
        <f t="shared" si="12"/>
        <v>30</v>
      </c>
      <c r="F89" s="3">
        <f t="shared" si="15"/>
        <v>316014682.26442599</v>
      </c>
      <c r="G89" s="298">
        <f t="shared" si="10"/>
        <v>9224945.2186479196</v>
      </c>
      <c r="H89" s="3">
        <f t="shared" si="11"/>
        <v>8740439.4202969186</v>
      </c>
      <c r="I89" s="3">
        <f t="shared" si="13"/>
        <v>484505.79835100099</v>
      </c>
      <c r="J89" s="3">
        <f t="shared" si="14"/>
        <v>315530176.466075</v>
      </c>
      <c r="K89" s="24"/>
      <c r="L89" s="24"/>
    </row>
    <row r="90" spans="2:12" x14ac:dyDescent="0.35">
      <c r="B90" s="1">
        <v>38</v>
      </c>
      <c r="C90" s="22">
        <v>45778</v>
      </c>
      <c r="D90" s="22">
        <v>45808</v>
      </c>
      <c r="E90" s="23">
        <f t="shared" si="12"/>
        <v>31</v>
      </c>
      <c r="F90" s="3">
        <f t="shared" si="15"/>
        <v>315530176.466075</v>
      </c>
      <c r="G90" s="298">
        <f t="shared" si="10"/>
        <v>9224945.2186479196</v>
      </c>
      <c r="H90" s="3">
        <f t="shared" si="11"/>
        <v>8727038.7974241935</v>
      </c>
      <c r="I90" s="3">
        <f t="shared" si="13"/>
        <v>497906.42122372612</v>
      </c>
      <c r="J90" s="3">
        <f t="shared" si="14"/>
        <v>315032270.0448513</v>
      </c>
      <c r="K90" s="24"/>
      <c r="L90" s="24"/>
    </row>
    <row r="91" spans="2:12" x14ac:dyDescent="0.35">
      <c r="B91" s="1">
        <v>39</v>
      </c>
      <c r="C91" s="22">
        <v>45809</v>
      </c>
      <c r="D91" s="22">
        <v>45838</v>
      </c>
      <c r="E91" s="23">
        <f t="shared" si="12"/>
        <v>30</v>
      </c>
      <c r="F91" s="3">
        <f t="shared" si="15"/>
        <v>315032270.0448513</v>
      </c>
      <c r="G91" s="298">
        <f t="shared" si="10"/>
        <v>9224945.2186479196</v>
      </c>
      <c r="H91" s="3">
        <f t="shared" si="11"/>
        <v>8713267.5356571805</v>
      </c>
      <c r="I91" s="3">
        <f t="shared" si="13"/>
        <v>511677.68299073912</v>
      </c>
      <c r="J91" s="3">
        <f t="shared" si="14"/>
        <v>314520592.36186057</v>
      </c>
      <c r="K91" s="24"/>
      <c r="L91" s="24"/>
    </row>
    <row r="92" spans="2:12" x14ac:dyDescent="0.35">
      <c r="B92" s="1">
        <v>40</v>
      </c>
      <c r="C92" s="22">
        <v>45839</v>
      </c>
      <c r="D92" s="22">
        <v>45869</v>
      </c>
      <c r="E92" s="23">
        <f t="shared" si="12"/>
        <v>31</v>
      </c>
      <c r="F92" s="3">
        <f t="shared" si="15"/>
        <v>314520592.36186057</v>
      </c>
      <c r="G92" s="298">
        <f t="shared" si="10"/>
        <v>9224945.2186479196</v>
      </c>
      <c r="H92" s="3">
        <f t="shared" si="11"/>
        <v>8699115.383741796</v>
      </c>
      <c r="I92" s="3">
        <f t="shared" si="13"/>
        <v>525829.83490612358</v>
      </c>
      <c r="J92" s="3">
        <f t="shared" si="14"/>
        <v>313994762.52695447</v>
      </c>
      <c r="K92" s="24"/>
      <c r="L92" s="24"/>
    </row>
    <row r="93" spans="2:12" x14ac:dyDescent="0.35">
      <c r="B93" s="1">
        <v>41</v>
      </c>
      <c r="C93" s="22">
        <v>45870</v>
      </c>
      <c r="D93" s="22">
        <v>45900</v>
      </c>
      <c r="E93" s="23">
        <f t="shared" si="12"/>
        <v>31</v>
      </c>
      <c r="F93" s="3">
        <f t="shared" si="15"/>
        <v>313994762.52695447</v>
      </c>
      <c r="G93" s="298">
        <f t="shared" si="10"/>
        <v>9224945.2186479196</v>
      </c>
      <c r="H93" s="3">
        <f t="shared" si="11"/>
        <v>8684571.8068913519</v>
      </c>
      <c r="I93" s="3">
        <f t="shared" si="13"/>
        <v>540373.41175656766</v>
      </c>
      <c r="J93" s="3">
        <f t="shared" si="14"/>
        <v>313454389.1151979</v>
      </c>
      <c r="K93" s="24"/>
      <c r="L93" s="24"/>
    </row>
    <row r="94" spans="2:12" x14ac:dyDescent="0.35">
      <c r="B94" s="1">
        <v>42</v>
      </c>
      <c r="C94" s="22">
        <v>45901</v>
      </c>
      <c r="D94" s="22">
        <v>45930</v>
      </c>
      <c r="E94" s="23">
        <f t="shared" si="12"/>
        <v>30</v>
      </c>
      <c r="F94" s="3">
        <f t="shared" si="15"/>
        <v>313454389.1151979</v>
      </c>
      <c r="G94" s="298">
        <f t="shared" si="10"/>
        <v>9224945.2186479196</v>
      </c>
      <c r="H94" s="3">
        <f t="shared" si="11"/>
        <v>8669625.9789445177</v>
      </c>
      <c r="I94" s="3">
        <f t="shared" si="13"/>
        <v>555319.23970340192</v>
      </c>
      <c r="J94" s="3">
        <f t="shared" si="14"/>
        <v>312899069.87549448</v>
      </c>
      <c r="K94" s="24"/>
      <c r="L94" s="24"/>
    </row>
    <row r="95" spans="2:12" x14ac:dyDescent="0.35">
      <c r="B95" s="1">
        <v>43</v>
      </c>
      <c r="C95" s="22">
        <v>45931</v>
      </c>
      <c r="D95" s="22">
        <v>45961</v>
      </c>
      <c r="E95" s="23">
        <f t="shared" si="12"/>
        <v>31</v>
      </c>
      <c r="F95" s="3">
        <f t="shared" si="15"/>
        <v>312899069.87549448</v>
      </c>
      <c r="G95" s="298">
        <f t="shared" si="10"/>
        <v>9224945.2186479196</v>
      </c>
      <c r="H95" s="3">
        <f t="shared" si="11"/>
        <v>8654266.7743063867</v>
      </c>
      <c r="I95" s="3">
        <f t="shared" si="13"/>
        <v>570678.44434153289</v>
      </c>
      <c r="J95" s="3">
        <f t="shared" si="14"/>
        <v>312328391.43115294</v>
      </c>
      <c r="K95" s="24"/>
      <c r="L95" s="24"/>
    </row>
    <row r="96" spans="2:12" x14ac:dyDescent="0.35">
      <c r="B96" s="1">
        <v>44</v>
      </c>
      <c r="C96" s="22">
        <v>45962</v>
      </c>
      <c r="D96" s="22">
        <v>45991</v>
      </c>
      <c r="E96" s="23">
        <f t="shared" si="12"/>
        <v>30</v>
      </c>
      <c r="F96" s="3">
        <f t="shared" si="15"/>
        <v>312328391.43115294</v>
      </c>
      <c r="G96" s="298">
        <f t="shared" si="10"/>
        <v>9224945.2186479196</v>
      </c>
      <c r="H96" s="3">
        <f t="shared" si="11"/>
        <v>8638482.7596666403</v>
      </c>
      <c r="I96" s="3">
        <f t="shared" si="13"/>
        <v>586462.45898127928</v>
      </c>
      <c r="J96" s="3">
        <f t="shared" si="14"/>
        <v>311741928.97217166</v>
      </c>
      <c r="K96" s="24"/>
      <c r="L96" s="24"/>
    </row>
    <row r="97" spans="2:12" x14ac:dyDescent="0.35">
      <c r="B97" s="1">
        <v>45</v>
      </c>
      <c r="C97" s="22">
        <v>45992</v>
      </c>
      <c r="D97" s="22">
        <v>46022</v>
      </c>
      <c r="E97" s="23">
        <f t="shared" si="12"/>
        <v>31</v>
      </c>
      <c r="F97" s="3">
        <f t="shared" si="15"/>
        <v>311741928.97217166</v>
      </c>
      <c r="G97" s="298">
        <f t="shared" si="10"/>
        <v>9224945.2186479196</v>
      </c>
      <c r="H97" s="3">
        <f t="shared" si="11"/>
        <v>8622262.1854886506</v>
      </c>
      <c r="I97" s="3">
        <f t="shared" si="13"/>
        <v>602683.03315926902</v>
      </c>
      <c r="J97" s="3">
        <f t="shared" si="14"/>
        <v>311139245.93901241</v>
      </c>
      <c r="K97" s="24"/>
      <c r="L97" s="24"/>
    </row>
    <row r="98" spans="2:12" x14ac:dyDescent="0.35">
      <c r="B98" s="1">
        <v>46</v>
      </c>
      <c r="C98" s="22">
        <v>46023</v>
      </c>
      <c r="D98" s="22">
        <v>46053</v>
      </c>
      <c r="E98" s="23">
        <f t="shared" si="12"/>
        <v>31</v>
      </c>
      <c r="F98" s="3">
        <f t="shared" si="15"/>
        <v>311139245.93901241</v>
      </c>
      <c r="G98" s="298">
        <f t="shared" si="10"/>
        <v>9224945.2186479196</v>
      </c>
      <c r="H98" s="3">
        <f t="shared" si="11"/>
        <v>8605592.9772631861</v>
      </c>
      <c r="I98" s="3">
        <f t="shared" si="13"/>
        <v>619352.24138473347</v>
      </c>
      <c r="J98" s="3">
        <f t="shared" si="14"/>
        <v>310519893.69762766</v>
      </c>
      <c r="K98" s="24"/>
      <c r="L98" s="24"/>
    </row>
    <row r="99" spans="2:12" x14ac:dyDescent="0.35">
      <c r="B99" s="1">
        <v>47</v>
      </c>
      <c r="C99" s="22">
        <v>46054</v>
      </c>
      <c r="D99" s="22">
        <v>46081</v>
      </c>
      <c r="E99" s="23">
        <f t="shared" si="12"/>
        <v>28</v>
      </c>
      <c r="F99" s="3">
        <f t="shared" si="15"/>
        <v>310519893.69762766</v>
      </c>
      <c r="G99" s="298">
        <f t="shared" si="10"/>
        <v>9224945.2186479196</v>
      </c>
      <c r="H99" s="3">
        <f t="shared" si="11"/>
        <v>8588462.7265202198</v>
      </c>
      <c r="I99" s="3">
        <f t="shared" si="13"/>
        <v>636482.49212769978</v>
      </c>
      <c r="J99" s="3">
        <f t="shared" si="14"/>
        <v>309883411.20549995</v>
      </c>
      <c r="K99" s="24"/>
      <c r="L99" s="24"/>
    </row>
    <row r="100" spans="2:12" x14ac:dyDescent="0.35">
      <c r="B100" s="1">
        <v>48</v>
      </c>
      <c r="C100" s="22">
        <v>46082</v>
      </c>
      <c r="D100" s="22">
        <v>46112</v>
      </c>
      <c r="E100" s="23">
        <f t="shared" si="12"/>
        <v>31</v>
      </c>
      <c r="F100" s="3">
        <f t="shared" si="15"/>
        <v>309883411.20549995</v>
      </c>
      <c r="G100" s="298">
        <f t="shared" si="10"/>
        <v>9224945.2186479196</v>
      </c>
      <c r="H100" s="3">
        <f t="shared" si="11"/>
        <v>8570858.6815921217</v>
      </c>
      <c r="I100" s="3">
        <f t="shared" si="13"/>
        <v>654086.53705579787</v>
      </c>
      <c r="J100" s="3">
        <f t="shared" si="14"/>
        <v>309229324.66844416</v>
      </c>
      <c r="K100" s="24"/>
      <c r="L100" s="24"/>
    </row>
    <row r="101" spans="2:12" x14ac:dyDescent="0.35">
      <c r="B101" s="1">
        <v>49</v>
      </c>
      <c r="C101" s="22">
        <v>46113</v>
      </c>
      <c r="D101" s="22">
        <v>46142</v>
      </c>
      <c r="E101" s="23">
        <f t="shared" si="12"/>
        <v>30</v>
      </c>
      <c r="F101" s="3">
        <f t="shared" si="15"/>
        <v>309229324.66844416</v>
      </c>
      <c r="G101" s="298">
        <f t="shared" si="10"/>
        <v>9224945.2186479196</v>
      </c>
      <c r="H101" s="3">
        <f t="shared" si="11"/>
        <v>8552767.7381213866</v>
      </c>
      <c r="I101" s="3">
        <f t="shared" si="13"/>
        <v>672177.48052653298</v>
      </c>
      <c r="J101" s="3">
        <f t="shared" si="14"/>
        <v>308557147.18791765</v>
      </c>
      <c r="K101" s="24"/>
      <c r="L101" s="24"/>
    </row>
    <row r="102" spans="2:12" x14ac:dyDescent="0.35">
      <c r="B102" s="1">
        <v>50</v>
      </c>
      <c r="C102" s="22">
        <v>46143</v>
      </c>
      <c r="D102" s="22">
        <v>46173</v>
      </c>
      <c r="E102" s="23">
        <f t="shared" si="12"/>
        <v>31</v>
      </c>
      <c r="F102" s="3">
        <f t="shared" si="15"/>
        <v>308557147.18791765</v>
      </c>
      <c r="G102" s="298">
        <f t="shared" si="10"/>
        <v>9224945.2186479196</v>
      </c>
      <c r="H102" s="3">
        <f t="shared" si="11"/>
        <v>8534176.4293058254</v>
      </c>
      <c r="I102" s="3">
        <f t="shared" si="13"/>
        <v>690768.78934209421</v>
      </c>
      <c r="J102" s="3">
        <f t="shared" si="14"/>
        <v>307866378.39857554</v>
      </c>
      <c r="K102" s="24"/>
      <c r="L102" s="24"/>
    </row>
    <row r="103" spans="2:12" x14ac:dyDescent="0.35">
      <c r="B103" s="1">
        <v>51</v>
      </c>
      <c r="C103" s="22">
        <v>46174</v>
      </c>
      <c r="D103" s="22">
        <v>46203</v>
      </c>
      <c r="E103" s="23">
        <f t="shared" si="12"/>
        <v>30</v>
      </c>
      <c r="F103" s="3">
        <f t="shared" si="15"/>
        <v>307866378.39857554</v>
      </c>
      <c r="G103" s="298">
        <f t="shared" si="10"/>
        <v>9224945.2186479196</v>
      </c>
      <c r="H103" s="3">
        <f t="shared" si="11"/>
        <v>8515070.9158739373</v>
      </c>
      <c r="I103" s="3">
        <f t="shared" si="13"/>
        <v>709874.30277398229</v>
      </c>
      <c r="J103" s="3">
        <f t="shared" si="14"/>
        <v>307156504.09580159</v>
      </c>
      <c r="K103" s="24"/>
      <c r="L103" s="24"/>
    </row>
    <row r="104" spans="2:12" x14ac:dyDescent="0.35">
      <c r="B104" s="1">
        <v>52</v>
      </c>
      <c r="C104" s="22">
        <v>46204</v>
      </c>
      <c r="D104" s="22">
        <v>46234</v>
      </c>
      <c r="E104" s="23">
        <f t="shared" si="12"/>
        <v>31</v>
      </c>
      <c r="F104" s="3">
        <f t="shared" si="15"/>
        <v>307156504.09580159</v>
      </c>
      <c r="G104" s="298">
        <f t="shared" si="10"/>
        <v>9224945.2186479196</v>
      </c>
      <c r="H104" s="3">
        <f t="shared" si="11"/>
        <v>8495436.9757830482</v>
      </c>
      <c r="I104" s="3">
        <f t="shared" si="13"/>
        <v>729508.2428648714</v>
      </c>
      <c r="J104" s="3">
        <f t="shared" si="14"/>
        <v>306426995.85293674</v>
      </c>
      <c r="K104" s="24"/>
      <c r="L104" s="24"/>
    </row>
    <row r="105" spans="2:12" x14ac:dyDescent="0.35">
      <c r="B105" s="1">
        <v>53</v>
      </c>
      <c r="C105" s="22">
        <v>46235</v>
      </c>
      <c r="D105" s="22">
        <v>46265</v>
      </c>
      <c r="E105" s="23">
        <f t="shared" si="12"/>
        <v>31</v>
      </c>
      <c r="F105" s="3">
        <f t="shared" si="15"/>
        <v>306426995.85293674</v>
      </c>
      <c r="G105" s="298">
        <f t="shared" si="10"/>
        <v>9224945.2186479196</v>
      </c>
      <c r="H105" s="3">
        <f t="shared" si="11"/>
        <v>8475259.9936324768</v>
      </c>
      <c r="I105" s="3">
        <f t="shared" si="13"/>
        <v>749685.22501544282</v>
      </c>
      <c r="J105" s="3">
        <f t="shared" si="14"/>
        <v>305677310.62792128</v>
      </c>
      <c r="K105" s="24"/>
      <c r="L105" s="24"/>
    </row>
    <row r="106" spans="2:12" x14ac:dyDescent="0.35">
      <c r="B106" s="1">
        <v>54</v>
      </c>
      <c r="C106" s="22">
        <v>46266</v>
      </c>
      <c r="D106" s="22">
        <v>46295</v>
      </c>
      <c r="E106" s="23">
        <f t="shared" si="12"/>
        <v>30</v>
      </c>
      <c r="F106" s="3">
        <f t="shared" si="15"/>
        <v>305677310.62792128</v>
      </c>
      <c r="G106" s="298">
        <f t="shared" si="10"/>
        <v>9224945.2186479196</v>
      </c>
      <c r="H106" s="3">
        <f t="shared" si="11"/>
        <v>8454524.949783925</v>
      </c>
      <c r="I106" s="3">
        <f t="shared" si="13"/>
        <v>770420.26886399463</v>
      </c>
      <c r="J106" s="3">
        <f t="shared" si="14"/>
        <v>304906890.35905731</v>
      </c>
      <c r="K106" s="24"/>
      <c r="L106" s="24"/>
    </row>
    <row r="107" spans="2:12" x14ac:dyDescent="0.35">
      <c r="B107" s="1">
        <v>55</v>
      </c>
      <c r="C107" s="22">
        <v>46296</v>
      </c>
      <c r="D107" s="22">
        <v>46326</v>
      </c>
      <c r="E107" s="23">
        <f t="shared" si="12"/>
        <v>31</v>
      </c>
      <c r="F107" s="3">
        <f t="shared" si="15"/>
        <v>304906890.35905731</v>
      </c>
      <c r="G107" s="298">
        <f t="shared" si="10"/>
        <v>9224945.2186479196</v>
      </c>
      <c r="H107" s="3">
        <f t="shared" si="11"/>
        <v>8433216.409180928</v>
      </c>
      <c r="I107" s="3">
        <f t="shared" si="13"/>
        <v>791728.80946699157</v>
      </c>
      <c r="J107" s="3">
        <f t="shared" si="14"/>
        <v>304115161.54959029</v>
      </c>
      <c r="K107" s="24"/>
      <c r="L107" s="24"/>
    </row>
    <row r="108" spans="2:12" x14ac:dyDescent="0.35">
      <c r="B108" s="1">
        <v>56</v>
      </c>
      <c r="C108" s="22">
        <v>46327</v>
      </c>
      <c r="D108" s="22">
        <v>46356</v>
      </c>
      <c r="E108" s="23">
        <f t="shared" si="12"/>
        <v>30</v>
      </c>
      <c r="F108" s="3">
        <f t="shared" si="15"/>
        <v>304115161.54959029</v>
      </c>
      <c r="G108" s="298">
        <f t="shared" si="10"/>
        <v>9224945.2186479196</v>
      </c>
      <c r="H108" s="3">
        <f t="shared" si="11"/>
        <v>8411318.5098590869</v>
      </c>
      <c r="I108" s="3">
        <f t="shared" si="13"/>
        <v>813626.70878883265</v>
      </c>
      <c r="J108" s="3">
        <f t="shared" si="14"/>
        <v>303301534.84080148</v>
      </c>
      <c r="K108" s="24"/>
      <c r="L108" s="24"/>
    </row>
    <row r="109" spans="2:12" x14ac:dyDescent="0.35">
      <c r="B109" s="1">
        <v>57</v>
      </c>
      <c r="C109" s="22">
        <v>46357</v>
      </c>
      <c r="D109" s="22">
        <v>46387</v>
      </c>
      <c r="E109" s="23">
        <f t="shared" si="12"/>
        <v>31</v>
      </c>
      <c r="F109" s="3">
        <f t="shared" si="15"/>
        <v>303301534.84080148</v>
      </c>
      <c r="G109" s="298">
        <f t="shared" si="10"/>
        <v>9224945.2186479196</v>
      </c>
      <c r="H109" s="3">
        <f t="shared" si="11"/>
        <v>8388814.9511385038</v>
      </c>
      <c r="I109" s="3">
        <f t="shared" si="13"/>
        <v>836130.26750941575</v>
      </c>
      <c r="J109" s="3">
        <f t="shared" si="14"/>
        <v>302465404.57329208</v>
      </c>
      <c r="K109" s="24"/>
      <c r="L109" s="24"/>
    </row>
    <row r="110" spans="2:12" x14ac:dyDescent="0.35">
      <c r="B110" s="1">
        <v>58</v>
      </c>
      <c r="C110" s="22">
        <v>46388</v>
      </c>
      <c r="D110" s="22">
        <v>46418</v>
      </c>
      <c r="E110" s="23">
        <f t="shared" si="12"/>
        <v>31</v>
      </c>
      <c r="F110" s="3">
        <f t="shared" si="15"/>
        <v>302465404.57329208</v>
      </c>
      <c r="G110" s="298">
        <f t="shared" si="10"/>
        <v>9224945.2186479196</v>
      </c>
      <c r="H110" s="3">
        <f t="shared" si="11"/>
        <v>8365688.9814896388</v>
      </c>
      <c r="I110" s="3">
        <f t="shared" si="13"/>
        <v>859256.2371582808</v>
      </c>
      <c r="J110" s="3">
        <f t="shared" si="14"/>
        <v>301606148.33613378</v>
      </c>
      <c r="K110" s="24"/>
      <c r="L110" s="24"/>
    </row>
    <row r="111" spans="2:12" x14ac:dyDescent="0.35">
      <c r="B111" s="1">
        <v>59</v>
      </c>
      <c r="C111" s="22">
        <v>46419</v>
      </c>
      <c r="D111" s="22">
        <v>46446</v>
      </c>
      <c r="E111" s="23">
        <f t="shared" si="12"/>
        <v>28</v>
      </c>
      <c r="F111" s="3">
        <f t="shared" si="15"/>
        <v>301606148.33613378</v>
      </c>
      <c r="G111" s="298">
        <f t="shared" si="10"/>
        <v>9224945.2186479196</v>
      </c>
      <c r="H111" s="3">
        <f t="shared" si="11"/>
        <v>8341923.3860635692</v>
      </c>
      <c r="I111" s="3">
        <f t="shared" si="13"/>
        <v>883021.83258435037</v>
      </c>
      <c r="J111" s="3">
        <f t="shared" si="14"/>
        <v>300723126.50354946</v>
      </c>
      <c r="K111" s="24"/>
      <c r="L111" s="24"/>
    </row>
    <row r="112" spans="2:12" x14ac:dyDescent="0.35">
      <c r="B112" s="1">
        <v>60</v>
      </c>
      <c r="C112" s="22">
        <v>46447</v>
      </c>
      <c r="D112" s="22">
        <v>46477</v>
      </c>
      <c r="E112" s="23">
        <f t="shared" si="12"/>
        <v>31</v>
      </c>
      <c r="F112" s="3">
        <f t="shared" si="15"/>
        <v>300723126.50354946</v>
      </c>
      <c r="G112" s="298">
        <f t="shared" ref="G112:G143" si="16">-PMT($N$50/$D$47,117,$F$80,0)</f>
        <v>9224945.2186479196</v>
      </c>
      <c r="H112" s="3">
        <f t="shared" ref="H112:H143" si="17">$N$50/$D$47*F112</f>
        <v>8317500.4738773406</v>
      </c>
      <c r="I112" s="3">
        <f t="shared" si="13"/>
        <v>907444.74477057904</v>
      </c>
      <c r="J112" s="3">
        <f t="shared" si="14"/>
        <v>299815681.75877887</v>
      </c>
      <c r="K112" s="24"/>
      <c r="L112" s="24"/>
    </row>
    <row r="113" spans="2:12" x14ac:dyDescent="0.35">
      <c r="B113" s="1">
        <v>61</v>
      </c>
      <c r="C113" s="22">
        <v>46478</v>
      </c>
      <c r="D113" s="22">
        <v>46507</v>
      </c>
      <c r="E113" s="23">
        <f t="shared" si="12"/>
        <v>30</v>
      </c>
      <c r="F113" s="3">
        <f t="shared" si="15"/>
        <v>299815681.75877887</v>
      </c>
      <c r="G113" s="298">
        <f t="shared" si="16"/>
        <v>9224945.2186479196</v>
      </c>
      <c r="H113" s="3">
        <f t="shared" si="17"/>
        <v>8292402.0646448946</v>
      </c>
      <c r="I113" s="3">
        <f t="shared" si="13"/>
        <v>932543.15400302503</v>
      </c>
      <c r="J113" s="3">
        <f t="shared" si="14"/>
        <v>298883138.60477585</v>
      </c>
      <c r="K113" s="24"/>
      <c r="L113" s="24"/>
    </row>
    <row r="114" spans="2:12" x14ac:dyDescent="0.35">
      <c r="B114" s="1">
        <v>62</v>
      </c>
      <c r="C114" s="22">
        <v>46508</v>
      </c>
      <c r="D114" s="22">
        <v>46538</v>
      </c>
      <c r="E114" s="23">
        <f t="shared" si="12"/>
        <v>31</v>
      </c>
      <c r="F114" s="3">
        <f t="shared" si="15"/>
        <v>298883138.60477585</v>
      </c>
      <c r="G114" s="298">
        <f t="shared" si="16"/>
        <v>9224945.2186479196</v>
      </c>
      <c r="H114" s="3">
        <f t="shared" si="17"/>
        <v>8266609.4752437603</v>
      </c>
      <c r="I114" s="3">
        <f t="shared" si="13"/>
        <v>958335.74340415932</v>
      </c>
      <c r="J114" s="3">
        <f t="shared" si="14"/>
        <v>297924802.8613717</v>
      </c>
      <c r="K114" s="24"/>
      <c r="L114" s="24"/>
    </row>
    <row r="115" spans="2:12" x14ac:dyDescent="0.35">
      <c r="B115" s="1">
        <v>63</v>
      </c>
      <c r="C115" s="22">
        <v>46539</v>
      </c>
      <c r="D115" s="22">
        <v>46568</v>
      </c>
      <c r="E115" s="23">
        <f t="shared" si="12"/>
        <v>30</v>
      </c>
      <c r="F115" s="3">
        <f t="shared" si="15"/>
        <v>297924802.8613717</v>
      </c>
      <c r="G115" s="298">
        <f t="shared" si="16"/>
        <v>9224945.2186479196</v>
      </c>
      <c r="H115" s="3">
        <f t="shared" si="17"/>
        <v>8240103.5058074407</v>
      </c>
      <c r="I115" s="3">
        <f t="shared" si="13"/>
        <v>984841.71284047887</v>
      </c>
      <c r="J115" s="3">
        <f t="shared" si="14"/>
        <v>296939961.1485312</v>
      </c>
      <c r="K115" s="24"/>
      <c r="L115" s="24"/>
    </row>
    <row r="116" spans="2:12" x14ac:dyDescent="0.35">
      <c r="B116" s="1">
        <v>64</v>
      </c>
      <c r="C116" s="22">
        <v>46569</v>
      </c>
      <c r="D116" s="22">
        <v>46599</v>
      </c>
      <c r="E116" s="23">
        <f t="shared" si="12"/>
        <v>31</v>
      </c>
      <c r="F116" s="3">
        <f t="shared" si="15"/>
        <v>296939961.1485312</v>
      </c>
      <c r="G116" s="298">
        <f t="shared" si="16"/>
        <v>9224945.2186479196</v>
      </c>
      <c r="H116" s="3">
        <f t="shared" si="17"/>
        <v>8212864.4254331272</v>
      </c>
      <c r="I116" s="3">
        <f t="shared" si="13"/>
        <v>1012080.7932147924</v>
      </c>
      <c r="J116" s="3">
        <f t="shared" si="14"/>
        <v>295927880.3553164</v>
      </c>
      <c r="K116" s="24"/>
      <c r="L116" s="24"/>
    </row>
    <row r="117" spans="2:12" x14ac:dyDescent="0.35">
      <c r="B117" s="1">
        <v>65</v>
      </c>
      <c r="C117" s="22">
        <v>46600</v>
      </c>
      <c r="D117" s="22">
        <v>46630</v>
      </c>
      <c r="E117" s="23">
        <f t="shared" ref="E117:E148" si="18">D117-C117+1</f>
        <v>31</v>
      </c>
      <c r="F117" s="3">
        <f t="shared" si="15"/>
        <v>295927880.3553164</v>
      </c>
      <c r="G117" s="298">
        <f t="shared" si="16"/>
        <v>9224945.2186479196</v>
      </c>
      <c r="H117" s="3">
        <f t="shared" si="17"/>
        <v>8184871.9574941285</v>
      </c>
      <c r="I117" s="3">
        <f t="shared" ref="I117:I148" si="19">G117-H117</f>
        <v>1040073.2611537911</v>
      </c>
      <c r="J117" s="3">
        <f t="shared" ref="J117:J148" si="20">F117-I117</f>
        <v>294887807.09416258</v>
      </c>
      <c r="K117" s="24"/>
      <c r="L117" s="24"/>
    </row>
    <row r="118" spans="2:12" x14ac:dyDescent="0.35">
      <c r="B118" s="1">
        <v>66</v>
      </c>
      <c r="C118" s="22">
        <v>46631</v>
      </c>
      <c r="D118" s="22">
        <v>46660</v>
      </c>
      <c r="E118" s="23">
        <f t="shared" si="18"/>
        <v>30</v>
      </c>
      <c r="F118" s="3">
        <f t="shared" ref="F118:F149" si="21">J117</f>
        <v>294887807.09416258</v>
      </c>
      <c r="G118" s="298">
        <f t="shared" si="16"/>
        <v>9224945.2186479196</v>
      </c>
      <c r="H118" s="3">
        <f t="shared" si="17"/>
        <v>8156105.2645460488</v>
      </c>
      <c r="I118" s="3">
        <f t="shared" si="19"/>
        <v>1068839.9541018708</v>
      </c>
      <c r="J118" s="3">
        <f t="shared" si="20"/>
        <v>293818967.14006072</v>
      </c>
      <c r="K118" s="24"/>
      <c r="L118" s="24"/>
    </row>
    <row r="119" spans="2:12" x14ac:dyDescent="0.35">
      <c r="B119" s="1">
        <v>67</v>
      </c>
      <c r="C119" s="22">
        <v>46661</v>
      </c>
      <c r="D119" s="22">
        <v>46691</v>
      </c>
      <c r="E119" s="23">
        <f t="shared" si="18"/>
        <v>31</v>
      </c>
      <c r="F119" s="3">
        <f t="shared" si="21"/>
        <v>293818967.14006072</v>
      </c>
      <c r="G119" s="298">
        <f t="shared" si="16"/>
        <v>9224945.2186479196</v>
      </c>
      <c r="H119" s="3">
        <f t="shared" si="17"/>
        <v>8126542.9328155145</v>
      </c>
      <c r="I119" s="3">
        <f t="shared" si="19"/>
        <v>1098402.2858324051</v>
      </c>
      <c r="J119" s="3">
        <f t="shared" si="20"/>
        <v>292720564.85422832</v>
      </c>
      <c r="K119" s="24"/>
      <c r="L119" s="24"/>
    </row>
    <row r="120" spans="2:12" x14ac:dyDescent="0.35">
      <c r="B120" s="1">
        <v>68</v>
      </c>
      <c r="C120" s="22">
        <v>46692</v>
      </c>
      <c r="D120" s="22">
        <v>46721</v>
      </c>
      <c r="E120" s="23">
        <f t="shared" si="18"/>
        <v>30</v>
      </c>
      <c r="F120" s="3">
        <f t="shared" si="21"/>
        <v>292720564.85422832</v>
      </c>
      <c r="G120" s="298">
        <f t="shared" si="16"/>
        <v>9224945.2186479196</v>
      </c>
      <c r="H120" s="3">
        <f t="shared" si="17"/>
        <v>8096162.9562598672</v>
      </c>
      <c r="I120" s="3">
        <f t="shared" si="19"/>
        <v>1128782.2623880524</v>
      </c>
      <c r="J120" s="3">
        <f t="shared" si="20"/>
        <v>291591782.59184027</v>
      </c>
      <c r="K120" s="24"/>
      <c r="L120" s="24"/>
    </row>
    <row r="121" spans="2:12" x14ac:dyDescent="0.35">
      <c r="B121" s="1">
        <v>69</v>
      </c>
      <c r="C121" s="22">
        <v>46722</v>
      </c>
      <c r="D121" s="22">
        <v>46752</v>
      </c>
      <c r="E121" s="23">
        <f t="shared" si="18"/>
        <v>31</v>
      </c>
      <c r="F121" s="3">
        <f t="shared" si="21"/>
        <v>291591782.59184027</v>
      </c>
      <c r="G121" s="298">
        <f t="shared" si="16"/>
        <v>9224945.2186479196</v>
      </c>
      <c r="H121" s="3">
        <f t="shared" si="17"/>
        <v>8064942.7201859839</v>
      </c>
      <c r="I121" s="3">
        <f t="shared" si="19"/>
        <v>1160002.4984619357</v>
      </c>
      <c r="J121" s="3">
        <f t="shared" si="20"/>
        <v>290431780.09337831</v>
      </c>
      <c r="K121" s="24"/>
      <c r="L121" s="24"/>
    </row>
    <row r="122" spans="2:12" x14ac:dyDescent="0.35">
      <c r="B122" s="1">
        <v>70</v>
      </c>
      <c r="C122" s="22">
        <v>46753</v>
      </c>
      <c r="D122" s="22">
        <v>46783</v>
      </c>
      <c r="E122" s="23">
        <f t="shared" si="18"/>
        <v>31</v>
      </c>
      <c r="F122" s="3">
        <f t="shared" si="21"/>
        <v>290431780.09337831</v>
      </c>
      <c r="G122" s="298">
        <f t="shared" si="16"/>
        <v>9224945.2186479196</v>
      </c>
      <c r="H122" s="3">
        <f t="shared" si="17"/>
        <v>8032858.9844160238</v>
      </c>
      <c r="I122" s="3">
        <f t="shared" si="19"/>
        <v>1192086.2342318958</v>
      </c>
      <c r="J122" s="3">
        <f t="shared" si="20"/>
        <v>289239693.85914642</v>
      </c>
      <c r="K122" s="24"/>
      <c r="L122" s="24"/>
    </row>
    <row r="123" spans="2:12" x14ac:dyDescent="0.35">
      <c r="B123" s="1">
        <v>71</v>
      </c>
      <c r="C123" s="22">
        <v>46784</v>
      </c>
      <c r="D123" s="22">
        <v>46812</v>
      </c>
      <c r="E123" s="23">
        <f t="shared" si="18"/>
        <v>29</v>
      </c>
      <c r="F123" s="3">
        <f t="shared" si="21"/>
        <v>289239693.85914642</v>
      </c>
      <c r="G123" s="298">
        <f t="shared" si="16"/>
        <v>9224945.2186479196</v>
      </c>
      <c r="H123" s="3">
        <f t="shared" si="17"/>
        <v>7999887.8659875598</v>
      </c>
      <c r="I123" s="3">
        <f t="shared" si="19"/>
        <v>1225057.3526603598</v>
      </c>
      <c r="J123" s="3">
        <f t="shared" si="20"/>
        <v>288014636.50648606</v>
      </c>
      <c r="K123" s="24"/>
      <c r="L123" s="24"/>
    </row>
    <row r="124" spans="2:12" x14ac:dyDescent="0.35">
      <c r="B124" s="1">
        <v>72</v>
      </c>
      <c r="C124" s="22">
        <v>46813</v>
      </c>
      <c r="D124" s="22">
        <v>46843</v>
      </c>
      <c r="E124" s="23">
        <f t="shared" si="18"/>
        <v>31</v>
      </c>
      <c r="F124" s="3">
        <f t="shared" si="21"/>
        <v>288014636.50648606</v>
      </c>
      <c r="G124" s="298">
        <f t="shared" si="16"/>
        <v>9224945.2186479196</v>
      </c>
      <c r="H124" s="3">
        <f t="shared" si="17"/>
        <v>7966004.8213752285</v>
      </c>
      <c r="I124" s="3">
        <f t="shared" si="19"/>
        <v>1258940.3972726911</v>
      </c>
      <c r="J124" s="3">
        <f t="shared" si="20"/>
        <v>286755696.10921335</v>
      </c>
      <c r="K124" s="24"/>
      <c r="L124" s="24"/>
    </row>
    <row r="125" spans="2:12" x14ac:dyDescent="0.35">
      <c r="B125" s="1">
        <v>73</v>
      </c>
      <c r="C125" s="22">
        <v>46844</v>
      </c>
      <c r="D125" s="22">
        <v>46873</v>
      </c>
      <c r="E125" s="23">
        <f t="shared" si="18"/>
        <v>30</v>
      </c>
      <c r="F125" s="3">
        <f t="shared" si="21"/>
        <v>286755696.10921335</v>
      </c>
      <c r="G125" s="298">
        <f t="shared" si="16"/>
        <v>9224945.2186479196</v>
      </c>
      <c r="H125" s="3">
        <f t="shared" si="17"/>
        <v>7931184.6282206615</v>
      </c>
      <c r="I125" s="3">
        <f t="shared" si="19"/>
        <v>1293760.5904272581</v>
      </c>
      <c r="J125" s="3">
        <f t="shared" si="20"/>
        <v>285461935.51878607</v>
      </c>
      <c r="K125" s="24"/>
      <c r="L125" s="24"/>
    </row>
    <row r="126" spans="2:12" x14ac:dyDescent="0.35">
      <c r="B126" s="1">
        <v>74</v>
      </c>
      <c r="C126" s="22">
        <v>46874</v>
      </c>
      <c r="D126" s="22">
        <v>46904</v>
      </c>
      <c r="E126" s="23">
        <f t="shared" si="18"/>
        <v>31</v>
      </c>
      <c r="F126" s="3">
        <f t="shared" si="21"/>
        <v>285461935.51878607</v>
      </c>
      <c r="G126" s="298">
        <f t="shared" si="16"/>
        <v>9224945.2186479196</v>
      </c>
      <c r="H126" s="3">
        <f t="shared" si="17"/>
        <v>7895401.3665570933</v>
      </c>
      <c r="I126" s="3">
        <f t="shared" si="19"/>
        <v>1329543.8520908263</v>
      </c>
      <c r="J126" s="3">
        <f t="shared" si="20"/>
        <v>284132391.66669524</v>
      </c>
      <c r="K126" s="24"/>
      <c r="L126" s="24"/>
    </row>
    <row r="127" spans="2:12" x14ac:dyDescent="0.35">
      <c r="B127" s="1">
        <v>75</v>
      </c>
      <c r="C127" s="22">
        <v>46905</v>
      </c>
      <c r="D127" s="22">
        <v>46934</v>
      </c>
      <c r="E127" s="23">
        <f t="shared" si="18"/>
        <v>30</v>
      </c>
      <c r="F127" s="3">
        <f t="shared" si="21"/>
        <v>284132391.66669524</v>
      </c>
      <c r="G127" s="298">
        <f t="shared" si="16"/>
        <v>9224945.2186479196</v>
      </c>
      <c r="H127" s="3">
        <f t="shared" si="17"/>
        <v>7858628.3995146807</v>
      </c>
      <c r="I127" s="3">
        <f t="shared" si="19"/>
        <v>1366316.8191332389</v>
      </c>
      <c r="J127" s="3">
        <f t="shared" si="20"/>
        <v>282766074.84756202</v>
      </c>
      <c r="K127" s="24"/>
      <c r="L127" s="24"/>
    </row>
    <row r="128" spans="2:12" x14ac:dyDescent="0.35">
      <c r="B128" s="1">
        <v>76</v>
      </c>
      <c r="C128" s="22">
        <v>46935</v>
      </c>
      <c r="D128" s="22">
        <v>46965</v>
      </c>
      <c r="E128" s="23">
        <f t="shared" si="18"/>
        <v>31</v>
      </c>
      <c r="F128" s="3">
        <f t="shared" si="21"/>
        <v>282766074.84756202</v>
      </c>
      <c r="G128" s="298">
        <f t="shared" si="16"/>
        <v>9224945.2186479196</v>
      </c>
      <c r="H128" s="3">
        <f t="shared" si="17"/>
        <v>7820838.3534921547</v>
      </c>
      <c r="I128" s="3">
        <f t="shared" si="19"/>
        <v>1404106.8651557649</v>
      </c>
      <c r="J128" s="3">
        <f t="shared" si="20"/>
        <v>281361967.98240626</v>
      </c>
      <c r="K128" s="24"/>
      <c r="L128" s="24"/>
    </row>
    <row r="129" spans="2:12" x14ac:dyDescent="0.35">
      <c r="B129" s="1">
        <v>77</v>
      </c>
      <c r="C129" s="22">
        <v>46966</v>
      </c>
      <c r="D129" s="22">
        <v>46996</v>
      </c>
      <c r="E129" s="23">
        <f t="shared" si="18"/>
        <v>31</v>
      </c>
      <c r="F129" s="3">
        <f t="shared" si="21"/>
        <v>281361967.98240626</v>
      </c>
      <c r="G129" s="298">
        <f t="shared" si="16"/>
        <v>9224945.2186479196</v>
      </c>
      <c r="H129" s="3">
        <f t="shared" si="17"/>
        <v>7782003.0977800554</v>
      </c>
      <c r="I129" s="3">
        <f t="shared" si="19"/>
        <v>1442942.1208678642</v>
      </c>
      <c r="J129" s="3">
        <f t="shared" si="20"/>
        <v>279919025.86153841</v>
      </c>
      <c r="K129" s="24"/>
      <c r="L129" s="24"/>
    </row>
    <row r="130" spans="2:12" x14ac:dyDescent="0.35">
      <c r="B130" s="1">
        <v>78</v>
      </c>
      <c r="C130" s="22">
        <v>46997</v>
      </c>
      <c r="D130" s="22">
        <v>47026</v>
      </c>
      <c r="E130" s="23">
        <f t="shared" si="18"/>
        <v>30</v>
      </c>
      <c r="F130" s="3">
        <f t="shared" si="21"/>
        <v>279919025.86153841</v>
      </c>
      <c r="G130" s="298">
        <f t="shared" si="16"/>
        <v>9224945.2186479196</v>
      </c>
      <c r="H130" s="3">
        <f t="shared" si="17"/>
        <v>7742093.7236203849</v>
      </c>
      <c r="I130" s="3">
        <f t="shared" si="19"/>
        <v>1482851.4950275347</v>
      </c>
      <c r="J130" s="3">
        <f t="shared" si="20"/>
        <v>278436174.36651087</v>
      </c>
      <c r="K130" s="24"/>
      <c r="L130" s="24"/>
    </row>
    <row r="131" spans="2:12" x14ac:dyDescent="0.35">
      <c r="B131" s="1">
        <v>79</v>
      </c>
      <c r="C131" s="22">
        <v>47027</v>
      </c>
      <c r="D131" s="22">
        <v>47057</v>
      </c>
      <c r="E131" s="23">
        <f t="shared" si="18"/>
        <v>31</v>
      </c>
      <c r="F131" s="3">
        <f t="shared" si="21"/>
        <v>278436174.36651087</v>
      </c>
      <c r="G131" s="298">
        <f t="shared" si="16"/>
        <v>9224945.2186479196</v>
      </c>
      <c r="H131" s="3">
        <f t="shared" si="17"/>
        <v>7701080.5226870812</v>
      </c>
      <c r="I131" s="3">
        <f t="shared" si="19"/>
        <v>1523864.6959608383</v>
      </c>
      <c r="J131" s="3">
        <f t="shared" si="20"/>
        <v>276912309.67055005</v>
      </c>
      <c r="K131" s="24"/>
      <c r="L131" s="24"/>
    </row>
    <row r="132" spans="2:12" x14ac:dyDescent="0.35">
      <c r="B132" s="1">
        <v>80</v>
      </c>
      <c r="C132" s="22">
        <v>47058</v>
      </c>
      <c r="D132" s="22">
        <v>47087</v>
      </c>
      <c r="E132" s="23">
        <f t="shared" si="18"/>
        <v>30</v>
      </c>
      <c r="F132" s="3">
        <f t="shared" si="21"/>
        <v>276912309.67055005</v>
      </c>
      <c r="G132" s="298">
        <f t="shared" si="16"/>
        <v>9224945.2186479196</v>
      </c>
      <c r="H132" s="3">
        <f t="shared" si="17"/>
        <v>7658932.9649712984</v>
      </c>
      <c r="I132" s="3">
        <f t="shared" si="19"/>
        <v>1566012.2536766212</v>
      </c>
      <c r="J132" s="3">
        <f t="shared" si="20"/>
        <v>275346297.41687346</v>
      </c>
      <c r="K132" s="24"/>
      <c r="L132" s="24"/>
    </row>
    <row r="133" spans="2:12" x14ac:dyDescent="0.35">
      <c r="B133" s="1">
        <v>81</v>
      </c>
      <c r="C133" s="22">
        <v>47088</v>
      </c>
      <c r="D133" s="22">
        <v>47118</v>
      </c>
      <c r="E133" s="23">
        <f t="shared" si="18"/>
        <v>31</v>
      </c>
      <c r="F133" s="3">
        <f t="shared" si="21"/>
        <v>275346297.41687346</v>
      </c>
      <c r="G133" s="298">
        <f t="shared" si="16"/>
        <v>9224945.2186479196</v>
      </c>
      <c r="H133" s="3">
        <f t="shared" si="17"/>
        <v>7615619.6760550272</v>
      </c>
      <c r="I133" s="3">
        <f t="shared" si="19"/>
        <v>1609325.5425928924</v>
      </c>
      <c r="J133" s="3">
        <f t="shared" si="20"/>
        <v>273736971.87428057</v>
      </c>
      <c r="K133" s="24"/>
      <c r="L133" s="24"/>
    </row>
    <row r="134" spans="2:12" x14ac:dyDescent="0.35">
      <c r="B134" s="1">
        <v>82</v>
      </c>
      <c r="C134" s="22">
        <v>47119</v>
      </c>
      <c r="D134" s="22">
        <v>47149</v>
      </c>
      <c r="E134" s="23">
        <f t="shared" si="18"/>
        <v>31</v>
      </c>
      <c r="F134" s="3">
        <f t="shared" si="21"/>
        <v>273736971.87428057</v>
      </c>
      <c r="G134" s="298">
        <f t="shared" si="16"/>
        <v>9224945.2186479196</v>
      </c>
      <c r="H134" s="3">
        <f t="shared" si="17"/>
        <v>7571108.4137561452</v>
      </c>
      <c r="I134" s="3">
        <f t="shared" si="19"/>
        <v>1653836.8048917744</v>
      </c>
      <c r="J134" s="3">
        <f t="shared" si="20"/>
        <v>272083135.06938881</v>
      </c>
      <c r="K134" s="24"/>
      <c r="L134" s="24"/>
    </row>
    <row r="135" spans="2:12" x14ac:dyDescent="0.35">
      <c r="B135" s="1">
        <v>83</v>
      </c>
      <c r="C135" s="22">
        <v>47150</v>
      </c>
      <c r="D135" s="22">
        <v>47177</v>
      </c>
      <c r="E135" s="23">
        <f t="shared" si="18"/>
        <v>28</v>
      </c>
      <c r="F135" s="3">
        <f t="shared" si="21"/>
        <v>272083135.06938881</v>
      </c>
      <c r="G135" s="298">
        <f t="shared" si="16"/>
        <v>9224945.2186479196</v>
      </c>
      <c r="H135" s="3">
        <f t="shared" si="17"/>
        <v>7525366.0441275137</v>
      </c>
      <c r="I135" s="3">
        <f t="shared" si="19"/>
        <v>1699579.1745204059</v>
      </c>
      <c r="J135" s="3">
        <f t="shared" si="20"/>
        <v>270383555.89486837</v>
      </c>
      <c r="K135" s="24"/>
      <c r="L135" s="24"/>
    </row>
    <row r="136" spans="2:12" x14ac:dyDescent="0.35">
      <c r="B136" s="1">
        <v>84</v>
      </c>
      <c r="C136" s="22">
        <v>47178</v>
      </c>
      <c r="D136" s="22">
        <v>47208</v>
      </c>
      <c r="E136" s="23">
        <f t="shared" si="18"/>
        <v>31</v>
      </c>
      <c r="F136" s="3">
        <f t="shared" si="21"/>
        <v>270383555.89486837</v>
      </c>
      <c r="G136" s="298">
        <f t="shared" si="16"/>
        <v>9224945.2186479196</v>
      </c>
      <c r="H136" s="3">
        <f t="shared" si="17"/>
        <v>7478358.5167922359</v>
      </c>
      <c r="I136" s="3">
        <f t="shared" si="19"/>
        <v>1746586.7018556837</v>
      </c>
      <c r="J136" s="3">
        <f t="shared" si="20"/>
        <v>268636969.19301271</v>
      </c>
      <c r="K136" s="24"/>
      <c r="L136" s="24"/>
    </row>
    <row r="137" spans="2:12" x14ac:dyDescent="0.35">
      <c r="B137" s="1">
        <v>85</v>
      </c>
      <c r="C137" s="22">
        <v>47209</v>
      </c>
      <c r="D137" s="22">
        <v>47238</v>
      </c>
      <c r="E137" s="23">
        <f t="shared" si="18"/>
        <v>30</v>
      </c>
      <c r="F137" s="3">
        <f t="shared" si="21"/>
        <v>268636969.19301271</v>
      </c>
      <c r="G137" s="298">
        <f t="shared" si="16"/>
        <v>9224945.2186479196</v>
      </c>
      <c r="H137" s="3">
        <f t="shared" si="17"/>
        <v>7430050.8395967456</v>
      </c>
      <c r="I137" s="3">
        <f t="shared" si="19"/>
        <v>1794894.379051174</v>
      </c>
      <c r="J137" s="3">
        <f t="shared" si="20"/>
        <v>266842074.81396154</v>
      </c>
      <c r="K137" s="24"/>
      <c r="L137" s="24"/>
    </row>
    <row r="138" spans="2:12" x14ac:dyDescent="0.35">
      <c r="B138" s="1">
        <v>86</v>
      </c>
      <c r="C138" s="22">
        <v>47239</v>
      </c>
      <c r="D138" s="22">
        <v>47269</v>
      </c>
      <c r="E138" s="23">
        <f t="shared" si="18"/>
        <v>31</v>
      </c>
      <c r="F138" s="3">
        <f t="shared" si="21"/>
        <v>266842074.81396154</v>
      </c>
      <c r="G138" s="298">
        <f t="shared" si="16"/>
        <v>9224945.2186479196</v>
      </c>
      <c r="H138" s="3">
        <f t="shared" si="17"/>
        <v>7380407.0525628217</v>
      </c>
      <c r="I138" s="3">
        <f t="shared" si="19"/>
        <v>1844538.1660850979</v>
      </c>
      <c r="J138" s="3">
        <f t="shared" si="20"/>
        <v>264997536.64787644</v>
      </c>
      <c r="K138" s="24"/>
      <c r="L138" s="24"/>
    </row>
    <row r="139" spans="2:12" x14ac:dyDescent="0.35">
      <c r="B139" s="1">
        <v>87</v>
      </c>
      <c r="C139" s="22">
        <v>47270</v>
      </c>
      <c r="D139" s="22">
        <v>47299</v>
      </c>
      <c r="E139" s="23">
        <f t="shared" si="18"/>
        <v>30</v>
      </c>
      <c r="F139" s="3">
        <f t="shared" si="21"/>
        <v>264997536.64787644</v>
      </c>
      <c r="G139" s="298">
        <f t="shared" si="16"/>
        <v>9224945.2186479196</v>
      </c>
      <c r="H139" s="3">
        <f t="shared" si="17"/>
        <v>7329390.2011191845</v>
      </c>
      <c r="I139" s="3">
        <f t="shared" si="19"/>
        <v>1895555.0175287351</v>
      </c>
      <c r="J139" s="3">
        <f t="shared" si="20"/>
        <v>263101981.6303477</v>
      </c>
      <c r="K139" s="24"/>
      <c r="L139" s="24"/>
    </row>
    <row r="140" spans="2:12" x14ac:dyDescent="0.35">
      <c r="B140" s="1">
        <v>88</v>
      </c>
      <c r="C140" s="22">
        <v>47300</v>
      </c>
      <c r="D140" s="22">
        <v>47330</v>
      </c>
      <c r="E140" s="23">
        <f t="shared" si="18"/>
        <v>31</v>
      </c>
      <c r="F140" s="3">
        <f t="shared" si="21"/>
        <v>263101981.6303477</v>
      </c>
      <c r="G140" s="298">
        <f t="shared" si="16"/>
        <v>9224945.2186479196</v>
      </c>
      <c r="H140" s="3">
        <f t="shared" si="17"/>
        <v>7276962.3085927023</v>
      </c>
      <c r="I140" s="3">
        <f t="shared" si="19"/>
        <v>1947982.9100552173</v>
      </c>
      <c r="J140" s="3">
        <f t="shared" si="20"/>
        <v>261153998.72029248</v>
      </c>
      <c r="K140" s="24"/>
      <c r="L140" s="24"/>
    </row>
    <row r="141" spans="2:12" x14ac:dyDescent="0.35">
      <c r="B141" s="1">
        <v>89</v>
      </c>
      <c r="C141" s="22">
        <v>47331</v>
      </c>
      <c r="D141" s="22">
        <v>47361</v>
      </c>
      <c r="E141" s="23">
        <f t="shared" si="18"/>
        <v>31</v>
      </c>
      <c r="F141" s="3">
        <f t="shared" si="21"/>
        <v>261153998.72029248</v>
      </c>
      <c r="G141" s="298">
        <f t="shared" si="16"/>
        <v>9224945.2186479196</v>
      </c>
      <c r="H141" s="3">
        <f t="shared" si="17"/>
        <v>7223084.3479387583</v>
      </c>
      <c r="I141" s="3">
        <f t="shared" si="19"/>
        <v>2001860.8707091613</v>
      </c>
      <c r="J141" s="3">
        <f t="shared" si="20"/>
        <v>259152137.84958333</v>
      </c>
      <c r="K141" s="24"/>
      <c r="L141" s="24"/>
    </row>
    <row r="142" spans="2:12" x14ac:dyDescent="0.35">
      <c r="B142" s="1">
        <v>90</v>
      </c>
      <c r="C142" s="22">
        <v>47362</v>
      </c>
      <c r="D142" s="22">
        <v>47391</v>
      </c>
      <c r="E142" s="23">
        <f t="shared" si="18"/>
        <v>30</v>
      </c>
      <c r="F142" s="3">
        <f t="shared" si="21"/>
        <v>259152137.84958333</v>
      </c>
      <c r="G142" s="298">
        <f t="shared" si="16"/>
        <v>9224945.2186479196</v>
      </c>
      <c r="H142" s="3">
        <f t="shared" si="17"/>
        <v>7167716.2126897275</v>
      </c>
      <c r="I142" s="3">
        <f t="shared" si="19"/>
        <v>2057229.0059581921</v>
      </c>
      <c r="J142" s="3">
        <f t="shared" si="20"/>
        <v>257094908.84362513</v>
      </c>
      <c r="K142" s="24"/>
      <c r="L142" s="24"/>
    </row>
    <row r="143" spans="2:12" x14ac:dyDescent="0.35">
      <c r="B143" s="1">
        <v>91</v>
      </c>
      <c r="C143" s="22">
        <v>47392</v>
      </c>
      <c r="D143" s="22">
        <v>47422</v>
      </c>
      <c r="E143" s="23">
        <f t="shared" si="18"/>
        <v>31</v>
      </c>
      <c r="F143" s="3">
        <f t="shared" si="21"/>
        <v>257094908.84362513</v>
      </c>
      <c r="G143" s="298">
        <f t="shared" si="16"/>
        <v>9224945.2186479196</v>
      </c>
      <c r="H143" s="3">
        <f t="shared" si="17"/>
        <v>7110816.6870999336</v>
      </c>
      <c r="I143" s="3">
        <f t="shared" si="19"/>
        <v>2114128.531547986</v>
      </c>
      <c r="J143" s="3">
        <f t="shared" si="20"/>
        <v>254980780.31207713</v>
      </c>
      <c r="K143" s="24"/>
      <c r="L143" s="24"/>
    </row>
    <row r="144" spans="2:12" x14ac:dyDescent="0.35">
      <c r="B144" s="1">
        <v>92</v>
      </c>
      <c r="C144" s="22">
        <v>47423</v>
      </c>
      <c r="D144" s="22">
        <v>47452</v>
      </c>
      <c r="E144" s="23">
        <f t="shared" si="18"/>
        <v>30</v>
      </c>
      <c r="F144" s="3">
        <f t="shared" si="21"/>
        <v>254980780.31207713</v>
      </c>
      <c r="G144" s="298">
        <f t="shared" ref="G144:G175" si="22">-PMT($N$50/$D$47,117,$F$80,0)</f>
        <v>9224945.2186479196</v>
      </c>
      <c r="H144" s="3">
        <f t="shared" ref="H144:H175" si="23">$N$50/$D$47*F144</f>
        <v>7052343.4154648688</v>
      </c>
      <c r="I144" s="3">
        <f t="shared" si="19"/>
        <v>2172601.8031830508</v>
      </c>
      <c r="J144" s="3">
        <f t="shared" si="20"/>
        <v>252808178.50889409</v>
      </c>
      <c r="K144" s="24"/>
      <c r="L144" s="24"/>
    </row>
    <row r="145" spans="2:12" x14ac:dyDescent="0.35">
      <c r="B145" s="1">
        <v>93</v>
      </c>
      <c r="C145" s="22">
        <v>47453</v>
      </c>
      <c r="D145" s="22">
        <v>47483</v>
      </c>
      <c r="E145" s="23">
        <f t="shared" si="18"/>
        <v>31</v>
      </c>
      <c r="F145" s="3">
        <f t="shared" si="21"/>
        <v>252808178.50889409</v>
      </c>
      <c r="G145" s="298">
        <f t="shared" si="22"/>
        <v>9224945.2186479196</v>
      </c>
      <c r="H145" s="3">
        <f t="shared" si="23"/>
        <v>6992252.8705918305</v>
      </c>
      <c r="I145" s="3">
        <f t="shared" si="19"/>
        <v>2232692.3480560891</v>
      </c>
      <c r="J145" s="3">
        <f t="shared" si="20"/>
        <v>250575486.16083801</v>
      </c>
      <c r="K145" s="24"/>
      <c r="L145" s="24"/>
    </row>
    <row r="146" spans="2:12" x14ac:dyDescent="0.35">
      <c r="B146" s="1">
        <v>94</v>
      </c>
      <c r="C146" s="22">
        <v>47484</v>
      </c>
      <c r="D146" s="22">
        <v>47514</v>
      </c>
      <c r="E146" s="23">
        <f t="shared" si="18"/>
        <v>31</v>
      </c>
      <c r="F146" s="3">
        <f t="shared" si="21"/>
        <v>250575486.16083801</v>
      </c>
      <c r="G146" s="298">
        <f t="shared" si="22"/>
        <v>9224945.2186479196</v>
      </c>
      <c r="H146" s="3">
        <f t="shared" si="23"/>
        <v>6930500.3213985134</v>
      </c>
      <c r="I146" s="3">
        <f t="shared" si="19"/>
        <v>2294444.8972494062</v>
      </c>
      <c r="J146" s="3">
        <f t="shared" si="20"/>
        <v>248281041.26358861</v>
      </c>
      <c r="K146" s="24"/>
      <c r="L146" s="24"/>
    </row>
    <row r="147" spans="2:12" x14ac:dyDescent="0.35">
      <c r="B147" s="1">
        <v>95</v>
      </c>
      <c r="C147" s="22">
        <v>47515</v>
      </c>
      <c r="D147" s="22">
        <v>47542</v>
      </c>
      <c r="E147" s="23">
        <f t="shared" si="18"/>
        <v>28</v>
      </c>
      <c r="F147" s="3">
        <f t="shared" si="21"/>
        <v>248281041.26358861</v>
      </c>
      <c r="G147" s="298">
        <f t="shared" si="22"/>
        <v>9224945.2186479196</v>
      </c>
      <c r="H147" s="3">
        <f t="shared" si="23"/>
        <v>6867039.7996154232</v>
      </c>
      <c r="I147" s="3">
        <f t="shared" si="19"/>
        <v>2357905.4190324964</v>
      </c>
      <c r="J147" s="3">
        <f t="shared" si="20"/>
        <v>245923135.84455612</v>
      </c>
      <c r="K147" s="24"/>
      <c r="L147" s="24"/>
    </row>
    <row r="148" spans="2:12" x14ac:dyDescent="0.35">
      <c r="B148" s="1">
        <v>96</v>
      </c>
      <c r="C148" s="22">
        <v>47543</v>
      </c>
      <c r="D148" s="22">
        <v>47573</v>
      </c>
      <c r="E148" s="23">
        <f t="shared" si="18"/>
        <v>31</v>
      </c>
      <c r="F148" s="3">
        <f t="shared" si="21"/>
        <v>245923135.84455612</v>
      </c>
      <c r="G148" s="298">
        <f t="shared" si="22"/>
        <v>9224945.2186479196</v>
      </c>
      <c r="H148" s="3">
        <f t="shared" si="23"/>
        <v>6801824.06556735</v>
      </c>
      <c r="I148" s="3">
        <f t="shared" si="19"/>
        <v>2423121.1530805696</v>
      </c>
      <c r="J148" s="3">
        <f t="shared" si="20"/>
        <v>243500014.69147554</v>
      </c>
      <c r="K148" s="24"/>
      <c r="L148" s="24"/>
    </row>
    <row r="149" spans="2:12" x14ac:dyDescent="0.35">
      <c r="B149" s="1">
        <v>97</v>
      </c>
      <c r="C149" s="22">
        <v>47574</v>
      </c>
      <c r="D149" s="22">
        <v>47603</v>
      </c>
      <c r="E149" s="23">
        <f t="shared" ref="E149:E180" si="24">D149-C149+1</f>
        <v>30</v>
      </c>
      <c r="F149" s="3">
        <f t="shared" si="21"/>
        <v>243500014.69147554</v>
      </c>
      <c r="G149" s="298">
        <f t="shared" si="22"/>
        <v>9224945.2186479196</v>
      </c>
      <c r="H149" s="3">
        <f t="shared" si="23"/>
        <v>6734804.5730083957</v>
      </c>
      <c r="I149" s="3">
        <f t="shared" ref="I149:I180" si="25">G149-H149</f>
        <v>2490140.6456395239</v>
      </c>
      <c r="J149" s="3">
        <f t="shared" ref="J149:J180" si="26">F149-I149</f>
        <v>241009874.04583603</v>
      </c>
      <c r="K149" s="24"/>
      <c r="L149" s="24"/>
    </row>
    <row r="150" spans="2:12" x14ac:dyDescent="0.35">
      <c r="B150" s="1">
        <v>98</v>
      </c>
      <c r="C150" s="22">
        <v>47604</v>
      </c>
      <c r="D150" s="22">
        <v>47634</v>
      </c>
      <c r="E150" s="23">
        <f t="shared" si="24"/>
        <v>31</v>
      </c>
      <c r="F150" s="3">
        <f t="shared" ref="F150:F181" si="27">J149</f>
        <v>241009874.04583603</v>
      </c>
      <c r="G150" s="298">
        <f t="shared" si="22"/>
        <v>9224945.2186479196</v>
      </c>
      <c r="H150" s="3">
        <f t="shared" si="23"/>
        <v>6665931.4329844164</v>
      </c>
      <c r="I150" s="3">
        <f t="shared" si="25"/>
        <v>2559013.7856635032</v>
      </c>
      <c r="J150" s="3">
        <f t="shared" si="26"/>
        <v>238450860.26017252</v>
      </c>
      <c r="K150" s="24"/>
      <c r="L150" s="24"/>
    </row>
    <row r="151" spans="2:12" x14ac:dyDescent="0.35">
      <c r="B151" s="1">
        <v>99</v>
      </c>
      <c r="C151" s="22">
        <v>47635</v>
      </c>
      <c r="D151" s="22">
        <v>47664</v>
      </c>
      <c r="E151" s="23">
        <f t="shared" si="24"/>
        <v>30</v>
      </c>
      <c r="F151" s="3">
        <f t="shared" si="27"/>
        <v>238450860.26017252</v>
      </c>
      <c r="G151" s="298">
        <f t="shared" si="22"/>
        <v>9224945.2186479196</v>
      </c>
      <c r="H151" s="3">
        <f t="shared" si="23"/>
        <v>6595153.3766959403</v>
      </c>
      <c r="I151" s="3">
        <f t="shared" si="25"/>
        <v>2629791.8419519793</v>
      </c>
      <c r="J151" s="3">
        <f t="shared" si="26"/>
        <v>235821068.41822055</v>
      </c>
      <c r="K151" s="24"/>
      <c r="L151" s="24"/>
    </row>
    <row r="152" spans="2:12" x14ac:dyDescent="0.35">
      <c r="B152" s="1">
        <v>100</v>
      </c>
      <c r="C152" s="22">
        <v>47665</v>
      </c>
      <c r="D152" s="22">
        <v>47695</v>
      </c>
      <c r="E152" s="23">
        <f t="shared" si="24"/>
        <v>31</v>
      </c>
      <c r="F152" s="3">
        <f t="shared" si="27"/>
        <v>235821068.41822055</v>
      </c>
      <c r="G152" s="298">
        <f t="shared" si="22"/>
        <v>9224945.2186479196</v>
      </c>
      <c r="H152" s="3">
        <f t="shared" si="23"/>
        <v>6522417.717333952</v>
      </c>
      <c r="I152" s="3">
        <f t="shared" si="25"/>
        <v>2702527.5013139676</v>
      </c>
      <c r="J152" s="3">
        <f t="shared" si="26"/>
        <v>233118540.9169066</v>
      </c>
      <c r="K152" s="24"/>
      <c r="L152" s="24"/>
    </row>
    <row r="153" spans="2:12" x14ac:dyDescent="0.35">
      <c r="B153" s="1">
        <v>101</v>
      </c>
      <c r="C153" s="22">
        <v>47696</v>
      </c>
      <c r="D153" s="22">
        <v>47726</v>
      </c>
      <c r="E153" s="23">
        <f t="shared" si="24"/>
        <v>31</v>
      </c>
      <c r="F153" s="3">
        <f t="shared" si="27"/>
        <v>233118540.9169066</v>
      </c>
      <c r="G153" s="298">
        <f t="shared" si="22"/>
        <v>9224945.2186479196</v>
      </c>
      <c r="H153" s="3">
        <f t="shared" si="23"/>
        <v>6447670.3108601095</v>
      </c>
      <c r="I153" s="3">
        <f t="shared" si="25"/>
        <v>2777274.9077878101</v>
      </c>
      <c r="J153" s="3">
        <f t="shared" si="26"/>
        <v>230341266.0091188</v>
      </c>
      <c r="K153" s="24"/>
      <c r="L153" s="24"/>
    </row>
    <row r="154" spans="2:12" x14ac:dyDescent="0.35">
      <c r="B154" s="1">
        <v>102</v>
      </c>
      <c r="C154" s="22">
        <v>47727</v>
      </c>
      <c r="D154" s="22">
        <v>47756</v>
      </c>
      <c r="E154" s="23">
        <f t="shared" si="24"/>
        <v>30</v>
      </c>
      <c r="F154" s="3">
        <f t="shared" si="27"/>
        <v>230341266.0091188</v>
      </c>
      <c r="G154" s="298">
        <f t="shared" si="22"/>
        <v>9224945.2186479196</v>
      </c>
      <c r="H154" s="3">
        <f t="shared" si="23"/>
        <v>6370855.5157022122</v>
      </c>
      <c r="I154" s="3">
        <f t="shared" si="25"/>
        <v>2854089.7029457074</v>
      </c>
      <c r="J154" s="3">
        <f t="shared" si="26"/>
        <v>227487176.30617309</v>
      </c>
      <c r="K154" s="24"/>
      <c r="L154" s="24"/>
    </row>
    <row r="155" spans="2:12" x14ac:dyDescent="0.35">
      <c r="B155" s="1">
        <v>103</v>
      </c>
      <c r="C155" s="22">
        <v>47757</v>
      </c>
      <c r="D155" s="22">
        <v>47787</v>
      </c>
      <c r="E155" s="23">
        <f t="shared" si="24"/>
        <v>31</v>
      </c>
      <c r="F155" s="3">
        <f t="shared" si="27"/>
        <v>227487176.30617309</v>
      </c>
      <c r="G155" s="298">
        <f t="shared" si="22"/>
        <v>9224945.2186479196</v>
      </c>
      <c r="H155" s="3">
        <f t="shared" si="23"/>
        <v>6291916.1513349051</v>
      </c>
      <c r="I155" s="3">
        <f t="shared" si="25"/>
        <v>2933029.0673130145</v>
      </c>
      <c r="J155" s="3">
        <f t="shared" si="26"/>
        <v>224554147.23886007</v>
      </c>
      <c r="K155" s="24"/>
      <c r="L155" s="24"/>
    </row>
    <row r="156" spans="2:12" x14ac:dyDescent="0.35">
      <c r="B156" s="1">
        <v>104</v>
      </c>
      <c r="C156" s="22">
        <v>47788</v>
      </c>
      <c r="D156" s="22">
        <v>47817</v>
      </c>
      <c r="E156" s="23">
        <f t="shared" si="24"/>
        <v>30</v>
      </c>
      <c r="F156" s="3">
        <f t="shared" si="27"/>
        <v>224554147.23886007</v>
      </c>
      <c r="G156" s="298">
        <f t="shared" si="22"/>
        <v>9224945.2186479196</v>
      </c>
      <c r="H156" s="3">
        <f t="shared" si="23"/>
        <v>6210793.455714806</v>
      </c>
      <c r="I156" s="3">
        <f t="shared" si="25"/>
        <v>3014151.7629331136</v>
      </c>
      <c r="J156" s="3">
        <f t="shared" si="26"/>
        <v>221539995.47592697</v>
      </c>
      <c r="K156" s="24"/>
      <c r="L156" s="24"/>
    </row>
    <row r="157" spans="2:12" x14ac:dyDescent="0.35">
      <c r="B157" s="1">
        <v>105</v>
      </c>
      <c r="C157" s="22">
        <v>47818</v>
      </c>
      <c r="D157" s="22">
        <v>47848</v>
      </c>
      <c r="E157" s="23">
        <f t="shared" si="24"/>
        <v>31</v>
      </c>
      <c r="F157" s="3">
        <f t="shared" si="27"/>
        <v>221539995.47592697</v>
      </c>
      <c r="G157" s="298">
        <f t="shared" si="22"/>
        <v>9224945.2186479196</v>
      </c>
      <c r="H157" s="3">
        <f t="shared" si="23"/>
        <v>6127427.0415383484</v>
      </c>
      <c r="I157" s="3">
        <f t="shared" si="25"/>
        <v>3097518.1771095712</v>
      </c>
      <c r="J157" s="3">
        <f t="shared" si="26"/>
        <v>218442477.2988174</v>
      </c>
      <c r="K157" s="24"/>
      <c r="L157" s="24"/>
    </row>
    <row r="158" spans="2:12" x14ac:dyDescent="0.35">
      <c r="B158" s="1">
        <v>106</v>
      </c>
      <c r="C158" s="22">
        <v>47849</v>
      </c>
      <c r="D158" s="22">
        <v>47879</v>
      </c>
      <c r="E158" s="23">
        <f t="shared" si="24"/>
        <v>31</v>
      </c>
      <c r="F158" s="3">
        <f t="shared" si="27"/>
        <v>218442477.2988174</v>
      </c>
      <c r="G158" s="298">
        <f t="shared" si="22"/>
        <v>9224945.2186479196</v>
      </c>
      <c r="H158" s="3">
        <f t="shared" si="23"/>
        <v>6041754.8512897929</v>
      </c>
      <c r="I158" s="3">
        <f t="shared" si="25"/>
        <v>3183190.3673581267</v>
      </c>
      <c r="J158" s="3">
        <f t="shared" si="26"/>
        <v>215259286.93145928</v>
      </c>
      <c r="K158" s="24"/>
      <c r="L158" s="24"/>
    </row>
    <row r="159" spans="2:12" x14ac:dyDescent="0.35">
      <c r="B159" s="1">
        <v>107</v>
      </c>
      <c r="C159" s="22">
        <v>47880</v>
      </c>
      <c r="D159" s="22">
        <v>47907</v>
      </c>
      <c r="E159" s="23">
        <f t="shared" si="24"/>
        <v>28</v>
      </c>
      <c r="F159" s="3">
        <f t="shared" si="27"/>
        <v>215259286.93145928</v>
      </c>
      <c r="G159" s="298">
        <f t="shared" si="22"/>
        <v>9224945.2186479196</v>
      </c>
      <c r="H159" s="3">
        <f t="shared" si="23"/>
        <v>5953713.1110459464</v>
      </c>
      <c r="I159" s="3">
        <f t="shared" si="25"/>
        <v>3271232.1076019732</v>
      </c>
      <c r="J159" s="3">
        <f t="shared" si="26"/>
        <v>211988054.82385731</v>
      </c>
      <c r="K159" s="24"/>
      <c r="L159" s="24"/>
    </row>
    <row r="160" spans="2:12" x14ac:dyDescent="0.35">
      <c r="B160" s="1">
        <v>108</v>
      </c>
      <c r="C160" s="22">
        <v>47908</v>
      </c>
      <c r="D160" s="22">
        <v>47938</v>
      </c>
      <c r="E160" s="23">
        <f t="shared" si="24"/>
        <v>31</v>
      </c>
      <c r="F160" s="3">
        <f t="shared" si="27"/>
        <v>211988054.82385731</v>
      </c>
      <c r="G160" s="298">
        <f t="shared" si="22"/>
        <v>9224945.2186479196</v>
      </c>
      <c r="H160" s="3">
        <f t="shared" si="23"/>
        <v>5863236.2830031877</v>
      </c>
      <c r="I160" s="3">
        <f t="shared" si="25"/>
        <v>3361708.9356447319</v>
      </c>
      <c r="J160" s="3">
        <f t="shared" si="26"/>
        <v>208626345.88821256</v>
      </c>
      <c r="K160" s="24"/>
      <c r="L160" s="24"/>
    </row>
    <row r="161" spans="2:12" x14ac:dyDescent="0.35">
      <c r="B161" s="1">
        <v>109</v>
      </c>
      <c r="C161" s="22">
        <v>47939</v>
      </c>
      <c r="D161" s="22">
        <v>47968</v>
      </c>
      <c r="E161" s="23">
        <f t="shared" si="24"/>
        <v>30</v>
      </c>
      <c r="F161" s="3">
        <f t="shared" si="27"/>
        <v>208626345.88821256</v>
      </c>
      <c r="G161" s="298">
        <f t="shared" si="22"/>
        <v>9224945.2186479196</v>
      </c>
      <c r="H161" s="3">
        <f t="shared" si="23"/>
        <v>5770257.0166914808</v>
      </c>
      <c r="I161" s="3">
        <f t="shared" si="25"/>
        <v>3454688.2019564388</v>
      </c>
      <c r="J161" s="3">
        <f t="shared" si="26"/>
        <v>205171657.68625611</v>
      </c>
      <c r="K161" s="24"/>
      <c r="L161" s="24"/>
    </row>
    <row r="162" spans="2:12" x14ac:dyDescent="0.35">
      <c r="B162" s="1">
        <v>110</v>
      </c>
      <c r="C162" s="22">
        <v>47969</v>
      </c>
      <c r="D162" s="22">
        <v>47999</v>
      </c>
      <c r="E162" s="23">
        <f t="shared" si="24"/>
        <v>31</v>
      </c>
      <c r="F162" s="3">
        <f t="shared" si="27"/>
        <v>205171657.68625611</v>
      </c>
      <c r="G162" s="298">
        <f t="shared" si="22"/>
        <v>9224945.2186479196</v>
      </c>
      <c r="H162" s="3">
        <f t="shared" si="23"/>
        <v>5674706.0988390353</v>
      </c>
      <c r="I162" s="3">
        <f t="shared" si="25"/>
        <v>3550239.1198088843</v>
      </c>
      <c r="J162" s="3">
        <f t="shared" si="26"/>
        <v>201621418.56644723</v>
      </c>
      <c r="K162" s="24"/>
      <c r="L162" s="24"/>
    </row>
    <row r="163" spans="2:12" x14ac:dyDescent="0.35">
      <c r="B163" s="1">
        <v>111</v>
      </c>
      <c r="C163" s="22">
        <v>48000</v>
      </c>
      <c r="D163" s="22">
        <v>48029</v>
      </c>
      <c r="E163" s="23">
        <f t="shared" si="24"/>
        <v>30</v>
      </c>
      <c r="F163" s="3">
        <f t="shared" si="27"/>
        <v>201621418.56644723</v>
      </c>
      <c r="G163" s="298">
        <f t="shared" si="22"/>
        <v>9224945.2186479196</v>
      </c>
      <c r="H163" s="3">
        <f t="shared" si="23"/>
        <v>5576512.4018503213</v>
      </c>
      <c r="I163" s="3">
        <f t="shared" si="25"/>
        <v>3648432.8167975983</v>
      </c>
      <c r="J163" s="3">
        <f t="shared" si="26"/>
        <v>197972985.74964964</v>
      </c>
      <c r="K163" s="24"/>
      <c r="L163" s="24"/>
    </row>
    <row r="164" spans="2:12" x14ac:dyDescent="0.35">
      <c r="B164" s="1">
        <v>112</v>
      </c>
      <c r="C164" s="22">
        <v>48030</v>
      </c>
      <c r="D164" s="22">
        <v>48060</v>
      </c>
      <c r="E164" s="23">
        <f t="shared" si="24"/>
        <v>31</v>
      </c>
      <c r="F164" s="3">
        <f t="shared" si="27"/>
        <v>197972985.74964964</v>
      </c>
      <c r="G164" s="298">
        <f t="shared" si="22"/>
        <v>9224945.2186479196</v>
      </c>
      <c r="H164" s="3">
        <f t="shared" si="23"/>
        <v>5475602.8308590613</v>
      </c>
      <c r="I164" s="3">
        <f t="shared" si="25"/>
        <v>3749342.3877888583</v>
      </c>
      <c r="J164" s="3">
        <f t="shared" si="26"/>
        <v>194223643.36186078</v>
      </c>
      <c r="K164" s="24"/>
      <c r="L164" s="24"/>
    </row>
    <row r="165" spans="2:12" x14ac:dyDescent="0.35">
      <c r="B165" s="1">
        <v>113</v>
      </c>
      <c r="C165" s="22">
        <v>48061</v>
      </c>
      <c r="D165" s="22">
        <v>48091</v>
      </c>
      <c r="E165" s="23">
        <f t="shared" si="24"/>
        <v>31</v>
      </c>
      <c r="F165" s="3">
        <f t="shared" si="27"/>
        <v>194223643.36186078</v>
      </c>
      <c r="G165" s="298">
        <f t="shared" si="22"/>
        <v>9224945.2186479196</v>
      </c>
      <c r="H165" s="3">
        <f t="shared" si="23"/>
        <v>5371902.2693168009</v>
      </c>
      <c r="I165" s="3">
        <f t="shared" si="25"/>
        <v>3853042.9493311187</v>
      </c>
      <c r="J165" s="3">
        <f t="shared" si="26"/>
        <v>190370600.41252968</v>
      </c>
      <c r="K165" s="24"/>
      <c r="L165" s="24"/>
    </row>
    <row r="166" spans="2:12" x14ac:dyDescent="0.35">
      <c r="B166" s="1">
        <v>114</v>
      </c>
      <c r="C166" s="22">
        <v>48092</v>
      </c>
      <c r="D166" s="22">
        <v>48121</v>
      </c>
      <c r="E166" s="23">
        <f t="shared" si="24"/>
        <v>30</v>
      </c>
      <c r="F166" s="3">
        <f t="shared" si="27"/>
        <v>190370600.41252968</v>
      </c>
      <c r="G166" s="298">
        <f t="shared" si="22"/>
        <v>9224945.2186479196</v>
      </c>
      <c r="H166" s="3">
        <f t="shared" si="23"/>
        <v>5265333.523076551</v>
      </c>
      <c r="I166" s="3">
        <f t="shared" si="25"/>
        <v>3959611.6955713686</v>
      </c>
      <c r="J166" s="3">
        <f t="shared" si="26"/>
        <v>186410988.71695831</v>
      </c>
      <c r="K166" s="24"/>
      <c r="L166" s="24"/>
    </row>
    <row r="167" spans="2:12" x14ac:dyDescent="0.35">
      <c r="B167" s="1">
        <v>115</v>
      </c>
      <c r="C167" s="22">
        <v>48122</v>
      </c>
      <c r="D167" s="22">
        <v>48152</v>
      </c>
      <c r="E167" s="23">
        <f t="shared" si="24"/>
        <v>31</v>
      </c>
      <c r="F167" s="3">
        <f t="shared" si="27"/>
        <v>186410988.71695831</v>
      </c>
      <c r="G167" s="298">
        <f t="shared" si="22"/>
        <v>9224945.2186479196</v>
      </c>
      <c r="H167" s="3">
        <f t="shared" si="23"/>
        <v>5155817.2629298735</v>
      </c>
      <c r="I167" s="3">
        <f t="shared" si="25"/>
        <v>4069127.9557180461</v>
      </c>
      <c r="J167" s="3">
        <f t="shared" si="26"/>
        <v>182341860.76124027</v>
      </c>
      <c r="K167" s="24"/>
      <c r="L167" s="24"/>
    </row>
    <row r="168" spans="2:12" x14ac:dyDescent="0.35">
      <c r="B168" s="1">
        <v>116</v>
      </c>
      <c r="C168" s="22">
        <v>48153</v>
      </c>
      <c r="D168" s="22">
        <v>48182</v>
      </c>
      <c r="E168" s="23">
        <f t="shared" si="24"/>
        <v>30</v>
      </c>
      <c r="F168" s="3">
        <f t="shared" si="27"/>
        <v>182341860.76124027</v>
      </c>
      <c r="G168" s="298">
        <f t="shared" si="22"/>
        <v>9224945.2186479196</v>
      </c>
      <c r="H168" s="3">
        <f t="shared" si="23"/>
        <v>5043271.9655546388</v>
      </c>
      <c r="I168" s="3">
        <f t="shared" si="25"/>
        <v>4181673.2530932808</v>
      </c>
      <c r="J168" s="3">
        <f t="shared" si="26"/>
        <v>178160187.508147</v>
      </c>
      <c r="K168" s="24"/>
      <c r="L168" s="24"/>
    </row>
    <row r="169" spans="2:12" x14ac:dyDescent="0.35">
      <c r="B169" s="1">
        <v>117</v>
      </c>
      <c r="C169" s="22">
        <v>48183</v>
      </c>
      <c r="D169" s="22">
        <v>48213</v>
      </c>
      <c r="E169" s="23">
        <f t="shared" si="24"/>
        <v>31</v>
      </c>
      <c r="F169" s="3">
        <f t="shared" si="27"/>
        <v>178160187.508147</v>
      </c>
      <c r="G169" s="298">
        <f t="shared" si="22"/>
        <v>9224945.2186479196</v>
      </c>
      <c r="H169" s="3">
        <f t="shared" si="23"/>
        <v>4927613.8528295001</v>
      </c>
      <c r="I169" s="3">
        <f t="shared" si="25"/>
        <v>4297331.3658184195</v>
      </c>
      <c r="J169" s="3">
        <f t="shared" si="26"/>
        <v>173862856.14232859</v>
      </c>
      <c r="K169" s="24"/>
      <c r="L169" s="24"/>
    </row>
    <row r="170" spans="2:12" x14ac:dyDescent="0.35">
      <c r="B170" s="1">
        <v>118</v>
      </c>
      <c r="C170" s="22">
        <v>48214</v>
      </c>
      <c r="D170" s="22">
        <v>48244</v>
      </c>
      <c r="E170" s="23">
        <f t="shared" si="24"/>
        <v>31</v>
      </c>
      <c r="F170" s="3">
        <f t="shared" si="27"/>
        <v>173862856.14232859</v>
      </c>
      <c r="G170" s="298">
        <f t="shared" si="22"/>
        <v>9224945.2186479196</v>
      </c>
      <c r="H170" s="3">
        <f t="shared" si="23"/>
        <v>4808756.8294699062</v>
      </c>
      <c r="I170" s="3">
        <f t="shared" si="25"/>
        <v>4416188.3891780134</v>
      </c>
      <c r="J170" s="3">
        <f t="shared" si="26"/>
        <v>169446667.75315058</v>
      </c>
      <c r="K170" s="24"/>
      <c r="L170" s="24"/>
    </row>
    <row r="171" spans="2:12" x14ac:dyDescent="0.35">
      <c r="B171" s="1">
        <v>119</v>
      </c>
      <c r="C171" s="22">
        <v>48245</v>
      </c>
      <c r="D171" s="22">
        <v>48273</v>
      </c>
      <c r="E171" s="23">
        <f t="shared" si="24"/>
        <v>29</v>
      </c>
      <c r="F171" s="3">
        <f t="shared" si="27"/>
        <v>169446667.75315058</v>
      </c>
      <c r="G171" s="298">
        <f t="shared" si="22"/>
        <v>9224945.2186479196</v>
      </c>
      <c r="H171" s="3">
        <f t="shared" si="23"/>
        <v>4686612.4189392244</v>
      </c>
      <c r="I171" s="3">
        <f t="shared" si="25"/>
        <v>4538332.7997086952</v>
      </c>
      <c r="J171" s="3">
        <f t="shared" si="26"/>
        <v>164908334.95344189</v>
      </c>
      <c r="K171" s="24"/>
      <c r="L171" s="24"/>
    </row>
    <row r="172" spans="2:12" x14ac:dyDescent="0.35">
      <c r="B172" s="1">
        <v>120</v>
      </c>
      <c r="C172" s="22">
        <v>48274</v>
      </c>
      <c r="D172" s="22">
        <v>48304</v>
      </c>
      <c r="E172" s="23">
        <f t="shared" si="24"/>
        <v>31</v>
      </c>
      <c r="F172" s="3">
        <f t="shared" si="27"/>
        <v>164908334.95344189</v>
      </c>
      <c r="G172" s="298">
        <f t="shared" si="22"/>
        <v>9224945.2186479196</v>
      </c>
      <c r="H172" s="3">
        <f t="shared" si="23"/>
        <v>4561089.6975872815</v>
      </c>
      <c r="I172" s="3">
        <f t="shared" si="25"/>
        <v>4663855.5210606381</v>
      </c>
      <c r="J172" s="3">
        <f t="shared" si="26"/>
        <v>160244479.43238124</v>
      </c>
      <c r="K172" s="24"/>
      <c r="L172" s="24"/>
    </row>
    <row r="173" spans="2:12" x14ac:dyDescent="0.35">
      <c r="B173" s="1">
        <v>121</v>
      </c>
      <c r="C173" s="22">
        <v>48305</v>
      </c>
      <c r="D173" s="22">
        <v>48334</v>
      </c>
      <c r="E173" s="23">
        <f t="shared" si="24"/>
        <v>30</v>
      </c>
      <c r="F173" s="3">
        <f t="shared" si="27"/>
        <v>160244479.43238124</v>
      </c>
      <c r="G173" s="298">
        <f t="shared" si="22"/>
        <v>9224945.2186479196</v>
      </c>
      <c r="H173" s="3">
        <f t="shared" si="23"/>
        <v>4432095.2269672789</v>
      </c>
      <c r="I173" s="3">
        <f t="shared" si="25"/>
        <v>4792849.9916806407</v>
      </c>
      <c r="J173" s="3">
        <f t="shared" si="26"/>
        <v>155451629.44070059</v>
      </c>
      <c r="K173" s="24"/>
      <c r="L173" s="24"/>
    </row>
    <row r="174" spans="2:12" x14ac:dyDescent="0.35">
      <c r="B174" s="1">
        <v>122</v>
      </c>
      <c r="C174" s="22">
        <v>48335</v>
      </c>
      <c r="D174" s="22">
        <v>48365</v>
      </c>
      <c r="E174" s="23">
        <f t="shared" si="24"/>
        <v>31</v>
      </c>
      <c r="F174" s="3">
        <f t="shared" si="27"/>
        <v>155451629.44070059</v>
      </c>
      <c r="G174" s="298">
        <f t="shared" si="22"/>
        <v>9224945.2186479196</v>
      </c>
      <c r="H174" s="3">
        <f t="shared" si="23"/>
        <v>4299532.984280712</v>
      </c>
      <c r="I174" s="3">
        <f t="shared" si="25"/>
        <v>4925412.2343672076</v>
      </c>
      <c r="J174" s="3">
        <f t="shared" si="26"/>
        <v>150526217.20633337</v>
      </c>
      <c r="K174" s="24"/>
      <c r="L174" s="24"/>
    </row>
    <row r="175" spans="2:12" x14ac:dyDescent="0.35">
      <c r="B175" s="1">
        <v>123</v>
      </c>
      <c r="C175" s="22">
        <v>48366</v>
      </c>
      <c r="D175" s="22">
        <v>48395</v>
      </c>
      <c r="E175" s="23">
        <f t="shared" si="24"/>
        <v>30</v>
      </c>
      <c r="F175" s="3">
        <f t="shared" si="27"/>
        <v>150526217.20633337</v>
      </c>
      <c r="G175" s="298">
        <f t="shared" si="22"/>
        <v>9224945.2186479196</v>
      </c>
      <c r="H175" s="3">
        <f t="shared" si="23"/>
        <v>4163304.2908985047</v>
      </c>
      <c r="I175" s="3">
        <f t="shared" si="25"/>
        <v>5061640.9277494149</v>
      </c>
      <c r="J175" s="3">
        <f t="shared" si="26"/>
        <v>145464576.27858394</v>
      </c>
      <c r="K175" s="24"/>
      <c r="L175" s="24"/>
    </row>
    <row r="176" spans="2:12" x14ac:dyDescent="0.35">
      <c r="B176" s="1">
        <v>124</v>
      </c>
      <c r="C176" s="22">
        <v>48396</v>
      </c>
      <c r="D176" s="22">
        <v>48426</v>
      </c>
      <c r="E176" s="23">
        <f t="shared" si="24"/>
        <v>31</v>
      </c>
      <c r="F176" s="3">
        <f t="shared" si="27"/>
        <v>145464576.27858394</v>
      </c>
      <c r="G176" s="298">
        <f t="shared" ref="G176:G196" si="28">-PMT($N$50/$D$47,117,$F$80,0)</f>
        <v>9224945.2186479196</v>
      </c>
      <c r="H176" s="3">
        <f t="shared" ref="H176:H196" si="29">$N$50/$D$47*F176</f>
        <v>4023307.7389051686</v>
      </c>
      <c r="I176" s="3">
        <f t="shared" si="25"/>
        <v>5201637.4797427505</v>
      </c>
      <c r="J176" s="3">
        <f t="shared" si="26"/>
        <v>140262938.79884118</v>
      </c>
      <c r="K176" s="24"/>
      <c r="L176" s="24"/>
    </row>
    <row r="177" spans="2:12" x14ac:dyDescent="0.35">
      <c r="B177" s="1">
        <v>125</v>
      </c>
      <c r="C177" s="22">
        <v>48427</v>
      </c>
      <c r="D177" s="22">
        <v>48457</v>
      </c>
      <c r="E177" s="23">
        <f t="shared" si="24"/>
        <v>31</v>
      </c>
      <c r="F177" s="3">
        <f t="shared" si="27"/>
        <v>140262938.79884118</v>
      </c>
      <c r="G177" s="298">
        <f t="shared" si="28"/>
        <v>9224945.2186479196</v>
      </c>
      <c r="H177" s="3">
        <f t="shared" si="29"/>
        <v>3879439.1156112831</v>
      </c>
      <c r="I177" s="3">
        <f t="shared" si="25"/>
        <v>5345506.1030366365</v>
      </c>
      <c r="J177" s="3">
        <f t="shared" si="26"/>
        <v>134917432.69580454</v>
      </c>
      <c r="K177" s="24"/>
      <c r="L177" s="24"/>
    </row>
    <row r="178" spans="2:12" x14ac:dyDescent="0.35">
      <c r="B178" s="1">
        <v>126</v>
      </c>
      <c r="C178" s="22">
        <v>48458</v>
      </c>
      <c r="D178" s="22">
        <v>48487</v>
      </c>
      <c r="E178" s="23">
        <f t="shared" si="24"/>
        <v>30</v>
      </c>
      <c r="F178" s="3">
        <f t="shared" si="27"/>
        <v>134917432.69580454</v>
      </c>
      <c r="G178" s="298">
        <f t="shared" si="28"/>
        <v>9224945.2186479196</v>
      </c>
      <c r="H178" s="3">
        <f t="shared" si="29"/>
        <v>3731591.3259781282</v>
      </c>
      <c r="I178" s="3">
        <f t="shared" si="25"/>
        <v>5493353.8926697914</v>
      </c>
      <c r="J178" s="3">
        <f t="shared" si="26"/>
        <v>129424078.80313474</v>
      </c>
      <c r="K178" s="24"/>
      <c r="L178" s="24"/>
    </row>
    <row r="179" spans="2:12" x14ac:dyDescent="0.35">
      <c r="B179" s="1">
        <v>127</v>
      </c>
      <c r="C179" s="22">
        <v>48488</v>
      </c>
      <c r="D179" s="22">
        <v>48518</v>
      </c>
      <c r="E179" s="23">
        <f t="shared" si="24"/>
        <v>31</v>
      </c>
      <c r="F179" s="3">
        <f t="shared" si="27"/>
        <v>129424078.80313474</v>
      </c>
      <c r="G179" s="298">
        <f t="shared" si="28"/>
        <v>9224945.2186479196</v>
      </c>
      <c r="H179" s="3">
        <f t="shared" si="29"/>
        <v>3579654.3128967024</v>
      </c>
      <c r="I179" s="3">
        <f t="shared" si="25"/>
        <v>5645290.9057512172</v>
      </c>
      <c r="J179" s="3">
        <f t="shared" si="26"/>
        <v>123778787.89738353</v>
      </c>
      <c r="K179" s="24"/>
      <c r="L179" s="24"/>
    </row>
    <row r="180" spans="2:12" x14ac:dyDescent="0.35">
      <c r="B180" s="1">
        <v>128</v>
      </c>
      <c r="C180" s="22">
        <v>48519</v>
      </c>
      <c r="D180" s="22">
        <v>48548</v>
      </c>
      <c r="E180" s="23">
        <f t="shared" si="24"/>
        <v>30</v>
      </c>
      <c r="F180" s="3">
        <f t="shared" si="27"/>
        <v>123778787.89738353</v>
      </c>
      <c r="G180" s="298">
        <f t="shared" si="28"/>
        <v>9224945.2186479196</v>
      </c>
      <c r="H180" s="3">
        <f t="shared" si="29"/>
        <v>3423514.9752618</v>
      </c>
      <c r="I180" s="3">
        <f t="shared" si="25"/>
        <v>5801430.2433861196</v>
      </c>
      <c r="J180" s="3">
        <f t="shared" si="26"/>
        <v>117977357.65399741</v>
      </c>
      <c r="K180" s="24"/>
      <c r="L180" s="24"/>
    </row>
    <row r="181" spans="2:12" x14ac:dyDescent="0.35">
      <c r="B181" s="1">
        <v>129</v>
      </c>
      <c r="C181" s="22">
        <v>48549</v>
      </c>
      <c r="D181" s="22">
        <v>48579</v>
      </c>
      <c r="E181" s="23">
        <f t="shared" ref="E181:E196" si="30">D181-C181+1</f>
        <v>31</v>
      </c>
      <c r="F181" s="3">
        <f t="shared" si="27"/>
        <v>117977357.65399741</v>
      </c>
      <c r="G181" s="298">
        <f t="shared" si="28"/>
        <v>9224945.2186479196</v>
      </c>
      <c r="H181" s="3">
        <f t="shared" si="29"/>
        <v>3263057.0837801457</v>
      </c>
      <c r="I181" s="3">
        <f t="shared" ref="I181:I196" si="31">G181-H181</f>
        <v>5961888.1348677743</v>
      </c>
      <c r="J181" s="3">
        <f t="shared" ref="J181:J196" si="32">F181-I181</f>
        <v>112015469.51912963</v>
      </c>
      <c r="K181" s="24"/>
      <c r="L181" s="24"/>
    </row>
    <row r="182" spans="2:12" x14ac:dyDescent="0.35">
      <c r="B182" s="1">
        <v>130</v>
      </c>
      <c r="C182" s="22">
        <v>48580</v>
      </c>
      <c r="D182" s="22">
        <v>48610</v>
      </c>
      <c r="E182" s="23">
        <f t="shared" si="30"/>
        <v>31</v>
      </c>
      <c r="F182" s="3">
        <f t="shared" ref="F182:F196" si="33">J181</f>
        <v>112015469.51912963</v>
      </c>
      <c r="G182" s="298">
        <f t="shared" si="28"/>
        <v>9224945.2186479196</v>
      </c>
      <c r="H182" s="3">
        <f t="shared" si="29"/>
        <v>3098161.1944499281</v>
      </c>
      <c r="I182" s="3">
        <f t="shared" si="31"/>
        <v>6126784.0241979919</v>
      </c>
      <c r="J182" s="3">
        <f t="shared" si="32"/>
        <v>105888685.49493164</v>
      </c>
      <c r="K182" s="24"/>
      <c r="L182" s="24"/>
    </row>
    <row r="183" spans="2:12" x14ac:dyDescent="0.35">
      <c r="B183" s="1">
        <v>131</v>
      </c>
      <c r="C183" s="22">
        <v>48611</v>
      </c>
      <c r="D183" s="22">
        <v>48638</v>
      </c>
      <c r="E183" s="23">
        <f t="shared" si="30"/>
        <v>28</v>
      </c>
      <c r="F183" s="3">
        <f t="shared" si="33"/>
        <v>105888685.49493164</v>
      </c>
      <c r="G183" s="298">
        <f t="shared" si="28"/>
        <v>9224945.2186479196</v>
      </c>
      <c r="H183" s="3">
        <f t="shared" si="29"/>
        <v>2928704.5596473184</v>
      </c>
      <c r="I183" s="3">
        <f t="shared" si="31"/>
        <v>6296240.6590006016</v>
      </c>
      <c r="J183" s="3">
        <f t="shared" si="32"/>
        <v>99592444.835931033</v>
      </c>
      <c r="K183" s="24"/>
      <c r="L183" s="24"/>
    </row>
    <row r="184" spans="2:12" x14ac:dyDescent="0.35">
      <c r="B184" s="1">
        <v>132</v>
      </c>
      <c r="C184" s="22">
        <v>48639</v>
      </c>
      <c r="D184" s="22">
        <v>48669</v>
      </c>
      <c r="E184" s="23">
        <f t="shared" si="30"/>
        <v>31</v>
      </c>
      <c r="F184" s="3">
        <f t="shared" si="33"/>
        <v>99592444.835931033</v>
      </c>
      <c r="G184" s="298">
        <f t="shared" si="28"/>
        <v>9224945.2186479196</v>
      </c>
      <c r="H184" s="3">
        <f t="shared" si="29"/>
        <v>2754561.0367537932</v>
      </c>
      <c r="I184" s="3">
        <f t="shared" si="31"/>
        <v>6470384.1818941263</v>
      </c>
      <c r="J184" s="3">
        <f t="shared" si="32"/>
        <v>93122060.654036909</v>
      </c>
      <c r="K184" s="24"/>
      <c r="L184" s="24"/>
    </row>
    <row r="185" spans="2:12" x14ac:dyDescent="0.35">
      <c r="B185" s="1">
        <v>133</v>
      </c>
      <c r="C185" s="22">
        <v>48670</v>
      </c>
      <c r="D185" s="22">
        <v>48699</v>
      </c>
      <c r="E185" s="23">
        <f t="shared" si="30"/>
        <v>30</v>
      </c>
      <c r="F185" s="3">
        <f t="shared" si="33"/>
        <v>93122060.654036909</v>
      </c>
      <c r="G185" s="298">
        <f t="shared" si="28"/>
        <v>9224945.2186479196</v>
      </c>
      <c r="H185" s="3">
        <f t="shared" si="29"/>
        <v>2575600.994256238</v>
      </c>
      <c r="I185" s="3">
        <f t="shared" si="31"/>
        <v>6649344.2243916821</v>
      </c>
      <c r="J185" s="3">
        <f t="shared" si="32"/>
        <v>86472716.429645225</v>
      </c>
      <c r="K185" s="24"/>
      <c r="L185" s="24"/>
    </row>
    <row r="186" spans="2:12" x14ac:dyDescent="0.35">
      <c r="B186" s="1">
        <v>134</v>
      </c>
      <c r="C186" s="22">
        <v>48700</v>
      </c>
      <c r="D186" s="22">
        <v>48730</v>
      </c>
      <c r="E186" s="23">
        <f t="shared" si="30"/>
        <v>31</v>
      </c>
      <c r="F186" s="3">
        <f t="shared" si="33"/>
        <v>86472716.429645225</v>
      </c>
      <c r="G186" s="298">
        <f t="shared" si="28"/>
        <v>9224945.2186479196</v>
      </c>
      <c r="H186" s="3">
        <f t="shared" si="29"/>
        <v>2391691.215249938</v>
      </c>
      <c r="I186" s="3">
        <f t="shared" si="31"/>
        <v>6833254.0033979816</v>
      </c>
      <c r="J186" s="3">
        <f t="shared" si="32"/>
        <v>79639462.426247239</v>
      </c>
      <c r="K186" s="24"/>
      <c r="L186" s="24"/>
    </row>
    <row r="187" spans="2:12" x14ac:dyDescent="0.35">
      <c r="B187" s="1">
        <v>135</v>
      </c>
      <c r="C187" s="22">
        <v>48731</v>
      </c>
      <c r="D187" s="22">
        <v>48760</v>
      </c>
      <c r="E187" s="23">
        <f t="shared" si="30"/>
        <v>30</v>
      </c>
      <c r="F187" s="3">
        <f t="shared" si="33"/>
        <v>79639462.426247239</v>
      </c>
      <c r="G187" s="298">
        <f t="shared" si="28"/>
        <v>9224945.2186479196</v>
      </c>
      <c r="H187" s="3">
        <f t="shared" si="29"/>
        <v>2202694.7982726223</v>
      </c>
      <c r="I187" s="3">
        <f t="shared" si="31"/>
        <v>7022250.4203752968</v>
      </c>
      <c r="J187" s="3">
        <f t="shared" si="32"/>
        <v>72617212.005871937</v>
      </c>
      <c r="K187" s="24"/>
      <c r="L187" s="24"/>
    </row>
    <row r="188" spans="2:12" x14ac:dyDescent="0.35">
      <c r="B188" s="1">
        <v>136</v>
      </c>
      <c r="C188" s="22">
        <v>48761</v>
      </c>
      <c r="D188" s="22">
        <v>48791</v>
      </c>
      <c r="E188" s="23">
        <f t="shared" si="30"/>
        <v>31</v>
      </c>
      <c r="F188" s="3">
        <f t="shared" si="33"/>
        <v>72617212.005871937</v>
      </c>
      <c r="G188" s="298">
        <f t="shared" si="28"/>
        <v>9224945.2186479196</v>
      </c>
      <c r="H188" s="3">
        <f t="shared" si="29"/>
        <v>2008471.0553957417</v>
      </c>
      <c r="I188" s="3">
        <f t="shared" si="31"/>
        <v>7216474.1632521776</v>
      </c>
      <c r="J188" s="3">
        <f t="shared" si="32"/>
        <v>65400737.842619762</v>
      </c>
      <c r="K188" s="24"/>
      <c r="L188" s="24"/>
    </row>
    <row r="189" spans="2:12" x14ac:dyDescent="0.35">
      <c r="B189" s="1">
        <v>137</v>
      </c>
      <c r="C189" s="22">
        <v>48792</v>
      </c>
      <c r="D189" s="22">
        <v>48822</v>
      </c>
      <c r="E189" s="23">
        <f t="shared" si="30"/>
        <v>31</v>
      </c>
      <c r="F189" s="3">
        <f t="shared" si="33"/>
        <v>65400737.842619762</v>
      </c>
      <c r="G189" s="298">
        <f t="shared" si="28"/>
        <v>9224945.2186479196</v>
      </c>
      <c r="H189" s="3">
        <f t="shared" si="29"/>
        <v>1808875.4074971254</v>
      </c>
      <c r="I189" s="3">
        <f t="shared" si="31"/>
        <v>7416069.8111507939</v>
      </c>
      <c r="J189" s="3">
        <f t="shared" si="32"/>
        <v>57984668.031468965</v>
      </c>
      <c r="K189" s="24"/>
      <c r="L189" s="24"/>
    </row>
    <row r="190" spans="2:12" x14ac:dyDescent="0.35">
      <c r="B190" s="1">
        <v>138</v>
      </c>
      <c r="C190" s="22">
        <v>48823</v>
      </c>
      <c r="D190" s="22">
        <v>48852</v>
      </c>
      <c r="E190" s="23">
        <f t="shared" si="30"/>
        <v>30</v>
      </c>
      <c r="F190" s="3">
        <f t="shared" si="33"/>
        <v>57984668.031468965</v>
      </c>
      <c r="G190" s="298">
        <f t="shared" si="28"/>
        <v>9224945.2186479196</v>
      </c>
      <c r="H190" s="3">
        <f t="shared" si="29"/>
        <v>1603759.2766370461</v>
      </c>
      <c r="I190" s="3">
        <f t="shared" si="31"/>
        <v>7621185.9420108739</v>
      </c>
      <c r="J190" s="3">
        <f t="shared" si="32"/>
        <v>50363482.089458093</v>
      </c>
      <c r="K190" s="24"/>
      <c r="L190" s="24"/>
    </row>
    <row r="191" spans="2:12" x14ac:dyDescent="0.35">
      <c r="B191" s="1">
        <v>139</v>
      </c>
      <c r="C191" s="22">
        <v>48853</v>
      </c>
      <c r="D191" s="22">
        <v>48883</v>
      </c>
      <c r="E191" s="23">
        <f t="shared" si="30"/>
        <v>31</v>
      </c>
      <c r="F191" s="3">
        <f t="shared" si="33"/>
        <v>50363482.089458093</v>
      </c>
      <c r="G191" s="298">
        <f t="shared" si="28"/>
        <v>9224945.2186479196</v>
      </c>
      <c r="H191" s="3">
        <f t="shared" si="29"/>
        <v>1392969.9754575954</v>
      </c>
      <c r="I191" s="3">
        <f t="shared" si="31"/>
        <v>7831975.2431903239</v>
      </c>
      <c r="J191" s="3">
        <f t="shared" si="32"/>
        <v>42531506.846267767</v>
      </c>
      <c r="K191" s="24"/>
      <c r="L191" s="24"/>
    </row>
    <row r="192" spans="2:12" x14ac:dyDescent="0.35">
      <c r="B192" s="1">
        <v>140</v>
      </c>
      <c r="C192" s="22">
        <v>48884</v>
      </c>
      <c r="D192" s="22">
        <v>48913</v>
      </c>
      <c r="E192" s="23">
        <f t="shared" si="30"/>
        <v>30</v>
      </c>
      <c r="F192" s="3">
        <f t="shared" si="33"/>
        <v>42531506.846267767</v>
      </c>
      <c r="G192" s="298">
        <f t="shared" si="28"/>
        <v>9224945.2186479196</v>
      </c>
      <c r="H192" s="3">
        <f t="shared" si="29"/>
        <v>1176350.593523023</v>
      </c>
      <c r="I192" s="3">
        <f t="shared" si="31"/>
        <v>8048594.6251248969</v>
      </c>
      <c r="J192" s="3">
        <f t="shared" si="32"/>
        <v>34482912.221142873</v>
      </c>
      <c r="K192" s="24"/>
      <c r="L192" s="24"/>
    </row>
    <row r="193" spans="2:19" x14ac:dyDescent="0.35">
      <c r="B193" s="1">
        <v>141</v>
      </c>
      <c r="C193" s="22">
        <v>48914</v>
      </c>
      <c r="D193" s="22">
        <v>48944</v>
      </c>
      <c r="E193" s="23">
        <f t="shared" si="30"/>
        <v>31</v>
      </c>
      <c r="F193" s="3">
        <f t="shared" si="33"/>
        <v>34482912.221142873</v>
      </c>
      <c r="G193" s="298">
        <f t="shared" si="28"/>
        <v>9224945.2186479196</v>
      </c>
      <c r="H193" s="3">
        <f t="shared" si="29"/>
        <v>953739.88051644352</v>
      </c>
      <c r="I193" s="3">
        <f t="shared" si="31"/>
        <v>8271205.3381314762</v>
      </c>
      <c r="J193" s="3">
        <f t="shared" si="32"/>
        <v>26211706.883011397</v>
      </c>
      <c r="K193" s="24"/>
      <c r="L193" s="24"/>
    </row>
    <row r="194" spans="2:19" x14ac:dyDescent="0.35">
      <c r="B194" s="1">
        <v>142</v>
      </c>
      <c r="C194" s="22">
        <v>48945</v>
      </c>
      <c r="D194" s="22">
        <v>48975</v>
      </c>
      <c r="E194" s="23">
        <f t="shared" si="30"/>
        <v>31</v>
      </c>
      <c r="F194" s="3">
        <f t="shared" si="33"/>
        <v>26211706.883011397</v>
      </c>
      <c r="G194" s="298">
        <f t="shared" si="28"/>
        <v>9224945.2186479196</v>
      </c>
      <c r="H194" s="3">
        <f t="shared" si="29"/>
        <v>724972.12620595703</v>
      </c>
      <c r="I194" s="3">
        <f t="shared" si="31"/>
        <v>8499973.092441963</v>
      </c>
      <c r="J194" s="3">
        <f t="shared" si="32"/>
        <v>17711733.790569432</v>
      </c>
      <c r="K194" s="24"/>
      <c r="L194" s="24"/>
    </row>
    <row r="195" spans="2:19" x14ac:dyDescent="0.35">
      <c r="B195" s="1">
        <v>143</v>
      </c>
      <c r="C195" s="22">
        <v>48976</v>
      </c>
      <c r="D195" s="22">
        <v>49003</v>
      </c>
      <c r="E195" s="23">
        <f t="shared" si="30"/>
        <v>28</v>
      </c>
      <c r="F195" s="3">
        <f t="shared" si="33"/>
        <v>17711733.790569432</v>
      </c>
      <c r="G195" s="298">
        <f t="shared" si="28"/>
        <v>9224945.2186479196</v>
      </c>
      <c r="H195" s="3">
        <f t="shared" si="29"/>
        <v>489877.03709083301</v>
      </c>
      <c r="I195" s="3">
        <f t="shared" si="31"/>
        <v>8735068.1815570872</v>
      </c>
      <c r="J195" s="3">
        <f t="shared" si="32"/>
        <v>8976665.6090123449</v>
      </c>
      <c r="K195" s="24"/>
      <c r="L195" s="24"/>
    </row>
    <row r="196" spans="2:19" x14ac:dyDescent="0.35">
      <c r="B196" s="1">
        <v>144</v>
      </c>
      <c r="C196" s="22">
        <v>49004</v>
      </c>
      <c r="D196" s="22">
        <v>49034</v>
      </c>
      <c r="E196" s="23">
        <f t="shared" si="30"/>
        <v>31</v>
      </c>
      <c r="F196" s="3">
        <f t="shared" si="33"/>
        <v>8976665.6090123449</v>
      </c>
      <c r="G196" s="298">
        <f t="shared" si="28"/>
        <v>9224945.2186479196</v>
      </c>
      <c r="H196" s="3">
        <f t="shared" si="29"/>
        <v>248279.60963593316</v>
      </c>
      <c r="I196" s="3">
        <f t="shared" si="31"/>
        <v>8976665.6090119872</v>
      </c>
      <c r="J196" s="3">
        <f t="shared" si="32"/>
        <v>3.5762786865234375E-7</v>
      </c>
      <c r="K196" s="24"/>
      <c r="L196" s="24"/>
    </row>
    <row r="197" spans="2:19" x14ac:dyDescent="0.35">
      <c r="B197" s="1"/>
      <c r="C197" s="22"/>
      <c r="D197" s="22"/>
      <c r="E197" s="23"/>
      <c r="F197" s="3"/>
      <c r="G197" s="3"/>
      <c r="H197" s="3"/>
      <c r="I197" s="3"/>
      <c r="J197" s="3"/>
      <c r="K197" s="24"/>
      <c r="L197" s="24"/>
    </row>
    <row r="198" spans="2:19" x14ac:dyDescent="0.35">
      <c r="B198" s="1"/>
      <c r="C198" s="1"/>
      <c r="D198" s="1"/>
      <c r="E198" s="28">
        <f>SUM(E53:E113)</f>
        <v>1856</v>
      </c>
      <c r="F198" s="3"/>
      <c r="G198" s="3"/>
      <c r="H198" s="3"/>
      <c r="I198" s="3"/>
      <c r="J198" s="3"/>
      <c r="K198" s="1"/>
      <c r="L198" s="1"/>
    </row>
    <row r="199" spans="2:19" hidden="1" outlineLevel="1" x14ac:dyDescent="0.35">
      <c r="B199" s="1"/>
      <c r="C199" s="1"/>
      <c r="D199" s="1"/>
      <c r="E199" s="1"/>
      <c r="F199" s="3"/>
      <c r="G199" s="3"/>
      <c r="H199" s="3"/>
      <c r="I199" s="3"/>
      <c r="J199" s="3"/>
      <c r="K199" s="1"/>
      <c r="L199" s="1"/>
    </row>
    <row r="200" spans="2:19" hidden="1" outlineLevel="1" x14ac:dyDescent="0.35">
      <c r="B200" s="1"/>
      <c r="C200" s="1"/>
      <c r="D200" s="1"/>
      <c r="E200" s="1"/>
      <c r="F200" s="3"/>
      <c r="G200" s="3"/>
      <c r="H200" s="3"/>
      <c r="I200" s="3"/>
      <c r="J200" s="3"/>
      <c r="K200" s="1"/>
      <c r="L200" s="1"/>
    </row>
    <row r="201" spans="2:19" hidden="1" outlineLevel="1" x14ac:dyDescent="0.35">
      <c r="B201" s="1"/>
      <c r="C201" s="1"/>
      <c r="D201" s="1"/>
      <c r="E201" s="1">
        <f>E198/365</f>
        <v>5.0849315068493155</v>
      </c>
      <c r="F201" s="3"/>
      <c r="G201" s="3"/>
      <c r="H201" s="3"/>
      <c r="I201" s="3"/>
      <c r="J201" s="3"/>
      <c r="K201" s="1"/>
      <c r="L201" s="1"/>
    </row>
    <row r="202" spans="2:19" collapsed="1" x14ac:dyDescent="0.35"/>
    <row r="204" spans="2:19" x14ac:dyDescent="0.35">
      <c r="B204" s="1"/>
      <c r="C204" s="8" t="s">
        <v>486</v>
      </c>
      <c r="D204" s="3"/>
      <c r="E204" s="3"/>
      <c r="F204" s="3"/>
      <c r="G204" s="3"/>
      <c r="H204" s="3"/>
      <c r="I204" s="3"/>
      <c r="J204" s="3"/>
      <c r="K204" s="3"/>
      <c r="L204" s="3"/>
      <c r="R204" s="438" t="s">
        <v>832</v>
      </c>
      <c r="S204" s="432" t="str">
        <f>IFERROR(INDEX(Blocks!$I$2:$I$101,MATCH(3,Blocks!$A$2:$A$101,0)),"")</f>
        <v>000104420000003</v>
      </c>
    </row>
    <row r="205" spans="2:19" x14ac:dyDescent="0.35">
      <c r="B205" s="1"/>
      <c r="C205" s="1"/>
      <c r="D205" s="30" t="s">
        <v>859</v>
      </c>
      <c r="E205" s="3"/>
      <c r="F205" s="30" t="s">
        <v>860</v>
      </c>
      <c r="G205" s="3"/>
      <c r="H205" s="3"/>
      <c r="I205" s="3"/>
      <c r="J205" s="3"/>
      <c r="K205" s="3"/>
      <c r="L205" s="3"/>
      <c r="R205" s="438" t="s">
        <v>834</v>
      </c>
      <c r="S205" s="432" t="str">
        <f>IFERROR(INDEX(Blocks!$H$2:$H$101,MATCH(3,Blocks!$A$2:$A$101,0)),"")</f>
        <v>Micholess Creamery</v>
      </c>
    </row>
    <row r="206" spans="2:19" x14ac:dyDescent="0.35">
      <c r="B206" s="1"/>
      <c r="C206" s="9" t="s">
        <v>835</v>
      </c>
      <c r="D206" s="10">
        <v>15760000</v>
      </c>
      <c r="E206" s="3"/>
      <c r="F206" s="3">
        <v>2480000</v>
      </c>
      <c r="G206" s="267" t="s">
        <v>835</v>
      </c>
      <c r="H206" s="10">
        <f>F237</f>
        <v>3756475.7069973433</v>
      </c>
      <c r="I206" s="3"/>
      <c r="J206" s="3"/>
      <c r="K206" s="3"/>
      <c r="L206" s="3"/>
      <c r="R206" s="438" t="s">
        <v>223</v>
      </c>
      <c r="S206" s="433">
        <f>IFERROR(INDEX('E-Banker master'!$N$2:$N$186,MATCH(S204,'E-Banker master'!$A$2:$A$186,0)),"")</f>
        <v>18240000</v>
      </c>
    </row>
    <row r="207" spans="2:19" x14ac:dyDescent="0.35">
      <c r="B207" s="1"/>
      <c r="C207" s="11" t="s">
        <v>837</v>
      </c>
      <c r="D207" s="12">
        <v>0.20100000000000001</v>
      </c>
      <c r="E207" s="13"/>
      <c r="F207" s="3"/>
      <c r="G207" s="268" t="s">
        <v>837</v>
      </c>
      <c r="H207" s="266">
        <v>0.20200000000000001</v>
      </c>
      <c r="I207" s="3"/>
      <c r="J207" s="3"/>
      <c r="K207" s="3"/>
      <c r="L207" s="3"/>
      <c r="R207" s="438" t="s">
        <v>52</v>
      </c>
      <c r="S207" s="433">
        <f>IFERROR(INDEX('E-Banker master'!$P$2:$P$186,MATCH(S204,'E-Banker master'!$A$2:$A$186,0)),"")</f>
        <v>0</v>
      </c>
    </row>
    <row r="208" spans="2:19" x14ac:dyDescent="0.35">
      <c r="B208" s="1"/>
      <c r="C208" s="11" t="s">
        <v>838</v>
      </c>
      <c r="D208" s="14">
        <v>2</v>
      </c>
      <c r="E208" s="1"/>
      <c r="F208" s="3"/>
      <c r="G208" s="268" t="s">
        <v>838</v>
      </c>
      <c r="H208" s="266">
        <v>2</v>
      </c>
      <c r="I208" s="3"/>
      <c r="J208" s="3"/>
      <c r="K208" s="1"/>
      <c r="L208" s="1"/>
    </row>
    <row r="209" spans="2:12" x14ac:dyDescent="0.35">
      <c r="B209" s="1"/>
      <c r="C209" s="11" t="s">
        <v>839</v>
      </c>
      <c r="D209" s="14">
        <v>12</v>
      </c>
      <c r="E209" s="1"/>
      <c r="F209" s="3"/>
      <c r="G209" s="268" t="s">
        <v>839</v>
      </c>
      <c r="H209" s="266">
        <v>12</v>
      </c>
      <c r="I209" s="3"/>
      <c r="J209" s="3"/>
      <c r="K209" s="1"/>
      <c r="L209" s="1"/>
    </row>
    <row r="210" spans="2:12" x14ac:dyDescent="0.35">
      <c r="B210" s="1"/>
      <c r="C210" s="11" t="s">
        <v>843</v>
      </c>
      <c r="D210" s="15">
        <f>D208*D209</f>
        <v>24</v>
      </c>
      <c r="E210" s="1"/>
      <c r="F210" s="3"/>
      <c r="G210" s="268" t="s">
        <v>843</v>
      </c>
      <c r="H210" s="266">
        <f>H208*H209</f>
        <v>24</v>
      </c>
      <c r="I210" s="3"/>
      <c r="J210" s="3"/>
      <c r="K210" s="1"/>
      <c r="L210" s="1"/>
    </row>
    <row r="211" spans="2:12" x14ac:dyDescent="0.35">
      <c r="B211" s="1"/>
      <c r="C211" s="11" t="s">
        <v>844</v>
      </c>
      <c r="D211" s="16">
        <v>365</v>
      </c>
      <c r="E211" s="1"/>
      <c r="F211" s="3"/>
      <c r="G211" s="268" t="s">
        <v>844</v>
      </c>
      <c r="H211" s="266">
        <v>365</v>
      </c>
      <c r="I211" s="3"/>
      <c r="J211" s="3"/>
      <c r="K211" s="1"/>
      <c r="L211" s="1"/>
    </row>
    <row r="212" spans="2:12" x14ac:dyDescent="0.35">
      <c r="B212" s="1"/>
      <c r="C212" s="17" t="s">
        <v>845</v>
      </c>
      <c r="D212" s="18">
        <f>-PMT(D207/D209,D210,D206,0,0)</f>
        <v>802887.96402039414</v>
      </c>
      <c r="E212" s="3"/>
      <c r="F212" s="3"/>
      <c r="G212" s="269" t="s">
        <v>845</v>
      </c>
      <c r="H212" s="18">
        <f>-PMT(H207/H209,H210,H206,0,0)</f>
        <v>191556.06752704841</v>
      </c>
      <c r="I212" s="3"/>
      <c r="J212" s="3"/>
      <c r="K212" s="1"/>
      <c r="L212" s="1"/>
    </row>
    <row r="213" spans="2:12" x14ac:dyDescent="0.35">
      <c r="B213" s="1"/>
      <c r="C213" s="1"/>
      <c r="D213" s="3"/>
      <c r="E213" s="3"/>
      <c r="F213" s="3"/>
      <c r="G213" s="3"/>
      <c r="H213" s="3"/>
      <c r="I213" s="3"/>
      <c r="J213" s="3"/>
      <c r="K213" s="1"/>
      <c r="L213" s="1"/>
    </row>
    <row r="214" spans="2:12" x14ac:dyDescent="0.35">
      <c r="B214" s="1"/>
      <c r="C214" s="19" t="s">
        <v>846</v>
      </c>
      <c r="D214" s="20" t="s">
        <v>847</v>
      </c>
      <c r="E214" s="20" t="s">
        <v>764</v>
      </c>
      <c r="F214" s="270" t="s">
        <v>848</v>
      </c>
      <c r="G214" s="270" t="s">
        <v>849</v>
      </c>
      <c r="H214" s="270" t="s">
        <v>742</v>
      </c>
      <c r="I214" s="270" t="s">
        <v>740</v>
      </c>
      <c r="J214" s="270" t="s">
        <v>850</v>
      </c>
      <c r="K214" s="21" t="s">
        <v>851</v>
      </c>
      <c r="L214" s="21" t="s">
        <v>852</v>
      </c>
    </row>
    <row r="215" spans="2:12" x14ac:dyDescent="0.35">
      <c r="B215" s="1">
        <v>0</v>
      </c>
      <c r="C215" s="22">
        <v>44040</v>
      </c>
      <c r="D215" s="22">
        <v>44043</v>
      </c>
      <c r="E215" s="23">
        <f t="shared" ref="E215:E239" si="34">D215-C215+1</f>
        <v>4</v>
      </c>
      <c r="F215" s="3">
        <f>D206</f>
        <v>15760000</v>
      </c>
      <c r="G215" s="3">
        <v>0</v>
      </c>
      <c r="H215" s="3">
        <f>F215*D207/D209*E215/31</f>
        <v>34061.93548387097</v>
      </c>
      <c r="I215" s="3">
        <f>G215-H215</f>
        <v>-34061.93548387097</v>
      </c>
      <c r="J215" s="3">
        <f t="shared" ref="J215:J239" si="35">F215-I215</f>
        <v>15794061.935483871</v>
      </c>
      <c r="K215" s="24">
        <v>0</v>
      </c>
      <c r="L215" s="24"/>
    </row>
    <row r="216" spans="2:12" x14ac:dyDescent="0.35">
      <c r="B216" s="1">
        <v>1</v>
      </c>
      <c r="C216" s="22">
        <v>44044</v>
      </c>
      <c r="D216" s="22">
        <v>44074</v>
      </c>
      <c r="E216" s="23">
        <f t="shared" si="34"/>
        <v>31</v>
      </c>
      <c r="F216" s="3">
        <f>J215</f>
        <v>15794061.935483871</v>
      </c>
      <c r="G216" s="3">
        <v>0</v>
      </c>
      <c r="H216" s="3">
        <f t="shared" ref="H216:H236" si="36">$D$207/$D$209*F216</f>
        <v>264550.53741935483</v>
      </c>
      <c r="I216" s="3">
        <f t="shared" ref="I216:I221" si="37">-H216</f>
        <v>-264550.53741935483</v>
      </c>
      <c r="J216" s="3">
        <f t="shared" si="35"/>
        <v>16058612.472903226</v>
      </c>
      <c r="K216" s="24">
        <v>0</v>
      </c>
      <c r="L216" s="24">
        <v>0</v>
      </c>
    </row>
    <row r="217" spans="2:12" x14ac:dyDescent="0.35">
      <c r="B217" s="1">
        <v>2</v>
      </c>
      <c r="C217" s="22">
        <v>44075</v>
      </c>
      <c r="D217" s="22">
        <v>44104</v>
      </c>
      <c r="E217" s="23">
        <f t="shared" si="34"/>
        <v>30</v>
      </c>
      <c r="F217" s="3">
        <f>J216</f>
        <v>16058612.472903226</v>
      </c>
      <c r="G217" s="3">
        <v>0</v>
      </c>
      <c r="H217" s="3">
        <f t="shared" si="36"/>
        <v>268981.75892112905</v>
      </c>
      <c r="I217" s="3">
        <f t="shared" si="37"/>
        <v>-268981.75892112905</v>
      </c>
      <c r="J217" s="3">
        <f t="shared" si="35"/>
        <v>16327594.231824355</v>
      </c>
      <c r="K217" s="24">
        <v>0</v>
      </c>
      <c r="L217" s="24">
        <v>0</v>
      </c>
    </row>
    <row r="218" spans="2:12" x14ac:dyDescent="0.35">
      <c r="B218" s="1">
        <v>3</v>
      </c>
      <c r="C218" s="22">
        <v>44105</v>
      </c>
      <c r="D218" s="22">
        <v>44135</v>
      </c>
      <c r="E218" s="23">
        <f t="shared" si="34"/>
        <v>31</v>
      </c>
      <c r="F218" s="3">
        <f>J217</f>
        <v>16327594.231824355</v>
      </c>
      <c r="G218" s="3">
        <v>0</v>
      </c>
      <c r="H218" s="3">
        <f t="shared" si="36"/>
        <v>273487.20338305796</v>
      </c>
      <c r="I218" s="3">
        <f t="shared" si="37"/>
        <v>-273487.20338305796</v>
      </c>
      <c r="J218" s="3">
        <f t="shared" si="35"/>
        <v>16601081.435207414</v>
      </c>
      <c r="K218" s="24">
        <v>0</v>
      </c>
      <c r="L218" s="24">
        <v>0</v>
      </c>
    </row>
    <row r="219" spans="2:12" x14ac:dyDescent="0.35">
      <c r="B219" s="1">
        <v>4</v>
      </c>
      <c r="C219" s="22">
        <v>44136</v>
      </c>
      <c r="D219" s="22">
        <v>44165</v>
      </c>
      <c r="E219" s="23">
        <f t="shared" si="34"/>
        <v>30</v>
      </c>
      <c r="F219" s="3">
        <f>J218</f>
        <v>16601081.435207414</v>
      </c>
      <c r="G219" s="3">
        <v>0</v>
      </c>
      <c r="H219" s="3">
        <f t="shared" si="36"/>
        <v>278068.11403972417</v>
      </c>
      <c r="I219" s="3">
        <f t="shared" si="37"/>
        <v>-278068.11403972417</v>
      </c>
      <c r="J219" s="3">
        <f t="shared" si="35"/>
        <v>16879149.549247138</v>
      </c>
      <c r="K219" s="24">
        <v>0</v>
      </c>
      <c r="L219" s="24">
        <v>0</v>
      </c>
    </row>
    <row r="220" spans="2:12" x14ac:dyDescent="0.35">
      <c r="B220" s="1">
        <v>5</v>
      </c>
      <c r="C220" s="22">
        <v>44166</v>
      </c>
      <c r="D220" s="22">
        <v>44196</v>
      </c>
      <c r="E220" s="23">
        <f t="shared" si="34"/>
        <v>31</v>
      </c>
      <c r="F220" s="3">
        <f>J219</f>
        <v>16879149.549247138</v>
      </c>
      <c r="G220" s="3">
        <v>0</v>
      </c>
      <c r="H220" s="3">
        <f t="shared" si="36"/>
        <v>282725.75494988955</v>
      </c>
      <c r="I220" s="3">
        <f t="shared" si="37"/>
        <v>-282725.75494988955</v>
      </c>
      <c r="J220" s="3">
        <f t="shared" si="35"/>
        <v>17161875.304197028</v>
      </c>
      <c r="K220" s="24">
        <v>0</v>
      </c>
      <c r="L220" s="24">
        <v>0</v>
      </c>
    </row>
    <row r="221" spans="2:12" x14ac:dyDescent="0.35">
      <c r="B221" s="1">
        <v>6</v>
      </c>
      <c r="C221" s="22">
        <v>44197</v>
      </c>
      <c r="D221" s="22">
        <v>44227</v>
      </c>
      <c r="E221" s="23">
        <f t="shared" si="34"/>
        <v>31</v>
      </c>
      <c r="F221" s="3">
        <f>J220+F206</f>
        <v>19641875.304197028</v>
      </c>
      <c r="G221" s="3">
        <v>0</v>
      </c>
      <c r="H221" s="3">
        <f t="shared" si="36"/>
        <v>329001.41134530026</v>
      </c>
      <c r="I221" s="3">
        <f t="shared" si="37"/>
        <v>-329001.41134530026</v>
      </c>
      <c r="J221" s="3">
        <f t="shared" si="35"/>
        <v>19970876.715542328</v>
      </c>
      <c r="K221" s="24">
        <v>0</v>
      </c>
      <c r="L221" s="24">
        <v>0</v>
      </c>
    </row>
    <row r="222" spans="2:12" x14ac:dyDescent="0.35">
      <c r="B222" s="1">
        <v>7</v>
      </c>
      <c r="C222" s="22">
        <v>44228</v>
      </c>
      <c r="D222" s="22">
        <v>44255</v>
      </c>
      <c r="E222" s="23">
        <f t="shared" si="34"/>
        <v>28</v>
      </c>
      <c r="F222" s="3">
        <f t="shared" ref="F222:F239" si="38">J221</f>
        <v>19970876.715542328</v>
      </c>
      <c r="G222" s="3">
        <f t="shared" ref="G222:G236" si="39">-PMT($D$207/$D$209,18,$F$222,,0)</f>
        <v>1294338.1363630265</v>
      </c>
      <c r="H222" s="3">
        <f t="shared" si="36"/>
        <v>334512.184985334</v>
      </c>
      <c r="I222" s="3">
        <f t="shared" ref="I222:I239" si="40">G222-H222</f>
        <v>959825.9513776924</v>
      </c>
      <c r="J222" s="3">
        <f t="shared" si="35"/>
        <v>19011050.764164634</v>
      </c>
      <c r="K222" s="24">
        <v>0</v>
      </c>
      <c r="L222" s="24">
        <f t="shared" ref="L222:L239" si="41">G222-K222+L221</f>
        <v>1294338.1363630265</v>
      </c>
    </row>
    <row r="223" spans="2:12" x14ac:dyDescent="0.35">
      <c r="B223" s="1">
        <v>8</v>
      </c>
      <c r="C223" s="22">
        <v>44256</v>
      </c>
      <c r="D223" s="22">
        <v>44286</v>
      </c>
      <c r="E223" s="23">
        <f t="shared" si="34"/>
        <v>31</v>
      </c>
      <c r="F223" s="3">
        <f t="shared" si="38"/>
        <v>19011050.764164634</v>
      </c>
      <c r="G223" s="3">
        <f t="shared" si="39"/>
        <v>1294338.1363630265</v>
      </c>
      <c r="H223" s="3">
        <f t="shared" si="36"/>
        <v>318435.10029975761</v>
      </c>
      <c r="I223" s="3">
        <f t="shared" si="40"/>
        <v>975903.03606326878</v>
      </c>
      <c r="J223" s="3">
        <f t="shared" si="35"/>
        <v>18035147.728101365</v>
      </c>
      <c r="K223" s="24">
        <v>0</v>
      </c>
      <c r="L223" s="24">
        <f t="shared" si="41"/>
        <v>2588676.2727260529</v>
      </c>
    </row>
    <row r="224" spans="2:12" x14ac:dyDescent="0.35">
      <c r="B224" s="1">
        <v>9</v>
      </c>
      <c r="C224" s="22">
        <v>44287</v>
      </c>
      <c r="D224" s="22">
        <v>44316</v>
      </c>
      <c r="E224" s="23">
        <f t="shared" si="34"/>
        <v>30</v>
      </c>
      <c r="F224" s="3">
        <f t="shared" si="38"/>
        <v>18035147.728101365</v>
      </c>
      <c r="G224" s="3">
        <f t="shared" si="39"/>
        <v>1294338.1363630265</v>
      </c>
      <c r="H224" s="3">
        <f t="shared" si="36"/>
        <v>302088.72444569791</v>
      </c>
      <c r="I224" s="3">
        <f t="shared" si="40"/>
        <v>992249.4119173286</v>
      </c>
      <c r="J224" s="3">
        <f t="shared" si="35"/>
        <v>17042898.316184036</v>
      </c>
      <c r="K224" s="24">
        <v>0</v>
      </c>
      <c r="L224" s="24">
        <f t="shared" si="41"/>
        <v>3883014.4090890791</v>
      </c>
    </row>
    <row r="225" spans="2:12" x14ac:dyDescent="0.35">
      <c r="B225" s="1">
        <v>10</v>
      </c>
      <c r="C225" s="22">
        <v>44317</v>
      </c>
      <c r="D225" s="22">
        <v>44347</v>
      </c>
      <c r="E225" s="23">
        <f t="shared" si="34"/>
        <v>31</v>
      </c>
      <c r="F225" s="3">
        <f t="shared" si="38"/>
        <v>17042898.316184036</v>
      </c>
      <c r="G225" s="3">
        <f t="shared" si="39"/>
        <v>1294338.1363630265</v>
      </c>
      <c r="H225" s="3">
        <f t="shared" si="36"/>
        <v>285468.54679608264</v>
      </c>
      <c r="I225" s="3">
        <f t="shared" si="40"/>
        <v>1008869.5895669438</v>
      </c>
      <c r="J225" s="3">
        <f t="shared" si="35"/>
        <v>16034028.726617092</v>
      </c>
      <c r="K225" s="24">
        <v>0</v>
      </c>
      <c r="L225" s="24">
        <f t="shared" si="41"/>
        <v>5177352.5454521058</v>
      </c>
    </row>
    <row r="226" spans="2:12" x14ac:dyDescent="0.35">
      <c r="B226" s="1">
        <v>11</v>
      </c>
      <c r="C226" s="22">
        <v>44348</v>
      </c>
      <c r="D226" s="22">
        <v>44377</v>
      </c>
      <c r="E226" s="23">
        <f t="shared" si="34"/>
        <v>30</v>
      </c>
      <c r="F226" s="3">
        <f t="shared" si="38"/>
        <v>16034028.726617092</v>
      </c>
      <c r="G226" s="3">
        <f t="shared" si="39"/>
        <v>1294338.1363630265</v>
      </c>
      <c r="H226" s="3">
        <f t="shared" si="36"/>
        <v>268569.98117083631</v>
      </c>
      <c r="I226" s="3">
        <f t="shared" si="40"/>
        <v>1025768.1551921901</v>
      </c>
      <c r="J226" s="3">
        <f t="shared" si="35"/>
        <v>15008260.571424901</v>
      </c>
      <c r="K226" s="24">
        <v>0</v>
      </c>
      <c r="L226" s="24">
        <f t="shared" si="41"/>
        <v>6471690.6818151325</v>
      </c>
    </row>
    <row r="227" spans="2:12" x14ac:dyDescent="0.35">
      <c r="B227" s="1">
        <v>12</v>
      </c>
      <c r="C227" s="22">
        <v>44378</v>
      </c>
      <c r="D227" s="22">
        <v>44408</v>
      </c>
      <c r="E227" s="23">
        <f t="shared" si="34"/>
        <v>31</v>
      </c>
      <c r="F227" s="3">
        <f t="shared" si="38"/>
        <v>15008260.571424901</v>
      </c>
      <c r="G227" s="3">
        <f t="shared" si="39"/>
        <v>1294338.1363630265</v>
      </c>
      <c r="H227" s="3">
        <f t="shared" si="36"/>
        <v>251388.36457136713</v>
      </c>
      <c r="I227" s="3">
        <f t="shared" si="40"/>
        <v>1042949.7717916593</v>
      </c>
      <c r="J227" s="3">
        <f t="shared" si="35"/>
        <v>13965310.799633242</v>
      </c>
      <c r="K227" s="24">
        <v>0</v>
      </c>
      <c r="L227" s="26">
        <f t="shared" si="41"/>
        <v>7766028.8181781592</v>
      </c>
    </row>
    <row r="228" spans="2:12" x14ac:dyDescent="0.35">
      <c r="B228" s="1">
        <v>13</v>
      </c>
      <c r="C228" s="22">
        <v>44409</v>
      </c>
      <c r="D228" s="22">
        <v>44439</v>
      </c>
      <c r="E228" s="23">
        <f t="shared" si="34"/>
        <v>31</v>
      </c>
      <c r="F228" s="3">
        <f t="shared" si="38"/>
        <v>13965310.799633242</v>
      </c>
      <c r="G228" s="3">
        <f t="shared" si="39"/>
        <v>1294338.1363630265</v>
      </c>
      <c r="H228" s="3">
        <f t="shared" si="36"/>
        <v>233918.95589385682</v>
      </c>
      <c r="I228" s="3">
        <f t="shared" si="40"/>
        <v>1060419.1804691697</v>
      </c>
      <c r="J228" s="3">
        <f t="shared" si="35"/>
        <v>12904891.619164072</v>
      </c>
      <c r="K228" s="24">
        <v>0</v>
      </c>
      <c r="L228" s="24">
        <f t="shared" si="41"/>
        <v>9060366.9545411859</v>
      </c>
    </row>
    <row r="229" spans="2:12" x14ac:dyDescent="0.35">
      <c r="B229" s="1">
        <v>14</v>
      </c>
      <c r="C229" s="22">
        <v>44440</v>
      </c>
      <c r="D229" s="22">
        <v>44469</v>
      </c>
      <c r="E229" s="23">
        <f t="shared" si="34"/>
        <v>30</v>
      </c>
      <c r="F229" s="3">
        <f t="shared" si="38"/>
        <v>12904891.619164072</v>
      </c>
      <c r="G229" s="3">
        <f t="shared" si="39"/>
        <v>1294338.1363630265</v>
      </c>
      <c r="H229" s="3">
        <f t="shared" si="36"/>
        <v>216156.93462099822</v>
      </c>
      <c r="I229" s="3">
        <f t="shared" si="40"/>
        <v>1078181.2017420284</v>
      </c>
      <c r="J229" s="3">
        <f t="shared" si="35"/>
        <v>11826710.417422043</v>
      </c>
      <c r="K229" s="24">
        <v>0</v>
      </c>
      <c r="L229" s="24">
        <f t="shared" si="41"/>
        <v>10354705.090904212</v>
      </c>
    </row>
    <row r="230" spans="2:12" x14ac:dyDescent="0.35">
      <c r="B230" s="1">
        <v>15</v>
      </c>
      <c r="C230" s="22">
        <v>44470</v>
      </c>
      <c r="D230" s="22">
        <v>44500</v>
      </c>
      <c r="E230" s="23">
        <f t="shared" si="34"/>
        <v>31</v>
      </c>
      <c r="F230" s="3">
        <f t="shared" si="38"/>
        <v>11826710.417422043</v>
      </c>
      <c r="G230" s="3">
        <f t="shared" si="39"/>
        <v>1294338.1363630265</v>
      </c>
      <c r="H230" s="3">
        <f t="shared" si="36"/>
        <v>198097.39949181923</v>
      </c>
      <c r="I230" s="3">
        <f t="shared" si="40"/>
        <v>1096240.7368712071</v>
      </c>
      <c r="J230" s="3">
        <f t="shared" si="35"/>
        <v>10730469.680550836</v>
      </c>
      <c r="K230" s="24">
        <v>500000</v>
      </c>
      <c r="L230" s="24">
        <f t="shared" si="41"/>
        <v>11149043.227267237</v>
      </c>
    </row>
    <row r="231" spans="2:12" x14ac:dyDescent="0.35">
      <c r="B231" s="1">
        <v>16</v>
      </c>
      <c r="C231" s="22">
        <v>44501</v>
      </c>
      <c r="D231" s="22">
        <v>44530</v>
      </c>
      <c r="E231" s="23">
        <f t="shared" si="34"/>
        <v>30</v>
      </c>
      <c r="F231" s="3">
        <f t="shared" si="38"/>
        <v>10730469.680550836</v>
      </c>
      <c r="G231" s="3">
        <f t="shared" si="39"/>
        <v>1294338.1363630265</v>
      </c>
      <c r="H231" s="3">
        <f t="shared" si="36"/>
        <v>179735.36714922651</v>
      </c>
      <c r="I231" s="3">
        <f t="shared" si="40"/>
        <v>1114602.7692137999</v>
      </c>
      <c r="J231" s="3">
        <f t="shared" si="35"/>
        <v>9615866.9113370366</v>
      </c>
      <c r="K231" s="24">
        <v>0</v>
      </c>
      <c r="L231" s="24">
        <f t="shared" si="41"/>
        <v>12443381.363630263</v>
      </c>
    </row>
    <row r="232" spans="2:12" x14ac:dyDescent="0.35">
      <c r="B232" s="1">
        <v>17</v>
      </c>
      <c r="C232" s="22">
        <v>44531</v>
      </c>
      <c r="D232" s="22">
        <v>44561</v>
      </c>
      <c r="E232" s="23">
        <f t="shared" si="34"/>
        <v>31</v>
      </c>
      <c r="F232" s="3">
        <f t="shared" si="38"/>
        <v>9615866.9113370366</v>
      </c>
      <c r="G232" s="3">
        <f t="shared" si="39"/>
        <v>1294338.1363630265</v>
      </c>
      <c r="H232" s="3">
        <f t="shared" si="36"/>
        <v>161065.77076489537</v>
      </c>
      <c r="I232" s="3">
        <f t="shared" si="40"/>
        <v>1133272.365598131</v>
      </c>
      <c r="J232" s="3">
        <f t="shared" si="35"/>
        <v>8482594.5457389057</v>
      </c>
      <c r="K232" s="24">
        <v>0</v>
      </c>
      <c r="L232" s="24">
        <f t="shared" si="41"/>
        <v>13737719.499993289</v>
      </c>
    </row>
    <row r="233" spans="2:12" x14ac:dyDescent="0.35">
      <c r="B233" s="1">
        <v>18</v>
      </c>
      <c r="C233" s="22">
        <v>44562</v>
      </c>
      <c r="D233" s="22">
        <v>44592</v>
      </c>
      <c r="E233" s="23">
        <f t="shared" si="34"/>
        <v>31</v>
      </c>
      <c r="F233" s="3">
        <f t="shared" si="38"/>
        <v>8482594.5457389057</v>
      </c>
      <c r="G233" s="3">
        <f t="shared" si="39"/>
        <v>1294338.1363630265</v>
      </c>
      <c r="H233" s="3">
        <f t="shared" si="36"/>
        <v>142083.45864112666</v>
      </c>
      <c r="I233" s="3">
        <f t="shared" si="40"/>
        <v>1152254.6777218997</v>
      </c>
      <c r="J233" s="3">
        <f t="shared" si="35"/>
        <v>7330339.8680170057</v>
      </c>
      <c r="K233" s="24">
        <v>0</v>
      </c>
      <c r="L233" s="24">
        <f t="shared" si="41"/>
        <v>15032057.636356315</v>
      </c>
    </row>
    <row r="234" spans="2:12" x14ac:dyDescent="0.35">
      <c r="B234" s="1">
        <v>19</v>
      </c>
      <c r="C234" s="22">
        <v>44593</v>
      </c>
      <c r="D234" s="22">
        <v>44620</v>
      </c>
      <c r="E234" s="23">
        <f t="shared" si="34"/>
        <v>28</v>
      </c>
      <c r="F234" s="3">
        <f t="shared" si="38"/>
        <v>7330339.8680170057</v>
      </c>
      <c r="G234" s="3">
        <f t="shared" si="39"/>
        <v>1294338.1363630265</v>
      </c>
      <c r="H234" s="3">
        <f t="shared" si="36"/>
        <v>122783.19278928485</v>
      </c>
      <c r="I234" s="3">
        <f t="shared" si="40"/>
        <v>1171554.9435737417</v>
      </c>
      <c r="J234" s="3">
        <f t="shared" si="35"/>
        <v>6158784.9244432636</v>
      </c>
      <c r="K234" s="24"/>
      <c r="L234" s="24">
        <f t="shared" si="41"/>
        <v>16326395.77271934</v>
      </c>
    </row>
    <row r="235" spans="2:12" x14ac:dyDescent="0.35">
      <c r="B235" s="1">
        <v>20</v>
      </c>
      <c r="C235" s="22">
        <v>44621</v>
      </c>
      <c r="D235" s="22">
        <v>44651</v>
      </c>
      <c r="E235" s="23">
        <f t="shared" si="34"/>
        <v>31</v>
      </c>
      <c r="F235" s="3">
        <f t="shared" si="38"/>
        <v>6158784.9244432636</v>
      </c>
      <c r="G235" s="3">
        <f t="shared" si="39"/>
        <v>1294338.1363630265</v>
      </c>
      <c r="H235" s="3">
        <f t="shared" si="36"/>
        <v>103159.64748442467</v>
      </c>
      <c r="I235" s="3">
        <f t="shared" si="40"/>
        <v>1191178.4888786017</v>
      </c>
      <c r="J235" s="3">
        <f t="shared" si="35"/>
        <v>4967606.4355646614</v>
      </c>
      <c r="K235" s="24"/>
      <c r="L235" s="24">
        <f t="shared" si="41"/>
        <v>17620733.909082368</v>
      </c>
    </row>
    <row r="236" spans="2:12" x14ac:dyDescent="0.35">
      <c r="B236" s="1">
        <v>21</v>
      </c>
      <c r="C236" s="22">
        <v>44652</v>
      </c>
      <c r="D236" s="22">
        <v>44681</v>
      </c>
      <c r="E236" s="23">
        <f t="shared" si="34"/>
        <v>30</v>
      </c>
      <c r="F236" s="3">
        <f t="shared" si="38"/>
        <v>4967606.4355646614</v>
      </c>
      <c r="G236" s="3">
        <f t="shared" si="39"/>
        <v>1294338.1363630265</v>
      </c>
      <c r="H236" s="3">
        <f t="shared" si="36"/>
        <v>83207.407795708088</v>
      </c>
      <c r="I236" s="3">
        <f t="shared" si="40"/>
        <v>1211130.7285673183</v>
      </c>
      <c r="J236" s="3">
        <f t="shared" si="35"/>
        <v>3756475.7069973433</v>
      </c>
      <c r="K236" s="24"/>
      <c r="L236" s="24">
        <f t="shared" si="41"/>
        <v>18915072.045445394</v>
      </c>
    </row>
    <row r="237" spans="2:12" x14ac:dyDescent="0.35">
      <c r="B237" s="1">
        <v>22</v>
      </c>
      <c r="C237" s="22">
        <v>44682</v>
      </c>
      <c r="D237" s="22">
        <v>44712</v>
      </c>
      <c r="E237" s="23">
        <f t="shared" si="34"/>
        <v>31</v>
      </c>
      <c r="F237" s="3">
        <f t="shared" si="38"/>
        <v>3756475.7069973433</v>
      </c>
      <c r="G237" s="3">
        <f>-PMT($H$207/$H$209,3,$F$237,,0)</f>
        <v>1294549.1364590384</v>
      </c>
      <c r="H237" s="3">
        <f>$H$207/$H$209*F237</f>
        <v>63234.007734455285</v>
      </c>
      <c r="I237" s="3">
        <f t="shared" si="40"/>
        <v>1231315.128724583</v>
      </c>
      <c r="J237" s="3">
        <f t="shared" si="35"/>
        <v>2525160.5782727604</v>
      </c>
      <c r="K237" s="24"/>
      <c r="L237" s="24">
        <f t="shared" si="41"/>
        <v>20209621.181904431</v>
      </c>
    </row>
    <row r="238" spans="2:12" x14ac:dyDescent="0.35">
      <c r="B238" s="1">
        <v>23</v>
      </c>
      <c r="C238" s="22">
        <v>44713</v>
      </c>
      <c r="D238" s="22">
        <v>44742</v>
      </c>
      <c r="E238" s="23">
        <f t="shared" si="34"/>
        <v>30</v>
      </c>
      <c r="F238" s="3">
        <f t="shared" si="38"/>
        <v>2525160.5782727604</v>
      </c>
      <c r="G238" s="3">
        <f>-PMT($H$207/$H$209,3,$F$237,,0)</f>
        <v>1294549.1364590384</v>
      </c>
      <c r="H238" s="3">
        <f>$H$207/$H$209*F238</f>
        <v>42506.869734258136</v>
      </c>
      <c r="I238" s="3">
        <f t="shared" si="40"/>
        <v>1252042.2667247802</v>
      </c>
      <c r="J238" s="3">
        <f t="shared" si="35"/>
        <v>1273118.3115479802</v>
      </c>
      <c r="K238" s="24"/>
      <c r="L238" s="24">
        <f t="shared" si="41"/>
        <v>21504170.318363469</v>
      </c>
    </row>
    <row r="239" spans="2:12" x14ac:dyDescent="0.35">
      <c r="B239" s="1">
        <v>24</v>
      </c>
      <c r="C239" s="22">
        <v>44743</v>
      </c>
      <c r="D239" s="22">
        <v>44773</v>
      </c>
      <c r="E239" s="23">
        <f t="shared" si="34"/>
        <v>31</v>
      </c>
      <c r="F239" s="3">
        <f t="shared" si="38"/>
        <v>1273118.3115479802</v>
      </c>
      <c r="G239" s="3">
        <f>-PMT($H$207/$H$209,3,$F$237,,0)</f>
        <v>1294549.1364590384</v>
      </c>
      <c r="H239" s="3">
        <f>$H$207/$H$209*F239</f>
        <v>21430.824911057669</v>
      </c>
      <c r="I239" s="3">
        <f t="shared" si="40"/>
        <v>1273118.3115479806</v>
      </c>
      <c r="J239" s="3">
        <f t="shared" si="35"/>
        <v>0</v>
      </c>
      <c r="K239" s="24"/>
      <c r="L239" s="27">
        <f t="shared" si="41"/>
        <v>22798719.454822507</v>
      </c>
    </row>
    <row r="240" spans="2:12" x14ac:dyDescent="0.35">
      <c r="B240" s="1"/>
      <c r="C240" s="1"/>
      <c r="D240" s="1"/>
      <c r="E240" s="2"/>
      <c r="F240" s="3"/>
      <c r="G240" s="3"/>
      <c r="H240" s="3"/>
      <c r="I240" s="3"/>
      <c r="J240" s="3"/>
      <c r="K240" s="1"/>
      <c r="L240" s="1"/>
    </row>
    <row r="241" spans="2:19" x14ac:dyDescent="0.35">
      <c r="B241" s="1"/>
      <c r="C241" s="1"/>
      <c r="D241" s="1"/>
      <c r="E241" s="2"/>
      <c r="F241" s="3"/>
      <c r="G241" s="3"/>
      <c r="H241" s="3"/>
      <c r="I241" s="3"/>
      <c r="J241" s="3"/>
      <c r="K241" s="1"/>
      <c r="L241" s="1"/>
    </row>
    <row r="242" spans="2:19" x14ac:dyDescent="0.35">
      <c r="B242" s="1"/>
      <c r="C242" s="1"/>
      <c r="D242" s="1"/>
      <c r="E242" s="2"/>
      <c r="F242" s="3"/>
      <c r="G242" s="3"/>
      <c r="H242" s="3"/>
      <c r="I242" s="3"/>
      <c r="J242" s="3"/>
      <c r="K242" s="1"/>
      <c r="L242" s="1"/>
    </row>
    <row r="244" spans="2:19" x14ac:dyDescent="0.35">
      <c r="B244" s="1"/>
      <c r="C244" s="8" t="s">
        <v>861</v>
      </c>
      <c r="D244" s="3"/>
      <c r="E244" s="3"/>
      <c r="F244" s="3"/>
      <c r="G244" s="3"/>
      <c r="H244" s="3"/>
      <c r="I244" s="3"/>
      <c r="J244" s="231" t="s">
        <v>827</v>
      </c>
      <c r="K244" s="3" t="s">
        <v>828</v>
      </c>
      <c r="L244" s="231" t="s">
        <v>829</v>
      </c>
      <c r="M244" s="231" t="s">
        <v>830</v>
      </c>
      <c r="N244" s="231" t="s">
        <v>831</v>
      </c>
      <c r="R244" s="438" t="s">
        <v>832</v>
      </c>
      <c r="S244" s="432" t="str">
        <f>IFERROR(INDEX(Blocks!$I$2:$I$101,MATCH(4,Blocks!$A$2:$A$101,0)),"")</f>
        <v>000104430000004</v>
      </c>
    </row>
    <row r="245" spans="2:19" x14ac:dyDescent="0.35">
      <c r="B245" s="1"/>
      <c r="C245" s="1"/>
      <c r="D245" s="3">
        <v>1712979.4473424661</v>
      </c>
      <c r="E245" s="3" t="s">
        <v>862</v>
      </c>
      <c r="F245" s="3"/>
      <c r="G245" s="3" t="s">
        <v>863</v>
      </c>
      <c r="H245" s="3"/>
      <c r="I245" s="231">
        <v>44805</v>
      </c>
      <c r="J245" s="231">
        <v>44866</v>
      </c>
      <c r="K245" s="230">
        <v>44896</v>
      </c>
      <c r="L245" s="230">
        <v>45047</v>
      </c>
      <c r="M245" s="230">
        <v>45108</v>
      </c>
      <c r="N245" s="230">
        <v>45139</v>
      </c>
      <c r="R245" s="438" t="s">
        <v>834</v>
      </c>
      <c r="S245" s="432" t="str">
        <f>IFERROR(INDEX(Blocks!$H$2:$H$101,MATCH(4,Blocks!$A$2:$A$101,0)),"")</f>
        <v>COMSIV Limited</v>
      </c>
    </row>
    <row r="246" spans="2:19" x14ac:dyDescent="0.35">
      <c r="B246" s="1"/>
      <c r="C246" s="9" t="s">
        <v>835</v>
      </c>
      <c r="D246" s="10">
        <v>309523514</v>
      </c>
      <c r="E246" s="3"/>
      <c r="F246" s="3"/>
      <c r="G246" s="267" t="s">
        <v>835</v>
      </c>
      <c r="H246" s="10">
        <v>266149993.50999999</v>
      </c>
      <c r="I246" s="231" t="s">
        <v>836</v>
      </c>
      <c r="J246" s="231" t="s">
        <v>836</v>
      </c>
      <c r="K246" s="231" t="s">
        <v>836</v>
      </c>
      <c r="L246" s="231" t="s">
        <v>836</v>
      </c>
      <c r="M246" s="231" t="s">
        <v>836</v>
      </c>
      <c r="N246" s="231" t="s">
        <v>836</v>
      </c>
      <c r="R246" s="438" t="s">
        <v>223</v>
      </c>
      <c r="S246" s="433">
        <f>IFERROR(INDEX('E-Banker master'!$N$2:$N$186,MATCH(S244,'E-Banker master'!$A$2:$A$186,0)),"")</f>
        <v>309523514</v>
      </c>
    </row>
    <row r="247" spans="2:19" x14ac:dyDescent="0.35">
      <c r="B247" s="1"/>
      <c r="C247" s="11" t="s">
        <v>837</v>
      </c>
      <c r="D247" s="12">
        <v>0.20200000000000001</v>
      </c>
      <c r="E247" s="13"/>
      <c r="F247" s="3"/>
      <c r="G247" s="268" t="s">
        <v>837</v>
      </c>
      <c r="H247" s="266">
        <v>0.215</v>
      </c>
      <c r="I247" s="3">
        <f>H247+0.4%</f>
        <v>0.219</v>
      </c>
      <c r="J247" s="3">
        <f>21.9%+2.7%</f>
        <v>0.24599999999999997</v>
      </c>
      <c r="K247" s="13">
        <f>J247+0.7%</f>
        <v>0.25299999999999995</v>
      </c>
      <c r="L247" s="13">
        <f>K247+2.7%</f>
        <v>0.27999999999999997</v>
      </c>
      <c r="M247" s="13">
        <f>L247+1.4%</f>
        <v>0.29399999999999998</v>
      </c>
      <c r="N247" s="13">
        <f>M247+1.3%</f>
        <v>0.307</v>
      </c>
      <c r="R247" s="438" t="s">
        <v>52</v>
      </c>
      <c r="S247" s="433">
        <f>IFERROR(INDEX('E-Banker master'!$P$2:$P$186,MATCH(S244,'E-Banker master'!$A$2:$A$186,0)),"")</f>
        <v>8318966.4900000002</v>
      </c>
    </row>
    <row r="248" spans="2:19" x14ac:dyDescent="0.35">
      <c r="B248" s="1"/>
      <c r="C248" s="11" t="s">
        <v>838</v>
      </c>
      <c r="D248" s="14">
        <v>2</v>
      </c>
      <c r="E248" s="1"/>
      <c r="F248" s="3"/>
      <c r="G248" s="268" t="s">
        <v>838</v>
      </c>
      <c r="H248" s="266">
        <v>2</v>
      </c>
      <c r="I248" s="3"/>
      <c r="J248" s="3"/>
      <c r="K248" s="1"/>
      <c r="L248" s="1"/>
    </row>
    <row r="249" spans="2:19" x14ac:dyDescent="0.35">
      <c r="B249" s="1"/>
      <c r="C249" s="11" t="s">
        <v>839</v>
      </c>
      <c r="D249" s="14">
        <v>12</v>
      </c>
      <c r="E249" s="1"/>
      <c r="F249" s="3"/>
      <c r="G249" s="268" t="s">
        <v>839</v>
      </c>
      <c r="H249" s="266">
        <v>12</v>
      </c>
      <c r="I249" s="3"/>
      <c r="J249" s="3"/>
      <c r="K249" s="1"/>
      <c r="L249" s="1"/>
    </row>
    <row r="250" spans="2:19" x14ac:dyDescent="0.35">
      <c r="B250" s="1"/>
      <c r="C250" s="11" t="s">
        <v>843</v>
      </c>
      <c r="D250" s="15">
        <f>D248*D249</f>
        <v>24</v>
      </c>
      <c r="E250" s="1"/>
      <c r="F250" s="3"/>
      <c r="G250" s="268" t="s">
        <v>843</v>
      </c>
      <c r="H250" s="266">
        <v>20</v>
      </c>
      <c r="I250" s="3"/>
      <c r="J250" s="3"/>
      <c r="K250" s="1"/>
      <c r="L250" s="1"/>
    </row>
    <row r="251" spans="2:19" x14ac:dyDescent="0.35">
      <c r="B251" s="1"/>
      <c r="C251" s="11" t="s">
        <v>844</v>
      </c>
      <c r="D251" s="16">
        <v>365</v>
      </c>
      <c r="E251" s="1"/>
      <c r="F251" s="3"/>
      <c r="G251" s="268" t="s">
        <v>844</v>
      </c>
      <c r="H251" s="266">
        <v>365</v>
      </c>
      <c r="I251" s="3"/>
      <c r="J251" s="3"/>
      <c r="K251" s="1"/>
      <c r="L251" s="1"/>
    </row>
    <row r="252" spans="2:19" x14ac:dyDescent="0.35">
      <c r="B252" s="1"/>
      <c r="C252" s="17" t="s">
        <v>845</v>
      </c>
      <c r="D252" s="18">
        <f>-PMT(D247/D249,D250,D246,0,0)</f>
        <v>15783705.732090669</v>
      </c>
      <c r="E252" s="3"/>
      <c r="F252" s="3"/>
      <c r="G252" s="269" t="s">
        <v>845</v>
      </c>
      <c r="H252" s="18">
        <f>-PMT(H247/H249,H250,H246,0,0)</f>
        <v>15951457.158175917</v>
      </c>
      <c r="I252" s="3"/>
      <c r="J252" s="3"/>
      <c r="K252" s="1"/>
      <c r="L252" s="1"/>
    </row>
    <row r="253" spans="2:19" x14ac:dyDescent="0.35">
      <c r="B253" s="1"/>
      <c r="C253" s="1"/>
      <c r="D253" s="3"/>
      <c r="E253" s="3"/>
      <c r="F253" s="3"/>
      <c r="G253" s="3"/>
      <c r="H253" s="3"/>
      <c r="I253" s="3"/>
      <c r="J253" s="3"/>
      <c r="K253" s="1"/>
      <c r="L253" s="1"/>
    </row>
    <row r="254" spans="2:19" x14ac:dyDescent="0.35">
      <c r="B254" s="1"/>
      <c r="C254" s="19" t="s">
        <v>846</v>
      </c>
      <c r="D254" s="20" t="s">
        <v>847</v>
      </c>
      <c r="E254" s="20" t="s">
        <v>764</v>
      </c>
      <c r="F254" s="270" t="s">
        <v>848</v>
      </c>
      <c r="G254" s="270" t="s">
        <v>849</v>
      </c>
      <c r="H254" s="270" t="s">
        <v>742</v>
      </c>
      <c r="I254" s="270" t="s">
        <v>740</v>
      </c>
      <c r="J254" s="270" t="s">
        <v>850</v>
      </c>
      <c r="K254" s="21" t="s">
        <v>851</v>
      </c>
      <c r="L254" s="21" t="s">
        <v>852</v>
      </c>
    </row>
    <row r="255" spans="2:19" x14ac:dyDescent="0.35">
      <c r="B255" s="1">
        <v>1</v>
      </c>
      <c r="C255" s="22">
        <v>44562</v>
      </c>
      <c r="D255" s="22">
        <v>44592</v>
      </c>
      <c r="E255" s="23">
        <f t="shared" ref="E255:E278" si="42">D255-C255+1</f>
        <v>31</v>
      </c>
      <c r="F255" s="3">
        <f>D246</f>
        <v>309523514</v>
      </c>
      <c r="G255" s="3">
        <f>-PMT($D$247/$D$249,24,$D$246,,0)</f>
        <v>15783705.732090669</v>
      </c>
      <c r="H255" s="3">
        <f>$D$247/D249*F255</f>
        <v>5210312.4856666671</v>
      </c>
      <c r="I255" s="3">
        <f t="shared" ref="I255:I278" si="43">G255-H255</f>
        <v>10573393.246424001</v>
      </c>
      <c r="J255" s="3">
        <f t="shared" ref="J255:J278" si="44">F255-I255</f>
        <v>298950120.75357598</v>
      </c>
      <c r="K255" s="24"/>
      <c r="L255" s="24"/>
    </row>
    <row r="256" spans="2:19" x14ac:dyDescent="0.35">
      <c r="B256" s="1">
        <v>2</v>
      </c>
      <c r="C256" s="22">
        <v>44593</v>
      </c>
      <c r="D256" s="22">
        <v>44620</v>
      </c>
      <c r="E256" s="23">
        <f t="shared" si="42"/>
        <v>28</v>
      </c>
      <c r="F256" s="3">
        <f>J255</f>
        <v>298950120.75357598</v>
      </c>
      <c r="G256" s="3">
        <f>-PMT($D$247/$D$249,24,$D$246,,0)</f>
        <v>15783705.732090669</v>
      </c>
      <c r="H256" s="3">
        <f>$D$247*F256/12</f>
        <v>5032327.032685196</v>
      </c>
      <c r="I256" s="3">
        <f t="shared" si="43"/>
        <v>10751378.699405473</v>
      </c>
      <c r="J256" s="3">
        <f t="shared" si="44"/>
        <v>288198742.05417049</v>
      </c>
      <c r="K256" s="24"/>
      <c r="L256" s="24"/>
    </row>
    <row r="257" spans="2:15" x14ac:dyDescent="0.35">
      <c r="B257" s="1">
        <v>3</v>
      </c>
      <c r="C257" s="22">
        <v>44621</v>
      </c>
      <c r="D257" s="22">
        <v>44651</v>
      </c>
      <c r="E257" s="23">
        <f t="shared" si="42"/>
        <v>31</v>
      </c>
      <c r="F257" s="3">
        <f>J256</f>
        <v>288198742.05417049</v>
      </c>
      <c r="G257" s="3">
        <f>-PMT($D$247/$D$249,24,$D$246,,0)</f>
        <v>15783705.732090669</v>
      </c>
      <c r="H257" s="3">
        <f>$D$247*F257/12</f>
        <v>4851345.4912452037</v>
      </c>
      <c r="I257" s="3">
        <f t="shared" si="43"/>
        <v>10932360.240845464</v>
      </c>
      <c r="J257" s="3">
        <f t="shared" si="44"/>
        <v>277266381.81332505</v>
      </c>
      <c r="K257" s="24"/>
      <c r="L257" s="24"/>
    </row>
    <row r="258" spans="2:15" x14ac:dyDescent="0.35">
      <c r="B258" s="1">
        <v>4</v>
      </c>
      <c r="C258" s="22">
        <v>44652</v>
      </c>
      <c r="D258" s="22">
        <v>44681</v>
      </c>
      <c r="E258" s="23">
        <f t="shared" si="42"/>
        <v>30</v>
      </c>
      <c r="F258" s="3">
        <f>J257</f>
        <v>277266381.81332505</v>
      </c>
      <c r="G258" s="3">
        <f>-PMT($D$247/$D$249,24,$D$246,,0)</f>
        <v>15783705.732090669</v>
      </c>
      <c r="H258" s="3">
        <f>$D$247*F258/12</f>
        <v>4667317.4271909716</v>
      </c>
      <c r="I258" s="3">
        <f t="shared" si="43"/>
        <v>11116388.304899696</v>
      </c>
      <c r="J258" s="3">
        <f t="shared" si="44"/>
        <v>266149993.50842535</v>
      </c>
      <c r="K258" s="24"/>
      <c r="L258" s="24"/>
    </row>
    <row r="259" spans="2:15" x14ac:dyDescent="0.35">
      <c r="B259" s="1">
        <v>5</v>
      </c>
      <c r="C259" s="22">
        <v>44682</v>
      </c>
      <c r="D259" s="22">
        <v>44712</v>
      </c>
      <c r="E259" s="23">
        <f t="shared" si="42"/>
        <v>31</v>
      </c>
      <c r="F259" s="3">
        <f>J258</f>
        <v>266149993.50842535</v>
      </c>
      <c r="G259" s="3">
        <f>-PMT($H$247/$D$249,20,$F$259,,0)</f>
        <v>15951457.158081543</v>
      </c>
      <c r="H259" s="3">
        <f>$H$247*F259/12</f>
        <v>4768520.7170259543</v>
      </c>
      <c r="I259" s="3">
        <f t="shared" si="43"/>
        <v>11182936.441055588</v>
      </c>
      <c r="J259" s="3">
        <f t="shared" si="44"/>
        <v>254967057.06736976</v>
      </c>
      <c r="K259" s="24"/>
      <c r="L259" s="24"/>
    </row>
    <row r="260" spans="2:15" x14ac:dyDescent="0.35">
      <c r="B260" s="1">
        <v>6</v>
      </c>
      <c r="C260" s="22">
        <v>44713</v>
      </c>
      <c r="D260" s="22">
        <v>44742</v>
      </c>
      <c r="E260" s="23">
        <f t="shared" si="42"/>
        <v>30</v>
      </c>
      <c r="F260" s="3">
        <f>J259</f>
        <v>254967057.06736976</v>
      </c>
      <c r="G260" s="3">
        <f>-PMT($H$247/$D$249,20,$F$259,,0)</f>
        <v>15951457.158081543</v>
      </c>
      <c r="H260" s="3">
        <f>$H$247*F260/12</f>
        <v>4568159.7724570418</v>
      </c>
      <c r="I260" s="3">
        <f t="shared" si="43"/>
        <v>11383297.385624502</v>
      </c>
      <c r="J260" s="3">
        <f t="shared" si="44"/>
        <v>243583759.68174526</v>
      </c>
      <c r="K260" s="24">
        <v>334121496</v>
      </c>
      <c r="L260" s="24">
        <f>SUM(G255:G260)+D245+J260-K260</f>
        <v>6212980.3736134768</v>
      </c>
      <c r="N260" s="7"/>
    </row>
    <row r="261" spans="2:15" x14ac:dyDescent="0.35">
      <c r="B261" s="1">
        <v>7</v>
      </c>
      <c r="C261" s="22">
        <v>44743</v>
      </c>
      <c r="D261" s="22">
        <v>44773</v>
      </c>
      <c r="E261" s="23">
        <f t="shared" si="42"/>
        <v>31</v>
      </c>
      <c r="F261" s="3">
        <v>6212980.3700000001</v>
      </c>
      <c r="G261" s="3">
        <v>0</v>
      </c>
      <c r="H261" s="3">
        <f>$H$247*F261/12</f>
        <v>111315.89829583334</v>
      </c>
      <c r="I261" s="3">
        <f t="shared" si="43"/>
        <v>-111315.89829583334</v>
      </c>
      <c r="J261" s="3">
        <f t="shared" si="44"/>
        <v>6324296.2682958338</v>
      </c>
      <c r="K261" s="24"/>
      <c r="L261" s="24"/>
    </row>
    <row r="262" spans="2:15" x14ac:dyDescent="0.35">
      <c r="B262" s="1">
        <v>8</v>
      </c>
      <c r="C262" s="22">
        <v>44774</v>
      </c>
      <c r="D262" s="22">
        <v>44804</v>
      </c>
      <c r="E262" s="23">
        <f t="shared" si="42"/>
        <v>31</v>
      </c>
      <c r="F262" s="3">
        <f t="shared" ref="F262:F278" si="45">J261</f>
        <v>6324296.2682958338</v>
      </c>
      <c r="G262" s="3">
        <v>0</v>
      </c>
      <c r="H262" s="3">
        <f>$H$247*F262/12</f>
        <v>113310.30814030035</v>
      </c>
      <c r="I262" s="3">
        <f t="shared" si="43"/>
        <v>-113310.30814030035</v>
      </c>
      <c r="J262" s="3">
        <f t="shared" si="44"/>
        <v>6437606.5764361341</v>
      </c>
      <c r="K262" s="24"/>
      <c r="L262" s="24"/>
    </row>
    <row r="263" spans="2:15" x14ac:dyDescent="0.35">
      <c r="B263" s="1">
        <v>9</v>
      </c>
      <c r="C263" s="22">
        <v>44805</v>
      </c>
      <c r="D263" s="22">
        <v>44834</v>
      </c>
      <c r="E263" s="23">
        <f t="shared" si="42"/>
        <v>30</v>
      </c>
      <c r="F263" s="3">
        <f t="shared" si="45"/>
        <v>6437606.5764361341</v>
      </c>
      <c r="G263" s="3">
        <v>0</v>
      </c>
      <c r="H263" s="3">
        <f>$I$247*F263/12</f>
        <v>117486.32001995946</v>
      </c>
      <c r="I263" s="3">
        <f t="shared" si="43"/>
        <v>-117486.32001995946</v>
      </c>
      <c r="J263" s="3">
        <f t="shared" si="44"/>
        <v>6555092.8964560935</v>
      </c>
      <c r="K263" s="24"/>
      <c r="L263" s="24"/>
    </row>
    <row r="264" spans="2:15" x14ac:dyDescent="0.35">
      <c r="B264" s="1">
        <v>10</v>
      </c>
      <c r="C264" s="22">
        <v>44835</v>
      </c>
      <c r="D264" s="22">
        <v>44865</v>
      </c>
      <c r="E264" s="23">
        <f t="shared" si="42"/>
        <v>31</v>
      </c>
      <c r="F264" s="3">
        <f t="shared" si="45"/>
        <v>6555092.8964560935</v>
      </c>
      <c r="G264" s="3">
        <v>0</v>
      </c>
      <c r="H264" s="3">
        <f>$I$247*F264/12</f>
        <v>119630.44536032371</v>
      </c>
      <c r="I264" s="3">
        <f t="shared" si="43"/>
        <v>-119630.44536032371</v>
      </c>
      <c r="J264" s="3">
        <f t="shared" si="44"/>
        <v>6674723.3418164169</v>
      </c>
      <c r="K264" s="24"/>
      <c r="L264" s="24"/>
      <c r="O264" s="32"/>
    </row>
    <row r="265" spans="2:15" x14ac:dyDescent="0.35">
      <c r="B265" s="1">
        <v>11</v>
      </c>
      <c r="C265" s="22">
        <v>44866</v>
      </c>
      <c r="D265" s="22">
        <v>44895</v>
      </c>
      <c r="E265" s="23">
        <f t="shared" si="42"/>
        <v>30</v>
      </c>
      <c r="F265" s="3">
        <f t="shared" si="45"/>
        <v>6674723.3418164169</v>
      </c>
      <c r="G265" s="3">
        <v>0</v>
      </c>
      <c r="H265" s="3">
        <f>$J$247*F265/12</f>
        <v>136831.82850723653</v>
      </c>
      <c r="I265" s="3">
        <f t="shared" si="43"/>
        <v>-136831.82850723653</v>
      </c>
      <c r="J265" s="3">
        <f t="shared" si="44"/>
        <v>6811555.1703236531</v>
      </c>
      <c r="K265" s="24"/>
      <c r="L265" s="24"/>
    </row>
    <row r="266" spans="2:15" x14ac:dyDescent="0.35">
      <c r="B266" s="1">
        <v>12</v>
      </c>
      <c r="C266" s="22">
        <v>44896</v>
      </c>
      <c r="D266" s="22">
        <v>44926</v>
      </c>
      <c r="E266" s="23">
        <f t="shared" si="42"/>
        <v>31</v>
      </c>
      <c r="F266" s="3">
        <f t="shared" si="45"/>
        <v>6811555.1703236531</v>
      </c>
      <c r="G266" s="3">
        <v>0</v>
      </c>
      <c r="H266" s="3">
        <f>$K$247*F266/12</f>
        <v>143610.28817432365</v>
      </c>
      <c r="I266" s="3">
        <f t="shared" si="43"/>
        <v>-143610.28817432365</v>
      </c>
      <c r="J266" s="3">
        <f t="shared" si="44"/>
        <v>6955165.4584979769</v>
      </c>
      <c r="K266" s="24"/>
      <c r="L266" s="26"/>
    </row>
    <row r="267" spans="2:15" x14ac:dyDescent="0.35">
      <c r="B267" s="1">
        <v>13</v>
      </c>
      <c r="C267" s="22">
        <v>44927</v>
      </c>
      <c r="D267" s="22">
        <v>44957</v>
      </c>
      <c r="E267" s="23">
        <f t="shared" si="42"/>
        <v>31</v>
      </c>
      <c r="F267" s="3">
        <f t="shared" si="45"/>
        <v>6955165.4584979769</v>
      </c>
      <c r="G267" s="3">
        <v>0</v>
      </c>
      <c r="H267" s="3">
        <f>$K$247*F267/12</f>
        <v>146638.07174999898</v>
      </c>
      <c r="I267" s="3">
        <f t="shared" si="43"/>
        <v>-146638.07174999898</v>
      </c>
      <c r="J267" s="3">
        <f t="shared" si="44"/>
        <v>7101803.5302479761</v>
      </c>
      <c r="K267" s="24"/>
      <c r="L267" s="143"/>
      <c r="M267" s="144"/>
    </row>
    <row r="268" spans="2:15" x14ac:dyDescent="0.35">
      <c r="B268" s="1">
        <v>14</v>
      </c>
      <c r="C268" s="22">
        <v>44958</v>
      </c>
      <c r="D268" s="22">
        <v>44985</v>
      </c>
      <c r="E268" s="23">
        <f t="shared" si="42"/>
        <v>28</v>
      </c>
      <c r="F268" s="3">
        <f t="shared" si="45"/>
        <v>7101803.5302479761</v>
      </c>
      <c r="G268" s="3">
        <v>0</v>
      </c>
      <c r="H268" s="3">
        <f>$K$247*F268/12</f>
        <v>149729.69109606146</v>
      </c>
      <c r="I268" s="3">
        <f t="shared" si="43"/>
        <v>-149729.69109606146</v>
      </c>
      <c r="J268" s="3">
        <f t="shared" si="44"/>
        <v>7251533.2213440379</v>
      </c>
      <c r="K268" s="24"/>
      <c r="L268" s="143"/>
      <c r="M268" s="144"/>
    </row>
    <row r="269" spans="2:15" x14ac:dyDescent="0.35">
      <c r="B269" s="1">
        <v>15</v>
      </c>
      <c r="C269" s="22">
        <v>44986</v>
      </c>
      <c r="D269" s="22">
        <v>45016</v>
      </c>
      <c r="E269" s="23">
        <f t="shared" si="42"/>
        <v>31</v>
      </c>
      <c r="F269" s="3">
        <f t="shared" si="45"/>
        <v>7251533.2213440379</v>
      </c>
      <c r="G269" s="3">
        <v>0</v>
      </c>
      <c r="H269" s="3">
        <f>$K$247*F269/12</f>
        <v>152886.49208333678</v>
      </c>
      <c r="I269" s="3">
        <f t="shared" si="43"/>
        <v>-152886.49208333678</v>
      </c>
      <c r="J269" s="3">
        <f t="shared" si="44"/>
        <v>7404419.7134273751</v>
      </c>
      <c r="K269" s="24"/>
      <c r="L269" s="143"/>
      <c r="M269" s="144"/>
    </row>
    <row r="270" spans="2:15" x14ac:dyDescent="0.35">
      <c r="B270" s="1">
        <v>16</v>
      </c>
      <c r="C270" s="22">
        <v>45017</v>
      </c>
      <c r="D270" s="22">
        <v>45046</v>
      </c>
      <c r="E270" s="23">
        <f t="shared" si="42"/>
        <v>30</v>
      </c>
      <c r="F270" s="3">
        <f t="shared" si="45"/>
        <v>7404419.7134273751</v>
      </c>
      <c r="G270" s="3">
        <v>0</v>
      </c>
      <c r="H270" s="3">
        <f>$K$247*F270/12</f>
        <v>156109.84895809379</v>
      </c>
      <c r="I270" s="3">
        <f t="shared" si="43"/>
        <v>-156109.84895809379</v>
      </c>
      <c r="J270" s="3">
        <f t="shared" si="44"/>
        <v>7560529.5623854687</v>
      </c>
      <c r="K270" s="24"/>
      <c r="L270" s="143"/>
      <c r="M270" s="144"/>
    </row>
    <row r="271" spans="2:15" x14ac:dyDescent="0.35">
      <c r="B271" s="1">
        <v>17</v>
      </c>
      <c r="C271" s="22">
        <v>45047</v>
      </c>
      <c r="D271" s="22">
        <v>45077</v>
      </c>
      <c r="E271" s="23">
        <f t="shared" si="42"/>
        <v>31</v>
      </c>
      <c r="F271" s="3">
        <f t="shared" si="45"/>
        <v>7560529.5623854687</v>
      </c>
      <c r="G271" s="3">
        <v>0</v>
      </c>
      <c r="H271" s="3">
        <f>$L$247*F271/12</f>
        <v>176412.35645566092</v>
      </c>
      <c r="I271" s="3">
        <f t="shared" si="43"/>
        <v>-176412.35645566092</v>
      </c>
      <c r="J271" s="3">
        <f t="shared" si="44"/>
        <v>7736941.9188411301</v>
      </c>
      <c r="K271" s="24"/>
      <c r="L271" s="143"/>
      <c r="M271" s="144"/>
    </row>
    <row r="272" spans="2:15" x14ac:dyDescent="0.35">
      <c r="B272" s="1">
        <v>18</v>
      </c>
      <c r="C272" s="22">
        <v>45078</v>
      </c>
      <c r="D272" s="22">
        <v>45107</v>
      </c>
      <c r="E272" s="23">
        <f t="shared" si="42"/>
        <v>30</v>
      </c>
      <c r="F272" s="3">
        <f t="shared" si="45"/>
        <v>7736941.9188411301</v>
      </c>
      <c r="G272" s="3">
        <v>0</v>
      </c>
      <c r="H272" s="3">
        <f>$L$247*F272/12</f>
        <v>180528.64477295967</v>
      </c>
      <c r="I272" s="3">
        <f t="shared" si="43"/>
        <v>-180528.64477295967</v>
      </c>
      <c r="J272" s="3">
        <f t="shared" si="44"/>
        <v>7917470.56361409</v>
      </c>
      <c r="K272" s="24"/>
      <c r="L272" s="143"/>
      <c r="M272" s="144"/>
    </row>
    <row r="273" spans="2:19" x14ac:dyDescent="0.35">
      <c r="B273" s="1">
        <v>19</v>
      </c>
      <c r="C273" s="22">
        <v>45108</v>
      </c>
      <c r="D273" s="22">
        <v>45138</v>
      </c>
      <c r="E273" s="23">
        <f t="shared" si="42"/>
        <v>31</v>
      </c>
      <c r="F273" s="3">
        <f t="shared" si="45"/>
        <v>7917470.56361409</v>
      </c>
      <c r="G273" s="3">
        <v>0</v>
      </c>
      <c r="H273" s="3">
        <f>$M$247*F273/12</f>
        <v>193978.0288085452</v>
      </c>
      <c r="I273" s="3">
        <f t="shared" si="43"/>
        <v>-193978.0288085452</v>
      </c>
      <c r="J273" s="3">
        <f t="shared" si="44"/>
        <v>8111448.5924226353</v>
      </c>
      <c r="K273" s="24"/>
      <c r="L273" s="143"/>
      <c r="M273" s="144"/>
    </row>
    <row r="274" spans="2:19" x14ac:dyDescent="0.35">
      <c r="B274" s="1">
        <v>20</v>
      </c>
      <c r="C274" s="22">
        <v>45139</v>
      </c>
      <c r="D274" s="22">
        <v>45169</v>
      </c>
      <c r="E274" s="23">
        <f t="shared" si="42"/>
        <v>31</v>
      </c>
      <c r="F274" s="3">
        <f t="shared" si="45"/>
        <v>8111448.5924226353</v>
      </c>
      <c r="G274" s="3">
        <v>0</v>
      </c>
      <c r="H274" s="3">
        <f>$N$247*F274/12</f>
        <v>207517.89315614573</v>
      </c>
      <c r="I274" s="3">
        <f t="shared" si="43"/>
        <v>-207517.89315614573</v>
      </c>
      <c r="J274" s="3">
        <f t="shared" si="44"/>
        <v>8318966.485578781</v>
      </c>
      <c r="K274" s="24"/>
      <c r="L274" s="143"/>
      <c r="M274" s="144"/>
    </row>
    <row r="275" spans="2:19" x14ac:dyDescent="0.35">
      <c r="B275" s="1">
        <v>21</v>
      </c>
      <c r="C275" s="22">
        <v>45170</v>
      </c>
      <c r="D275" s="22">
        <v>45199</v>
      </c>
      <c r="E275" s="23">
        <f t="shared" si="42"/>
        <v>30</v>
      </c>
      <c r="F275" s="3">
        <f t="shared" si="45"/>
        <v>8318966.485578781</v>
      </c>
      <c r="G275" s="3">
        <v>0</v>
      </c>
      <c r="H275" s="3">
        <f>$N$247*F275/12</f>
        <v>212826.89258939048</v>
      </c>
      <c r="I275" s="3">
        <f t="shared" si="43"/>
        <v>-212826.89258939048</v>
      </c>
      <c r="J275" s="3">
        <f t="shared" si="44"/>
        <v>8531793.3781681713</v>
      </c>
      <c r="K275" s="24"/>
      <c r="L275" s="143"/>
      <c r="M275" s="144"/>
    </row>
    <row r="276" spans="2:19" x14ac:dyDescent="0.35">
      <c r="B276" s="1">
        <v>22</v>
      </c>
      <c r="C276" s="22">
        <v>45200</v>
      </c>
      <c r="D276" s="22">
        <v>45230</v>
      </c>
      <c r="E276" s="23">
        <f t="shared" si="42"/>
        <v>31</v>
      </c>
      <c r="F276" s="3">
        <f t="shared" si="45"/>
        <v>8531793.3781681713</v>
      </c>
      <c r="G276" s="3">
        <v>0</v>
      </c>
      <c r="H276" s="3">
        <f>$N$247*F276/12</f>
        <v>218271.71392480237</v>
      </c>
      <c r="I276" s="3">
        <f t="shared" si="43"/>
        <v>-218271.71392480237</v>
      </c>
      <c r="J276" s="3">
        <f t="shared" si="44"/>
        <v>8750065.0920929741</v>
      </c>
      <c r="K276" s="24"/>
      <c r="L276" s="143"/>
      <c r="M276" s="144"/>
    </row>
    <row r="277" spans="2:19" x14ac:dyDescent="0.35">
      <c r="B277" s="1">
        <v>23</v>
      </c>
      <c r="C277" s="22">
        <v>45231</v>
      </c>
      <c r="D277" s="22">
        <v>45260</v>
      </c>
      <c r="E277" s="23">
        <f t="shared" si="42"/>
        <v>30</v>
      </c>
      <c r="F277" s="3">
        <f t="shared" si="45"/>
        <v>8750065.0920929741</v>
      </c>
      <c r="G277" s="3">
        <v>0</v>
      </c>
      <c r="H277" s="3">
        <f>$N$247*F277/12</f>
        <v>223855.83193937861</v>
      </c>
      <c r="I277" s="3">
        <f t="shared" si="43"/>
        <v>-223855.83193937861</v>
      </c>
      <c r="J277" s="3">
        <f t="shared" si="44"/>
        <v>8973920.9240323529</v>
      </c>
      <c r="K277" s="24"/>
      <c r="L277" s="143"/>
      <c r="M277" s="144"/>
    </row>
    <row r="278" spans="2:19" x14ac:dyDescent="0.35">
      <c r="B278" s="1">
        <v>24</v>
      </c>
      <c r="C278" s="22">
        <v>45261</v>
      </c>
      <c r="D278" s="22">
        <v>45291</v>
      </c>
      <c r="E278" s="23">
        <f t="shared" si="42"/>
        <v>31</v>
      </c>
      <c r="F278" s="3">
        <f t="shared" si="45"/>
        <v>8973920.9240323529</v>
      </c>
      <c r="G278" s="3">
        <v>0</v>
      </c>
      <c r="H278" s="3">
        <f>$N$247*F278/12</f>
        <v>229582.81030649436</v>
      </c>
      <c r="I278" s="3">
        <f t="shared" si="43"/>
        <v>-229582.81030649436</v>
      </c>
      <c r="J278" s="3">
        <f t="shared" si="44"/>
        <v>9203503.7343388479</v>
      </c>
      <c r="K278" s="24"/>
      <c r="L278" s="143"/>
      <c r="M278" s="144"/>
    </row>
    <row r="279" spans="2:19" x14ac:dyDescent="0.35">
      <c r="B279" s="1"/>
      <c r="C279" s="22"/>
      <c r="D279" s="22"/>
      <c r="E279" s="23"/>
      <c r="F279" s="3"/>
      <c r="G279" s="3"/>
      <c r="H279" s="3"/>
      <c r="I279" s="3"/>
      <c r="J279" s="3"/>
      <c r="K279" s="24"/>
      <c r="L279" s="143"/>
      <c r="M279" s="144"/>
    </row>
    <row r="280" spans="2:19" x14ac:dyDescent="0.35">
      <c r="B280" s="1"/>
      <c r="C280" s="1"/>
      <c r="D280" s="1"/>
      <c r="E280" s="28">
        <f>SUM(E255:E267)</f>
        <v>396</v>
      </c>
      <c r="F280" s="3"/>
      <c r="G280" s="3"/>
      <c r="H280" s="3"/>
      <c r="I280" s="3"/>
      <c r="J280" s="3"/>
      <c r="K280" s="1"/>
      <c r="L280" s="1"/>
    </row>
    <row r="282" spans="2:19" x14ac:dyDescent="0.35">
      <c r="B282" s="1"/>
      <c r="C282" s="8" t="s">
        <v>864</v>
      </c>
      <c r="D282" s="3"/>
      <c r="E282" s="13">
        <f>+D285-12.2%</f>
        <v>6.1499999999999999E-2</v>
      </c>
      <c r="F282" s="3"/>
      <c r="G282" s="3"/>
      <c r="H282" s="3"/>
      <c r="I282" s="231" t="s">
        <v>827</v>
      </c>
      <c r="J282" s="3" t="s">
        <v>828</v>
      </c>
      <c r="K282" s="231" t="s">
        <v>829</v>
      </c>
      <c r="L282" s="231" t="s">
        <v>830</v>
      </c>
      <c r="M282" s="231" t="s">
        <v>831</v>
      </c>
      <c r="R282" s="438" t="s">
        <v>832</v>
      </c>
      <c r="S282" s="432" t="str">
        <f>IFERROR(INDEX(Blocks!$I$2:$I$101,MATCH(5,Blocks!$A$2:$A$101,0)),"")</f>
        <v>000104420000005</v>
      </c>
    </row>
    <row r="283" spans="2:19" ht="14.5" customHeight="1" x14ac:dyDescent="0.35">
      <c r="B283" s="1"/>
      <c r="C283" s="1"/>
      <c r="D283" s="30" t="s">
        <v>833</v>
      </c>
      <c r="E283" s="3"/>
      <c r="F283" s="3" t="s">
        <v>863</v>
      </c>
      <c r="G283" s="3"/>
      <c r="H283" s="230">
        <v>44805</v>
      </c>
      <c r="I283" s="231">
        <v>44866</v>
      </c>
      <c r="J283" s="230">
        <v>44896</v>
      </c>
      <c r="K283" s="230">
        <v>45047</v>
      </c>
      <c r="L283" s="230">
        <v>45108</v>
      </c>
      <c r="M283" s="230">
        <v>45139</v>
      </c>
      <c r="R283" s="438" t="s">
        <v>834</v>
      </c>
      <c r="S283" s="432" t="str">
        <f>IFERROR(INDEX(Blocks!$H$2:$H$101,MATCH(5,Blocks!$A$2:$A$101,0)),"")</f>
        <v>MUSECO</v>
      </c>
    </row>
    <row r="284" spans="2:19" ht="14.5" customHeight="1" x14ac:dyDescent="0.35">
      <c r="B284" s="1"/>
      <c r="C284" s="9" t="s">
        <v>835</v>
      </c>
      <c r="D284" s="10">
        <v>405097989.86827958</v>
      </c>
      <c r="E284" s="3"/>
      <c r="F284" s="267" t="s">
        <v>835</v>
      </c>
      <c r="G284" s="10">
        <v>365193481.77751422</v>
      </c>
      <c r="H284" s="231" t="s">
        <v>836</v>
      </c>
      <c r="I284" s="231" t="s">
        <v>836</v>
      </c>
      <c r="J284" s="231" t="s">
        <v>836</v>
      </c>
      <c r="K284" s="231" t="s">
        <v>836</v>
      </c>
      <c r="L284" s="231" t="s">
        <v>836</v>
      </c>
      <c r="M284" s="231" t="s">
        <v>836</v>
      </c>
      <c r="R284" s="438" t="s">
        <v>223</v>
      </c>
      <c r="S284" s="433">
        <f>IFERROR(INDEX('E-Banker master'!$N$2:$N$186,MATCH(S282,'E-Banker master'!$A$2:$A$186,0)),"")</f>
        <v>405097989.86000001</v>
      </c>
    </row>
    <row r="285" spans="2:19" ht="14.5" customHeight="1" x14ac:dyDescent="0.35">
      <c r="B285" s="1"/>
      <c r="C285" s="11" t="s">
        <v>837</v>
      </c>
      <c r="D285" s="12">
        <v>0.1835</v>
      </c>
      <c r="E285" s="13"/>
      <c r="F285" s="268" t="s">
        <v>837</v>
      </c>
      <c r="G285" s="266">
        <v>0.20549999999999999</v>
      </c>
      <c r="H285" s="13">
        <v>0.20949999999999999</v>
      </c>
      <c r="I285" s="3">
        <f>20.95%+2.7%</f>
        <v>0.23649999999999999</v>
      </c>
      <c r="J285" s="13">
        <f>I285+0.7%</f>
        <v>0.24349999999999999</v>
      </c>
      <c r="K285" s="13">
        <f>J285+2.7%</f>
        <v>0.27050000000000002</v>
      </c>
      <c r="L285" s="13">
        <f>K285+1.4%</f>
        <v>0.28450000000000003</v>
      </c>
      <c r="M285" s="13">
        <f>L285+1.3%</f>
        <v>0.29750000000000004</v>
      </c>
      <c r="R285" s="438" t="s">
        <v>52</v>
      </c>
      <c r="S285" s="433">
        <f>IFERROR(INDEX('E-Banker master'!$P$2:$P$186,MATCH(S282,'E-Banker master'!$A$2:$A$186,0)),"")</f>
        <v>399243507.06999999</v>
      </c>
    </row>
    <row r="286" spans="2:19" ht="14.5" customHeight="1" x14ac:dyDescent="0.35">
      <c r="B286" s="1"/>
      <c r="C286" s="11" t="s">
        <v>838</v>
      </c>
      <c r="D286" s="14">
        <v>5</v>
      </c>
      <c r="E286" s="1"/>
      <c r="F286" s="268" t="s">
        <v>838</v>
      </c>
      <c r="G286" s="266">
        <v>3.75</v>
      </c>
      <c r="H286" s="3"/>
      <c r="I286" s="3"/>
      <c r="J286" s="3"/>
      <c r="K286" s="1"/>
      <c r="L286" s="1"/>
    </row>
    <row r="287" spans="2:19" ht="14.5" customHeight="1" x14ac:dyDescent="0.35">
      <c r="B287" s="1"/>
      <c r="C287" s="11" t="s">
        <v>839</v>
      </c>
      <c r="D287" s="14">
        <v>12</v>
      </c>
      <c r="E287" s="1"/>
      <c r="F287" s="268" t="s">
        <v>839</v>
      </c>
      <c r="G287" s="266">
        <v>12</v>
      </c>
      <c r="H287" s="3" t="s">
        <v>840</v>
      </c>
      <c r="I287" s="3" t="s">
        <v>841</v>
      </c>
      <c r="J287" s="3" t="s">
        <v>842</v>
      </c>
      <c r="K287" s="3" t="s">
        <v>855</v>
      </c>
      <c r="L287" s="345" t="s">
        <v>856</v>
      </c>
      <c r="M287" s="345" t="s">
        <v>865</v>
      </c>
      <c r="N287" s="345" t="s">
        <v>866</v>
      </c>
    </row>
    <row r="288" spans="2:19" ht="14.5" customHeight="1" x14ac:dyDescent="0.35">
      <c r="B288" s="1"/>
      <c r="C288" s="11" t="s">
        <v>843</v>
      </c>
      <c r="D288" s="15">
        <v>60</v>
      </c>
      <c r="E288" s="1"/>
      <c r="F288" s="268" t="s">
        <v>843</v>
      </c>
      <c r="G288" s="266">
        <v>39</v>
      </c>
      <c r="H288" s="230">
        <v>45170</v>
      </c>
      <c r="I288" s="231">
        <v>45200</v>
      </c>
      <c r="J288" s="230">
        <v>45261</v>
      </c>
      <c r="K288" s="230">
        <v>44958</v>
      </c>
      <c r="L288" s="346">
        <v>45047</v>
      </c>
      <c r="M288" s="346">
        <v>45078</v>
      </c>
      <c r="N288" s="346">
        <v>45108</v>
      </c>
    </row>
    <row r="289" spans="2:14" ht="14.5" customHeight="1" x14ac:dyDescent="0.35">
      <c r="B289" s="1"/>
      <c r="C289" s="11" t="s">
        <v>844</v>
      </c>
      <c r="D289" s="16">
        <v>365</v>
      </c>
      <c r="E289" s="1"/>
      <c r="F289" s="268" t="s">
        <v>844</v>
      </c>
      <c r="G289" s="266">
        <v>365</v>
      </c>
      <c r="H289" s="231" t="s">
        <v>836</v>
      </c>
      <c r="I289" s="231" t="s">
        <v>836</v>
      </c>
      <c r="J289" s="231" t="s">
        <v>836</v>
      </c>
      <c r="K289" s="231" t="s">
        <v>836</v>
      </c>
      <c r="L289" s="345" t="s">
        <v>836</v>
      </c>
      <c r="M289" s="345" t="s">
        <v>836</v>
      </c>
      <c r="N289" s="345" t="s">
        <v>836</v>
      </c>
    </row>
    <row r="290" spans="2:14" ht="14.5" customHeight="1" x14ac:dyDescent="0.35">
      <c r="B290" s="1"/>
      <c r="C290" s="17" t="s">
        <v>845</v>
      </c>
      <c r="D290" s="18">
        <v>10364112.23363151</v>
      </c>
      <c r="E290" s="3"/>
      <c r="F290" s="269" t="s">
        <v>845</v>
      </c>
      <c r="G290" s="18">
        <v>12913483.968822669</v>
      </c>
      <c r="H290" s="13">
        <f>M285+0.7%</f>
        <v>0.30450000000000005</v>
      </c>
      <c r="I290" s="3">
        <f>H290+0.1%</f>
        <v>0.30550000000000005</v>
      </c>
      <c r="J290" s="13">
        <f>I290+0.1%</f>
        <v>0.30650000000000005</v>
      </c>
      <c r="K290" s="13">
        <f>J290+1.3%</f>
        <v>0.31950000000000006</v>
      </c>
      <c r="L290" s="347">
        <f>+K290+0.1%</f>
        <v>0.32050000000000006</v>
      </c>
      <c r="M290" s="347">
        <f>+L290+0.1%</f>
        <v>0.32150000000000006</v>
      </c>
      <c r="N290" s="347">
        <f>+M290+0.3%</f>
        <v>0.32450000000000007</v>
      </c>
    </row>
    <row r="291" spans="2:14" ht="14.5" customHeight="1" x14ac:dyDescent="0.35">
      <c r="B291" s="1"/>
      <c r="C291" s="1"/>
      <c r="D291" s="3"/>
      <c r="E291" s="3"/>
      <c r="F291" s="3"/>
      <c r="G291" s="3"/>
      <c r="H291" s="3"/>
      <c r="I291" s="3"/>
      <c r="J291" s="3"/>
      <c r="K291" s="1"/>
      <c r="L291" s="1"/>
    </row>
    <row r="292" spans="2:14" ht="14.5" customHeight="1" x14ac:dyDescent="0.35">
      <c r="B292" s="1"/>
      <c r="C292" s="19" t="s">
        <v>846</v>
      </c>
      <c r="D292" s="20" t="s">
        <v>847</v>
      </c>
      <c r="E292" s="20" t="s">
        <v>764</v>
      </c>
      <c r="F292" s="270" t="s">
        <v>848</v>
      </c>
      <c r="G292" s="270" t="s">
        <v>849</v>
      </c>
      <c r="H292" s="270" t="s">
        <v>742</v>
      </c>
      <c r="I292" s="270" t="s">
        <v>740</v>
      </c>
      <c r="J292" s="270" t="s">
        <v>850</v>
      </c>
      <c r="K292" s="21" t="s">
        <v>851</v>
      </c>
      <c r="L292" s="21" t="s">
        <v>852</v>
      </c>
    </row>
    <row r="293" spans="2:14" ht="14.5" customHeight="1" x14ac:dyDescent="0.35">
      <c r="B293" s="1">
        <v>1</v>
      </c>
      <c r="C293" s="22">
        <v>44409</v>
      </c>
      <c r="D293" s="22">
        <v>44439</v>
      </c>
      <c r="E293" s="23">
        <v>31</v>
      </c>
      <c r="F293" s="3">
        <v>405097989.86827958</v>
      </c>
      <c r="G293" s="3">
        <f t="shared" ref="G293:G301" si="46">-PMT($D$285/$D$287,60,$F$293,,0)</f>
        <v>10364112.23363151</v>
      </c>
      <c r="H293" s="3">
        <f>F293*D285/D287</f>
        <v>6194623.4284024416</v>
      </c>
      <c r="I293" s="3">
        <f t="shared" ref="I293:I324" si="47">G293-H293</f>
        <v>4169488.8052290687</v>
      </c>
      <c r="J293" s="3">
        <f t="shared" ref="J293:J324" si="48">F293-I293</f>
        <v>400928501.06305051</v>
      </c>
      <c r="K293" s="24"/>
      <c r="L293" s="24">
        <f>G293</f>
        <v>10364112.23363151</v>
      </c>
    </row>
    <row r="294" spans="2:14" x14ac:dyDescent="0.35">
      <c r="B294" s="1">
        <v>2</v>
      </c>
      <c r="C294" s="22">
        <v>44440</v>
      </c>
      <c r="D294" s="22">
        <v>44469</v>
      </c>
      <c r="E294" s="23">
        <v>30</v>
      </c>
      <c r="F294" s="3">
        <f t="shared" ref="F294:F325" si="49">J293</f>
        <v>400928501.06305051</v>
      </c>
      <c r="G294" s="3">
        <f t="shared" si="46"/>
        <v>10364112.23363151</v>
      </c>
      <c r="H294" s="3">
        <f>F294*D285/D287</f>
        <v>6130864.9954224797</v>
      </c>
      <c r="I294" s="3">
        <f t="shared" si="47"/>
        <v>4233247.2382090306</v>
      </c>
      <c r="J294" s="3">
        <f t="shared" si="48"/>
        <v>396695253.8248415</v>
      </c>
      <c r="K294" s="24"/>
      <c r="L294" s="24">
        <f t="shared" ref="L294:L305" si="50">L293+G294</f>
        <v>20728224.467263021</v>
      </c>
    </row>
    <row r="295" spans="2:14" x14ac:dyDescent="0.35">
      <c r="B295" s="1">
        <v>3</v>
      </c>
      <c r="C295" s="22">
        <v>44470</v>
      </c>
      <c r="D295" s="22">
        <v>44500</v>
      </c>
      <c r="E295" s="23">
        <v>31</v>
      </c>
      <c r="F295" s="3">
        <f t="shared" si="49"/>
        <v>396695253.8248415</v>
      </c>
      <c r="G295" s="3">
        <f t="shared" si="46"/>
        <v>10364112.23363151</v>
      </c>
      <c r="H295" s="3">
        <f>F295*D285/D287</f>
        <v>6066131.5897382013</v>
      </c>
      <c r="I295" s="3">
        <f t="shared" si="47"/>
        <v>4297980.6438933089</v>
      </c>
      <c r="J295" s="3">
        <f t="shared" si="48"/>
        <v>392397273.1809482</v>
      </c>
      <c r="K295" s="24"/>
      <c r="L295" s="24">
        <f t="shared" si="50"/>
        <v>31092336.700894531</v>
      </c>
    </row>
    <row r="296" spans="2:14" x14ac:dyDescent="0.35">
      <c r="B296" s="1">
        <v>4</v>
      </c>
      <c r="C296" s="22">
        <v>44501</v>
      </c>
      <c r="D296" s="22">
        <v>44530</v>
      </c>
      <c r="E296" s="23">
        <v>30</v>
      </c>
      <c r="F296" s="3">
        <f t="shared" si="49"/>
        <v>392397273.1809482</v>
      </c>
      <c r="G296" s="3">
        <f t="shared" si="46"/>
        <v>10364112.23363151</v>
      </c>
      <c r="H296" s="3">
        <f>F296*D285/D287</f>
        <v>6000408.3023919994</v>
      </c>
      <c r="I296" s="3">
        <f t="shared" si="47"/>
        <v>4363703.9312395109</v>
      </c>
      <c r="J296" s="3">
        <f t="shared" si="48"/>
        <v>388033569.24970871</v>
      </c>
      <c r="K296" s="24"/>
      <c r="L296" s="24">
        <f t="shared" si="50"/>
        <v>41456448.934526041</v>
      </c>
    </row>
    <row r="297" spans="2:14" x14ac:dyDescent="0.35">
      <c r="B297" s="1">
        <v>5</v>
      </c>
      <c r="C297" s="22">
        <v>44531</v>
      </c>
      <c r="D297" s="22">
        <v>44561</v>
      </c>
      <c r="E297" s="23">
        <v>31</v>
      </c>
      <c r="F297" s="3">
        <f t="shared" si="49"/>
        <v>388033569.24970871</v>
      </c>
      <c r="G297" s="3">
        <f t="shared" si="46"/>
        <v>10364112.23363151</v>
      </c>
      <c r="H297" s="3">
        <f>F297*D285/D287</f>
        <v>5933679.9964434626</v>
      </c>
      <c r="I297" s="3">
        <f t="shared" si="47"/>
        <v>4430432.2371880477</v>
      </c>
      <c r="J297" s="3">
        <f t="shared" si="48"/>
        <v>383603137.01252067</v>
      </c>
      <c r="K297" s="24"/>
      <c r="L297" s="24">
        <f t="shared" si="50"/>
        <v>51820561.168157548</v>
      </c>
    </row>
    <row r="298" spans="2:14" x14ac:dyDescent="0.35">
      <c r="B298" s="1">
        <v>6</v>
      </c>
      <c r="C298" s="22">
        <v>44562</v>
      </c>
      <c r="D298" s="22">
        <v>44592</v>
      </c>
      <c r="E298" s="23">
        <v>31</v>
      </c>
      <c r="F298" s="3">
        <f t="shared" si="49"/>
        <v>383603137.01252067</v>
      </c>
      <c r="G298" s="3">
        <f t="shared" si="46"/>
        <v>10364112.23363151</v>
      </c>
      <c r="H298" s="3">
        <f>F298*D285/D287</f>
        <v>5865931.3034831285</v>
      </c>
      <c r="I298" s="3">
        <f t="shared" si="47"/>
        <v>4498180.9301483817</v>
      </c>
      <c r="J298" s="3">
        <f t="shared" si="48"/>
        <v>379104956.08237231</v>
      </c>
      <c r="K298" s="24"/>
      <c r="L298" s="24">
        <f t="shared" si="50"/>
        <v>62184673.401789054</v>
      </c>
    </row>
    <row r="299" spans="2:14" x14ac:dyDescent="0.35">
      <c r="B299" s="1">
        <v>7</v>
      </c>
      <c r="C299" s="22">
        <v>44593</v>
      </c>
      <c r="D299" s="22">
        <v>44620</v>
      </c>
      <c r="E299" s="23">
        <v>28</v>
      </c>
      <c r="F299" s="3">
        <f t="shared" si="49"/>
        <v>379104956.08237231</v>
      </c>
      <c r="G299" s="3">
        <f t="shared" si="46"/>
        <v>10364112.23363151</v>
      </c>
      <c r="H299" s="3">
        <f>F299*D285/D287</f>
        <v>5797146.6200929433</v>
      </c>
      <c r="I299" s="3">
        <f t="shared" si="47"/>
        <v>4566965.613538567</v>
      </c>
      <c r="J299" s="3">
        <f t="shared" si="48"/>
        <v>374537990.46883374</v>
      </c>
      <c r="K299" s="24"/>
      <c r="L299" s="24">
        <f t="shared" si="50"/>
        <v>72548785.635420561</v>
      </c>
    </row>
    <row r="300" spans="2:14" x14ac:dyDescent="0.35">
      <c r="B300" s="1">
        <v>8</v>
      </c>
      <c r="C300" s="22">
        <v>44621</v>
      </c>
      <c r="D300" s="22">
        <v>44651</v>
      </c>
      <c r="E300" s="23">
        <v>31</v>
      </c>
      <c r="F300" s="3">
        <f t="shared" si="49"/>
        <v>374537990.46883374</v>
      </c>
      <c r="G300" s="3">
        <f t="shared" si="46"/>
        <v>10364112.23363151</v>
      </c>
      <c r="H300" s="3">
        <f>F300*D285/D287</f>
        <v>5727310.1042525833</v>
      </c>
      <c r="I300" s="3">
        <f t="shared" si="47"/>
        <v>4636802.1293789269</v>
      </c>
      <c r="J300" s="3">
        <f t="shared" si="48"/>
        <v>369901188.33945483</v>
      </c>
      <c r="K300" s="24"/>
      <c r="L300" s="24">
        <f t="shared" si="50"/>
        <v>82912897.869052067</v>
      </c>
    </row>
    <row r="301" spans="2:14" x14ac:dyDescent="0.35">
      <c r="B301" s="1">
        <v>9</v>
      </c>
      <c r="C301" s="22">
        <v>44652</v>
      </c>
      <c r="D301" s="22">
        <v>44681</v>
      </c>
      <c r="E301" s="23">
        <v>30</v>
      </c>
      <c r="F301" s="3">
        <f t="shared" si="49"/>
        <v>369901188.33945483</v>
      </c>
      <c r="G301" s="3">
        <f t="shared" si="46"/>
        <v>10364112.23363151</v>
      </c>
      <c r="H301" s="3">
        <f>F301*D285/D287</f>
        <v>5656405.67169083</v>
      </c>
      <c r="I301" s="3">
        <f t="shared" si="47"/>
        <v>4707706.5619406803</v>
      </c>
      <c r="J301" s="3">
        <f t="shared" si="48"/>
        <v>365193481.77751416</v>
      </c>
      <c r="K301" s="24"/>
      <c r="L301" s="24">
        <f t="shared" si="50"/>
        <v>93277010.102683574</v>
      </c>
    </row>
    <row r="302" spans="2:14" x14ac:dyDescent="0.35">
      <c r="B302" s="1">
        <v>10</v>
      </c>
      <c r="C302" s="22">
        <v>44682</v>
      </c>
      <c r="D302" s="22">
        <v>44712</v>
      </c>
      <c r="E302" s="23">
        <v>31</v>
      </c>
      <c r="F302" s="3">
        <f t="shared" si="49"/>
        <v>365193481.77751416</v>
      </c>
      <c r="G302" s="3">
        <f>-PMT($G$285/$D$287,51,$F$302,,0)</f>
        <v>10794539.28894769</v>
      </c>
      <c r="H302" s="3">
        <f>F302*G285/D287</f>
        <v>6253938.3754399298</v>
      </c>
      <c r="I302" s="3">
        <f t="shared" si="47"/>
        <v>4540600.9135077605</v>
      </c>
      <c r="J302" s="3">
        <f t="shared" si="48"/>
        <v>360652880.8640064</v>
      </c>
      <c r="K302" s="24"/>
      <c r="L302" s="24">
        <f t="shared" si="50"/>
        <v>104071549.39163126</v>
      </c>
    </row>
    <row r="303" spans="2:14" x14ac:dyDescent="0.35">
      <c r="B303" s="1">
        <v>11</v>
      </c>
      <c r="C303" s="22">
        <v>44713</v>
      </c>
      <c r="D303" s="22">
        <v>44742</v>
      </c>
      <c r="E303" s="23">
        <v>30</v>
      </c>
      <c r="F303" s="3">
        <f t="shared" si="49"/>
        <v>360652880.8640064</v>
      </c>
      <c r="G303" s="3">
        <f>-PMT($G$285/$D$287,51,$F$302,,0)</f>
        <v>10794539.28894769</v>
      </c>
      <c r="H303" s="3">
        <f>F303*G285/D287</f>
        <v>6176180.5847961092</v>
      </c>
      <c r="I303" s="3">
        <f t="shared" si="47"/>
        <v>4618358.704151581</v>
      </c>
      <c r="J303" s="3">
        <f t="shared" si="48"/>
        <v>356034522.15985483</v>
      </c>
      <c r="K303" s="24"/>
      <c r="L303" s="24">
        <f t="shared" si="50"/>
        <v>114866088.68057895</v>
      </c>
      <c r="N303" s="32"/>
    </row>
    <row r="304" spans="2:14" x14ac:dyDescent="0.35">
      <c r="B304" s="1">
        <v>12</v>
      </c>
      <c r="C304" s="22">
        <v>44743</v>
      </c>
      <c r="D304" s="22">
        <v>44773</v>
      </c>
      <c r="E304" s="23">
        <v>31</v>
      </c>
      <c r="F304" s="3">
        <f t="shared" si="49"/>
        <v>356034522.15985483</v>
      </c>
      <c r="G304" s="3">
        <f>-PMT($G$285/$D$287,51,$F$302,,0)</f>
        <v>10794539.28894769</v>
      </c>
      <c r="H304" s="3">
        <f>F304*G285/D287</f>
        <v>6097091.1919875136</v>
      </c>
      <c r="I304" s="3">
        <f t="shared" si="47"/>
        <v>4697448.0969601767</v>
      </c>
      <c r="J304" s="3">
        <f t="shared" si="48"/>
        <v>351337074.06289464</v>
      </c>
      <c r="K304" s="24"/>
      <c r="L304" s="24">
        <f t="shared" si="50"/>
        <v>125660627.96952663</v>
      </c>
      <c r="N304" s="7"/>
    </row>
    <row r="305" spans="2:13" x14ac:dyDescent="0.35">
      <c r="B305" s="1">
        <v>13</v>
      </c>
      <c r="C305" s="22">
        <v>44774</v>
      </c>
      <c r="D305" s="22">
        <v>44804</v>
      </c>
      <c r="E305" s="23">
        <v>31</v>
      </c>
      <c r="F305" s="3">
        <f t="shared" si="49"/>
        <v>351337074.06289464</v>
      </c>
      <c r="G305" s="3">
        <f>-PMT($G$285/$D$287,51,$F$302,,0)</f>
        <v>10794539.28894769</v>
      </c>
      <c r="H305" s="3">
        <f>F305*G285/D287</f>
        <v>6016647.3933270713</v>
      </c>
      <c r="I305" s="3">
        <f t="shared" si="47"/>
        <v>4777891.8956206189</v>
      </c>
      <c r="J305" s="3">
        <f t="shared" si="48"/>
        <v>346559182.167274</v>
      </c>
      <c r="K305" s="24"/>
      <c r="L305" s="24">
        <f t="shared" si="50"/>
        <v>136455167.25847432</v>
      </c>
    </row>
    <row r="306" spans="2:13" x14ac:dyDescent="0.35">
      <c r="B306" s="1">
        <v>14</v>
      </c>
      <c r="C306" s="22">
        <v>44805</v>
      </c>
      <c r="D306" s="22">
        <v>44834</v>
      </c>
      <c r="E306" s="23">
        <v>30</v>
      </c>
      <c r="F306" s="3">
        <f t="shared" si="49"/>
        <v>346559182.167274</v>
      </c>
      <c r="G306" s="3">
        <f>-PMT($H$285/$D$287,47,$F$306,,0)</f>
        <v>10868642.481673673</v>
      </c>
      <c r="H306" s="3">
        <f>F306*H285/D287</f>
        <v>6050345.7220036583</v>
      </c>
      <c r="I306" s="3">
        <f t="shared" si="47"/>
        <v>4818296.7596700145</v>
      </c>
      <c r="J306" s="3">
        <f t="shared" si="48"/>
        <v>341740885.40760398</v>
      </c>
      <c r="K306" s="24"/>
      <c r="L306" s="24">
        <v>136455167.25847429</v>
      </c>
    </row>
    <row r="307" spans="2:13" x14ac:dyDescent="0.35">
      <c r="B307" s="1">
        <v>15</v>
      </c>
      <c r="C307" s="22">
        <v>44835</v>
      </c>
      <c r="D307" s="22">
        <v>44865</v>
      </c>
      <c r="E307" s="23">
        <v>31</v>
      </c>
      <c r="F307" s="3">
        <f t="shared" si="49"/>
        <v>341740885.40760398</v>
      </c>
      <c r="G307" s="3">
        <f>-PMT($H$285/$D$287,47,$F$306,,0)</f>
        <v>10868642.481673673</v>
      </c>
      <c r="H307" s="3">
        <f>F307*H285/D287</f>
        <v>5966226.2910744185</v>
      </c>
      <c r="I307" s="3">
        <f t="shared" si="47"/>
        <v>4902416.1905992543</v>
      </c>
      <c r="J307" s="3">
        <f t="shared" si="48"/>
        <v>336838469.21700472</v>
      </c>
      <c r="K307" s="24"/>
      <c r="L307" s="24">
        <v>136455167.25847429</v>
      </c>
    </row>
    <row r="308" spans="2:13" x14ac:dyDescent="0.35">
      <c r="B308" s="1">
        <v>16</v>
      </c>
      <c r="C308" s="22">
        <v>44866</v>
      </c>
      <c r="D308" s="22">
        <v>44895</v>
      </c>
      <c r="E308" s="23">
        <v>30</v>
      </c>
      <c r="F308" s="3">
        <f t="shared" si="49"/>
        <v>336838469.21700472</v>
      </c>
      <c r="G308" s="3">
        <f>-PMT($I$285/$D$287,45,$F$308,,0)</f>
        <v>11357806.212525271</v>
      </c>
      <c r="H308" s="3">
        <f>F308*I285/D287</f>
        <v>6638524.8308184678</v>
      </c>
      <c r="I308" s="3">
        <f t="shared" si="47"/>
        <v>4719281.3817068031</v>
      </c>
      <c r="J308" s="3">
        <f t="shared" si="48"/>
        <v>332119187.83529794</v>
      </c>
      <c r="K308" s="24"/>
      <c r="L308" s="24">
        <v>136455167.25847429</v>
      </c>
    </row>
    <row r="309" spans="2:13" x14ac:dyDescent="0.35">
      <c r="B309" s="1">
        <v>17</v>
      </c>
      <c r="C309" s="22">
        <v>44896</v>
      </c>
      <c r="D309" s="22">
        <v>44926</v>
      </c>
      <c r="E309" s="23">
        <v>31</v>
      </c>
      <c r="F309" s="3">
        <f t="shared" si="49"/>
        <v>332119187.83529794</v>
      </c>
      <c r="G309" s="3">
        <f>-PMT($J$285/$D$287,44,$F$309,,0)</f>
        <v>11484169.045692496</v>
      </c>
      <c r="H309" s="3">
        <f>F309*J285/D287</f>
        <v>6739251.8531579198</v>
      </c>
      <c r="I309" s="3">
        <f t="shared" si="47"/>
        <v>4744917.1925345762</v>
      </c>
      <c r="J309" s="3">
        <f t="shared" si="48"/>
        <v>327374270.64276338</v>
      </c>
      <c r="K309" s="24"/>
      <c r="L309" s="24">
        <v>136455167.25847429</v>
      </c>
    </row>
    <row r="310" spans="2:13" x14ac:dyDescent="0.35">
      <c r="B310" s="1">
        <v>18</v>
      </c>
      <c r="C310" s="22">
        <v>44927</v>
      </c>
      <c r="D310" s="22">
        <v>44957</v>
      </c>
      <c r="E310" s="23">
        <v>31</v>
      </c>
      <c r="F310" s="3">
        <f t="shared" si="49"/>
        <v>327374270.64276338</v>
      </c>
      <c r="G310" s="3">
        <f>-PMT($J$285/$D$287,44,$F$309,,0)</f>
        <v>11484169.045692496</v>
      </c>
      <c r="H310" s="3">
        <f>F310*J285/D287</f>
        <v>6642969.5751260733</v>
      </c>
      <c r="I310" s="3">
        <f t="shared" si="47"/>
        <v>4841199.4705664227</v>
      </c>
      <c r="J310" s="3">
        <f t="shared" si="48"/>
        <v>322533071.17219692</v>
      </c>
      <c r="K310" s="24"/>
      <c r="L310" s="24">
        <v>136455167.25847429</v>
      </c>
    </row>
    <row r="311" spans="2:13" x14ac:dyDescent="0.35">
      <c r="B311" s="1">
        <v>19</v>
      </c>
      <c r="C311" s="22">
        <v>44958</v>
      </c>
      <c r="D311" s="22">
        <v>44985</v>
      </c>
      <c r="E311" s="23">
        <v>28</v>
      </c>
      <c r="F311" s="3">
        <f t="shared" si="49"/>
        <v>322533071.17219692</v>
      </c>
      <c r="G311" s="3">
        <f>-PMT($J$285/$D$287,44,$F$309,,0)</f>
        <v>11484169.045692496</v>
      </c>
      <c r="H311" s="3">
        <f>F311*J285/D287</f>
        <v>6544733.5692024967</v>
      </c>
      <c r="I311" s="3">
        <f t="shared" si="47"/>
        <v>4939435.4764899993</v>
      </c>
      <c r="J311" s="3">
        <f t="shared" si="48"/>
        <v>317593635.6957069</v>
      </c>
      <c r="K311" s="24">
        <v>136455167.25999999</v>
      </c>
      <c r="L311" s="24">
        <f>L310-K311</f>
        <v>-1.5257000923156738E-3</v>
      </c>
    </row>
    <row r="312" spans="2:13" x14ac:dyDescent="0.35">
      <c r="B312" s="1">
        <v>20</v>
      </c>
      <c r="C312" s="22">
        <v>44986</v>
      </c>
      <c r="D312" s="22">
        <v>45016</v>
      </c>
      <c r="E312" s="23">
        <v>31</v>
      </c>
      <c r="F312" s="3">
        <f t="shared" si="49"/>
        <v>317593635.6957069</v>
      </c>
      <c r="G312" s="3">
        <f>-PMT($J$285/$D$287,44,$F$309,,0)</f>
        <v>11484169.045692496</v>
      </c>
      <c r="H312" s="3">
        <f>F312*J285/D287</f>
        <v>6444504.1909920527</v>
      </c>
      <c r="I312" s="3">
        <f t="shared" si="47"/>
        <v>5039664.8547004433</v>
      </c>
      <c r="J312" s="3">
        <f t="shared" si="48"/>
        <v>312553970.84100646</v>
      </c>
      <c r="K312" s="24"/>
      <c r="L312" s="24"/>
    </row>
    <row r="313" spans="2:13" x14ac:dyDescent="0.35">
      <c r="B313" s="1">
        <v>21</v>
      </c>
      <c r="C313" s="22">
        <v>45017</v>
      </c>
      <c r="D313" s="22">
        <v>45046</v>
      </c>
      <c r="E313" s="23">
        <v>30</v>
      </c>
      <c r="F313" s="3">
        <f t="shared" si="49"/>
        <v>312553970.84100646</v>
      </c>
      <c r="G313" s="3">
        <f>-PMT($J$285/$D$287,44,$F$309,,0)</f>
        <v>11484169.045692496</v>
      </c>
      <c r="H313" s="3">
        <f>F313*J285/D287</f>
        <v>6342240.991648756</v>
      </c>
      <c r="I313" s="3">
        <f t="shared" si="47"/>
        <v>5141928.05404374</v>
      </c>
      <c r="J313" s="3">
        <f t="shared" si="48"/>
        <v>307412042.78696275</v>
      </c>
      <c r="K313" s="24"/>
      <c r="L313" s="24"/>
    </row>
    <row r="314" spans="2:13" x14ac:dyDescent="0.35">
      <c r="B314" s="1">
        <v>22</v>
      </c>
      <c r="C314" s="22">
        <v>45047</v>
      </c>
      <c r="D314" s="22">
        <v>45077</v>
      </c>
      <c r="E314" s="23">
        <v>31</v>
      </c>
      <c r="F314" s="3">
        <f t="shared" si="49"/>
        <v>307412042.78696275</v>
      </c>
      <c r="G314" s="3">
        <f>-PMT($K$285/$D$287,39,$F$314,,0)</f>
        <v>11931475.234007195</v>
      </c>
      <c r="H314" s="3">
        <f>F314*K285/D287</f>
        <v>6929579.7978227856</v>
      </c>
      <c r="I314" s="3">
        <f t="shared" si="47"/>
        <v>5001895.4361844091</v>
      </c>
      <c r="J314" s="3">
        <f t="shared" si="48"/>
        <v>302410147.35077834</v>
      </c>
      <c r="K314" s="24"/>
      <c r="L314" s="24"/>
    </row>
    <row r="315" spans="2:13" x14ac:dyDescent="0.35">
      <c r="B315" s="1">
        <v>23</v>
      </c>
      <c r="C315" s="22">
        <v>45078</v>
      </c>
      <c r="D315" s="22">
        <v>45107</v>
      </c>
      <c r="E315" s="23">
        <v>30</v>
      </c>
      <c r="F315" s="3">
        <f t="shared" si="49"/>
        <v>302410147.35077834</v>
      </c>
      <c r="G315" s="3">
        <f>-PMT($K$285/$D$287,39,$F$314,,0)</f>
        <v>11931475.234007195</v>
      </c>
      <c r="H315" s="3">
        <f>F315*K285/D287</f>
        <v>6816828.7381987954</v>
      </c>
      <c r="I315" s="3">
        <f t="shared" si="47"/>
        <v>5114646.4958083993</v>
      </c>
      <c r="J315" s="3">
        <f t="shared" si="48"/>
        <v>297295500.85496992</v>
      </c>
      <c r="K315" s="24"/>
      <c r="L315" s="24"/>
    </row>
    <row r="316" spans="2:13" x14ac:dyDescent="0.35">
      <c r="B316" s="1">
        <v>24</v>
      </c>
      <c r="C316" s="22">
        <v>45108</v>
      </c>
      <c r="D316" s="22">
        <v>45138</v>
      </c>
      <c r="E316" s="23">
        <v>31</v>
      </c>
      <c r="F316" s="3">
        <f t="shared" si="49"/>
        <v>297295500.85496992</v>
      </c>
      <c r="G316" s="3">
        <f>-PMT($L$285/$D$287,37,$F$316,,0)</f>
        <v>12157041.79100237</v>
      </c>
      <c r="H316" s="3">
        <f>F316*$L$285/$D$287</f>
        <v>7048380.8327699127</v>
      </c>
      <c r="I316" s="3">
        <f t="shared" si="47"/>
        <v>5108660.9582324577</v>
      </c>
      <c r="J316" s="3">
        <f t="shared" si="48"/>
        <v>292186839.89673746</v>
      </c>
      <c r="K316" s="24"/>
      <c r="L316" s="24"/>
    </row>
    <row r="317" spans="2:13" x14ac:dyDescent="0.35">
      <c r="B317" s="1">
        <v>25</v>
      </c>
      <c r="C317" s="22">
        <v>45139</v>
      </c>
      <c r="D317" s="22">
        <v>45169</v>
      </c>
      <c r="E317" s="23">
        <v>31</v>
      </c>
      <c r="F317" s="3">
        <f t="shared" si="49"/>
        <v>292186839.89673746</v>
      </c>
      <c r="G317" s="3">
        <f>-PMT($M$285/$D$287,36,$F$317,,0)</f>
        <v>12363816.83503023</v>
      </c>
      <c r="H317" s="3">
        <f>F317*$M$285/$D$287</f>
        <v>7243798.7391066169</v>
      </c>
      <c r="I317" s="3">
        <f t="shared" si="47"/>
        <v>5120018.0959236128</v>
      </c>
      <c r="J317" s="3">
        <f t="shared" si="48"/>
        <v>287066821.80081385</v>
      </c>
      <c r="K317" s="24"/>
      <c r="L317" s="236">
        <f>SUM(G306:G317)</f>
        <v>138899745.49838209</v>
      </c>
      <c r="M317" s="205" t="s">
        <v>867</v>
      </c>
    </row>
    <row r="318" spans="2:13" x14ac:dyDescent="0.35">
      <c r="B318" s="1">
        <v>26</v>
      </c>
      <c r="C318" s="22">
        <v>45170</v>
      </c>
      <c r="D318" s="22">
        <v>45199</v>
      </c>
      <c r="E318" s="23">
        <v>30</v>
      </c>
      <c r="F318" s="3">
        <f t="shared" si="49"/>
        <v>287066821.80081385</v>
      </c>
      <c r="G318" s="3">
        <f>-PMT($H$290/$D$287,35,$F$318,,0)</f>
        <v>12473383.106046615</v>
      </c>
      <c r="H318" s="3">
        <f>F318*$H$290/$D$287</f>
        <v>7284320.6031956524</v>
      </c>
      <c r="I318" s="3">
        <f t="shared" si="47"/>
        <v>5189062.5028509628</v>
      </c>
      <c r="J318" s="3">
        <f t="shared" si="48"/>
        <v>281877759.2979629</v>
      </c>
      <c r="L318" s="24"/>
    </row>
    <row r="319" spans="2:13" x14ac:dyDescent="0.35">
      <c r="B319" s="1">
        <v>27</v>
      </c>
      <c r="C319" s="22">
        <v>45200</v>
      </c>
      <c r="D319" s="22">
        <v>45230</v>
      </c>
      <c r="E319" s="23">
        <v>31</v>
      </c>
      <c r="F319" s="3">
        <f t="shared" si="49"/>
        <v>281877759.2979629</v>
      </c>
      <c r="G319" s="3">
        <f>-PMT($I$290/$D$287,34,$F$319,,0)</f>
        <v>12488712.391602986</v>
      </c>
      <c r="H319" s="3">
        <f>F319*$I$290/$D$287</f>
        <v>7176137.9554606406</v>
      </c>
      <c r="I319" s="3">
        <f t="shared" si="47"/>
        <v>5312574.436142345</v>
      </c>
      <c r="J319" s="3">
        <f t="shared" si="48"/>
        <v>276565184.86182058</v>
      </c>
      <c r="K319" s="24"/>
      <c r="L319" s="24"/>
    </row>
    <row r="320" spans="2:13" x14ac:dyDescent="0.35">
      <c r="B320" s="1">
        <v>28</v>
      </c>
      <c r="C320" s="22">
        <v>45231</v>
      </c>
      <c r="D320" s="22">
        <v>45260</v>
      </c>
      <c r="E320" s="23">
        <v>30</v>
      </c>
      <c r="F320" s="3">
        <f t="shared" si="49"/>
        <v>276565184.86182058</v>
      </c>
      <c r="G320" s="3">
        <f>-PMT($I$290/$D$287,34,$F$319,,0)</f>
        <v>12488712.391602986</v>
      </c>
      <c r="H320" s="3">
        <f>F320*$I$290/$D$287</f>
        <v>7040888.6646071831</v>
      </c>
      <c r="I320" s="3">
        <f t="shared" si="47"/>
        <v>5447823.7269958025</v>
      </c>
      <c r="J320" s="3">
        <f t="shared" si="48"/>
        <v>271117361.13482475</v>
      </c>
      <c r="K320" s="24"/>
      <c r="L320" s="24"/>
    </row>
    <row r="321" spans="2:13" x14ac:dyDescent="0.35">
      <c r="B321" s="1">
        <v>29</v>
      </c>
      <c r="C321" s="22">
        <v>45261</v>
      </c>
      <c r="D321" s="22">
        <v>45291</v>
      </c>
      <c r="E321" s="23">
        <v>31</v>
      </c>
      <c r="F321" s="3">
        <f t="shared" si="49"/>
        <v>271117361.13482475</v>
      </c>
      <c r="G321" s="3">
        <f>-PMT($J$290/$D$287,32,$F$321,,0)</f>
        <v>12503310.645116594</v>
      </c>
      <c r="H321" s="3">
        <f>F321*$J$290/$D$287</f>
        <v>6924789.2656519832</v>
      </c>
      <c r="I321" s="3">
        <f t="shared" si="47"/>
        <v>5578521.3794646105</v>
      </c>
      <c r="J321" s="3">
        <f t="shared" si="48"/>
        <v>265538839.75536016</v>
      </c>
      <c r="K321" s="24"/>
      <c r="L321" s="24"/>
    </row>
    <row r="322" spans="2:13" x14ac:dyDescent="0.35">
      <c r="B322" s="1">
        <v>30</v>
      </c>
      <c r="C322" s="22">
        <v>45292</v>
      </c>
      <c r="D322" s="22">
        <v>45322</v>
      </c>
      <c r="E322" s="23">
        <v>31</v>
      </c>
      <c r="F322" s="3">
        <f t="shared" si="49"/>
        <v>265538839.75536016</v>
      </c>
      <c r="G322" s="3">
        <f>-PMT($J$290/$D$287,32,$F$321,,0)</f>
        <v>12503310.645116594</v>
      </c>
      <c r="H322" s="3">
        <f>F322*$J$290/$D$287</f>
        <v>6782304.5320848254</v>
      </c>
      <c r="I322" s="3">
        <f t="shared" si="47"/>
        <v>5721006.1130317682</v>
      </c>
      <c r="J322" s="3">
        <f t="shared" si="48"/>
        <v>259817833.64232838</v>
      </c>
      <c r="K322" s="24"/>
      <c r="L322" s="24"/>
    </row>
    <row r="323" spans="2:13" x14ac:dyDescent="0.35">
      <c r="B323" s="1">
        <v>31</v>
      </c>
      <c r="C323" s="22">
        <v>45323</v>
      </c>
      <c r="D323" s="22">
        <v>45351</v>
      </c>
      <c r="E323" s="23">
        <v>29</v>
      </c>
      <c r="F323" s="3">
        <f t="shared" si="49"/>
        <v>259817833.64232838</v>
      </c>
      <c r="G323" s="3">
        <f>-PMT($K$290/$D$287,30,$F$323,,0)</f>
        <v>12684003.544148518</v>
      </c>
      <c r="H323" s="3">
        <f>F323*$K$290/$D$287</f>
        <v>6917649.8207269944</v>
      </c>
      <c r="I323" s="3">
        <f t="shared" si="47"/>
        <v>5766353.7234215233</v>
      </c>
      <c r="J323" s="3">
        <f t="shared" si="48"/>
        <v>254051479.91890687</v>
      </c>
      <c r="K323" s="24"/>
      <c r="L323" s="24"/>
    </row>
    <row r="324" spans="2:13" x14ac:dyDescent="0.35">
      <c r="B324" s="1">
        <v>32</v>
      </c>
      <c r="C324" s="22">
        <v>45352</v>
      </c>
      <c r="D324" s="22">
        <v>45382</v>
      </c>
      <c r="E324" s="23">
        <v>31</v>
      </c>
      <c r="F324" s="3">
        <f t="shared" si="49"/>
        <v>254051479.91890687</v>
      </c>
      <c r="G324" s="3">
        <f>-PMT($K$290/$D$287,30,$F$323,,0)</f>
        <v>12684003.544148518</v>
      </c>
      <c r="H324" s="3">
        <f>F324*$K$290/$D$287</f>
        <v>6764120.6528408965</v>
      </c>
      <c r="I324" s="3">
        <f t="shared" si="47"/>
        <v>5919882.8913076213</v>
      </c>
      <c r="J324" s="3">
        <f t="shared" si="48"/>
        <v>248131597.02759925</v>
      </c>
      <c r="K324" s="24"/>
      <c r="L324" s="24"/>
    </row>
    <row r="325" spans="2:13" x14ac:dyDescent="0.35">
      <c r="B325" s="1">
        <v>33</v>
      </c>
      <c r="C325" s="22">
        <v>45383</v>
      </c>
      <c r="D325" s="22">
        <v>45412</v>
      </c>
      <c r="E325" s="23">
        <v>30</v>
      </c>
      <c r="F325" s="3">
        <f t="shared" si="49"/>
        <v>248131597.02759925</v>
      </c>
      <c r="G325" s="3">
        <f>-PMT($K$290/$D$287,30,$F$323,,0)</f>
        <v>12684003.544148518</v>
      </c>
      <c r="H325" s="3">
        <f>F325*$K$290/$D$287</f>
        <v>6606503.770859831</v>
      </c>
      <c r="I325" s="298">
        <f t="shared" ref="I325:I352" si="51">G325-H325</f>
        <v>6077499.7732886868</v>
      </c>
      <c r="J325" s="3">
        <f t="shared" ref="J325:J352" si="52">F325-I325</f>
        <v>242054097.25431055</v>
      </c>
      <c r="K325" s="24">
        <v>50000000</v>
      </c>
      <c r="L325" s="24"/>
    </row>
    <row r="326" spans="2:13" x14ac:dyDescent="0.35">
      <c r="B326" s="1">
        <v>34</v>
      </c>
      <c r="C326" s="22">
        <v>45413</v>
      </c>
      <c r="D326" s="22">
        <v>45443</v>
      </c>
      <c r="E326" s="23">
        <v>31</v>
      </c>
      <c r="F326" s="3">
        <f t="shared" ref="F326:F352" si="53">J325</f>
        <v>242054097.25431055</v>
      </c>
      <c r="G326" s="3">
        <f>-PMT($L$290/$D$287,27,$F$326,,0)</f>
        <v>12696793.560042387</v>
      </c>
      <c r="H326" s="3">
        <f>F326*$L$290/$D$287</f>
        <v>6464861.5141672119</v>
      </c>
      <c r="I326" s="3">
        <f t="shared" si="51"/>
        <v>6231932.0458751749</v>
      </c>
      <c r="J326" s="3">
        <f t="shared" si="52"/>
        <v>235822165.20843539</v>
      </c>
      <c r="K326" s="24">
        <v>25000000</v>
      </c>
      <c r="L326" s="24"/>
    </row>
    <row r="327" spans="2:13" x14ac:dyDescent="0.35">
      <c r="B327" s="1">
        <v>35</v>
      </c>
      <c r="C327" s="22">
        <v>45444</v>
      </c>
      <c r="D327" s="22">
        <v>45473</v>
      </c>
      <c r="E327" s="23">
        <v>30</v>
      </c>
      <c r="F327" s="3">
        <f t="shared" si="53"/>
        <v>235822165.20843539</v>
      </c>
      <c r="G327" s="3">
        <f>-PMT($M$290/$D$287,26,$F$327,,0)</f>
        <v>12709193.058511863</v>
      </c>
      <c r="H327" s="3">
        <f>F327*$M$290/$D$287</f>
        <v>6318068.8428759994</v>
      </c>
      <c r="I327" s="3">
        <f t="shared" si="51"/>
        <v>6391124.2156358631</v>
      </c>
      <c r="J327" s="3">
        <f t="shared" si="52"/>
        <v>229431040.99279952</v>
      </c>
      <c r="K327" s="24"/>
      <c r="L327" s="24"/>
    </row>
    <row r="328" spans="2:13" x14ac:dyDescent="0.35">
      <c r="B328" s="1">
        <v>36</v>
      </c>
      <c r="C328" s="22">
        <v>45474</v>
      </c>
      <c r="D328" s="22">
        <v>45504</v>
      </c>
      <c r="E328" s="23">
        <v>31</v>
      </c>
      <c r="F328" s="3">
        <f t="shared" si="53"/>
        <v>229431040.99279952</v>
      </c>
      <c r="G328" s="3">
        <f t="shared" ref="G328:G352" si="54">-PMT($N$290/$D$287,25,$F$328,,0)</f>
        <v>12745224.058999773</v>
      </c>
      <c r="H328" s="3">
        <f t="shared" ref="H328:H352" si="55">F328*$N$290/$D$287</f>
        <v>6204197.7335136225</v>
      </c>
      <c r="I328" s="3">
        <f t="shared" si="51"/>
        <v>6541026.3254861506</v>
      </c>
      <c r="J328" s="3">
        <f t="shared" si="52"/>
        <v>222890014.66731337</v>
      </c>
      <c r="K328" s="24">
        <f>11900000+20000000</f>
        <v>31900000</v>
      </c>
      <c r="L328" s="24">
        <f>L317-SUM(K325:K328)</f>
        <v>31999745.498382092</v>
      </c>
    </row>
    <row r="329" spans="2:13" x14ac:dyDescent="0.35">
      <c r="B329" s="1">
        <v>37</v>
      </c>
      <c r="C329" s="22">
        <v>45505</v>
      </c>
      <c r="D329" s="22">
        <v>45535</v>
      </c>
      <c r="E329" s="23">
        <v>31</v>
      </c>
      <c r="F329" s="3">
        <f t="shared" si="53"/>
        <v>222890014.66731337</v>
      </c>
      <c r="G329" s="3">
        <f t="shared" si="54"/>
        <v>12745224.058999773</v>
      </c>
      <c r="H329" s="3">
        <f t="shared" si="55"/>
        <v>6027317.4799619326</v>
      </c>
      <c r="I329" s="3">
        <f t="shared" si="51"/>
        <v>6717906.5790378405</v>
      </c>
      <c r="J329" s="3">
        <f t="shared" si="52"/>
        <v>216172108.08827552</v>
      </c>
      <c r="K329" s="24"/>
      <c r="L329" s="31">
        <f>SUM(G318:G329)+L328</f>
        <v>183405620.04686722</v>
      </c>
      <c r="M329" s="205" t="s">
        <v>867</v>
      </c>
    </row>
    <row r="330" spans="2:13" x14ac:dyDescent="0.35">
      <c r="B330" s="1">
        <v>38</v>
      </c>
      <c r="C330" s="22">
        <v>45536</v>
      </c>
      <c r="D330" s="22">
        <v>45565</v>
      </c>
      <c r="E330" s="23">
        <v>30</v>
      </c>
      <c r="F330" s="3">
        <f t="shared" si="53"/>
        <v>216172108.08827552</v>
      </c>
      <c r="G330" s="3">
        <f t="shared" si="54"/>
        <v>12745224.058999773</v>
      </c>
      <c r="H330" s="3">
        <f t="shared" si="55"/>
        <v>5845654.0895537846</v>
      </c>
      <c r="I330" s="3">
        <f t="shared" si="51"/>
        <v>6899569.9694459885</v>
      </c>
      <c r="J330" s="3">
        <f t="shared" si="52"/>
        <v>209272538.11882955</v>
      </c>
      <c r="K330" s="7">
        <v>31900000</v>
      </c>
      <c r="L330" s="24">
        <f>L329-K330</f>
        <v>151505620.04686722</v>
      </c>
    </row>
    <row r="331" spans="2:13" x14ac:dyDescent="0.35">
      <c r="B331" s="1">
        <v>39</v>
      </c>
      <c r="C331" s="22">
        <v>45566</v>
      </c>
      <c r="D331" s="22">
        <v>45596</v>
      </c>
      <c r="E331" s="23">
        <v>31</v>
      </c>
      <c r="F331" s="3">
        <f t="shared" si="53"/>
        <v>209272538.11882955</v>
      </c>
      <c r="G331" s="3">
        <f t="shared" si="54"/>
        <v>12745224.058999773</v>
      </c>
      <c r="H331" s="3">
        <f t="shared" si="55"/>
        <v>5659078.2182966834</v>
      </c>
      <c r="I331" s="3">
        <f t="shared" si="51"/>
        <v>7086145.8407030897</v>
      </c>
      <c r="J331" s="3">
        <f t="shared" si="52"/>
        <v>202186392.27812645</v>
      </c>
      <c r="K331" s="24"/>
      <c r="L331" s="204">
        <f>L330-K331</f>
        <v>151505620.04686722</v>
      </c>
    </row>
    <row r="332" spans="2:13" x14ac:dyDescent="0.35">
      <c r="B332" s="1">
        <v>40</v>
      </c>
      <c r="C332" s="22">
        <v>45597</v>
      </c>
      <c r="D332" s="22">
        <v>45626</v>
      </c>
      <c r="E332" s="23">
        <v>30</v>
      </c>
      <c r="F332" s="3">
        <f t="shared" si="53"/>
        <v>202186392.27812645</v>
      </c>
      <c r="G332" s="3">
        <f t="shared" si="54"/>
        <v>12745224.058999773</v>
      </c>
      <c r="H332" s="3">
        <f t="shared" si="55"/>
        <v>5467457.0245210035</v>
      </c>
      <c r="I332" s="3">
        <f t="shared" si="51"/>
        <v>7277767.0344787696</v>
      </c>
      <c r="J332" s="3">
        <f t="shared" si="52"/>
        <v>194908625.24364766</v>
      </c>
      <c r="K332" s="24"/>
      <c r="L332" s="24"/>
    </row>
    <row r="333" spans="2:13" x14ac:dyDescent="0.35">
      <c r="B333" s="1">
        <v>41</v>
      </c>
      <c r="C333" s="22">
        <v>45627</v>
      </c>
      <c r="D333" s="22">
        <v>45657</v>
      </c>
      <c r="E333" s="23">
        <v>31</v>
      </c>
      <c r="F333" s="3">
        <f t="shared" si="53"/>
        <v>194908625.24364766</v>
      </c>
      <c r="G333" s="3">
        <f t="shared" si="54"/>
        <v>12745224.058999773</v>
      </c>
      <c r="H333" s="3">
        <f t="shared" si="55"/>
        <v>5270654.0742969736</v>
      </c>
      <c r="I333" s="3">
        <f t="shared" si="51"/>
        <v>7474569.9847027995</v>
      </c>
      <c r="J333" s="3">
        <f t="shared" si="52"/>
        <v>187434055.25894487</v>
      </c>
      <c r="K333" s="24"/>
      <c r="L333" s="24"/>
    </row>
    <row r="334" spans="2:13" x14ac:dyDescent="0.35">
      <c r="B334" s="1">
        <v>42</v>
      </c>
      <c r="C334" s="22">
        <v>45658</v>
      </c>
      <c r="D334" s="22">
        <v>45688</v>
      </c>
      <c r="E334" s="23">
        <v>31</v>
      </c>
      <c r="F334" s="3">
        <f t="shared" si="53"/>
        <v>187434055.25894487</v>
      </c>
      <c r="G334" s="3">
        <f t="shared" si="54"/>
        <v>12745224.058999773</v>
      </c>
      <c r="H334" s="3">
        <f t="shared" si="55"/>
        <v>5068529.2442939682</v>
      </c>
      <c r="I334" s="3">
        <f t="shared" si="51"/>
        <v>7676694.8147058049</v>
      </c>
      <c r="J334" s="3">
        <f t="shared" si="52"/>
        <v>179757360.44423905</v>
      </c>
      <c r="K334" s="24"/>
      <c r="L334" s="24"/>
    </row>
    <row r="335" spans="2:13" x14ac:dyDescent="0.35">
      <c r="B335" s="1">
        <v>43</v>
      </c>
      <c r="C335" s="22">
        <v>45689</v>
      </c>
      <c r="D335" s="22">
        <v>45716</v>
      </c>
      <c r="E335" s="23">
        <v>28</v>
      </c>
      <c r="F335" s="3">
        <f t="shared" si="53"/>
        <v>179757360.44423905</v>
      </c>
      <c r="G335" s="3">
        <f t="shared" si="54"/>
        <v>12745224.058999773</v>
      </c>
      <c r="H335" s="3">
        <f t="shared" si="55"/>
        <v>4860938.6220129654</v>
      </c>
      <c r="I335" s="3">
        <f t="shared" si="51"/>
        <v>7884285.4369868077</v>
      </c>
      <c r="J335" s="3">
        <f t="shared" si="52"/>
        <v>171873075.00725225</v>
      </c>
      <c r="K335" s="24"/>
      <c r="L335" s="24"/>
    </row>
    <row r="336" spans="2:13" x14ac:dyDescent="0.35">
      <c r="B336" s="1">
        <v>44</v>
      </c>
      <c r="C336" s="22">
        <v>45717</v>
      </c>
      <c r="D336" s="22">
        <v>45747</v>
      </c>
      <c r="E336" s="23">
        <v>31</v>
      </c>
      <c r="F336" s="3">
        <f t="shared" si="53"/>
        <v>171873075.00725225</v>
      </c>
      <c r="G336" s="3">
        <f t="shared" si="54"/>
        <v>12745224.058999773</v>
      </c>
      <c r="H336" s="3">
        <f t="shared" si="55"/>
        <v>4647734.4033211144</v>
      </c>
      <c r="I336" s="3">
        <f t="shared" si="51"/>
        <v>8097489.6556786587</v>
      </c>
      <c r="J336" s="3">
        <f t="shared" si="52"/>
        <v>163775585.35157359</v>
      </c>
      <c r="K336" s="24"/>
      <c r="L336" s="24"/>
    </row>
    <row r="337" spans="2:12" x14ac:dyDescent="0.35">
      <c r="B337" s="1">
        <v>45</v>
      </c>
      <c r="C337" s="22">
        <v>45748</v>
      </c>
      <c r="D337" s="22">
        <v>45777</v>
      </c>
      <c r="E337" s="23">
        <v>30</v>
      </c>
      <c r="F337" s="3">
        <f t="shared" si="53"/>
        <v>163775585.35157359</v>
      </c>
      <c r="G337" s="3">
        <f t="shared" si="54"/>
        <v>12745224.058999773</v>
      </c>
      <c r="H337" s="3">
        <f t="shared" si="55"/>
        <v>4428764.7872154703</v>
      </c>
      <c r="I337" s="3">
        <f t="shared" si="51"/>
        <v>8316459.2717843028</v>
      </c>
      <c r="J337" s="3">
        <f t="shared" si="52"/>
        <v>155459126.07978928</v>
      </c>
      <c r="K337" s="24"/>
      <c r="L337" s="24"/>
    </row>
    <row r="338" spans="2:12" x14ac:dyDescent="0.35">
      <c r="B338" s="1">
        <v>46</v>
      </c>
      <c r="C338" s="22">
        <v>45778</v>
      </c>
      <c r="D338" s="22">
        <v>45808</v>
      </c>
      <c r="E338" s="23">
        <v>31</v>
      </c>
      <c r="F338" s="3">
        <f t="shared" si="53"/>
        <v>155459126.07978928</v>
      </c>
      <c r="G338" s="3">
        <f t="shared" si="54"/>
        <v>12745224.058999773</v>
      </c>
      <c r="H338" s="3">
        <f t="shared" si="55"/>
        <v>4203873.8677409692</v>
      </c>
      <c r="I338" s="3">
        <f t="shared" si="51"/>
        <v>8541350.191258803</v>
      </c>
      <c r="J338" s="3">
        <f t="shared" si="52"/>
        <v>146917775.88853049</v>
      </c>
      <c r="K338" s="24"/>
      <c r="L338" s="24"/>
    </row>
    <row r="339" spans="2:12" x14ac:dyDescent="0.35">
      <c r="B339" s="1">
        <v>47</v>
      </c>
      <c r="C339" s="22">
        <v>45809</v>
      </c>
      <c r="D339" s="22">
        <v>45838</v>
      </c>
      <c r="E339" s="23">
        <v>30</v>
      </c>
      <c r="F339" s="3">
        <f t="shared" si="53"/>
        <v>146917775.88853049</v>
      </c>
      <c r="G339" s="3">
        <f t="shared" si="54"/>
        <v>12745224.058999773</v>
      </c>
      <c r="H339" s="3">
        <f t="shared" si="55"/>
        <v>3972901.5229856796</v>
      </c>
      <c r="I339" s="3">
        <f t="shared" si="51"/>
        <v>8772322.5360140931</v>
      </c>
      <c r="J339" s="3">
        <f t="shared" si="52"/>
        <v>138145453.35251641</v>
      </c>
      <c r="K339" s="24"/>
      <c r="L339" s="24"/>
    </row>
    <row r="340" spans="2:12" x14ac:dyDescent="0.35">
      <c r="B340" s="1">
        <v>48</v>
      </c>
      <c r="C340" s="22">
        <v>45839</v>
      </c>
      <c r="D340" s="22">
        <v>45869</v>
      </c>
      <c r="E340" s="23">
        <v>31</v>
      </c>
      <c r="F340" s="3">
        <f t="shared" si="53"/>
        <v>138145453.35251641</v>
      </c>
      <c r="G340" s="3">
        <f t="shared" si="54"/>
        <v>12745224.058999773</v>
      </c>
      <c r="H340" s="3">
        <f t="shared" si="55"/>
        <v>3735683.3010742986</v>
      </c>
      <c r="I340" s="3">
        <f t="shared" si="51"/>
        <v>9009540.757925475</v>
      </c>
      <c r="J340" s="3">
        <f t="shared" si="52"/>
        <v>129135912.59459093</v>
      </c>
      <c r="K340" s="24"/>
      <c r="L340" s="24"/>
    </row>
    <row r="341" spans="2:12" ht="14.5" customHeight="1" x14ac:dyDescent="0.35">
      <c r="B341" s="1">
        <v>49</v>
      </c>
      <c r="C341" s="22">
        <v>45870</v>
      </c>
      <c r="D341" s="22">
        <v>45900</v>
      </c>
      <c r="E341" s="23">
        <v>31</v>
      </c>
      <c r="F341" s="3">
        <f t="shared" si="53"/>
        <v>129135912.59459093</v>
      </c>
      <c r="G341" s="3">
        <f t="shared" si="54"/>
        <v>12745224.058999773</v>
      </c>
      <c r="H341" s="3">
        <f t="shared" si="55"/>
        <v>3492050.3030787301</v>
      </c>
      <c r="I341" s="3">
        <f t="shared" si="51"/>
        <v>9253173.7559210435</v>
      </c>
      <c r="J341" s="3">
        <f t="shared" si="52"/>
        <v>119882738.8386699</v>
      </c>
    </row>
    <row r="342" spans="2:12" ht="14.5" customHeight="1" x14ac:dyDescent="0.35">
      <c r="B342" s="1">
        <v>50</v>
      </c>
      <c r="C342" s="22">
        <v>45901</v>
      </c>
      <c r="D342" s="22">
        <v>45930</v>
      </c>
      <c r="E342" s="23">
        <v>30</v>
      </c>
      <c r="F342" s="3">
        <f t="shared" si="53"/>
        <v>119882738.8386699</v>
      </c>
      <c r="G342" s="3">
        <f t="shared" si="54"/>
        <v>12745224.058999773</v>
      </c>
      <c r="H342" s="3">
        <f t="shared" si="55"/>
        <v>3241829.0627623661</v>
      </c>
      <c r="I342" s="3">
        <f t="shared" si="51"/>
        <v>9503394.9962374065</v>
      </c>
      <c r="J342" s="3">
        <f t="shared" si="52"/>
        <v>110379343.84243248</v>
      </c>
    </row>
    <row r="343" spans="2:12" ht="14.5" customHeight="1" x14ac:dyDescent="0.35">
      <c r="B343" s="1">
        <v>51</v>
      </c>
      <c r="C343" s="22">
        <v>45931</v>
      </c>
      <c r="D343" s="22">
        <v>45961</v>
      </c>
      <c r="E343" s="23">
        <v>31</v>
      </c>
      <c r="F343" s="3">
        <f t="shared" si="53"/>
        <v>110379343.84243248</v>
      </c>
      <c r="G343" s="3">
        <f t="shared" si="54"/>
        <v>12745224.058999773</v>
      </c>
      <c r="H343" s="3">
        <f t="shared" si="55"/>
        <v>2984841.4230724457</v>
      </c>
      <c r="I343" s="3">
        <f t="shared" si="51"/>
        <v>9760382.635927327</v>
      </c>
      <c r="J343" s="3">
        <f t="shared" si="52"/>
        <v>100618961.20650515</v>
      </c>
      <c r="L343" s="24"/>
    </row>
    <row r="344" spans="2:12" ht="14.5" customHeight="1" x14ac:dyDescent="0.35">
      <c r="B344" s="1">
        <v>52</v>
      </c>
      <c r="C344" s="22">
        <v>45962</v>
      </c>
      <c r="D344" s="22">
        <v>45991</v>
      </c>
      <c r="E344" s="23">
        <v>30</v>
      </c>
      <c r="F344" s="3">
        <f t="shared" si="53"/>
        <v>100618961.20650515</v>
      </c>
      <c r="G344" s="3">
        <f t="shared" si="54"/>
        <v>12745224.058999773</v>
      </c>
      <c r="H344" s="3">
        <f t="shared" si="55"/>
        <v>2720904.4092925773</v>
      </c>
      <c r="I344" s="3">
        <f t="shared" si="51"/>
        <v>10024319.649707196</v>
      </c>
      <c r="J344" s="3">
        <f t="shared" si="52"/>
        <v>90594641.556797951</v>
      </c>
      <c r="L344" s="24"/>
    </row>
    <row r="345" spans="2:12" ht="14.5" customHeight="1" x14ac:dyDescent="0.35">
      <c r="B345" s="1">
        <v>53</v>
      </c>
      <c r="C345" s="22">
        <v>45992</v>
      </c>
      <c r="D345" s="22">
        <v>46022</v>
      </c>
      <c r="E345" s="23">
        <v>31</v>
      </c>
      <c r="F345" s="3">
        <f t="shared" si="53"/>
        <v>90594641.556797951</v>
      </c>
      <c r="G345" s="3">
        <f t="shared" si="54"/>
        <v>12745224.058999773</v>
      </c>
      <c r="H345" s="3">
        <f t="shared" si="55"/>
        <v>2449830.0987650785</v>
      </c>
      <c r="I345" s="3">
        <f t="shared" si="51"/>
        <v>10295393.960234694</v>
      </c>
      <c r="J345" s="3">
        <f t="shared" si="52"/>
        <v>80299247.59656325</v>
      </c>
      <c r="L345" s="24"/>
    </row>
    <row r="346" spans="2:12" ht="14.5" customHeight="1" x14ac:dyDescent="0.35">
      <c r="B346" s="1">
        <v>54</v>
      </c>
      <c r="C346" s="22">
        <v>46023</v>
      </c>
      <c r="D346" s="22">
        <v>46053</v>
      </c>
      <c r="E346" s="23">
        <v>31</v>
      </c>
      <c r="F346" s="3">
        <f t="shared" si="53"/>
        <v>80299247.59656325</v>
      </c>
      <c r="G346" s="3">
        <f t="shared" si="54"/>
        <v>12745224.058999773</v>
      </c>
      <c r="H346" s="3">
        <f t="shared" si="55"/>
        <v>2171425.4870903981</v>
      </c>
      <c r="I346" s="3">
        <f t="shared" si="51"/>
        <v>10573798.571909375</v>
      </c>
      <c r="J346" s="3">
        <f t="shared" si="52"/>
        <v>69725449.024653882</v>
      </c>
      <c r="L346" s="24"/>
    </row>
    <row r="347" spans="2:12" ht="14.5" customHeight="1" x14ac:dyDescent="0.35">
      <c r="B347" s="1">
        <v>55</v>
      </c>
      <c r="C347" s="22">
        <v>46054</v>
      </c>
      <c r="D347" s="22">
        <v>46081</v>
      </c>
      <c r="E347" s="23">
        <v>28</v>
      </c>
      <c r="F347" s="3">
        <f t="shared" si="53"/>
        <v>69725449.024653882</v>
      </c>
      <c r="G347" s="3">
        <f t="shared" si="54"/>
        <v>12745224.058999773</v>
      </c>
      <c r="H347" s="3">
        <f t="shared" si="55"/>
        <v>1885492.3507083489</v>
      </c>
      <c r="I347" s="3">
        <f t="shared" si="51"/>
        <v>10859731.708291424</v>
      </c>
      <c r="J347" s="3">
        <f t="shared" si="52"/>
        <v>58865717.316362455</v>
      </c>
      <c r="L347" s="24"/>
    </row>
    <row r="348" spans="2:12" ht="14.5" customHeight="1" x14ac:dyDescent="0.35">
      <c r="B348" s="1">
        <v>56</v>
      </c>
      <c r="C348" s="22">
        <v>46082</v>
      </c>
      <c r="D348" s="22">
        <v>46112</v>
      </c>
      <c r="E348" s="23">
        <v>31</v>
      </c>
      <c r="F348" s="3">
        <f t="shared" si="53"/>
        <v>58865717.316362455</v>
      </c>
      <c r="G348" s="3">
        <f t="shared" si="54"/>
        <v>12745224.058999773</v>
      </c>
      <c r="H348" s="3">
        <f t="shared" si="55"/>
        <v>1591827.105763302</v>
      </c>
      <c r="I348" s="3">
        <f t="shared" si="51"/>
        <v>11153396.953236472</v>
      </c>
      <c r="J348" s="3">
        <f t="shared" si="52"/>
        <v>47712320.36312598</v>
      </c>
      <c r="L348" s="24"/>
    </row>
    <row r="349" spans="2:12" ht="14.5" customHeight="1" x14ac:dyDescent="0.35">
      <c r="B349" s="1">
        <v>57</v>
      </c>
      <c r="C349" s="22">
        <v>46113</v>
      </c>
      <c r="D349" s="22">
        <v>46142</v>
      </c>
      <c r="E349" s="23">
        <v>30</v>
      </c>
      <c r="F349" s="3">
        <f t="shared" si="53"/>
        <v>47712320.36312598</v>
      </c>
      <c r="G349" s="3">
        <f t="shared" si="54"/>
        <v>12745224.058999773</v>
      </c>
      <c r="H349" s="3">
        <f t="shared" si="55"/>
        <v>1290220.6631528654</v>
      </c>
      <c r="I349" s="3">
        <f t="shared" si="51"/>
        <v>11455003.395846907</v>
      </c>
      <c r="J349" s="3">
        <f t="shared" si="52"/>
        <v>36257316.967279077</v>
      </c>
      <c r="L349" s="24"/>
    </row>
    <row r="350" spans="2:12" ht="14.5" customHeight="1" x14ac:dyDescent="0.35">
      <c r="B350" s="1">
        <v>58</v>
      </c>
      <c r="C350" s="22">
        <v>46143</v>
      </c>
      <c r="D350" s="22">
        <v>46173</v>
      </c>
      <c r="E350" s="23">
        <v>31</v>
      </c>
      <c r="F350" s="3">
        <f t="shared" si="53"/>
        <v>36257316.967279077</v>
      </c>
      <c r="G350" s="3">
        <f t="shared" si="54"/>
        <v>12745224.058999773</v>
      </c>
      <c r="H350" s="3">
        <f t="shared" si="55"/>
        <v>980458.27965683863</v>
      </c>
      <c r="I350" s="3">
        <f t="shared" si="51"/>
        <v>11764765.779342934</v>
      </c>
      <c r="J350" s="3">
        <f t="shared" si="52"/>
        <v>24492551.187936142</v>
      </c>
      <c r="L350" s="24"/>
    </row>
    <row r="351" spans="2:12" x14ac:dyDescent="0.35">
      <c r="B351" s="1">
        <v>59</v>
      </c>
      <c r="C351" s="22">
        <v>46174</v>
      </c>
      <c r="D351" s="22">
        <v>46203</v>
      </c>
      <c r="E351" s="23">
        <v>30</v>
      </c>
      <c r="F351" s="3">
        <f t="shared" si="53"/>
        <v>24492551.187936142</v>
      </c>
      <c r="G351" s="3">
        <f t="shared" si="54"/>
        <v>12745224.058999773</v>
      </c>
      <c r="H351" s="3">
        <f t="shared" si="55"/>
        <v>662319.40504044003</v>
      </c>
      <c r="I351" s="3">
        <f t="shared" si="51"/>
        <v>12082904.653959334</v>
      </c>
      <c r="J351" s="3">
        <f t="shared" si="52"/>
        <v>12409646.533976808</v>
      </c>
      <c r="K351" s="141"/>
      <c r="L351" s="24"/>
    </row>
    <row r="352" spans="2:12" ht="14.5" customHeight="1" x14ac:dyDescent="0.35">
      <c r="B352" s="1">
        <v>60</v>
      </c>
      <c r="C352" s="22">
        <v>46204</v>
      </c>
      <c r="D352" s="22">
        <v>46234</v>
      </c>
      <c r="E352" s="23">
        <v>31</v>
      </c>
      <c r="F352" s="3">
        <f t="shared" si="53"/>
        <v>12409646.533976808</v>
      </c>
      <c r="G352" s="3">
        <f t="shared" si="54"/>
        <v>12745224.058999773</v>
      </c>
      <c r="H352" s="3">
        <f t="shared" si="55"/>
        <v>335577.52502295625</v>
      </c>
      <c r="I352" s="3">
        <f t="shared" si="51"/>
        <v>12409646.533976818</v>
      </c>
      <c r="J352" s="3">
        <f t="shared" si="52"/>
        <v>0</v>
      </c>
      <c r="L352" s="24"/>
    </row>
    <row r="353" spans="2:19" x14ac:dyDescent="0.35">
      <c r="B353" s="1"/>
      <c r="C353" s="22"/>
      <c r="D353" s="22"/>
      <c r="E353" s="23"/>
      <c r="F353" s="3"/>
      <c r="G353" s="3"/>
      <c r="H353" s="3"/>
      <c r="I353" s="3"/>
      <c r="J353" s="3"/>
      <c r="K353" s="24"/>
      <c r="L353" s="24"/>
    </row>
    <row r="354" spans="2:19" x14ac:dyDescent="0.35">
      <c r="B354" s="1"/>
      <c r="C354" s="1"/>
      <c r="D354" s="1"/>
      <c r="E354" s="28">
        <f>SUM(E293:E352)</f>
        <v>1826</v>
      </c>
      <c r="F354" s="3"/>
      <c r="G354" s="3"/>
      <c r="H354" s="3"/>
      <c r="I354" s="3"/>
      <c r="J354" s="3"/>
      <c r="K354" s="1"/>
      <c r="L354" s="1"/>
    </row>
    <row r="357" spans="2:19" x14ac:dyDescent="0.35">
      <c r="B357" s="1"/>
      <c r="C357" s="8" t="s">
        <v>868</v>
      </c>
      <c r="D357" s="3"/>
      <c r="E357" s="3"/>
      <c r="F357" s="3"/>
      <c r="G357" s="3"/>
      <c r="H357" s="3"/>
      <c r="I357" s="231" t="s">
        <v>827</v>
      </c>
      <c r="J357" s="3"/>
      <c r="K357" s="3"/>
      <c r="L357" s="3"/>
      <c r="R357" s="438" t="s">
        <v>832</v>
      </c>
      <c r="S357" s="432" t="str">
        <f>IFERROR(INDEX(Blocks!$I$2:$I$101,MATCH(6,Blocks!$A$2:$A$101,0)),"")</f>
        <v>000104420000006</v>
      </c>
    </row>
    <row r="358" spans="2:19" x14ac:dyDescent="0.35">
      <c r="B358" s="1"/>
      <c r="C358" s="1"/>
      <c r="D358" s="3"/>
      <c r="E358" s="3"/>
      <c r="F358" s="3" t="s">
        <v>863</v>
      </c>
      <c r="G358" s="3"/>
      <c r="H358" s="231">
        <v>44805</v>
      </c>
      <c r="I358" s="231">
        <v>44866</v>
      </c>
      <c r="J358" s="3"/>
      <c r="K358" s="3"/>
      <c r="L358" s="3"/>
      <c r="R358" s="438" t="s">
        <v>834</v>
      </c>
      <c r="S358" s="432" t="str">
        <f>IFERROR(INDEX(Blocks!$H$2:$H$101,MATCH(6,Blocks!$A$2:$A$101,0)),"")</f>
        <v>Nsanama Women Cooperatives</v>
      </c>
    </row>
    <row r="359" spans="2:19" x14ac:dyDescent="0.35">
      <c r="B359" s="1"/>
      <c r="C359" s="9" t="s">
        <v>835</v>
      </c>
      <c r="D359" s="10">
        <f>'[3]J11B-Term Loans - Pmts Summ'!H10</f>
        <v>12055000</v>
      </c>
      <c r="E359" s="3"/>
      <c r="F359" s="267" t="s">
        <v>835</v>
      </c>
      <c r="G359" s="10">
        <v>4486895.4494629474</v>
      </c>
      <c r="H359" s="231" t="s">
        <v>836</v>
      </c>
      <c r="I359" s="231" t="s">
        <v>836</v>
      </c>
      <c r="J359" s="3"/>
      <c r="K359" s="3"/>
      <c r="L359" s="3"/>
      <c r="R359" s="438" t="s">
        <v>223</v>
      </c>
      <c r="S359" s="433">
        <f>IFERROR(INDEX('E-Banker master'!$N$2:$N$186,MATCH(S357,'E-Banker master'!$A$2:$A$186,0)),"")</f>
        <v>12055000</v>
      </c>
    </row>
    <row r="360" spans="2:19" x14ac:dyDescent="0.35">
      <c r="B360" s="1"/>
      <c r="C360" s="11" t="s">
        <v>837</v>
      </c>
      <c r="D360" s="12">
        <v>0.19819999999999999</v>
      </c>
      <c r="E360" s="13"/>
      <c r="F360" s="268" t="s">
        <v>837</v>
      </c>
      <c r="G360" s="266">
        <v>0.20019999999999999</v>
      </c>
      <c r="H360" s="3">
        <f>G360+0.4%</f>
        <v>0.20419999999999999</v>
      </c>
      <c r="I360" s="3">
        <f>H360+2.7%</f>
        <v>0.23119999999999999</v>
      </c>
      <c r="J360" s="3"/>
      <c r="K360" s="3"/>
      <c r="L360" s="3"/>
      <c r="R360" s="438" t="s">
        <v>52</v>
      </c>
      <c r="S360" s="433">
        <f>IFERROR(INDEX('E-Banker master'!$P$2:$P$186,MATCH(S357,'E-Banker master'!$A$2:$A$186,0)),"")</f>
        <v>13568451.130000001</v>
      </c>
    </row>
    <row r="361" spans="2:19" x14ac:dyDescent="0.35">
      <c r="B361" s="1"/>
      <c r="C361" s="11" t="s">
        <v>838</v>
      </c>
      <c r="D361" s="14">
        <v>2</v>
      </c>
      <c r="E361" s="1"/>
      <c r="F361" s="268" t="s">
        <v>838</v>
      </c>
      <c r="G361" s="266">
        <v>2</v>
      </c>
      <c r="H361" s="3"/>
      <c r="I361" s="3"/>
      <c r="J361" s="3"/>
      <c r="K361" s="1"/>
      <c r="L361" s="1"/>
    </row>
    <row r="362" spans="2:19" x14ac:dyDescent="0.35">
      <c r="B362" s="1"/>
      <c r="C362" s="11" t="s">
        <v>839</v>
      </c>
      <c r="D362" s="14">
        <v>12</v>
      </c>
      <c r="E362" s="1"/>
      <c r="F362" s="268" t="s">
        <v>839</v>
      </c>
      <c r="G362" s="266">
        <v>12</v>
      </c>
      <c r="H362" s="3"/>
      <c r="I362" s="3">
        <f>+G360-D360</f>
        <v>2.0000000000000018E-3</v>
      </c>
      <c r="J362" s="3"/>
      <c r="K362" s="1"/>
      <c r="L362" s="1"/>
    </row>
    <row r="363" spans="2:19" x14ac:dyDescent="0.35">
      <c r="B363" s="1"/>
      <c r="C363" s="11" t="s">
        <v>843</v>
      </c>
      <c r="D363" s="15">
        <f>D361*D362</f>
        <v>24</v>
      </c>
      <c r="E363" s="1"/>
      <c r="F363" s="268" t="s">
        <v>843</v>
      </c>
      <c r="G363" s="266">
        <v>7</v>
      </c>
      <c r="H363" s="3"/>
      <c r="I363" s="3"/>
      <c r="J363" s="3"/>
      <c r="K363" s="1"/>
      <c r="L363" s="1"/>
    </row>
    <row r="364" spans="2:19" x14ac:dyDescent="0.35">
      <c r="B364" s="1"/>
      <c r="C364" s="11" t="s">
        <v>844</v>
      </c>
      <c r="D364" s="16">
        <v>365</v>
      </c>
      <c r="E364" s="1"/>
      <c r="F364" s="268" t="s">
        <v>844</v>
      </c>
      <c r="G364" s="266">
        <v>365</v>
      </c>
      <c r="H364" s="3"/>
      <c r="I364" s="3"/>
      <c r="J364" s="3"/>
      <c r="K364" s="1"/>
      <c r="L364" s="1"/>
    </row>
    <row r="365" spans="2:19" x14ac:dyDescent="0.35">
      <c r="B365" s="1"/>
      <c r="C365" s="17" t="s">
        <v>845</v>
      </c>
      <c r="D365" s="18">
        <f>-PMT(D360/D362,D363,D359,0,0)</f>
        <v>612489.38553580537</v>
      </c>
      <c r="E365" s="3"/>
      <c r="F365" s="269" t="s">
        <v>845</v>
      </c>
      <c r="G365" s="18">
        <f>-PMT(G360/G362,G363,G359,0,0)</f>
        <v>684467.71602438134</v>
      </c>
      <c r="H365" s="3"/>
      <c r="I365" s="3"/>
      <c r="J365" s="3"/>
      <c r="K365" s="1"/>
      <c r="L365" s="1"/>
    </row>
    <row r="366" spans="2:19" x14ac:dyDescent="0.35">
      <c r="B366" s="1"/>
      <c r="C366" s="1"/>
      <c r="D366" s="3"/>
      <c r="E366" s="3"/>
      <c r="F366" s="3"/>
      <c r="G366" s="3"/>
      <c r="H366" s="3"/>
      <c r="I366" s="3"/>
      <c r="J366" s="3"/>
      <c r="K366" s="1"/>
      <c r="L366" s="1"/>
    </row>
    <row r="367" spans="2:19" x14ac:dyDescent="0.35">
      <c r="B367" s="1"/>
      <c r="C367" s="19" t="s">
        <v>846</v>
      </c>
      <c r="D367" s="20" t="s">
        <v>847</v>
      </c>
      <c r="E367" s="20" t="s">
        <v>764</v>
      </c>
      <c r="F367" s="270" t="s">
        <v>848</v>
      </c>
      <c r="G367" s="270" t="s">
        <v>849</v>
      </c>
      <c r="H367" s="270" t="s">
        <v>742</v>
      </c>
      <c r="I367" s="270" t="s">
        <v>740</v>
      </c>
      <c r="J367" s="270" t="s">
        <v>850</v>
      </c>
      <c r="K367" s="21" t="s">
        <v>851</v>
      </c>
      <c r="L367" s="21" t="s">
        <v>852</v>
      </c>
    </row>
    <row r="368" spans="2:19" x14ac:dyDescent="0.35">
      <c r="B368" s="1">
        <v>1</v>
      </c>
      <c r="C368" s="22">
        <v>44076</v>
      </c>
      <c r="D368" s="22">
        <v>44104</v>
      </c>
      <c r="E368" s="23">
        <f t="shared" ref="E368:E394" si="56">D368-C368+1</f>
        <v>29</v>
      </c>
      <c r="F368" s="3">
        <f>D359</f>
        <v>12055000</v>
      </c>
      <c r="G368" s="3">
        <v>0</v>
      </c>
      <c r="H368" s="3">
        <f>$D$360/$D$362*F368*28/30</f>
        <v>185834.52222222221</v>
      </c>
      <c r="I368" s="3">
        <v>0</v>
      </c>
      <c r="J368" s="3">
        <f t="shared" ref="J368:J394" si="57">F368-I368</f>
        <v>12055000</v>
      </c>
      <c r="K368" s="24">
        <v>0</v>
      </c>
      <c r="L368" s="24">
        <f>H368-K368</f>
        <v>185834.52222222221</v>
      </c>
    </row>
    <row r="369" spans="2:12" x14ac:dyDescent="0.35">
      <c r="B369" s="1">
        <v>2</v>
      </c>
      <c r="C369" s="22">
        <v>44105</v>
      </c>
      <c r="D369" s="22">
        <v>44135</v>
      </c>
      <c r="E369" s="23">
        <f t="shared" si="56"/>
        <v>31</v>
      </c>
      <c r="F369" s="3">
        <f t="shared" ref="F369:F394" si="58">J368</f>
        <v>12055000</v>
      </c>
      <c r="G369" s="3">
        <v>0</v>
      </c>
      <c r="H369" s="3">
        <f t="shared" ref="H369:H387" si="59">$D$360/$D$362*F369</f>
        <v>199108.41666666666</v>
      </c>
      <c r="I369" s="3">
        <v>0</v>
      </c>
      <c r="J369" s="3">
        <f t="shared" si="57"/>
        <v>12055000</v>
      </c>
      <c r="K369" s="24">
        <v>0</v>
      </c>
      <c r="L369" s="24">
        <f>H369-K369+L368</f>
        <v>384942.93888888886</v>
      </c>
    </row>
    <row r="370" spans="2:12" x14ac:dyDescent="0.35">
      <c r="B370" s="1">
        <v>3</v>
      </c>
      <c r="C370" s="22">
        <v>44136</v>
      </c>
      <c r="D370" s="22">
        <v>44165</v>
      </c>
      <c r="E370" s="23">
        <f t="shared" si="56"/>
        <v>30</v>
      </c>
      <c r="F370" s="3">
        <f t="shared" si="58"/>
        <v>12055000</v>
      </c>
      <c r="G370" s="3">
        <v>0</v>
      </c>
      <c r="H370" s="3">
        <f t="shared" si="59"/>
        <v>199108.41666666666</v>
      </c>
      <c r="I370" s="3">
        <v>0</v>
      </c>
      <c r="J370" s="3">
        <f t="shared" si="57"/>
        <v>12055000</v>
      </c>
      <c r="K370" s="24">
        <v>0</v>
      </c>
      <c r="L370" s="24">
        <f>H370-K370+L369</f>
        <v>584051.35555555555</v>
      </c>
    </row>
    <row r="371" spans="2:12" x14ac:dyDescent="0.35">
      <c r="B371" s="1">
        <v>4</v>
      </c>
      <c r="C371" s="22">
        <v>44166</v>
      </c>
      <c r="D371" s="22">
        <v>44196</v>
      </c>
      <c r="E371" s="23">
        <f t="shared" si="56"/>
        <v>31</v>
      </c>
      <c r="F371" s="3">
        <f t="shared" si="58"/>
        <v>12055000</v>
      </c>
      <c r="G371" s="3">
        <v>0</v>
      </c>
      <c r="H371" s="3">
        <f t="shared" si="59"/>
        <v>199108.41666666666</v>
      </c>
      <c r="I371" s="3">
        <v>0</v>
      </c>
      <c r="J371" s="3">
        <f t="shared" si="57"/>
        <v>12055000</v>
      </c>
      <c r="K371" s="24">
        <v>600000</v>
      </c>
      <c r="L371" s="24">
        <f>H371-K371+L370</f>
        <v>183159.77222222218</v>
      </c>
    </row>
    <row r="372" spans="2:12" x14ac:dyDescent="0.35">
      <c r="B372" s="1">
        <v>5</v>
      </c>
      <c r="C372" s="22">
        <v>44197</v>
      </c>
      <c r="D372" s="22">
        <v>44227</v>
      </c>
      <c r="E372" s="23">
        <f t="shared" si="56"/>
        <v>31</v>
      </c>
      <c r="F372" s="3">
        <f t="shared" si="58"/>
        <v>12055000</v>
      </c>
      <c r="G372" s="3">
        <v>0</v>
      </c>
      <c r="H372" s="3">
        <f t="shared" si="59"/>
        <v>199108.41666666666</v>
      </c>
      <c r="I372" s="3">
        <v>0</v>
      </c>
      <c r="J372" s="3">
        <f t="shared" si="57"/>
        <v>12055000</v>
      </c>
      <c r="K372" s="24">
        <v>0</v>
      </c>
      <c r="L372" s="24">
        <f>H372-K372+L371</f>
        <v>382268.18888888881</v>
      </c>
    </row>
    <row r="373" spans="2:12" x14ac:dyDescent="0.35">
      <c r="B373" s="1">
        <v>6</v>
      </c>
      <c r="C373" s="22">
        <v>44228</v>
      </c>
      <c r="D373" s="22">
        <v>44255</v>
      </c>
      <c r="E373" s="23">
        <f t="shared" si="56"/>
        <v>28</v>
      </c>
      <c r="F373" s="3">
        <f t="shared" si="58"/>
        <v>12055000</v>
      </c>
      <c r="G373" s="3">
        <v>0</v>
      </c>
      <c r="H373" s="3">
        <f t="shared" si="59"/>
        <v>199108.41666666666</v>
      </c>
      <c r="I373" s="3">
        <v>0</v>
      </c>
      <c r="J373" s="3">
        <f t="shared" si="57"/>
        <v>12055000</v>
      </c>
      <c r="K373" s="24">
        <v>400000</v>
      </c>
      <c r="L373" s="24">
        <f>H373-K373+L372</f>
        <v>181376.60555555546</v>
      </c>
    </row>
    <row r="374" spans="2:12" x14ac:dyDescent="0.35">
      <c r="B374" s="1">
        <v>7</v>
      </c>
      <c r="C374" s="22">
        <v>44256</v>
      </c>
      <c r="D374" s="22">
        <v>44286</v>
      </c>
      <c r="E374" s="23">
        <f t="shared" si="56"/>
        <v>31</v>
      </c>
      <c r="F374" s="3">
        <f t="shared" si="58"/>
        <v>12055000</v>
      </c>
      <c r="G374" s="3">
        <f t="shared" ref="G374:G387" si="60">-PMT($D$360/$D$362,21,$F$371,,0)</f>
        <v>684026.38589172612</v>
      </c>
      <c r="H374" s="3">
        <f t="shared" si="59"/>
        <v>199108.41666666666</v>
      </c>
      <c r="I374" s="3">
        <f t="shared" ref="I374:I394" si="61">G374-H374</f>
        <v>484917.9692250595</v>
      </c>
      <c r="J374" s="3">
        <f t="shared" si="57"/>
        <v>11570082.03077494</v>
      </c>
      <c r="K374" s="24">
        <v>200000</v>
      </c>
      <c r="L374" s="24">
        <f t="shared" ref="L374:L394" si="62">G374-K374+L373</f>
        <v>665402.99144728156</v>
      </c>
    </row>
    <row r="375" spans="2:12" x14ac:dyDescent="0.35">
      <c r="B375" s="1">
        <v>8</v>
      </c>
      <c r="C375" s="22">
        <v>44287</v>
      </c>
      <c r="D375" s="22">
        <v>44316</v>
      </c>
      <c r="E375" s="23">
        <f t="shared" si="56"/>
        <v>30</v>
      </c>
      <c r="F375" s="3">
        <f t="shared" si="58"/>
        <v>11570082.03077494</v>
      </c>
      <c r="G375" s="3">
        <f t="shared" si="60"/>
        <v>684026.38589172612</v>
      </c>
      <c r="H375" s="3">
        <f t="shared" si="59"/>
        <v>191099.1882082994</v>
      </c>
      <c r="I375" s="3">
        <f t="shared" si="61"/>
        <v>492927.19768342673</v>
      </c>
      <c r="J375" s="3">
        <f t="shared" si="57"/>
        <v>11077154.833091512</v>
      </c>
      <c r="K375" s="24">
        <v>0</v>
      </c>
      <c r="L375" s="26">
        <f t="shared" si="62"/>
        <v>1349429.3773390078</v>
      </c>
    </row>
    <row r="376" spans="2:12" x14ac:dyDescent="0.35">
      <c r="B376" s="1">
        <v>9</v>
      </c>
      <c r="C376" s="22">
        <v>44317</v>
      </c>
      <c r="D376" s="22">
        <v>44347</v>
      </c>
      <c r="E376" s="23">
        <f t="shared" si="56"/>
        <v>31</v>
      </c>
      <c r="F376" s="3">
        <f t="shared" si="58"/>
        <v>11077154.833091512</v>
      </c>
      <c r="G376" s="3">
        <f t="shared" si="60"/>
        <v>684026.38589172612</v>
      </c>
      <c r="H376" s="3">
        <f t="shared" si="59"/>
        <v>182957.67399322812</v>
      </c>
      <c r="I376" s="3">
        <f t="shared" si="61"/>
        <v>501068.711898498</v>
      </c>
      <c r="J376" s="3">
        <f t="shared" si="57"/>
        <v>10576086.121193014</v>
      </c>
      <c r="K376" s="24">
        <v>0</v>
      </c>
      <c r="L376" s="24">
        <f t="shared" si="62"/>
        <v>2033455.763230734</v>
      </c>
    </row>
    <row r="377" spans="2:12" x14ac:dyDescent="0.35">
      <c r="B377" s="1">
        <v>10</v>
      </c>
      <c r="C377" s="22">
        <v>44348</v>
      </c>
      <c r="D377" s="22">
        <v>44377</v>
      </c>
      <c r="E377" s="23">
        <f t="shared" si="56"/>
        <v>30</v>
      </c>
      <c r="F377" s="3">
        <f t="shared" si="58"/>
        <v>10576086.121193014</v>
      </c>
      <c r="G377" s="3">
        <f t="shared" si="60"/>
        <v>684026.38589172612</v>
      </c>
      <c r="H377" s="3">
        <f t="shared" si="59"/>
        <v>174681.6891017046</v>
      </c>
      <c r="I377" s="3">
        <f t="shared" si="61"/>
        <v>509344.69679002149</v>
      </c>
      <c r="J377" s="3">
        <f t="shared" si="57"/>
        <v>10066741.424402993</v>
      </c>
      <c r="K377" s="24">
        <v>0</v>
      </c>
      <c r="L377" s="24">
        <f t="shared" si="62"/>
        <v>2717482.1491224603</v>
      </c>
    </row>
    <row r="378" spans="2:12" x14ac:dyDescent="0.35">
      <c r="B378" s="1">
        <v>11</v>
      </c>
      <c r="C378" s="22">
        <v>44378</v>
      </c>
      <c r="D378" s="22">
        <v>44408</v>
      </c>
      <c r="E378" s="23">
        <f t="shared" si="56"/>
        <v>31</v>
      </c>
      <c r="F378" s="3">
        <f t="shared" si="58"/>
        <v>10066741.424402993</v>
      </c>
      <c r="G378" s="3">
        <f t="shared" si="60"/>
        <v>684026.38589172612</v>
      </c>
      <c r="H378" s="3">
        <f t="shared" si="59"/>
        <v>166269.01252638942</v>
      </c>
      <c r="I378" s="3">
        <f t="shared" si="61"/>
        <v>517757.37336533668</v>
      </c>
      <c r="J378" s="3">
        <f t="shared" si="57"/>
        <v>9548984.0510376561</v>
      </c>
      <c r="K378" s="24"/>
      <c r="L378" s="26">
        <f t="shared" si="62"/>
        <v>3401508.5350141865</v>
      </c>
    </row>
    <row r="379" spans="2:12" x14ac:dyDescent="0.35">
      <c r="B379" s="1">
        <v>12</v>
      </c>
      <c r="C379" s="22">
        <v>44409</v>
      </c>
      <c r="D379" s="22">
        <v>44439</v>
      </c>
      <c r="E379" s="23">
        <f t="shared" si="56"/>
        <v>31</v>
      </c>
      <c r="F379" s="3">
        <f t="shared" si="58"/>
        <v>9548984.0510376561</v>
      </c>
      <c r="G379" s="3">
        <f t="shared" si="60"/>
        <v>684026.38589172612</v>
      </c>
      <c r="H379" s="3">
        <f t="shared" si="59"/>
        <v>157717.38657630529</v>
      </c>
      <c r="I379" s="3">
        <f t="shared" si="61"/>
        <v>526308.99931542086</v>
      </c>
      <c r="J379" s="3">
        <f t="shared" si="57"/>
        <v>9022675.051722236</v>
      </c>
      <c r="K379" s="24">
        <v>800000</v>
      </c>
      <c r="L379" s="24">
        <f t="shared" si="62"/>
        <v>3285534.9209059128</v>
      </c>
    </row>
    <row r="380" spans="2:12" x14ac:dyDescent="0.35">
      <c r="B380" s="1">
        <v>13</v>
      </c>
      <c r="C380" s="22">
        <v>44440</v>
      </c>
      <c r="D380" s="22">
        <v>44469</v>
      </c>
      <c r="E380" s="23">
        <f t="shared" si="56"/>
        <v>30</v>
      </c>
      <c r="F380" s="3">
        <f t="shared" si="58"/>
        <v>9022675.051722236</v>
      </c>
      <c r="G380" s="3">
        <f t="shared" si="60"/>
        <v>684026.38589172612</v>
      </c>
      <c r="H380" s="3">
        <f t="shared" si="59"/>
        <v>149024.51627094558</v>
      </c>
      <c r="I380" s="3">
        <f t="shared" si="61"/>
        <v>535001.86962078058</v>
      </c>
      <c r="J380" s="3">
        <f t="shared" si="57"/>
        <v>8487673.1821014546</v>
      </c>
      <c r="K380" s="24">
        <v>0</v>
      </c>
      <c r="L380" s="24">
        <f t="shared" si="62"/>
        <v>3969561.306797639</v>
      </c>
    </row>
    <row r="381" spans="2:12" x14ac:dyDescent="0.35">
      <c r="B381" s="1">
        <v>14</v>
      </c>
      <c r="C381" s="22">
        <v>44470</v>
      </c>
      <c r="D381" s="22">
        <v>44500</v>
      </c>
      <c r="E381" s="23">
        <f t="shared" si="56"/>
        <v>31</v>
      </c>
      <c r="F381" s="3">
        <f t="shared" si="58"/>
        <v>8487673.1821014546</v>
      </c>
      <c r="G381" s="3">
        <f t="shared" si="60"/>
        <v>684026.38589172612</v>
      </c>
      <c r="H381" s="3">
        <f t="shared" si="59"/>
        <v>140188.06872437568</v>
      </c>
      <c r="I381" s="3">
        <f t="shared" si="61"/>
        <v>543838.31716735044</v>
      </c>
      <c r="J381" s="3">
        <f t="shared" si="57"/>
        <v>7943834.8649341045</v>
      </c>
      <c r="K381" s="24">
        <v>0</v>
      </c>
      <c r="L381" s="24">
        <f t="shared" si="62"/>
        <v>4653587.6926893648</v>
      </c>
    </row>
    <row r="382" spans="2:12" x14ac:dyDescent="0.35">
      <c r="B382" s="1">
        <v>15</v>
      </c>
      <c r="C382" s="22">
        <v>44501</v>
      </c>
      <c r="D382" s="22">
        <v>44530</v>
      </c>
      <c r="E382" s="23">
        <f t="shared" si="56"/>
        <v>30</v>
      </c>
      <c r="F382" s="3">
        <f t="shared" si="58"/>
        <v>7943834.8649341045</v>
      </c>
      <c r="G382" s="3">
        <f t="shared" si="60"/>
        <v>684026.38589172612</v>
      </c>
      <c r="H382" s="3">
        <f t="shared" si="59"/>
        <v>131205.67251916163</v>
      </c>
      <c r="I382" s="3">
        <f t="shared" si="61"/>
        <v>552820.71337256453</v>
      </c>
      <c r="J382" s="3">
        <f t="shared" si="57"/>
        <v>7391014.1515615396</v>
      </c>
      <c r="K382" s="24">
        <v>0</v>
      </c>
      <c r="L382" s="24">
        <f t="shared" si="62"/>
        <v>5337614.078581091</v>
      </c>
    </row>
    <row r="383" spans="2:12" x14ac:dyDescent="0.35">
      <c r="B383" s="1">
        <v>16</v>
      </c>
      <c r="C383" s="22">
        <v>44531</v>
      </c>
      <c r="D383" s="22">
        <v>44561</v>
      </c>
      <c r="E383" s="23">
        <f t="shared" si="56"/>
        <v>31</v>
      </c>
      <c r="F383" s="3">
        <f t="shared" si="58"/>
        <v>7391014.1515615396</v>
      </c>
      <c r="G383" s="3">
        <f t="shared" si="60"/>
        <v>684026.38589172612</v>
      </c>
      <c r="H383" s="3">
        <f t="shared" si="59"/>
        <v>122074.91706995809</v>
      </c>
      <c r="I383" s="3">
        <f t="shared" si="61"/>
        <v>561951.46882176807</v>
      </c>
      <c r="J383" s="3">
        <f t="shared" si="57"/>
        <v>6829062.6827397719</v>
      </c>
      <c r="K383" s="24">
        <v>0</v>
      </c>
      <c r="L383" s="24">
        <f t="shared" si="62"/>
        <v>6021640.4644728173</v>
      </c>
    </row>
    <row r="384" spans="2:12" x14ac:dyDescent="0.35">
      <c r="B384" s="1">
        <v>17</v>
      </c>
      <c r="C384" s="22">
        <v>44562</v>
      </c>
      <c r="D384" s="22">
        <v>44592</v>
      </c>
      <c r="E384" s="23">
        <f t="shared" si="56"/>
        <v>31</v>
      </c>
      <c r="F384" s="3">
        <f t="shared" si="58"/>
        <v>6829062.6827397719</v>
      </c>
      <c r="G384" s="3">
        <f t="shared" si="60"/>
        <v>684026.38589172612</v>
      </c>
      <c r="H384" s="3">
        <f t="shared" si="59"/>
        <v>112793.35197658523</v>
      </c>
      <c r="I384" s="3">
        <f t="shared" si="61"/>
        <v>571233.0339151409</v>
      </c>
      <c r="J384" s="3">
        <f t="shared" si="57"/>
        <v>6257829.6488246312</v>
      </c>
      <c r="K384" s="24">
        <v>0</v>
      </c>
      <c r="L384" s="24">
        <f t="shared" si="62"/>
        <v>6705666.8503645435</v>
      </c>
    </row>
    <row r="385" spans="2:19" x14ac:dyDescent="0.35">
      <c r="B385" s="1">
        <v>18</v>
      </c>
      <c r="C385" s="22">
        <v>44593</v>
      </c>
      <c r="D385" s="22">
        <v>44620</v>
      </c>
      <c r="E385" s="23">
        <f t="shared" si="56"/>
        <v>28</v>
      </c>
      <c r="F385" s="3">
        <f t="shared" si="58"/>
        <v>6257829.6488246312</v>
      </c>
      <c r="G385" s="3">
        <f t="shared" si="60"/>
        <v>684026.38589172612</v>
      </c>
      <c r="H385" s="3">
        <f t="shared" si="59"/>
        <v>103358.48636642015</v>
      </c>
      <c r="I385" s="3">
        <f t="shared" si="61"/>
        <v>580667.89952530595</v>
      </c>
      <c r="J385" s="3">
        <f t="shared" si="57"/>
        <v>5677161.749299325</v>
      </c>
      <c r="K385" s="24"/>
      <c r="L385" s="24">
        <f t="shared" si="62"/>
        <v>7389693.2362562697</v>
      </c>
    </row>
    <row r="386" spans="2:19" x14ac:dyDescent="0.35">
      <c r="B386" s="1">
        <v>19</v>
      </c>
      <c r="C386" s="22">
        <v>44621</v>
      </c>
      <c r="D386" s="22">
        <v>44651</v>
      </c>
      <c r="E386" s="23">
        <f t="shared" si="56"/>
        <v>31</v>
      </c>
      <c r="F386" s="3">
        <f t="shared" si="58"/>
        <v>5677161.749299325</v>
      </c>
      <c r="G386" s="3">
        <f t="shared" si="60"/>
        <v>684026.38589172612</v>
      </c>
      <c r="H386" s="3">
        <f t="shared" si="59"/>
        <v>93767.788225927186</v>
      </c>
      <c r="I386" s="3">
        <f t="shared" si="61"/>
        <v>590258.59766579897</v>
      </c>
      <c r="J386" s="3">
        <f t="shared" si="57"/>
        <v>5086903.1516335262</v>
      </c>
      <c r="K386" s="24"/>
      <c r="L386" s="24">
        <f t="shared" si="62"/>
        <v>8073719.622147996</v>
      </c>
    </row>
    <row r="387" spans="2:19" x14ac:dyDescent="0.35">
      <c r="B387" s="1">
        <v>20</v>
      </c>
      <c r="C387" s="22">
        <v>44652</v>
      </c>
      <c r="D387" s="22">
        <v>44681</v>
      </c>
      <c r="E387" s="23">
        <f t="shared" si="56"/>
        <v>30</v>
      </c>
      <c r="F387" s="3">
        <f t="shared" si="58"/>
        <v>5086903.1516335262</v>
      </c>
      <c r="G387" s="3">
        <f t="shared" si="60"/>
        <v>684026.38589172612</v>
      </c>
      <c r="H387" s="3">
        <f t="shared" si="59"/>
        <v>84018.68372114707</v>
      </c>
      <c r="I387" s="3">
        <f t="shared" si="61"/>
        <v>600007.702170579</v>
      </c>
      <c r="J387" s="3">
        <f t="shared" si="57"/>
        <v>4486895.4494629474</v>
      </c>
      <c r="K387" s="24"/>
      <c r="L387" s="24">
        <f t="shared" si="62"/>
        <v>8757746.0080397222</v>
      </c>
    </row>
    <row r="388" spans="2:19" x14ac:dyDescent="0.35">
      <c r="B388" s="1">
        <v>21</v>
      </c>
      <c r="C388" s="22">
        <v>44682</v>
      </c>
      <c r="D388" s="22">
        <v>44712</v>
      </c>
      <c r="E388" s="23">
        <f t="shared" si="56"/>
        <v>31</v>
      </c>
      <c r="F388" s="3">
        <f t="shared" si="58"/>
        <v>4486895.4494629474</v>
      </c>
      <c r="G388" s="3">
        <f>-PMT($G$360/$D$362,7,$F$388,,0)</f>
        <v>684467.71602438134</v>
      </c>
      <c r="H388" s="3">
        <f>$G$360/$D$362*F388</f>
        <v>74856.372415206832</v>
      </c>
      <c r="I388" s="3">
        <f t="shared" si="61"/>
        <v>609611.34360917448</v>
      </c>
      <c r="J388" s="3">
        <f t="shared" si="57"/>
        <v>3877284.1058537727</v>
      </c>
      <c r="K388" s="24"/>
      <c r="L388" s="24">
        <f t="shared" si="62"/>
        <v>9442213.7240641043</v>
      </c>
    </row>
    <row r="389" spans="2:19" x14ac:dyDescent="0.35">
      <c r="B389" s="1">
        <v>22</v>
      </c>
      <c r="C389" s="22">
        <v>44713</v>
      </c>
      <c r="D389" s="22">
        <v>44742</v>
      </c>
      <c r="E389" s="23">
        <f t="shared" si="56"/>
        <v>30</v>
      </c>
      <c r="F389" s="3">
        <f t="shared" si="58"/>
        <v>3877284.1058537727</v>
      </c>
      <c r="G389" s="3">
        <f>-PMT($G$360/$D$362,7,$F$388,,0)</f>
        <v>684467.71602438134</v>
      </c>
      <c r="H389" s="3">
        <f>$G$360/$D$362*F389</f>
        <v>64686.023165993764</v>
      </c>
      <c r="I389" s="3">
        <f t="shared" si="61"/>
        <v>619781.6928583876</v>
      </c>
      <c r="J389" s="3">
        <f t="shared" si="57"/>
        <v>3257502.412995385</v>
      </c>
      <c r="K389" s="24"/>
      <c r="L389" s="24">
        <f t="shared" si="62"/>
        <v>10126681.440088486</v>
      </c>
    </row>
    <row r="390" spans="2:19" x14ac:dyDescent="0.35">
      <c r="B390" s="1">
        <v>23</v>
      </c>
      <c r="C390" s="22">
        <v>44743</v>
      </c>
      <c r="D390" s="22">
        <v>44773</v>
      </c>
      <c r="E390" s="23">
        <f t="shared" si="56"/>
        <v>31</v>
      </c>
      <c r="F390" s="3">
        <f t="shared" si="58"/>
        <v>3257502.412995385</v>
      </c>
      <c r="G390" s="3">
        <f>-PMT($G$360/$D$362,7,$F$388,,0)</f>
        <v>684467.71602438134</v>
      </c>
      <c r="H390" s="3">
        <f>$G$360/$D$362*F390</f>
        <v>54345.998590139665</v>
      </c>
      <c r="I390" s="3">
        <f t="shared" si="61"/>
        <v>630121.71743424167</v>
      </c>
      <c r="J390" s="3">
        <f t="shared" si="57"/>
        <v>2627380.6955611436</v>
      </c>
      <c r="K390" s="24"/>
      <c r="L390" s="24">
        <f t="shared" si="62"/>
        <v>10811149.156112868</v>
      </c>
    </row>
    <row r="391" spans="2:19" x14ac:dyDescent="0.35">
      <c r="B391" s="1">
        <v>24</v>
      </c>
      <c r="C391" s="22">
        <v>44774</v>
      </c>
      <c r="D391" s="22">
        <v>44804</v>
      </c>
      <c r="E391" s="23">
        <f t="shared" si="56"/>
        <v>31</v>
      </c>
      <c r="F391" s="3">
        <f t="shared" si="58"/>
        <v>2627380.6955611436</v>
      </c>
      <c r="G391" s="3">
        <f>-PMT($G$360/$D$362,7,$F$388,,0)</f>
        <v>684467.71602438134</v>
      </c>
      <c r="H391" s="3">
        <f>$G$360/$D$362*F391</f>
        <v>43833.467937611742</v>
      </c>
      <c r="I391" s="3">
        <f t="shared" si="61"/>
        <v>640634.2480867696</v>
      </c>
      <c r="J391" s="3">
        <f t="shared" si="57"/>
        <v>1986746.447474374</v>
      </c>
      <c r="K391" s="24"/>
      <c r="L391" s="24">
        <f t="shared" si="62"/>
        <v>11495616.87213725</v>
      </c>
    </row>
    <row r="392" spans="2:19" x14ac:dyDescent="0.35">
      <c r="B392" s="1">
        <v>25</v>
      </c>
      <c r="C392" s="22">
        <v>44805</v>
      </c>
      <c r="D392" s="22">
        <v>44834</v>
      </c>
      <c r="E392" s="23">
        <f t="shared" si="56"/>
        <v>30</v>
      </c>
      <c r="F392" s="3">
        <f t="shared" si="58"/>
        <v>1986746.447474374</v>
      </c>
      <c r="G392" s="3">
        <f>-PMT($H$360/$D$362,3,$F$392,,0)</f>
        <v>684914.11253425805</v>
      </c>
      <c r="H392" s="3">
        <f>$H$360/$D$362*F392</f>
        <v>33807.802047855599</v>
      </c>
      <c r="I392" s="3">
        <f t="shared" si="61"/>
        <v>651106.31048640248</v>
      </c>
      <c r="J392" s="3">
        <f t="shared" si="57"/>
        <v>1335640.1369879716</v>
      </c>
      <c r="K392" s="24"/>
      <c r="L392" s="24">
        <f t="shared" si="62"/>
        <v>12180530.984671509</v>
      </c>
    </row>
    <row r="393" spans="2:19" x14ac:dyDescent="0.35">
      <c r="B393" s="1">
        <v>26</v>
      </c>
      <c r="C393" s="22">
        <v>44835</v>
      </c>
      <c r="D393" s="22">
        <v>44865</v>
      </c>
      <c r="E393" s="23">
        <f t="shared" si="56"/>
        <v>31</v>
      </c>
      <c r="F393" s="3">
        <f t="shared" si="58"/>
        <v>1335640.1369879716</v>
      </c>
      <c r="G393" s="3">
        <f>-PMT($H$360/$D$362,3,$F$392,,0)</f>
        <v>684914.11253425805</v>
      </c>
      <c r="H393" s="3">
        <f>$H$360/$D$362*F393</f>
        <v>22728.142997745315</v>
      </c>
      <c r="I393" s="3">
        <f t="shared" si="61"/>
        <v>662185.96953651274</v>
      </c>
      <c r="J393" s="3">
        <f t="shared" si="57"/>
        <v>673454.16745145887</v>
      </c>
      <c r="K393" s="24"/>
      <c r="L393" s="24">
        <f t="shared" si="62"/>
        <v>12865445.097205767</v>
      </c>
    </row>
    <row r="394" spans="2:19" x14ac:dyDescent="0.35">
      <c r="B394" s="1">
        <v>27</v>
      </c>
      <c r="C394" s="22">
        <v>44866</v>
      </c>
      <c r="D394" s="22">
        <v>44895</v>
      </c>
      <c r="E394" s="23">
        <f t="shared" si="56"/>
        <v>30</v>
      </c>
      <c r="F394" s="3">
        <f t="shared" si="58"/>
        <v>673454.16745145887</v>
      </c>
      <c r="G394" s="3">
        <f>-PMT($I$360/$D$362,1,$F$394,,0)</f>
        <v>686429.38441102381</v>
      </c>
      <c r="H394" s="3">
        <f>$I$360/$D$362*F394</f>
        <v>12975.216959564772</v>
      </c>
      <c r="I394" s="3">
        <f t="shared" si="61"/>
        <v>673454.16745145898</v>
      </c>
      <c r="J394" s="3">
        <f t="shared" si="57"/>
        <v>0</v>
      </c>
      <c r="K394" s="24"/>
      <c r="L394" s="27">
        <f t="shared" si="62"/>
        <v>13551874.481616791</v>
      </c>
    </row>
    <row r="395" spans="2:19" ht="14.25" customHeight="1" x14ac:dyDescent="0.35">
      <c r="B395" s="1"/>
      <c r="C395" s="1"/>
      <c r="D395" s="1"/>
      <c r="E395" s="28">
        <f>SUM(E368:E394)</f>
        <v>820</v>
      </c>
      <c r="F395" s="3"/>
      <c r="G395" s="3"/>
      <c r="H395" s="3"/>
      <c r="I395" s="3"/>
      <c r="J395" s="3"/>
      <c r="K395" s="1"/>
      <c r="L395" s="1"/>
    </row>
    <row r="396" spans="2:19" ht="14.25" customHeight="1" x14ac:dyDescent="0.35"/>
    <row r="397" spans="2:19" ht="14.25" customHeight="1" x14ac:dyDescent="0.35">
      <c r="E397" s="279">
        <f>+D402-12.2%</f>
        <v>7.9000000000000015E-2</v>
      </c>
    </row>
    <row r="398" spans="2:19" ht="14.25" customHeight="1" x14ac:dyDescent="0.35"/>
    <row r="399" spans="2:19" ht="14.25" customHeight="1" x14ac:dyDescent="0.35">
      <c r="B399" s="1"/>
      <c r="C399" s="8" t="s">
        <v>869</v>
      </c>
      <c r="D399" s="3"/>
      <c r="E399" s="3"/>
      <c r="F399" s="3"/>
      <c r="G399" s="3"/>
      <c r="H399" s="3"/>
      <c r="I399" s="231" t="s">
        <v>827</v>
      </c>
      <c r="J399" s="3" t="s">
        <v>828</v>
      </c>
      <c r="K399" s="231" t="s">
        <v>829</v>
      </c>
      <c r="L399" s="231" t="s">
        <v>830</v>
      </c>
      <c r="M399" s="231" t="s">
        <v>831</v>
      </c>
      <c r="R399" s="438" t="s">
        <v>832</v>
      </c>
      <c r="S399" s="432" t="str">
        <f>IFERROR(INDEX(Blocks!$I$2:$I$101,MATCH(7,Blocks!$A$2:$A$101,0)),"")</f>
        <v>000104420000007</v>
      </c>
    </row>
    <row r="400" spans="2:19" ht="14.25" customHeight="1" x14ac:dyDescent="0.35">
      <c r="B400" s="1"/>
      <c r="C400" s="1"/>
      <c r="D400" s="3"/>
      <c r="E400" s="3"/>
      <c r="F400" s="3" t="s">
        <v>863</v>
      </c>
      <c r="G400" s="3"/>
      <c r="H400" s="230">
        <v>44805</v>
      </c>
      <c r="I400" s="231">
        <v>44866</v>
      </c>
      <c r="J400" s="230">
        <v>44896</v>
      </c>
      <c r="K400" s="230">
        <v>45047</v>
      </c>
      <c r="L400" s="230">
        <v>45108</v>
      </c>
      <c r="M400" s="230">
        <v>45139</v>
      </c>
      <c r="R400" s="438" t="s">
        <v>834</v>
      </c>
      <c r="S400" s="432" t="str">
        <f>IFERROR(INDEX(Blocks!$H$2:$H$101,MATCH(7,Blocks!$A$2:$A$101,0)),"")</f>
        <v>LENZIEMILL MILLING LIMITED</v>
      </c>
    </row>
    <row r="401" spans="2:19" ht="14.25" customHeight="1" x14ac:dyDescent="0.35">
      <c r="B401" s="1"/>
      <c r="C401" s="9" t="s">
        <v>835</v>
      </c>
      <c r="D401" s="10">
        <f>'[4]J11B-Term Loans - Pmts Summ'!H11+6900000</f>
        <v>297400000</v>
      </c>
      <c r="E401" s="3"/>
      <c r="F401" s="267" t="s">
        <v>835</v>
      </c>
      <c r="G401" s="10">
        <v>277575041.95957959</v>
      </c>
      <c r="H401" s="231" t="s">
        <v>836</v>
      </c>
      <c r="I401" s="231" t="s">
        <v>836</v>
      </c>
      <c r="J401" s="231" t="s">
        <v>836</v>
      </c>
      <c r="K401" s="231" t="s">
        <v>836</v>
      </c>
      <c r="L401" s="231" t="s">
        <v>836</v>
      </c>
      <c r="M401" s="231" t="s">
        <v>836</v>
      </c>
      <c r="R401" s="438" t="s">
        <v>223</v>
      </c>
      <c r="S401" s="433">
        <f>IFERROR(INDEX('E-Banker master'!$N$2:$N$186,MATCH(S399,'E-Banker master'!$A$2:$A$186,0)),"")</f>
        <v>297400000</v>
      </c>
    </row>
    <row r="402" spans="2:19" ht="14.25" customHeight="1" x14ac:dyDescent="0.35">
      <c r="B402" s="1"/>
      <c r="C402" s="11" t="s">
        <v>837</v>
      </c>
      <c r="D402" s="12">
        <v>0.20100000000000001</v>
      </c>
      <c r="E402" s="13"/>
      <c r="F402" s="268" t="s">
        <v>837</v>
      </c>
      <c r="G402" s="266">
        <v>0.20200000000000001</v>
      </c>
      <c r="H402" s="13">
        <f>G402+0.4%</f>
        <v>0.20600000000000002</v>
      </c>
      <c r="I402" s="3">
        <f>H402+2.7%</f>
        <v>0.23300000000000001</v>
      </c>
      <c r="J402" s="13">
        <f>I402+0.7%</f>
        <v>0.24000000000000002</v>
      </c>
      <c r="K402" s="13">
        <f>J402+2.7%</f>
        <v>0.26700000000000002</v>
      </c>
      <c r="L402" s="13">
        <f>K402+1.4%</f>
        <v>0.28100000000000003</v>
      </c>
      <c r="M402" s="13">
        <f>L402+1.3%</f>
        <v>0.29400000000000004</v>
      </c>
      <c r="R402" s="438" t="s">
        <v>52</v>
      </c>
      <c r="S402" s="433">
        <f>IFERROR(INDEX('E-Banker master'!$P$2:$P$186,MATCH(S399,'E-Banker master'!$A$2:$A$186,0)),"")</f>
        <v>167976520.65000001</v>
      </c>
    </row>
    <row r="403" spans="2:19" ht="14.25" customHeight="1" x14ac:dyDescent="0.35">
      <c r="B403" s="1"/>
      <c r="C403" s="11" t="s">
        <v>838</v>
      </c>
      <c r="D403" s="14">
        <v>5</v>
      </c>
      <c r="E403" s="1"/>
      <c r="F403" s="268" t="s">
        <v>838</v>
      </c>
      <c r="G403" s="266">
        <v>5</v>
      </c>
      <c r="H403" s="3"/>
      <c r="I403" s="3"/>
      <c r="J403" s="3"/>
      <c r="K403" s="1"/>
      <c r="L403" s="1"/>
    </row>
    <row r="404" spans="2:19" ht="14.25" customHeight="1" x14ac:dyDescent="0.35">
      <c r="B404" s="1"/>
      <c r="C404" s="11" t="s">
        <v>839</v>
      </c>
      <c r="D404" s="14">
        <v>12</v>
      </c>
      <c r="E404" s="1"/>
      <c r="F404" s="268" t="s">
        <v>839</v>
      </c>
      <c r="G404" s="266">
        <v>12</v>
      </c>
      <c r="H404" s="3" t="s">
        <v>840</v>
      </c>
      <c r="I404" s="3" t="s">
        <v>841</v>
      </c>
      <c r="J404" s="3" t="s">
        <v>842</v>
      </c>
      <c r="K404" s="3" t="s">
        <v>855</v>
      </c>
      <c r="L404" s="344" t="s">
        <v>856</v>
      </c>
      <c r="M404" s="344" t="s">
        <v>865</v>
      </c>
      <c r="N404" s="344" t="s">
        <v>866</v>
      </c>
    </row>
    <row r="405" spans="2:19" ht="14.25" customHeight="1" x14ac:dyDescent="0.35">
      <c r="B405" s="1"/>
      <c r="C405" s="11" t="s">
        <v>843</v>
      </c>
      <c r="D405" s="15">
        <f>D403*D404</f>
        <v>60</v>
      </c>
      <c r="E405" s="1"/>
      <c r="F405" s="268" t="s">
        <v>843</v>
      </c>
      <c r="G405" s="266">
        <v>42</v>
      </c>
      <c r="H405" s="230">
        <v>45170</v>
      </c>
      <c r="I405" s="231">
        <v>45200</v>
      </c>
      <c r="J405" s="230">
        <v>45261</v>
      </c>
      <c r="K405" s="230">
        <v>44958</v>
      </c>
      <c r="L405" s="230">
        <v>45047</v>
      </c>
      <c r="M405" s="230">
        <v>45078</v>
      </c>
      <c r="N405" s="230">
        <v>45108</v>
      </c>
    </row>
    <row r="406" spans="2:19" ht="14.25" customHeight="1" x14ac:dyDescent="0.35">
      <c r="B406" s="1"/>
      <c r="C406" s="11" t="s">
        <v>844</v>
      </c>
      <c r="D406" s="16">
        <v>365</v>
      </c>
      <c r="E406" s="1"/>
      <c r="F406" s="268" t="s">
        <v>844</v>
      </c>
      <c r="G406" s="266">
        <v>365</v>
      </c>
      <c r="H406" s="231" t="s">
        <v>836</v>
      </c>
      <c r="I406" s="231" t="s">
        <v>836</v>
      </c>
      <c r="J406" s="231" t="s">
        <v>836</v>
      </c>
      <c r="K406" s="231" t="s">
        <v>836</v>
      </c>
      <c r="L406" s="344" t="s">
        <v>836</v>
      </c>
      <c r="M406" s="344" t="s">
        <v>836</v>
      </c>
      <c r="N406" s="344" t="s">
        <v>836</v>
      </c>
    </row>
    <row r="407" spans="2:19" ht="14.25" customHeight="1" x14ac:dyDescent="0.35">
      <c r="B407" s="1"/>
      <c r="C407" s="17" t="s">
        <v>845</v>
      </c>
      <c r="D407" s="18">
        <f>-PMT(D402/D404,D405,D401,0,0)</f>
        <v>7895837.9430580465</v>
      </c>
      <c r="E407" s="3"/>
      <c r="F407" s="269" t="s">
        <v>845</v>
      </c>
      <c r="G407" s="18">
        <f>-PMT(G402/G404,G405,G401,0,0)</f>
        <v>9271443.405761363</v>
      </c>
      <c r="H407" s="13">
        <f>M402+0.7%</f>
        <v>0.30100000000000005</v>
      </c>
      <c r="I407" s="3">
        <f>H407+0.1%</f>
        <v>0.30200000000000005</v>
      </c>
      <c r="J407" s="13">
        <f>I407+0.1%</f>
        <v>0.30300000000000005</v>
      </c>
      <c r="K407" s="13">
        <f>J407+1.3%</f>
        <v>0.31600000000000006</v>
      </c>
      <c r="L407" s="348">
        <f>+K407+0.1%</f>
        <v>0.31700000000000006</v>
      </c>
      <c r="M407" s="348">
        <f>+L407+0.1%</f>
        <v>0.31800000000000006</v>
      </c>
      <c r="N407" s="348">
        <f>+M407+0.3%</f>
        <v>0.32100000000000006</v>
      </c>
    </row>
    <row r="408" spans="2:19" ht="14.25" customHeight="1" x14ac:dyDescent="0.35">
      <c r="B408" s="1"/>
      <c r="C408" s="1"/>
      <c r="D408" s="3"/>
      <c r="E408" s="3"/>
      <c r="F408" s="3"/>
      <c r="G408" s="3"/>
      <c r="H408" s="3"/>
      <c r="I408" s="3"/>
      <c r="J408" s="3"/>
      <c r="K408" s="1"/>
      <c r="L408" s="1"/>
    </row>
    <row r="409" spans="2:19" ht="14.25" customHeight="1" x14ac:dyDescent="0.35">
      <c r="B409" s="1"/>
      <c r="C409" s="19" t="s">
        <v>846</v>
      </c>
      <c r="D409" s="20" t="s">
        <v>847</v>
      </c>
      <c r="E409" s="20" t="s">
        <v>764</v>
      </c>
      <c r="F409" s="270" t="s">
        <v>848</v>
      </c>
      <c r="G409" s="270" t="s">
        <v>849</v>
      </c>
      <c r="H409" s="270" t="s">
        <v>742</v>
      </c>
      <c r="I409" s="270" t="s">
        <v>740</v>
      </c>
      <c r="J409" s="270" t="s">
        <v>850</v>
      </c>
      <c r="K409" s="21" t="s">
        <v>851</v>
      </c>
      <c r="L409" s="21" t="s">
        <v>852</v>
      </c>
    </row>
    <row r="410" spans="2:19" ht="14.25" customHeight="1" x14ac:dyDescent="0.35">
      <c r="B410" s="1">
        <v>0</v>
      </c>
      <c r="C410" s="22">
        <v>44134</v>
      </c>
      <c r="D410" s="22">
        <v>44135</v>
      </c>
      <c r="E410" s="23">
        <f t="shared" ref="E410:E441" si="63">D410-C410+1</f>
        <v>2</v>
      </c>
      <c r="F410" s="3">
        <f>D401</f>
        <v>297400000</v>
      </c>
      <c r="G410" s="3">
        <v>0</v>
      </c>
      <c r="H410" s="3">
        <v>0</v>
      </c>
      <c r="I410" s="3">
        <f>G410-H410</f>
        <v>0</v>
      </c>
      <c r="J410" s="3">
        <f t="shared" ref="J410:J441" si="64">F410-I410</f>
        <v>297400000</v>
      </c>
      <c r="K410" s="24">
        <v>0</v>
      </c>
      <c r="L410" s="24"/>
      <c r="N410" s="32"/>
    </row>
    <row r="411" spans="2:19" ht="14.25" customHeight="1" x14ac:dyDescent="0.35">
      <c r="B411" s="1">
        <v>1</v>
      </c>
      <c r="C411" s="22">
        <f>D410+1</f>
        <v>44136</v>
      </c>
      <c r="D411" s="22">
        <v>44165</v>
      </c>
      <c r="E411" s="23">
        <f t="shared" si="63"/>
        <v>30</v>
      </c>
      <c r="F411" s="3">
        <f t="shared" ref="F411:F416" si="65">J410</f>
        <v>297400000</v>
      </c>
      <c r="G411" s="3">
        <v>0</v>
      </c>
      <c r="H411" s="3">
        <f t="shared" ref="H411:H428" si="66">$D$402*F411/$D$404</f>
        <v>4981450</v>
      </c>
      <c r="I411" s="3">
        <v>0</v>
      </c>
      <c r="J411" s="3">
        <f t="shared" si="64"/>
        <v>297400000</v>
      </c>
      <c r="K411" s="24">
        <v>0</v>
      </c>
      <c r="L411" s="24">
        <v>0</v>
      </c>
    </row>
    <row r="412" spans="2:19" ht="14.25" customHeight="1" x14ac:dyDescent="0.35">
      <c r="B412" s="1">
        <v>2</v>
      </c>
      <c r="C412" s="22">
        <f>D411+1</f>
        <v>44166</v>
      </c>
      <c r="D412" s="22">
        <v>44196</v>
      </c>
      <c r="E412" s="23">
        <f t="shared" si="63"/>
        <v>31</v>
      </c>
      <c r="F412" s="3">
        <f t="shared" si="65"/>
        <v>297400000</v>
      </c>
      <c r="G412" s="3">
        <v>0</v>
      </c>
      <c r="H412" s="3">
        <f t="shared" si="66"/>
        <v>4981450</v>
      </c>
      <c r="I412" s="3">
        <v>0</v>
      </c>
      <c r="J412" s="3">
        <f t="shared" si="64"/>
        <v>297400000</v>
      </c>
      <c r="K412" s="24">
        <v>0</v>
      </c>
      <c r="L412" s="24">
        <v>0</v>
      </c>
    </row>
    <row r="413" spans="2:19" ht="14.25" customHeight="1" x14ac:dyDescent="0.35">
      <c r="B413" s="1">
        <v>3</v>
      </c>
      <c r="C413" s="22">
        <v>44197</v>
      </c>
      <c r="D413" s="22">
        <v>44227</v>
      </c>
      <c r="E413" s="23">
        <f t="shared" si="63"/>
        <v>31</v>
      </c>
      <c r="F413" s="3">
        <f t="shared" si="65"/>
        <v>297400000</v>
      </c>
      <c r="G413" s="3">
        <v>0</v>
      </c>
      <c r="H413" s="3">
        <f t="shared" si="66"/>
        <v>4981450</v>
      </c>
      <c r="I413" s="3">
        <v>0</v>
      </c>
      <c r="J413" s="3">
        <f t="shared" si="64"/>
        <v>297400000</v>
      </c>
      <c r="K413" s="24">
        <v>0</v>
      </c>
      <c r="L413" s="24">
        <v>0</v>
      </c>
    </row>
    <row r="414" spans="2:19" ht="14.25" customHeight="1" x14ac:dyDescent="0.35">
      <c r="B414" s="1">
        <v>4</v>
      </c>
      <c r="C414" s="22">
        <v>44228</v>
      </c>
      <c r="D414" s="22">
        <v>44255</v>
      </c>
      <c r="E414" s="23">
        <f t="shared" si="63"/>
        <v>28</v>
      </c>
      <c r="F414" s="3">
        <f t="shared" si="65"/>
        <v>297400000</v>
      </c>
      <c r="G414" s="3">
        <v>0</v>
      </c>
      <c r="H414" s="3">
        <f t="shared" si="66"/>
        <v>4981450</v>
      </c>
      <c r="I414" s="3">
        <v>0</v>
      </c>
      <c r="J414" s="3">
        <f t="shared" si="64"/>
        <v>297400000</v>
      </c>
      <c r="K414" s="24">
        <v>0</v>
      </c>
      <c r="L414" s="24">
        <v>0</v>
      </c>
    </row>
    <row r="415" spans="2:19" ht="14.25" customHeight="1" x14ac:dyDescent="0.35">
      <c r="B415" s="1">
        <v>5</v>
      </c>
      <c r="C415" s="22">
        <v>44256</v>
      </c>
      <c r="D415" s="22">
        <v>44286</v>
      </c>
      <c r="E415" s="23">
        <f t="shared" si="63"/>
        <v>31</v>
      </c>
      <c r="F415" s="3">
        <f t="shared" si="65"/>
        <v>297400000</v>
      </c>
      <c r="G415" s="3">
        <v>0</v>
      </c>
      <c r="H415" s="3">
        <f t="shared" si="66"/>
        <v>4981450</v>
      </c>
      <c r="I415" s="3">
        <v>0</v>
      </c>
      <c r="J415" s="3">
        <f t="shared" si="64"/>
        <v>297400000</v>
      </c>
      <c r="K415" s="24">
        <v>0</v>
      </c>
      <c r="L415" s="24">
        <v>0</v>
      </c>
    </row>
    <row r="416" spans="2:19" ht="14.25" customHeight="1" x14ac:dyDescent="0.35">
      <c r="B416" s="1">
        <v>6</v>
      </c>
      <c r="C416" s="22">
        <v>44287</v>
      </c>
      <c r="D416" s="22">
        <v>44316</v>
      </c>
      <c r="E416" s="23">
        <f t="shared" si="63"/>
        <v>30</v>
      </c>
      <c r="F416" s="3">
        <f t="shared" si="65"/>
        <v>297400000</v>
      </c>
      <c r="G416" s="3">
        <v>0</v>
      </c>
      <c r="H416" s="3">
        <f t="shared" si="66"/>
        <v>4981450</v>
      </c>
      <c r="I416" s="3">
        <v>0</v>
      </c>
      <c r="J416" s="3">
        <f t="shared" si="64"/>
        <v>297400000</v>
      </c>
      <c r="K416" s="24">
        <v>0</v>
      </c>
      <c r="L416" s="24">
        <v>0</v>
      </c>
    </row>
    <row r="417" spans="2:14" ht="14.25" customHeight="1" x14ac:dyDescent="0.35">
      <c r="B417" s="1">
        <v>7</v>
      </c>
      <c r="C417" s="22">
        <v>44317</v>
      </c>
      <c r="D417" s="22">
        <v>44347</v>
      </c>
      <c r="E417" s="23">
        <f t="shared" si="63"/>
        <v>31</v>
      </c>
      <c r="F417" s="3">
        <f>J416+SUM(H411:H416)</f>
        <v>327288700</v>
      </c>
      <c r="G417" s="3">
        <f t="shared" ref="G417:G428" si="67">-PMT($D$402/$D$404,54,$F$417,,0)</f>
        <v>9256961.7212242763</v>
      </c>
      <c r="H417" s="3">
        <f t="shared" si="66"/>
        <v>5482085.7250000006</v>
      </c>
      <c r="I417" s="3">
        <f t="shared" ref="I417:I445" si="68">G417-H417</f>
        <v>3774875.9962242758</v>
      </c>
      <c r="J417" s="3">
        <f t="shared" si="64"/>
        <v>323513824.00377572</v>
      </c>
      <c r="K417" s="24">
        <v>0</v>
      </c>
      <c r="L417" s="24">
        <f>G417</f>
        <v>9256961.7212242763</v>
      </c>
      <c r="N417" s="32"/>
    </row>
    <row r="418" spans="2:14" ht="14.25" customHeight="1" x14ac:dyDescent="0.35">
      <c r="B418" s="1">
        <v>8</v>
      </c>
      <c r="C418" s="22">
        <v>44348</v>
      </c>
      <c r="D418" s="22">
        <v>44377</v>
      </c>
      <c r="E418" s="23">
        <f t="shared" si="63"/>
        <v>30</v>
      </c>
      <c r="F418" s="3">
        <f t="shared" ref="F418:F449" si="69">J417</f>
        <v>323513824.00377572</v>
      </c>
      <c r="G418" s="3">
        <f t="shared" si="67"/>
        <v>9256961.7212242763</v>
      </c>
      <c r="H418" s="3">
        <f t="shared" si="66"/>
        <v>5418856.5520632435</v>
      </c>
      <c r="I418" s="3">
        <f t="shared" si="68"/>
        <v>3838105.1691610329</v>
      </c>
      <c r="J418" s="3">
        <f t="shared" si="64"/>
        <v>319675718.83461469</v>
      </c>
      <c r="K418" s="24">
        <v>9042190.25</v>
      </c>
      <c r="L418" s="24">
        <f t="shared" ref="L418:L458" si="70">L417+G418-K418</f>
        <v>9471733.1924485527</v>
      </c>
      <c r="N418" s="32"/>
    </row>
    <row r="419" spans="2:14" ht="14.25" customHeight="1" x14ac:dyDescent="0.35">
      <c r="B419" s="1">
        <v>9</v>
      </c>
      <c r="C419" s="22">
        <v>44378</v>
      </c>
      <c r="D419" s="22">
        <v>44408</v>
      </c>
      <c r="E419" s="23">
        <f t="shared" si="63"/>
        <v>31</v>
      </c>
      <c r="F419" s="3">
        <f t="shared" si="69"/>
        <v>319675718.83461469</v>
      </c>
      <c r="G419" s="3">
        <f t="shared" si="67"/>
        <v>9256961.7212242763</v>
      </c>
      <c r="H419" s="3">
        <f t="shared" si="66"/>
        <v>5354568.2904797969</v>
      </c>
      <c r="I419" s="3">
        <f t="shared" si="68"/>
        <v>3902393.4307444794</v>
      </c>
      <c r="J419" s="3">
        <f t="shared" si="64"/>
        <v>315773325.40387022</v>
      </c>
      <c r="K419" s="24">
        <v>0</v>
      </c>
      <c r="L419" s="26">
        <f t="shared" si="70"/>
        <v>18728694.913672827</v>
      </c>
    </row>
    <row r="420" spans="2:14" ht="14.25" customHeight="1" x14ac:dyDescent="0.35">
      <c r="B420" s="1">
        <v>10</v>
      </c>
      <c r="C420" s="22">
        <v>44409</v>
      </c>
      <c r="D420" s="22">
        <v>44439</v>
      </c>
      <c r="E420" s="23">
        <f t="shared" si="63"/>
        <v>31</v>
      </c>
      <c r="F420" s="3">
        <f t="shared" si="69"/>
        <v>315773325.40387022</v>
      </c>
      <c r="G420" s="3">
        <f t="shared" si="67"/>
        <v>9256961.7212242763</v>
      </c>
      <c r="H420" s="3">
        <f t="shared" si="66"/>
        <v>5289203.200514826</v>
      </c>
      <c r="I420" s="3">
        <f t="shared" si="68"/>
        <v>3967758.5207094504</v>
      </c>
      <c r="J420" s="3">
        <f t="shared" si="64"/>
        <v>311805566.88316077</v>
      </c>
      <c r="K420" s="24">
        <f>18728694.91+9256961.72</f>
        <v>27985656.630000003</v>
      </c>
      <c r="L420" s="24">
        <f t="shared" si="70"/>
        <v>4.8971027135848999E-3</v>
      </c>
      <c r="N420" s="32"/>
    </row>
    <row r="421" spans="2:14" ht="14.25" customHeight="1" x14ac:dyDescent="0.35">
      <c r="B421" s="1">
        <v>11</v>
      </c>
      <c r="C421" s="22">
        <v>44440</v>
      </c>
      <c r="D421" s="22">
        <v>44469</v>
      </c>
      <c r="E421" s="23">
        <f t="shared" si="63"/>
        <v>30</v>
      </c>
      <c r="F421" s="3">
        <f t="shared" si="69"/>
        <v>311805566.88316077</v>
      </c>
      <c r="G421" s="3">
        <f t="shared" si="67"/>
        <v>9256961.7212242763</v>
      </c>
      <c r="H421" s="3">
        <f t="shared" si="66"/>
        <v>5222743.245292943</v>
      </c>
      <c r="I421" s="3">
        <f t="shared" si="68"/>
        <v>4034218.4759313334</v>
      </c>
      <c r="J421" s="3">
        <f t="shared" si="64"/>
        <v>307771348.40722942</v>
      </c>
      <c r="K421" s="24">
        <v>9256961.7200000007</v>
      </c>
      <c r="L421" s="145">
        <f t="shared" si="70"/>
        <v>6.1213783919811249E-3</v>
      </c>
      <c r="N421" s="32"/>
    </row>
    <row r="422" spans="2:14" ht="14.25" customHeight="1" x14ac:dyDescent="0.35">
      <c r="B422" s="1">
        <v>12</v>
      </c>
      <c r="C422" s="22">
        <v>44470</v>
      </c>
      <c r="D422" s="22">
        <v>44500</v>
      </c>
      <c r="E422" s="23">
        <f t="shared" si="63"/>
        <v>31</v>
      </c>
      <c r="F422" s="3">
        <f t="shared" si="69"/>
        <v>307771348.40722942</v>
      </c>
      <c r="G422" s="3">
        <f t="shared" si="67"/>
        <v>9256961.7212242763</v>
      </c>
      <c r="H422" s="3">
        <f t="shared" si="66"/>
        <v>5155170.0858210931</v>
      </c>
      <c r="I422" s="3">
        <f t="shared" si="68"/>
        <v>4101791.6354031833</v>
      </c>
      <c r="J422" s="3">
        <f t="shared" si="64"/>
        <v>303669556.77182627</v>
      </c>
      <c r="K422" s="24">
        <v>9256961.7200000007</v>
      </c>
      <c r="L422" s="145">
        <f t="shared" si="70"/>
        <v>7.3456540703773499E-3</v>
      </c>
    </row>
    <row r="423" spans="2:14" ht="14.25" customHeight="1" x14ac:dyDescent="0.35">
      <c r="B423" s="1">
        <v>13</v>
      </c>
      <c r="C423" s="22">
        <v>44501</v>
      </c>
      <c r="D423" s="22">
        <v>44530</v>
      </c>
      <c r="E423" s="23">
        <f t="shared" si="63"/>
        <v>30</v>
      </c>
      <c r="F423" s="3">
        <f t="shared" si="69"/>
        <v>303669556.77182627</v>
      </c>
      <c r="G423" s="3">
        <f t="shared" si="67"/>
        <v>9256961.7212242763</v>
      </c>
      <c r="H423" s="3">
        <f t="shared" si="66"/>
        <v>5086465.0759280901</v>
      </c>
      <c r="I423" s="3">
        <f t="shared" si="68"/>
        <v>4170496.6452961862</v>
      </c>
      <c r="J423" s="3">
        <f t="shared" si="64"/>
        <v>299499060.12653005</v>
      </c>
      <c r="K423" s="24">
        <v>9256961.7200000007</v>
      </c>
      <c r="L423" s="145">
        <f t="shared" si="70"/>
        <v>8.5699297487735748E-3</v>
      </c>
    </row>
    <row r="424" spans="2:14" ht="14.25" customHeight="1" x14ac:dyDescent="0.35">
      <c r="B424" s="1">
        <v>14</v>
      </c>
      <c r="C424" s="22">
        <v>44531</v>
      </c>
      <c r="D424" s="22">
        <v>44561</v>
      </c>
      <c r="E424" s="23">
        <f t="shared" si="63"/>
        <v>31</v>
      </c>
      <c r="F424" s="3">
        <f t="shared" si="69"/>
        <v>299499060.12653005</v>
      </c>
      <c r="G424" s="3">
        <f t="shared" si="67"/>
        <v>9256961.7212242763</v>
      </c>
      <c r="H424" s="3">
        <f t="shared" si="66"/>
        <v>5016609.257119379</v>
      </c>
      <c r="I424" s="3">
        <f t="shared" si="68"/>
        <v>4240352.4641048973</v>
      </c>
      <c r="J424" s="3">
        <f t="shared" si="64"/>
        <v>295258707.66242516</v>
      </c>
      <c r="K424" s="24">
        <v>9256961.7200000007</v>
      </c>
      <c r="L424" s="145">
        <f t="shared" si="70"/>
        <v>9.7942054271697998E-3</v>
      </c>
    </row>
    <row r="425" spans="2:14" ht="14.25" customHeight="1" x14ac:dyDescent="0.35">
      <c r="B425" s="1">
        <v>15</v>
      </c>
      <c r="C425" s="22">
        <v>44562</v>
      </c>
      <c r="D425" s="22">
        <v>44592</v>
      </c>
      <c r="E425" s="23">
        <f t="shared" si="63"/>
        <v>31</v>
      </c>
      <c r="F425" s="3">
        <f t="shared" si="69"/>
        <v>295258707.66242516</v>
      </c>
      <c r="G425" s="3">
        <f t="shared" si="67"/>
        <v>9256961.7212242763</v>
      </c>
      <c r="H425" s="3">
        <f t="shared" si="66"/>
        <v>4945583.3533456223</v>
      </c>
      <c r="I425" s="3">
        <f t="shared" si="68"/>
        <v>4311378.367878654</v>
      </c>
      <c r="J425" s="3">
        <f t="shared" si="64"/>
        <v>290947329.29454648</v>
      </c>
      <c r="K425" s="24">
        <v>0</v>
      </c>
      <c r="L425" s="145">
        <f t="shared" si="70"/>
        <v>9256961.7310184818</v>
      </c>
    </row>
    <row r="426" spans="2:14" ht="14.25" customHeight="1" x14ac:dyDescent="0.35">
      <c r="B426" s="1">
        <v>16</v>
      </c>
      <c r="C426" s="22">
        <v>44593</v>
      </c>
      <c r="D426" s="22">
        <v>44620</v>
      </c>
      <c r="E426" s="23">
        <f t="shared" si="63"/>
        <v>28</v>
      </c>
      <c r="F426" s="3">
        <f t="shared" si="69"/>
        <v>290947329.29454648</v>
      </c>
      <c r="G426" s="3">
        <f t="shared" si="67"/>
        <v>9256961.7212242763</v>
      </c>
      <c r="H426" s="3">
        <f t="shared" si="66"/>
        <v>4873367.7656836538</v>
      </c>
      <c r="I426" s="3">
        <f t="shared" si="68"/>
        <v>4383593.9555406226</v>
      </c>
      <c r="J426" s="3">
        <f t="shared" si="64"/>
        <v>286563735.33900589</v>
      </c>
      <c r="K426" s="24">
        <v>18513923.5</v>
      </c>
      <c r="L426" s="145">
        <f t="shared" si="70"/>
        <v>-4.7757241874933243E-2</v>
      </c>
    </row>
    <row r="427" spans="2:14" ht="14.25" customHeight="1" x14ac:dyDescent="0.35">
      <c r="B427" s="1">
        <v>17</v>
      </c>
      <c r="C427" s="22">
        <v>44621</v>
      </c>
      <c r="D427" s="22">
        <v>44651</v>
      </c>
      <c r="E427" s="23">
        <f t="shared" si="63"/>
        <v>31</v>
      </c>
      <c r="F427" s="3">
        <f t="shared" si="69"/>
        <v>286563735.33900589</v>
      </c>
      <c r="G427" s="3">
        <f t="shared" si="67"/>
        <v>9256961.7212242763</v>
      </c>
      <c r="H427" s="3">
        <f t="shared" si="66"/>
        <v>4799942.5669283485</v>
      </c>
      <c r="I427" s="3">
        <f t="shared" si="68"/>
        <v>4457019.1542959278</v>
      </c>
      <c r="J427" s="3">
        <f t="shared" si="64"/>
        <v>282106716.18470997</v>
      </c>
      <c r="K427" s="24">
        <v>9256961.7200000007</v>
      </c>
      <c r="L427" s="145">
        <f t="shared" si="70"/>
        <v>-4.6532966196537018E-2</v>
      </c>
    </row>
    <row r="428" spans="2:14" ht="14.25" customHeight="1" x14ac:dyDescent="0.35">
      <c r="B428" s="1">
        <v>18</v>
      </c>
      <c r="C428" s="22">
        <v>44652</v>
      </c>
      <c r="D428" s="22">
        <v>44681</v>
      </c>
      <c r="E428" s="23">
        <f t="shared" si="63"/>
        <v>30</v>
      </c>
      <c r="F428" s="3">
        <f t="shared" si="69"/>
        <v>282106716.18470997</v>
      </c>
      <c r="G428" s="3">
        <f t="shared" si="67"/>
        <v>9256961.7212242763</v>
      </c>
      <c r="H428" s="3">
        <f t="shared" si="66"/>
        <v>4725287.4960938925</v>
      </c>
      <c r="I428" s="3">
        <f t="shared" si="68"/>
        <v>4531674.2251303839</v>
      </c>
      <c r="J428" s="3">
        <f t="shared" si="64"/>
        <v>277575041.95957959</v>
      </c>
      <c r="K428" s="24">
        <v>9256961.7200000007</v>
      </c>
      <c r="L428" s="145">
        <f t="shared" si="70"/>
        <v>-4.5308690518140793E-2</v>
      </c>
    </row>
    <row r="429" spans="2:14" ht="14.25" customHeight="1" x14ac:dyDescent="0.35">
      <c r="B429" s="1">
        <v>19</v>
      </c>
      <c r="C429" s="22">
        <v>44682</v>
      </c>
      <c r="D429" s="22">
        <v>44712</v>
      </c>
      <c r="E429" s="23">
        <f t="shared" si="63"/>
        <v>31</v>
      </c>
      <c r="F429" s="3">
        <f t="shared" si="69"/>
        <v>277575041.95957959</v>
      </c>
      <c r="G429" s="3">
        <f>-PMT($G$402/$D$404,42,$F$429,,0)</f>
        <v>9271443.405761363</v>
      </c>
      <c r="H429" s="3">
        <f>$G$402*F429/$D$404</f>
        <v>4672513.2063195901</v>
      </c>
      <c r="I429" s="3">
        <f t="shared" si="68"/>
        <v>4598930.1994417729</v>
      </c>
      <c r="J429" s="3">
        <f t="shared" si="64"/>
        <v>272976111.7601378</v>
      </c>
      <c r="K429" s="24">
        <v>9271443.4100000001</v>
      </c>
      <c r="L429" s="145">
        <f t="shared" si="70"/>
        <v>-4.9547327682375908E-2</v>
      </c>
    </row>
    <row r="430" spans="2:14" ht="14.25" customHeight="1" x14ac:dyDescent="0.35">
      <c r="B430" s="1">
        <v>20</v>
      </c>
      <c r="C430" s="22">
        <v>44713</v>
      </c>
      <c r="D430" s="22">
        <v>44742</v>
      </c>
      <c r="E430" s="23">
        <f t="shared" si="63"/>
        <v>30</v>
      </c>
      <c r="F430" s="3">
        <f t="shared" si="69"/>
        <v>272976111.7601378</v>
      </c>
      <c r="G430" s="3">
        <f>-PMT($G$402/$D$404,42,$F$429,,0)</f>
        <v>9271443.405761363</v>
      </c>
      <c r="H430" s="3">
        <f>$G$402*F430/$D$404</f>
        <v>4595097.8812956531</v>
      </c>
      <c r="I430" s="3">
        <f t="shared" si="68"/>
        <v>4676345.5244657099</v>
      </c>
      <c r="J430" s="3">
        <f t="shared" si="64"/>
        <v>268299766.23567209</v>
      </c>
      <c r="K430" s="24">
        <v>9271443.4100000001</v>
      </c>
      <c r="L430" s="145">
        <f t="shared" si="70"/>
        <v>-5.3785964846611023E-2</v>
      </c>
    </row>
    <row r="431" spans="2:14" ht="14.25" customHeight="1" x14ac:dyDescent="0.35">
      <c r="B431" s="1">
        <v>21</v>
      </c>
      <c r="C431" s="22">
        <v>44743</v>
      </c>
      <c r="D431" s="22">
        <v>44773</v>
      </c>
      <c r="E431" s="23">
        <f t="shared" si="63"/>
        <v>31</v>
      </c>
      <c r="F431" s="3">
        <f t="shared" si="69"/>
        <v>268299766.23567209</v>
      </c>
      <c r="G431" s="3">
        <f>-PMT($G$402/$D$404,42,$F$429,,0)</f>
        <v>9271443.405761363</v>
      </c>
      <c r="H431" s="3">
        <f>$G$402*F431/$D$404</f>
        <v>4516379.398300481</v>
      </c>
      <c r="I431" s="3">
        <f t="shared" si="68"/>
        <v>4755064.007460882</v>
      </c>
      <c r="J431" s="3">
        <f t="shared" si="64"/>
        <v>263544702.22821119</v>
      </c>
      <c r="K431" s="24">
        <v>0</v>
      </c>
      <c r="L431" s="145">
        <f t="shared" si="70"/>
        <v>9271443.3519753981</v>
      </c>
    </row>
    <row r="432" spans="2:14" ht="14.25" customHeight="1" x14ac:dyDescent="0.35">
      <c r="B432" s="1">
        <v>22</v>
      </c>
      <c r="C432" s="22">
        <v>44774</v>
      </c>
      <c r="D432" s="22">
        <v>44804</v>
      </c>
      <c r="E432" s="23">
        <f t="shared" si="63"/>
        <v>31</v>
      </c>
      <c r="F432" s="3">
        <f t="shared" si="69"/>
        <v>263544702.22821119</v>
      </c>
      <c r="G432" s="3">
        <f>-PMT($G$402/$D$404,42,$F$429,,0)</f>
        <v>9271443.405761363</v>
      </c>
      <c r="H432" s="3">
        <f>$G$402*F432/$D$404</f>
        <v>4436335.8208415555</v>
      </c>
      <c r="I432" s="3">
        <f t="shared" si="68"/>
        <v>4835107.5849198075</v>
      </c>
      <c r="J432" s="3">
        <f t="shared" si="64"/>
        <v>258709594.64329138</v>
      </c>
      <c r="K432" s="24">
        <v>9271443.4100000001</v>
      </c>
      <c r="L432" s="145">
        <f t="shared" si="70"/>
        <v>9271443.347736761</v>
      </c>
    </row>
    <row r="433" spans="2:12" ht="14.25" customHeight="1" x14ac:dyDescent="0.35">
      <c r="B433" s="1">
        <v>23</v>
      </c>
      <c r="C433" s="22">
        <v>44805</v>
      </c>
      <c r="D433" s="22">
        <v>44834</v>
      </c>
      <c r="E433" s="23">
        <f t="shared" si="63"/>
        <v>30</v>
      </c>
      <c r="F433" s="3">
        <f t="shared" si="69"/>
        <v>258709594.64329138</v>
      </c>
      <c r="G433" s="3">
        <f>-PMT($H$402/$D$404,38,$F$433,,0)</f>
        <v>9324734.8506426178</v>
      </c>
      <c r="H433" s="3">
        <f>$H$402*F433/$D$404</f>
        <v>4441181.3747098362</v>
      </c>
      <c r="I433" s="3">
        <f t="shared" si="68"/>
        <v>4883553.4759327816</v>
      </c>
      <c r="J433" s="3">
        <f t="shared" si="64"/>
        <v>253826041.16735861</v>
      </c>
      <c r="K433" s="24"/>
      <c r="L433" s="145">
        <f t="shared" si="70"/>
        <v>18596178.198379379</v>
      </c>
    </row>
    <row r="434" spans="2:12" ht="14.25" customHeight="1" x14ac:dyDescent="0.35">
      <c r="B434" s="1">
        <v>24</v>
      </c>
      <c r="C434" s="22">
        <v>44835</v>
      </c>
      <c r="D434" s="22">
        <v>44865</v>
      </c>
      <c r="E434" s="23">
        <f t="shared" si="63"/>
        <v>31</v>
      </c>
      <c r="F434" s="3">
        <f t="shared" si="69"/>
        <v>253826041.16735861</v>
      </c>
      <c r="G434" s="3">
        <f>-PMT($H$402/$D$404,38,$F$433,,0)</f>
        <v>9324734.8506426178</v>
      </c>
      <c r="H434" s="3">
        <f>$H$402*F434/$D$404</f>
        <v>4357347.0400396567</v>
      </c>
      <c r="I434" s="3">
        <f t="shared" si="68"/>
        <v>4967387.8106029611</v>
      </c>
      <c r="J434" s="3">
        <f t="shared" si="64"/>
        <v>248858653.35675564</v>
      </c>
      <c r="K434" s="24">
        <v>9271443.4100000001</v>
      </c>
      <c r="L434" s="145">
        <f t="shared" si="70"/>
        <v>18649469.639021996</v>
      </c>
    </row>
    <row r="435" spans="2:12" ht="14.25" customHeight="1" x14ac:dyDescent="0.35">
      <c r="B435" s="1">
        <v>25</v>
      </c>
      <c r="C435" s="22">
        <v>44866</v>
      </c>
      <c r="D435" s="22">
        <v>44895</v>
      </c>
      <c r="E435" s="23">
        <f t="shared" si="63"/>
        <v>30</v>
      </c>
      <c r="F435" s="3">
        <f t="shared" si="69"/>
        <v>248858653.35675564</v>
      </c>
      <c r="G435" s="3">
        <f>-PMT($I$402/$D$404,36,$F$435,,0)</f>
        <v>9672204.1806890368</v>
      </c>
      <c r="H435" s="3">
        <f>$I$402*F435/$D$404</f>
        <v>4832005.5193436723</v>
      </c>
      <c r="I435" s="3">
        <f t="shared" si="68"/>
        <v>4840198.6613453645</v>
      </c>
      <c r="J435" s="3">
        <f t="shared" si="64"/>
        <v>244018454.69541028</v>
      </c>
      <c r="K435" s="24">
        <v>0</v>
      </c>
      <c r="L435" s="145">
        <f t="shared" si="70"/>
        <v>28321673.819711033</v>
      </c>
    </row>
    <row r="436" spans="2:12" ht="14.25" customHeight="1" x14ac:dyDescent="0.35">
      <c r="B436" s="1">
        <v>26</v>
      </c>
      <c r="C436" s="22">
        <v>44896</v>
      </c>
      <c r="D436" s="22">
        <v>44926</v>
      </c>
      <c r="E436" s="23">
        <f t="shared" si="63"/>
        <v>31</v>
      </c>
      <c r="F436" s="3">
        <f t="shared" si="69"/>
        <v>244018454.69541028</v>
      </c>
      <c r="G436" s="3">
        <f>-PMT($J$402/$D$404,35,$F$436,,0)</f>
        <v>9761277.2711293846</v>
      </c>
      <c r="H436" s="3">
        <f>$J$402*F436/$D$404</f>
        <v>4880369.0939082066</v>
      </c>
      <c r="I436" s="3">
        <f t="shared" si="68"/>
        <v>4880908.1772211781</v>
      </c>
      <c r="J436" s="3">
        <f t="shared" si="64"/>
        <v>239137546.5181891</v>
      </c>
      <c r="K436" s="24">
        <v>0</v>
      </c>
      <c r="L436" s="145">
        <f t="shared" si="70"/>
        <v>38082951.090840414</v>
      </c>
    </row>
    <row r="437" spans="2:12" ht="14.25" customHeight="1" x14ac:dyDescent="0.35">
      <c r="B437" s="1">
        <v>27</v>
      </c>
      <c r="C437" s="22">
        <v>44927</v>
      </c>
      <c r="D437" s="22">
        <v>44957</v>
      </c>
      <c r="E437" s="23">
        <f t="shared" si="63"/>
        <v>31</v>
      </c>
      <c r="F437" s="3">
        <f t="shared" si="69"/>
        <v>239137546.5181891</v>
      </c>
      <c r="G437" s="3">
        <f>-PMT($J$402/$D$404,35,$F$436,,0)</f>
        <v>9761277.2711293846</v>
      </c>
      <c r="H437" s="3">
        <f>$J$402*F437/$D$404</f>
        <v>4782750.9303637827</v>
      </c>
      <c r="I437" s="3">
        <f t="shared" si="68"/>
        <v>4978526.340765602</v>
      </c>
      <c r="J437" s="3">
        <f t="shared" si="64"/>
        <v>234159020.17742351</v>
      </c>
      <c r="K437" s="24">
        <v>0</v>
      </c>
      <c r="L437" s="145">
        <f t="shared" si="70"/>
        <v>47844228.361969799</v>
      </c>
    </row>
    <row r="438" spans="2:12" ht="14.25" customHeight="1" x14ac:dyDescent="0.35">
      <c r="B438" s="1">
        <v>28</v>
      </c>
      <c r="C438" s="22">
        <v>44958</v>
      </c>
      <c r="D438" s="22">
        <v>44985</v>
      </c>
      <c r="E438" s="23">
        <f t="shared" si="63"/>
        <v>28</v>
      </c>
      <c r="F438" s="3">
        <f t="shared" si="69"/>
        <v>234159020.17742351</v>
      </c>
      <c r="G438" s="3">
        <f>-PMT($J$402/$D$404,35,$F$436,,0)</f>
        <v>9761277.2711293846</v>
      </c>
      <c r="H438" s="3">
        <f>$J$402*F438/$D$404</f>
        <v>4683180.4035484707</v>
      </c>
      <c r="I438" s="3">
        <f t="shared" si="68"/>
        <v>5078096.8675809139</v>
      </c>
      <c r="J438" s="3">
        <f t="shared" si="64"/>
        <v>229080923.30984259</v>
      </c>
      <c r="K438" s="24">
        <v>0</v>
      </c>
      <c r="L438" s="145">
        <f t="shared" si="70"/>
        <v>57605505.633099183</v>
      </c>
    </row>
    <row r="439" spans="2:12" ht="14.25" customHeight="1" x14ac:dyDescent="0.35">
      <c r="B439" s="1">
        <v>29</v>
      </c>
      <c r="C439" s="22">
        <v>44986</v>
      </c>
      <c r="D439" s="22">
        <v>45016</v>
      </c>
      <c r="E439" s="23">
        <f t="shared" si="63"/>
        <v>31</v>
      </c>
      <c r="F439" s="3">
        <f t="shared" si="69"/>
        <v>229080923.30984259</v>
      </c>
      <c r="G439" s="3">
        <f>-PMT($J$402/$D$404,35,$F$436,,0)</f>
        <v>9761277.2711293846</v>
      </c>
      <c r="H439" s="3">
        <f>$J$402*F439/$D$404</f>
        <v>4581618.4661968518</v>
      </c>
      <c r="I439" s="3">
        <f t="shared" si="68"/>
        <v>5179658.8049325328</v>
      </c>
      <c r="J439" s="3">
        <f t="shared" si="64"/>
        <v>223901264.50491005</v>
      </c>
      <c r="K439" s="24">
        <v>10000000</v>
      </c>
      <c r="L439" s="145">
        <f t="shared" si="70"/>
        <v>57366782.904228568</v>
      </c>
    </row>
    <row r="440" spans="2:12" ht="14.25" customHeight="1" x14ac:dyDescent="0.35">
      <c r="B440" s="1">
        <v>30</v>
      </c>
      <c r="C440" s="22">
        <v>45017</v>
      </c>
      <c r="D440" s="22">
        <v>45046</v>
      </c>
      <c r="E440" s="23">
        <f t="shared" si="63"/>
        <v>30</v>
      </c>
      <c r="F440" s="3">
        <f t="shared" si="69"/>
        <v>223901264.50491005</v>
      </c>
      <c r="G440" s="3">
        <f>-PMT($J$402/$D$404,35,$F$436,,0)</f>
        <v>9761277.2711293846</v>
      </c>
      <c r="H440" s="3">
        <f>$J$402*F440/$D$404</f>
        <v>4478025.2900982015</v>
      </c>
      <c r="I440" s="3">
        <f t="shared" si="68"/>
        <v>5283251.9810311832</v>
      </c>
      <c r="J440" s="3">
        <f t="shared" si="64"/>
        <v>218618012.52387887</v>
      </c>
      <c r="K440" s="24"/>
      <c r="L440" s="145">
        <f t="shared" si="70"/>
        <v>67128060.175357953</v>
      </c>
    </row>
    <row r="441" spans="2:12" ht="14.25" customHeight="1" x14ac:dyDescent="0.35">
      <c r="B441" s="1">
        <v>31</v>
      </c>
      <c r="C441" s="22">
        <v>45047</v>
      </c>
      <c r="D441" s="22">
        <v>45077</v>
      </c>
      <c r="E441" s="23">
        <f t="shared" si="63"/>
        <v>31</v>
      </c>
      <c r="F441" s="3">
        <f t="shared" si="69"/>
        <v>218618012.52387887</v>
      </c>
      <c r="G441" s="3">
        <f>-PMT($K$402/$D$404,30,$F$441,,0)</f>
        <v>10065849.761510074</v>
      </c>
      <c r="H441" s="3">
        <f>$K$402*F441/$D$404</f>
        <v>4864250.7786563048</v>
      </c>
      <c r="I441" s="3">
        <f t="shared" si="68"/>
        <v>5201598.9828537693</v>
      </c>
      <c r="J441" s="3">
        <f t="shared" si="64"/>
        <v>213416413.5410251</v>
      </c>
      <c r="K441" s="24"/>
      <c r="L441" s="145">
        <f t="shared" si="70"/>
        <v>77193909.936868027</v>
      </c>
    </row>
    <row r="442" spans="2:12" ht="14.25" customHeight="1" x14ac:dyDescent="0.35">
      <c r="B442" s="1">
        <v>32</v>
      </c>
      <c r="C442" s="22">
        <v>45078</v>
      </c>
      <c r="D442" s="22">
        <v>45107</v>
      </c>
      <c r="E442" s="23">
        <f t="shared" ref="E442:E473" si="71">D442-C442+1</f>
        <v>30</v>
      </c>
      <c r="F442" s="3">
        <f t="shared" si="69"/>
        <v>213416413.5410251</v>
      </c>
      <c r="G442" s="3">
        <f>-PMT($K$402/$D$404,30,$F$441,,0)</f>
        <v>10065849.761510074</v>
      </c>
      <c r="H442" s="3">
        <f>$K$402*F442/$D$404</f>
        <v>4748515.2012878088</v>
      </c>
      <c r="I442" s="3">
        <f t="shared" si="68"/>
        <v>5317334.5602222653</v>
      </c>
      <c r="J442" s="3">
        <f t="shared" ref="J442:J473" si="72">F442-I442</f>
        <v>208099078.98080283</v>
      </c>
      <c r="K442" s="24"/>
      <c r="L442" s="265">
        <f t="shared" si="70"/>
        <v>87259759.698378101</v>
      </c>
    </row>
    <row r="443" spans="2:12" ht="14.25" customHeight="1" x14ac:dyDescent="0.35">
      <c r="B443" s="1">
        <v>33</v>
      </c>
      <c r="C443" s="22">
        <v>45108</v>
      </c>
      <c r="D443" s="22">
        <v>45138</v>
      </c>
      <c r="E443" s="23">
        <f t="shared" si="71"/>
        <v>31</v>
      </c>
      <c r="F443" s="3">
        <f t="shared" si="69"/>
        <v>208099078.98080283</v>
      </c>
      <c r="G443" s="298">
        <f>-PMT($L$402/$D$404,28,$F$443,,0)</f>
        <v>10216646.036560332</v>
      </c>
      <c r="H443" s="3">
        <f>$L$402*F443/$D$404</f>
        <v>4872986.7661338001</v>
      </c>
      <c r="I443" s="3">
        <f t="shared" si="68"/>
        <v>5343659.2704265323</v>
      </c>
      <c r="J443" s="3">
        <f t="shared" si="72"/>
        <v>202755419.71037629</v>
      </c>
      <c r="K443" s="24"/>
      <c r="L443" s="265">
        <f t="shared" si="70"/>
        <v>97476405.734938428</v>
      </c>
    </row>
    <row r="444" spans="2:12" ht="14.25" customHeight="1" x14ac:dyDescent="0.35">
      <c r="B444" s="1">
        <v>34</v>
      </c>
      <c r="C444" s="22">
        <v>45139</v>
      </c>
      <c r="D444" s="22">
        <v>45169</v>
      </c>
      <c r="E444" s="23">
        <f t="shared" si="71"/>
        <v>31</v>
      </c>
      <c r="F444" s="3">
        <f t="shared" si="69"/>
        <v>202755419.71037629</v>
      </c>
      <c r="G444" s="3">
        <f>-PMT($M$402/$D$404,27,$F$444,,0)</f>
        <v>10353460.515088417</v>
      </c>
      <c r="H444" s="3">
        <f>$M$402*F444/$D$404</f>
        <v>4967507.7829042198</v>
      </c>
      <c r="I444" s="3">
        <f t="shared" si="68"/>
        <v>5385952.7321841968</v>
      </c>
      <c r="J444" s="3">
        <f t="shared" si="72"/>
        <v>197369466.97819209</v>
      </c>
      <c r="K444" s="24"/>
      <c r="L444" s="145">
        <f t="shared" si="70"/>
        <v>107829866.25002685</v>
      </c>
    </row>
    <row r="445" spans="2:12" ht="14.25" customHeight="1" x14ac:dyDescent="0.35">
      <c r="B445" s="1">
        <v>35</v>
      </c>
      <c r="C445" s="22">
        <v>45170</v>
      </c>
      <c r="D445" s="22">
        <v>45199</v>
      </c>
      <c r="E445" s="23">
        <f t="shared" si="71"/>
        <v>30</v>
      </c>
      <c r="F445" s="3">
        <f t="shared" si="69"/>
        <v>197369466.97819209</v>
      </c>
      <c r="G445" s="3">
        <f>-PMT($H$407/$D$404,26,$F$445,,0)</f>
        <v>10425205.111335035</v>
      </c>
      <c r="H445" s="3">
        <f>$H$407*F445/$D$404</f>
        <v>4950684.1300363196</v>
      </c>
      <c r="I445" s="3">
        <f t="shared" si="68"/>
        <v>5474520.9812987158</v>
      </c>
      <c r="J445" s="3">
        <f t="shared" si="72"/>
        <v>191894945.99689338</v>
      </c>
      <c r="K445" s="24"/>
      <c r="L445" s="145">
        <f t="shared" si="70"/>
        <v>118255071.36136189</v>
      </c>
    </row>
    <row r="446" spans="2:12" ht="14.25" customHeight="1" x14ac:dyDescent="0.35">
      <c r="B446" s="1">
        <v>36</v>
      </c>
      <c r="C446" s="22">
        <v>45200</v>
      </c>
      <c r="D446" s="22">
        <v>45230</v>
      </c>
      <c r="E446" s="23">
        <f t="shared" si="71"/>
        <v>31</v>
      </c>
      <c r="F446" s="3">
        <f t="shared" si="69"/>
        <v>191894945.99689338</v>
      </c>
      <c r="G446" s="3">
        <v>4829356.1399999997</v>
      </c>
      <c r="H446" s="3">
        <f>$I$407*F446/$D$404</f>
        <v>4829356.1409218172</v>
      </c>
      <c r="I446" s="3">
        <v>0</v>
      </c>
      <c r="J446" s="3">
        <f t="shared" si="72"/>
        <v>191894945.99689338</v>
      </c>
      <c r="K446" s="145">
        <v>118255071.36136191</v>
      </c>
      <c r="L446" s="145">
        <f t="shared" si="70"/>
        <v>4829356.1399999857</v>
      </c>
    </row>
    <row r="447" spans="2:12" ht="14.25" customHeight="1" x14ac:dyDescent="0.35">
      <c r="B447" s="1">
        <v>37</v>
      </c>
      <c r="C447" s="22">
        <v>45231</v>
      </c>
      <c r="D447" s="22">
        <v>45260</v>
      </c>
      <c r="E447" s="23">
        <f t="shared" si="71"/>
        <v>30</v>
      </c>
      <c r="F447" s="3">
        <f t="shared" si="69"/>
        <v>191894945.99689338</v>
      </c>
      <c r="G447" s="3">
        <v>4829356.1399999997</v>
      </c>
      <c r="H447" s="3">
        <f>$I$407*F447/$D$404</f>
        <v>4829356.1409218172</v>
      </c>
      <c r="I447" s="3">
        <v>0</v>
      </c>
      <c r="J447" s="3">
        <f t="shared" si="72"/>
        <v>191894945.99689338</v>
      </c>
      <c r="K447" s="24">
        <v>9626729.8000000007</v>
      </c>
      <c r="L447" s="145">
        <f t="shared" si="70"/>
        <v>31982.479999985546</v>
      </c>
    </row>
    <row r="448" spans="2:12" ht="14.25" customHeight="1" x14ac:dyDescent="0.35">
      <c r="B448" s="1">
        <v>38</v>
      </c>
      <c r="C448" s="22">
        <v>45261</v>
      </c>
      <c r="D448" s="22">
        <v>45291</v>
      </c>
      <c r="E448" s="23">
        <f t="shared" si="71"/>
        <v>31</v>
      </c>
      <c r="F448" s="3">
        <f t="shared" si="69"/>
        <v>191894945.99689338</v>
      </c>
      <c r="G448" s="3">
        <v>4845347.3899999997</v>
      </c>
      <c r="H448" s="3">
        <f>$J$407*F448/$D$404</f>
        <v>4845347.3864215584</v>
      </c>
      <c r="I448" s="3">
        <v>0</v>
      </c>
      <c r="J448" s="3">
        <f t="shared" si="72"/>
        <v>191894945.99689338</v>
      </c>
      <c r="K448" s="24">
        <v>4829356.1399999997</v>
      </c>
      <c r="L448" s="145">
        <f t="shared" si="70"/>
        <v>47973.729999985546</v>
      </c>
    </row>
    <row r="449" spans="2:12" ht="14.25" customHeight="1" x14ac:dyDescent="0.35">
      <c r="B449" s="1">
        <v>39</v>
      </c>
      <c r="C449" s="22">
        <v>45292</v>
      </c>
      <c r="D449" s="22">
        <v>45322</v>
      </c>
      <c r="E449" s="23">
        <f t="shared" si="71"/>
        <v>31</v>
      </c>
      <c r="F449" s="3">
        <f t="shared" si="69"/>
        <v>191894945.99689338</v>
      </c>
      <c r="G449" s="3">
        <v>4845347.3899999997</v>
      </c>
      <c r="H449" s="3">
        <f>$J$407*F449/$D$404</f>
        <v>4845347.3864215584</v>
      </c>
      <c r="I449" s="3">
        <v>0</v>
      </c>
      <c r="J449" s="3">
        <f t="shared" si="72"/>
        <v>191894945.99689338</v>
      </c>
      <c r="K449" s="24">
        <v>4829356.1399999997</v>
      </c>
      <c r="L449" s="145">
        <f t="shared" si="70"/>
        <v>63964.979999985546</v>
      </c>
    </row>
    <row r="450" spans="2:12" ht="14.25" customHeight="1" x14ac:dyDescent="0.35">
      <c r="B450" s="1">
        <v>40</v>
      </c>
      <c r="C450" s="22">
        <v>45323</v>
      </c>
      <c r="D450" s="22">
        <v>45351</v>
      </c>
      <c r="E450" s="23">
        <f t="shared" si="71"/>
        <v>29</v>
      </c>
      <c r="F450" s="3">
        <f t="shared" ref="F450:F482" si="73">J449</f>
        <v>191894945.99689338</v>
      </c>
      <c r="G450" s="3">
        <v>4845347.3899999997</v>
      </c>
      <c r="H450" s="3">
        <f>$K$407*F450/$D$404</f>
        <v>5053233.5779181933</v>
      </c>
      <c r="I450" s="3">
        <v>0</v>
      </c>
      <c r="J450" s="3">
        <f t="shared" si="72"/>
        <v>191894945.99689338</v>
      </c>
      <c r="K450" s="24"/>
      <c r="L450" s="145">
        <f t="shared" si="70"/>
        <v>4909312.3699999852</v>
      </c>
    </row>
    <row r="451" spans="2:12" ht="14.25" customHeight="1" x14ac:dyDescent="0.35">
      <c r="B451" s="1">
        <v>41</v>
      </c>
      <c r="C451" s="22">
        <v>45352</v>
      </c>
      <c r="D451" s="22">
        <v>45382</v>
      </c>
      <c r="E451" s="23">
        <f t="shared" si="71"/>
        <v>31</v>
      </c>
      <c r="F451" s="3">
        <f t="shared" si="73"/>
        <v>191894945.99689338</v>
      </c>
      <c r="G451" s="3">
        <f>-PMT($K$407/$D$404,32,$F$451,,0)</f>
        <v>8948232.8820766825</v>
      </c>
      <c r="H451" s="3">
        <f>$K$407*F451/$D$404</f>
        <v>5053233.5779181933</v>
      </c>
      <c r="I451" s="3">
        <f t="shared" ref="I451:I482" si="74">G451-H451</f>
        <v>3894999.3041584892</v>
      </c>
      <c r="J451" s="3">
        <f t="shared" si="72"/>
        <v>187999946.6927349</v>
      </c>
      <c r="K451" s="24">
        <v>4829356.1399999997</v>
      </c>
      <c r="L451" s="145">
        <f t="shared" si="70"/>
        <v>9028189.1120766662</v>
      </c>
    </row>
    <row r="452" spans="2:12" ht="14.25" customHeight="1" x14ac:dyDescent="0.35">
      <c r="B452" s="1">
        <v>42</v>
      </c>
      <c r="C452" s="22">
        <v>45383</v>
      </c>
      <c r="D452" s="22">
        <v>45412</v>
      </c>
      <c r="E452" s="23">
        <f t="shared" si="71"/>
        <v>30</v>
      </c>
      <c r="F452" s="3">
        <f t="shared" si="73"/>
        <v>187999946.6927349</v>
      </c>
      <c r="G452" s="3">
        <f>-PMT($K$407/$D$404,32,$F$451,,0)</f>
        <v>8948232.8820766825</v>
      </c>
      <c r="H452" s="3">
        <f>$K$407*F452/$D$404</f>
        <v>4950665.2629086869</v>
      </c>
      <c r="I452" s="3">
        <f t="shared" si="74"/>
        <v>3997567.6191679956</v>
      </c>
      <c r="J452" s="3">
        <f t="shared" si="72"/>
        <v>184002379.07356691</v>
      </c>
      <c r="K452" s="24">
        <v>8803308.7100000009</v>
      </c>
      <c r="L452" s="145">
        <f t="shared" si="70"/>
        <v>9173113.2841533497</v>
      </c>
    </row>
    <row r="453" spans="2:12" ht="14.25" customHeight="1" x14ac:dyDescent="0.35">
      <c r="B453" s="1">
        <v>43</v>
      </c>
      <c r="C453" s="22">
        <v>45413</v>
      </c>
      <c r="D453" s="22">
        <v>45443</v>
      </c>
      <c r="E453" s="23">
        <f t="shared" si="71"/>
        <v>31</v>
      </c>
      <c r="F453" s="3">
        <f t="shared" si="73"/>
        <v>184002379.07356691</v>
      </c>
      <c r="G453" s="3">
        <f>-PMT($L$407/$D$404,30,$F$453,,0)</f>
        <v>8958096.6976202503</v>
      </c>
      <c r="H453" s="3">
        <f>$L$407*F453/$D$404</f>
        <v>4860729.5138600608</v>
      </c>
      <c r="I453" s="3">
        <f t="shared" si="74"/>
        <v>4097367.1837601895</v>
      </c>
      <c r="J453" s="3">
        <f t="shared" si="72"/>
        <v>179905011.88980672</v>
      </c>
      <c r="K453" s="24">
        <v>8803308.7100000009</v>
      </c>
      <c r="L453" s="145">
        <f t="shared" si="70"/>
        <v>9327901.2717735991</v>
      </c>
    </row>
    <row r="454" spans="2:12" ht="14.25" customHeight="1" x14ac:dyDescent="0.35">
      <c r="B454" s="1">
        <v>44</v>
      </c>
      <c r="C454" s="22">
        <v>45444</v>
      </c>
      <c r="D454" s="22">
        <v>45473</v>
      </c>
      <c r="E454" s="23">
        <f t="shared" si="71"/>
        <v>30</v>
      </c>
      <c r="F454" s="3">
        <f t="shared" si="73"/>
        <v>179905011.88980672</v>
      </c>
      <c r="G454" s="3">
        <f>-PMT($M$407/$D$404,29,$F$454,,0)</f>
        <v>8967693.9280228838</v>
      </c>
      <c r="H454" s="3">
        <f>$M$407*F454/$D$404</f>
        <v>4767482.815079879</v>
      </c>
      <c r="I454" s="3">
        <f t="shared" si="74"/>
        <v>4200211.1129430048</v>
      </c>
      <c r="J454" s="3">
        <f t="shared" si="72"/>
        <v>175704800.77686372</v>
      </c>
      <c r="K454" s="24">
        <v>9327901.3000000007</v>
      </c>
      <c r="L454" s="145">
        <f t="shared" si="70"/>
        <v>8967693.8997964822</v>
      </c>
    </row>
    <row r="455" spans="2:12" ht="14.25" customHeight="1" x14ac:dyDescent="0.35">
      <c r="B455" s="1">
        <v>45</v>
      </c>
      <c r="C455" s="22">
        <v>45474</v>
      </c>
      <c r="D455" s="22">
        <v>45504</v>
      </c>
      <c r="E455" s="23">
        <f t="shared" si="71"/>
        <v>31</v>
      </c>
      <c r="F455" s="3">
        <f t="shared" si="73"/>
        <v>175704800.77686372</v>
      </c>
      <c r="G455" s="3">
        <f t="shared" ref="G455:G482" si="75">-PMT($N$407/$D$404,28,$F$455,,0)</f>
        <v>8995691.5384709053</v>
      </c>
      <c r="H455" s="3">
        <f t="shared" ref="H455:H482" si="76">$N$407*F455/$D$404</f>
        <v>4700103.4207811058</v>
      </c>
      <c r="I455" s="3">
        <f t="shared" si="74"/>
        <v>4295588.1176897995</v>
      </c>
      <c r="J455" s="3">
        <f t="shared" si="72"/>
        <v>171409212.65917394</v>
      </c>
      <c r="K455" s="24">
        <v>8958096.6999999993</v>
      </c>
      <c r="L455" s="145">
        <f t="shared" si="70"/>
        <v>9005288.7382673882</v>
      </c>
    </row>
    <row r="456" spans="2:12" ht="14.25" customHeight="1" x14ac:dyDescent="0.35">
      <c r="B456" s="1">
        <v>46</v>
      </c>
      <c r="C456" s="22">
        <v>45505</v>
      </c>
      <c r="D456" s="22">
        <v>45535</v>
      </c>
      <c r="E456" s="23">
        <f t="shared" si="71"/>
        <v>31</v>
      </c>
      <c r="F456" s="3">
        <f t="shared" si="73"/>
        <v>171409212.65917394</v>
      </c>
      <c r="G456" s="3">
        <f t="shared" si="75"/>
        <v>8995691.5384709053</v>
      </c>
      <c r="H456" s="3">
        <f t="shared" si="76"/>
        <v>4585196.4386329036</v>
      </c>
      <c r="I456" s="3">
        <f t="shared" si="74"/>
        <v>4410495.0998380017</v>
      </c>
      <c r="J456" s="3">
        <f t="shared" si="72"/>
        <v>166998717.55933595</v>
      </c>
      <c r="K456" s="24">
        <v>8958096.6999999993</v>
      </c>
      <c r="L456" s="145">
        <f t="shared" si="70"/>
        <v>9042883.5767382942</v>
      </c>
    </row>
    <row r="457" spans="2:12" ht="14.25" customHeight="1" x14ac:dyDescent="0.35">
      <c r="B457" s="1">
        <v>47</v>
      </c>
      <c r="C457" s="22">
        <v>45536</v>
      </c>
      <c r="D457" s="22">
        <v>45565</v>
      </c>
      <c r="E457" s="23">
        <f t="shared" si="71"/>
        <v>30</v>
      </c>
      <c r="F457" s="3">
        <f t="shared" si="73"/>
        <v>166998717.55933595</v>
      </c>
      <c r="G457" s="3">
        <f t="shared" si="75"/>
        <v>8995691.5384709053</v>
      </c>
      <c r="H457" s="3">
        <f t="shared" si="76"/>
        <v>4467215.6947122375</v>
      </c>
      <c r="I457" s="3">
        <f t="shared" si="74"/>
        <v>4528475.8437586678</v>
      </c>
      <c r="J457" s="3">
        <f t="shared" si="72"/>
        <v>162470241.71557727</v>
      </c>
      <c r="K457" s="24">
        <f>8958096.7+86786.9</f>
        <v>9044883.5999999996</v>
      </c>
      <c r="L457" s="145">
        <f t="shared" si="70"/>
        <v>8993691.5152091999</v>
      </c>
    </row>
    <row r="458" spans="2:12" ht="14.25" customHeight="1" x14ac:dyDescent="0.35">
      <c r="B458" s="1">
        <v>48</v>
      </c>
      <c r="C458" s="22">
        <v>45566</v>
      </c>
      <c r="D458" s="22">
        <v>45596</v>
      </c>
      <c r="E458" s="23">
        <f t="shared" si="71"/>
        <v>31</v>
      </c>
      <c r="F458" s="3">
        <f t="shared" si="73"/>
        <v>162470241.71557727</v>
      </c>
      <c r="G458" s="3">
        <f t="shared" si="75"/>
        <v>8995691.5384709053</v>
      </c>
      <c r="H458" s="3">
        <f t="shared" si="76"/>
        <v>4346078.9658916928</v>
      </c>
      <c r="I458" s="3">
        <f t="shared" si="74"/>
        <v>4649612.5725792125</v>
      </c>
      <c r="J458" s="3">
        <f t="shared" si="72"/>
        <v>157820629.14299807</v>
      </c>
      <c r="K458" s="24">
        <v>8958096.6999999993</v>
      </c>
      <c r="L458" s="303">
        <f t="shared" si="70"/>
        <v>9031286.3536801077</v>
      </c>
    </row>
    <row r="459" spans="2:12" ht="14.25" customHeight="1" x14ac:dyDescent="0.35">
      <c r="B459" s="1">
        <v>49</v>
      </c>
      <c r="C459" s="22">
        <v>45597</v>
      </c>
      <c r="D459" s="22">
        <v>45626</v>
      </c>
      <c r="E459" s="23">
        <f t="shared" si="71"/>
        <v>30</v>
      </c>
      <c r="F459" s="3">
        <f t="shared" si="73"/>
        <v>157820629.14299807</v>
      </c>
      <c r="G459" s="3">
        <f t="shared" si="75"/>
        <v>8995691.5384709053</v>
      </c>
      <c r="H459" s="3">
        <f t="shared" si="76"/>
        <v>4221701.8295751987</v>
      </c>
      <c r="I459" s="3">
        <f t="shared" si="74"/>
        <v>4773989.7088957066</v>
      </c>
      <c r="J459" s="3">
        <f t="shared" si="72"/>
        <v>153046639.43410236</v>
      </c>
      <c r="K459" s="24"/>
      <c r="L459" s="24"/>
    </row>
    <row r="460" spans="2:12" ht="14.25" customHeight="1" x14ac:dyDescent="0.35">
      <c r="B460" s="1">
        <v>50</v>
      </c>
      <c r="C460" s="22">
        <v>45627</v>
      </c>
      <c r="D460" s="22">
        <v>45657</v>
      </c>
      <c r="E460" s="23">
        <f t="shared" si="71"/>
        <v>31</v>
      </c>
      <c r="F460" s="3">
        <f t="shared" si="73"/>
        <v>153046639.43410236</v>
      </c>
      <c r="G460" s="3">
        <f t="shared" si="75"/>
        <v>8995691.5384709053</v>
      </c>
      <c r="H460" s="3">
        <f t="shared" si="76"/>
        <v>4093997.6048622387</v>
      </c>
      <c r="I460" s="3">
        <f t="shared" si="74"/>
        <v>4901693.9336086661</v>
      </c>
      <c r="J460" s="3">
        <f t="shared" si="72"/>
        <v>148144945.50049371</v>
      </c>
      <c r="K460" s="24"/>
      <c r="L460" s="24"/>
    </row>
    <row r="461" spans="2:12" ht="14.25" customHeight="1" x14ac:dyDescent="0.35">
      <c r="B461" s="1">
        <v>51</v>
      </c>
      <c r="C461" s="22">
        <v>45658</v>
      </c>
      <c r="D461" s="22">
        <v>45688</v>
      </c>
      <c r="E461" s="23">
        <f t="shared" si="71"/>
        <v>31</v>
      </c>
      <c r="F461" s="3">
        <f t="shared" si="73"/>
        <v>148144945.50049371</v>
      </c>
      <c r="G461" s="3">
        <f t="shared" si="75"/>
        <v>8995691.5384709053</v>
      </c>
      <c r="H461" s="3">
        <f t="shared" si="76"/>
        <v>3962877.2921382077</v>
      </c>
      <c r="I461" s="3">
        <f t="shared" si="74"/>
        <v>5032814.2463326976</v>
      </c>
      <c r="J461" s="3">
        <f t="shared" si="72"/>
        <v>143112131.254161</v>
      </c>
      <c r="K461" s="24"/>
      <c r="L461" s="24"/>
    </row>
    <row r="462" spans="2:12" ht="14.25" customHeight="1" x14ac:dyDescent="0.35">
      <c r="B462" s="1">
        <v>52</v>
      </c>
      <c r="C462" s="22">
        <v>45689</v>
      </c>
      <c r="D462" s="22">
        <v>45716</v>
      </c>
      <c r="E462" s="23">
        <f t="shared" si="71"/>
        <v>28</v>
      </c>
      <c r="F462" s="3">
        <f t="shared" si="73"/>
        <v>143112131.254161</v>
      </c>
      <c r="G462" s="3">
        <f t="shared" si="75"/>
        <v>8995691.5384709053</v>
      </c>
      <c r="H462" s="3">
        <f t="shared" si="76"/>
        <v>3828249.5110488073</v>
      </c>
      <c r="I462" s="3">
        <f t="shared" si="74"/>
        <v>5167442.0274220984</v>
      </c>
      <c r="J462" s="3">
        <f t="shared" si="72"/>
        <v>137944689.2267389</v>
      </c>
      <c r="K462" s="24"/>
      <c r="L462" s="24"/>
    </row>
    <row r="463" spans="2:12" ht="14.25" customHeight="1" x14ac:dyDescent="0.35">
      <c r="B463" s="1">
        <v>53</v>
      </c>
      <c r="C463" s="22">
        <v>45717</v>
      </c>
      <c r="D463" s="22">
        <v>45747</v>
      </c>
      <c r="E463" s="23">
        <f t="shared" si="71"/>
        <v>31</v>
      </c>
      <c r="F463" s="3">
        <f t="shared" si="73"/>
        <v>137944689.2267389</v>
      </c>
      <c r="G463" s="3">
        <f t="shared" si="75"/>
        <v>8995691.5384709053</v>
      </c>
      <c r="H463" s="3">
        <f t="shared" si="76"/>
        <v>3690020.436815266</v>
      </c>
      <c r="I463" s="3">
        <f t="shared" si="74"/>
        <v>5305671.1016556397</v>
      </c>
      <c r="J463" s="3">
        <f t="shared" si="72"/>
        <v>132639018.12508327</v>
      </c>
      <c r="K463" s="24"/>
      <c r="L463" s="24"/>
    </row>
    <row r="464" spans="2:12" ht="14.25" customHeight="1" x14ac:dyDescent="0.35">
      <c r="B464" s="1">
        <v>54</v>
      </c>
      <c r="C464" s="22">
        <v>45748</v>
      </c>
      <c r="D464" s="22">
        <v>45777</v>
      </c>
      <c r="E464" s="23">
        <f t="shared" si="71"/>
        <v>30</v>
      </c>
      <c r="F464" s="3">
        <f t="shared" si="73"/>
        <v>132639018.12508327</v>
      </c>
      <c r="G464" s="3">
        <f t="shared" si="75"/>
        <v>8995691.5384709053</v>
      </c>
      <c r="H464" s="3">
        <f t="shared" si="76"/>
        <v>3548093.7348459777</v>
      </c>
      <c r="I464" s="3">
        <f t="shared" si="74"/>
        <v>5447597.803624928</v>
      </c>
      <c r="J464" s="3">
        <f t="shared" si="72"/>
        <v>127191420.32145834</v>
      </c>
      <c r="K464" s="24"/>
      <c r="L464" s="24"/>
    </row>
    <row r="465" spans="2:12" ht="14.25" customHeight="1" x14ac:dyDescent="0.35">
      <c r="B465" s="1">
        <v>55</v>
      </c>
      <c r="C465" s="22">
        <v>45778</v>
      </c>
      <c r="D465" s="22">
        <v>45808</v>
      </c>
      <c r="E465" s="23">
        <f t="shared" si="71"/>
        <v>31</v>
      </c>
      <c r="F465" s="3">
        <f t="shared" si="73"/>
        <v>127191420.32145834</v>
      </c>
      <c r="G465" s="3">
        <f t="shared" si="75"/>
        <v>8995691.5384709053</v>
      </c>
      <c r="H465" s="3">
        <f t="shared" si="76"/>
        <v>3402370.4935990111</v>
      </c>
      <c r="I465" s="3">
        <f t="shared" si="74"/>
        <v>5593321.0448718946</v>
      </c>
      <c r="J465" s="3">
        <f t="shared" si="72"/>
        <v>121598099.27658644</v>
      </c>
      <c r="K465" s="24"/>
      <c r="L465" s="24"/>
    </row>
    <row r="466" spans="2:12" ht="14.25" customHeight="1" x14ac:dyDescent="0.35">
      <c r="B466" s="1">
        <v>56</v>
      </c>
      <c r="C466" s="22">
        <v>45809</v>
      </c>
      <c r="D466" s="22">
        <v>45838</v>
      </c>
      <c r="E466" s="23">
        <f t="shared" si="71"/>
        <v>30</v>
      </c>
      <c r="F466" s="3">
        <f t="shared" si="73"/>
        <v>121598099.27658644</v>
      </c>
      <c r="G466" s="3">
        <f t="shared" si="75"/>
        <v>8995691.5384709053</v>
      </c>
      <c r="H466" s="3">
        <f t="shared" si="76"/>
        <v>3252749.1556486879</v>
      </c>
      <c r="I466" s="3">
        <f t="shared" si="74"/>
        <v>5742942.3828222174</v>
      </c>
      <c r="J466" s="3">
        <f t="shared" si="72"/>
        <v>115855156.89376423</v>
      </c>
      <c r="K466" s="24"/>
      <c r="L466" s="24"/>
    </row>
    <row r="467" spans="2:12" ht="14.25" customHeight="1" x14ac:dyDescent="0.35">
      <c r="B467" s="1">
        <v>57</v>
      </c>
      <c r="C467" s="22">
        <v>45839</v>
      </c>
      <c r="D467" s="22">
        <v>45869</v>
      </c>
      <c r="E467" s="23">
        <f t="shared" si="71"/>
        <v>31</v>
      </c>
      <c r="F467" s="3">
        <f t="shared" si="73"/>
        <v>115855156.89376423</v>
      </c>
      <c r="G467" s="3">
        <f t="shared" si="75"/>
        <v>8995691.5384709053</v>
      </c>
      <c r="H467" s="3">
        <f t="shared" si="76"/>
        <v>3099125.4469081941</v>
      </c>
      <c r="I467" s="3">
        <f t="shared" si="74"/>
        <v>5896566.0915627107</v>
      </c>
      <c r="J467" s="3">
        <f t="shared" si="72"/>
        <v>109958590.80220151</v>
      </c>
      <c r="K467" s="24"/>
      <c r="L467" s="24"/>
    </row>
    <row r="468" spans="2:12" ht="14.25" customHeight="1" x14ac:dyDescent="0.35">
      <c r="B468" s="1">
        <v>58</v>
      </c>
      <c r="C468" s="22">
        <v>45870</v>
      </c>
      <c r="D468" s="22">
        <v>45900</v>
      </c>
      <c r="E468" s="23">
        <f t="shared" si="71"/>
        <v>31</v>
      </c>
      <c r="F468" s="3">
        <f t="shared" si="73"/>
        <v>109958590.80220151</v>
      </c>
      <c r="G468" s="3">
        <f t="shared" si="75"/>
        <v>8995691.5384709053</v>
      </c>
      <c r="H468" s="3">
        <f t="shared" si="76"/>
        <v>2941392.303958891</v>
      </c>
      <c r="I468" s="3">
        <f t="shared" si="74"/>
        <v>6054299.2345120143</v>
      </c>
      <c r="J468" s="3">
        <f t="shared" si="72"/>
        <v>103904291.56768949</v>
      </c>
      <c r="K468" s="24"/>
      <c r="L468" s="24"/>
    </row>
    <row r="469" spans="2:12" ht="14.25" customHeight="1" x14ac:dyDescent="0.35">
      <c r="B469" s="1">
        <v>59</v>
      </c>
      <c r="C469" s="22">
        <v>45901</v>
      </c>
      <c r="D469" s="22">
        <v>45930</v>
      </c>
      <c r="E469" s="23">
        <f t="shared" si="71"/>
        <v>30</v>
      </c>
      <c r="F469" s="3">
        <f t="shared" si="73"/>
        <v>103904291.56768949</v>
      </c>
      <c r="G469" s="3">
        <f t="shared" si="75"/>
        <v>8995691.5384709053</v>
      </c>
      <c r="H469" s="3">
        <f t="shared" si="76"/>
        <v>2779439.7994356942</v>
      </c>
      <c r="I469" s="3">
        <f t="shared" si="74"/>
        <v>6216251.7390352115</v>
      </c>
      <c r="J469" s="3">
        <f t="shared" si="72"/>
        <v>97688039.828654289</v>
      </c>
      <c r="K469" s="24"/>
      <c r="L469" s="24"/>
    </row>
    <row r="470" spans="2:12" ht="14.25" customHeight="1" x14ac:dyDescent="0.35">
      <c r="B470" s="1">
        <v>60</v>
      </c>
      <c r="C470" s="22">
        <v>45931</v>
      </c>
      <c r="D470" s="22">
        <v>45961</v>
      </c>
      <c r="E470" s="23">
        <f t="shared" si="71"/>
        <v>31</v>
      </c>
      <c r="F470" s="3">
        <f t="shared" si="73"/>
        <v>97688039.828654289</v>
      </c>
      <c r="G470" s="3">
        <f t="shared" si="75"/>
        <v>8995691.5384709053</v>
      </c>
      <c r="H470" s="3">
        <f t="shared" si="76"/>
        <v>2613155.0654165028</v>
      </c>
      <c r="I470" s="3">
        <f t="shared" si="74"/>
        <v>6382536.4730544025</v>
      </c>
      <c r="J470" s="3">
        <f t="shared" si="72"/>
        <v>91305503.35559988</v>
      </c>
      <c r="K470" s="24"/>
      <c r="L470" s="24"/>
    </row>
    <row r="471" spans="2:12" ht="14.25" customHeight="1" x14ac:dyDescent="0.35">
      <c r="B471" s="1">
        <v>61</v>
      </c>
      <c r="C471" s="22">
        <v>45962</v>
      </c>
      <c r="D471" s="22">
        <v>45991</v>
      </c>
      <c r="E471" s="23">
        <f t="shared" si="71"/>
        <v>30</v>
      </c>
      <c r="F471" s="3">
        <f t="shared" si="73"/>
        <v>91305503.35559988</v>
      </c>
      <c r="G471" s="3">
        <f t="shared" si="75"/>
        <v>8995691.5384709053</v>
      </c>
      <c r="H471" s="3">
        <f t="shared" si="76"/>
        <v>2442422.214762297</v>
      </c>
      <c r="I471" s="3">
        <f t="shared" si="74"/>
        <v>6553269.3237086087</v>
      </c>
      <c r="J471" s="3">
        <f t="shared" si="72"/>
        <v>84752234.031891271</v>
      </c>
      <c r="K471" s="24"/>
      <c r="L471" s="24"/>
    </row>
    <row r="472" spans="2:12" ht="14.25" customHeight="1" x14ac:dyDescent="0.35">
      <c r="B472" s="1">
        <v>62</v>
      </c>
      <c r="C472" s="22">
        <v>45992</v>
      </c>
      <c r="D472" s="22">
        <v>46022</v>
      </c>
      <c r="E472" s="23">
        <f t="shared" si="71"/>
        <v>31</v>
      </c>
      <c r="F472" s="3">
        <f t="shared" si="73"/>
        <v>84752234.031891271</v>
      </c>
      <c r="G472" s="3">
        <f t="shared" si="75"/>
        <v>8995691.5384709053</v>
      </c>
      <c r="H472" s="3">
        <f t="shared" si="76"/>
        <v>2267122.2603530921</v>
      </c>
      <c r="I472" s="3">
        <f t="shared" si="74"/>
        <v>6728569.2781178132</v>
      </c>
      <c r="J472" s="3">
        <f t="shared" si="72"/>
        <v>78023664.753773451</v>
      </c>
      <c r="K472" s="24"/>
      <c r="L472" s="24"/>
    </row>
    <row r="473" spans="2:12" ht="14.25" customHeight="1" x14ac:dyDescent="0.35">
      <c r="B473" s="1">
        <v>63</v>
      </c>
      <c r="C473" s="22">
        <v>46023</v>
      </c>
      <c r="D473" s="22">
        <v>46053</v>
      </c>
      <c r="E473" s="23">
        <f t="shared" si="71"/>
        <v>31</v>
      </c>
      <c r="F473" s="3">
        <f t="shared" si="73"/>
        <v>78023664.753773451</v>
      </c>
      <c r="G473" s="3">
        <f t="shared" si="75"/>
        <v>8995691.5384709053</v>
      </c>
      <c r="H473" s="3">
        <f t="shared" si="76"/>
        <v>2087133.0321634402</v>
      </c>
      <c r="I473" s="3">
        <f t="shared" si="74"/>
        <v>6908558.506307465</v>
      </c>
      <c r="J473" s="3">
        <f t="shared" si="72"/>
        <v>71115106.247465983</v>
      </c>
      <c r="K473" s="24"/>
      <c r="L473" s="24"/>
    </row>
    <row r="474" spans="2:12" ht="14.25" customHeight="1" x14ac:dyDescent="0.35">
      <c r="B474" s="1">
        <v>64</v>
      </c>
      <c r="C474" s="22">
        <v>46054</v>
      </c>
      <c r="D474" s="22">
        <v>46081</v>
      </c>
      <c r="E474" s="23">
        <f t="shared" ref="E474:E482" si="77">D474-C474+1</f>
        <v>28</v>
      </c>
      <c r="F474" s="3">
        <f t="shared" si="73"/>
        <v>71115106.247465983</v>
      </c>
      <c r="G474" s="3">
        <f t="shared" si="75"/>
        <v>8995691.5384709053</v>
      </c>
      <c r="H474" s="3">
        <f t="shared" si="76"/>
        <v>1902329.0921197154</v>
      </c>
      <c r="I474" s="3">
        <f t="shared" si="74"/>
        <v>7093362.4463511901</v>
      </c>
      <c r="J474" s="3">
        <f t="shared" ref="J474:J482" si="78">F474-I474</f>
        <v>64021743.80111479</v>
      </c>
      <c r="K474" s="24"/>
      <c r="L474" s="24"/>
    </row>
    <row r="475" spans="2:12" ht="14.25" customHeight="1" x14ac:dyDescent="0.35">
      <c r="B475" s="1">
        <v>65</v>
      </c>
      <c r="C475" s="22">
        <v>46082</v>
      </c>
      <c r="D475" s="22">
        <v>46112</v>
      </c>
      <c r="E475" s="23">
        <f t="shared" si="77"/>
        <v>31</v>
      </c>
      <c r="F475" s="3">
        <f t="shared" si="73"/>
        <v>64021743.80111479</v>
      </c>
      <c r="G475" s="3">
        <f t="shared" si="75"/>
        <v>8995691.5384709053</v>
      </c>
      <c r="H475" s="3">
        <f t="shared" si="76"/>
        <v>1712581.6466798212</v>
      </c>
      <c r="I475" s="3">
        <f t="shared" si="74"/>
        <v>7283109.8917910838</v>
      </c>
      <c r="J475" s="3">
        <f t="shared" si="78"/>
        <v>56738633.909323707</v>
      </c>
      <c r="K475" s="24"/>
      <c r="L475" s="24"/>
    </row>
    <row r="476" spans="2:12" ht="14.25" customHeight="1" x14ac:dyDescent="0.35">
      <c r="B476" s="1">
        <v>66</v>
      </c>
      <c r="C476" s="22">
        <v>46113</v>
      </c>
      <c r="D476" s="22">
        <v>46142</v>
      </c>
      <c r="E476" s="23">
        <f t="shared" si="77"/>
        <v>30</v>
      </c>
      <c r="F476" s="3">
        <f t="shared" si="73"/>
        <v>56738633.909323707</v>
      </c>
      <c r="G476" s="3">
        <f t="shared" si="75"/>
        <v>8995691.5384709053</v>
      </c>
      <c r="H476" s="3">
        <f t="shared" si="76"/>
        <v>1517758.4570744094</v>
      </c>
      <c r="I476" s="3">
        <f t="shared" si="74"/>
        <v>7477933.0813964959</v>
      </c>
      <c r="J476" s="3">
        <f t="shared" si="78"/>
        <v>49260700.827927209</v>
      </c>
      <c r="K476" s="24"/>
      <c r="L476" s="24"/>
    </row>
    <row r="477" spans="2:12" ht="14.25" customHeight="1" x14ac:dyDescent="0.35">
      <c r="B477" s="1">
        <v>67</v>
      </c>
      <c r="C477" s="22">
        <v>46143</v>
      </c>
      <c r="D477" s="22">
        <v>46173</v>
      </c>
      <c r="E477" s="23">
        <f t="shared" si="77"/>
        <v>31</v>
      </c>
      <c r="F477" s="3">
        <f t="shared" si="73"/>
        <v>49260700.827927209</v>
      </c>
      <c r="G477" s="3">
        <f t="shared" si="75"/>
        <v>8995691.5384709053</v>
      </c>
      <c r="H477" s="3">
        <f t="shared" si="76"/>
        <v>1317723.7471470532</v>
      </c>
      <c r="I477" s="3">
        <f t="shared" si="74"/>
        <v>7677967.7913238518</v>
      </c>
      <c r="J477" s="3">
        <f t="shared" si="78"/>
        <v>41582733.036603361</v>
      </c>
      <c r="K477" s="24"/>
      <c r="L477" s="24"/>
    </row>
    <row r="478" spans="2:12" ht="14.25" customHeight="1" x14ac:dyDescent="0.35">
      <c r="B478" s="1">
        <v>68</v>
      </c>
      <c r="C478" s="22">
        <v>46174</v>
      </c>
      <c r="D478" s="22">
        <v>46203</v>
      </c>
      <c r="E478" s="23">
        <f t="shared" si="77"/>
        <v>30</v>
      </c>
      <c r="F478" s="3">
        <f t="shared" si="73"/>
        <v>41582733.036603361</v>
      </c>
      <c r="G478" s="3">
        <f t="shared" si="75"/>
        <v>8995691.5384709053</v>
      </c>
      <c r="H478" s="3">
        <f t="shared" si="76"/>
        <v>1112338.1087291401</v>
      </c>
      <c r="I478" s="3">
        <f t="shared" si="74"/>
        <v>7883353.4297417654</v>
      </c>
      <c r="J478" s="3">
        <f t="shared" si="78"/>
        <v>33699379.606861599</v>
      </c>
      <c r="K478" s="24"/>
      <c r="L478" s="24"/>
    </row>
    <row r="479" spans="2:12" ht="14.25" customHeight="1" x14ac:dyDescent="0.35">
      <c r="B479" s="1">
        <v>69</v>
      </c>
      <c r="C479" s="22">
        <v>46204</v>
      </c>
      <c r="D479" s="22">
        <v>46234</v>
      </c>
      <c r="E479" s="23">
        <f t="shared" si="77"/>
        <v>31</v>
      </c>
      <c r="F479" s="3">
        <f t="shared" si="73"/>
        <v>33699379.606861599</v>
      </c>
      <c r="G479" s="3">
        <f t="shared" si="75"/>
        <v>8995691.5384709053</v>
      </c>
      <c r="H479" s="3">
        <f t="shared" si="76"/>
        <v>901458.4044835479</v>
      </c>
      <c r="I479" s="3">
        <f t="shared" si="74"/>
        <v>8094233.1339873578</v>
      </c>
      <c r="J479" s="3">
        <f t="shared" si="78"/>
        <v>25605146.472874239</v>
      </c>
      <c r="K479" s="24"/>
      <c r="L479" s="24"/>
    </row>
    <row r="480" spans="2:12" ht="14.25" customHeight="1" x14ac:dyDescent="0.35">
      <c r="B480" s="1">
        <v>70</v>
      </c>
      <c r="C480" s="22">
        <v>46235</v>
      </c>
      <c r="D480" s="22">
        <v>46265</v>
      </c>
      <c r="E480" s="23">
        <f t="shared" si="77"/>
        <v>31</v>
      </c>
      <c r="F480" s="3">
        <f t="shared" si="73"/>
        <v>25605146.472874239</v>
      </c>
      <c r="G480" s="3">
        <f t="shared" si="75"/>
        <v>8995691.5384709053</v>
      </c>
      <c r="H480" s="3">
        <f t="shared" si="76"/>
        <v>684937.66814938607</v>
      </c>
      <c r="I480" s="3">
        <f t="shared" si="74"/>
        <v>8310753.8703215197</v>
      </c>
      <c r="J480" s="3">
        <f t="shared" si="78"/>
        <v>17294392.602552719</v>
      </c>
      <c r="K480" s="24"/>
      <c r="L480" s="24"/>
    </row>
    <row r="481" spans="2:19" ht="14.25" customHeight="1" x14ac:dyDescent="0.35">
      <c r="B481" s="1">
        <v>71</v>
      </c>
      <c r="C481" s="22">
        <v>46266</v>
      </c>
      <c r="D481" s="22">
        <v>46295</v>
      </c>
      <c r="E481" s="23">
        <f t="shared" si="77"/>
        <v>30</v>
      </c>
      <c r="F481" s="3">
        <f t="shared" si="73"/>
        <v>17294392.602552719</v>
      </c>
      <c r="G481" s="3">
        <f t="shared" si="75"/>
        <v>8995691.5384709053</v>
      </c>
      <c r="H481" s="3">
        <f t="shared" si="76"/>
        <v>462625.00211828534</v>
      </c>
      <c r="I481" s="3">
        <f t="shared" si="74"/>
        <v>8533066.5363526195</v>
      </c>
      <c r="J481" s="3">
        <f t="shared" si="78"/>
        <v>8761326.0662000999</v>
      </c>
      <c r="K481" s="24"/>
      <c r="L481" s="24"/>
    </row>
    <row r="482" spans="2:19" ht="14.25" customHeight="1" x14ac:dyDescent="0.35">
      <c r="B482" s="1">
        <v>72</v>
      </c>
      <c r="C482" s="22">
        <v>46296</v>
      </c>
      <c r="D482" s="22">
        <v>46326</v>
      </c>
      <c r="E482" s="23">
        <f t="shared" si="77"/>
        <v>31</v>
      </c>
      <c r="F482" s="3">
        <f t="shared" si="73"/>
        <v>8761326.0662000999</v>
      </c>
      <c r="G482" s="3">
        <f t="shared" si="75"/>
        <v>8995691.5384709053</v>
      </c>
      <c r="H482" s="3">
        <f t="shared" si="76"/>
        <v>234365.47227085274</v>
      </c>
      <c r="I482" s="3">
        <f t="shared" si="74"/>
        <v>8761326.0662000533</v>
      </c>
      <c r="J482" s="3">
        <f t="shared" si="78"/>
        <v>4.6566128730773926E-8</v>
      </c>
      <c r="K482" s="24"/>
      <c r="L482" s="24"/>
    </row>
    <row r="483" spans="2:19" ht="14.25" customHeight="1" x14ac:dyDescent="0.35">
      <c r="B483" s="1"/>
      <c r="C483" s="22"/>
      <c r="D483" s="22"/>
      <c r="E483" s="23"/>
      <c r="F483" s="3"/>
      <c r="G483" s="3"/>
      <c r="H483" s="3"/>
      <c r="I483" s="3"/>
      <c r="J483" s="3"/>
      <c r="K483" s="24"/>
      <c r="L483" s="24"/>
    </row>
    <row r="484" spans="2:19" ht="14.25" customHeight="1" x14ac:dyDescent="0.35">
      <c r="B484" s="1"/>
      <c r="C484" s="22"/>
      <c r="D484" s="22"/>
      <c r="E484" s="23"/>
      <c r="F484" s="3"/>
      <c r="G484" s="3"/>
      <c r="H484" s="3"/>
      <c r="I484" s="3"/>
      <c r="J484" s="3"/>
      <c r="K484" s="24"/>
      <c r="L484" s="24"/>
    </row>
    <row r="485" spans="2:19" ht="14.25" customHeight="1" x14ac:dyDescent="0.35">
      <c r="B485" s="1"/>
      <c r="C485" s="1"/>
      <c r="D485" s="1"/>
      <c r="E485" s="28">
        <f>SUM(E410:E470)</f>
        <v>1828</v>
      </c>
      <c r="F485" s="3"/>
      <c r="G485" s="3"/>
      <c r="H485" s="3"/>
      <c r="I485" s="3"/>
      <c r="J485" s="3"/>
      <c r="K485" s="1"/>
      <c r="L485" s="1"/>
    </row>
    <row r="486" spans="2:19" ht="14.25" customHeight="1" x14ac:dyDescent="0.35"/>
    <row r="487" spans="2:19" ht="14.25" customHeight="1" x14ac:dyDescent="0.35"/>
    <row r="488" spans="2:19" ht="14.25" hidden="1" customHeight="1" x14ac:dyDescent="0.35">
      <c r="F488" s="7">
        <f>+D492-12.2%</f>
        <v>7.8000000000000014E-2</v>
      </c>
    </row>
    <row r="489" spans="2:19" hidden="1" x14ac:dyDescent="0.35">
      <c r="B489" s="1"/>
      <c r="C489" s="8" t="s">
        <v>870</v>
      </c>
      <c r="D489" s="3"/>
      <c r="E489" s="3"/>
      <c r="F489" s="3"/>
      <c r="G489" s="3"/>
      <c r="H489" s="3"/>
      <c r="I489" s="231" t="s">
        <v>827</v>
      </c>
      <c r="J489" s="3" t="s">
        <v>828</v>
      </c>
      <c r="K489" s="231" t="s">
        <v>829</v>
      </c>
      <c r="L489" s="231" t="s">
        <v>830</v>
      </c>
      <c r="M489" s="231" t="s">
        <v>831</v>
      </c>
      <c r="R489" s="438" t="s">
        <v>832</v>
      </c>
      <c r="S489" s="432" t="str">
        <f>IFERROR(INDEX(Blocks!$I$2:$I$101,MATCH(8,Blocks!$A$2:$A$101,0)),"")</f>
        <v>000104430000008</v>
      </c>
    </row>
    <row r="490" spans="2:19" hidden="1" x14ac:dyDescent="0.35">
      <c r="B490" s="1"/>
      <c r="C490" s="1"/>
      <c r="D490" s="29" t="s">
        <v>833</v>
      </c>
      <c r="E490" s="3"/>
      <c r="F490" s="3" t="s">
        <v>863</v>
      </c>
      <c r="G490" s="3"/>
      <c r="H490" s="230">
        <v>44805</v>
      </c>
      <c r="I490" s="231">
        <v>44866</v>
      </c>
      <c r="J490" s="230">
        <v>44896</v>
      </c>
      <c r="K490" s="230">
        <v>45047</v>
      </c>
      <c r="L490" s="230">
        <v>45108</v>
      </c>
      <c r="M490" s="230">
        <v>45139</v>
      </c>
      <c r="R490" s="438" t="s">
        <v>834</v>
      </c>
      <c r="S490" s="432" t="str">
        <f>IFERROR(INDEX(Blocks!$H$2:$H$101,MATCH(8,Blocks!$A$2:$A$101,0)),"")</f>
        <v>Corran Farming Limited</v>
      </c>
    </row>
    <row r="491" spans="2:19" hidden="1" x14ac:dyDescent="0.35">
      <c r="B491" s="1"/>
      <c r="C491" s="9" t="s">
        <v>835</v>
      </c>
      <c r="D491" s="10">
        <v>477502871.56999999</v>
      </c>
      <c r="E491" s="3"/>
      <c r="F491" s="267" t="s">
        <v>835</v>
      </c>
      <c r="G491" s="10">
        <v>438766776.28320152</v>
      </c>
      <c r="H491" s="231" t="s">
        <v>836</v>
      </c>
      <c r="I491" s="231" t="s">
        <v>836</v>
      </c>
      <c r="J491" s="231" t="s">
        <v>836</v>
      </c>
      <c r="K491" s="231" t="s">
        <v>836</v>
      </c>
      <c r="L491" s="231" t="s">
        <v>836</v>
      </c>
      <c r="M491" s="231" t="s">
        <v>836</v>
      </c>
      <c r="R491" s="438" t="s">
        <v>223</v>
      </c>
      <c r="S491" s="433">
        <f>IFERROR(INDEX('E-Banker master'!$N$2:$N$186,MATCH(S489,'E-Banker master'!$A$2:$A$186,0)),"")</f>
        <v>0</v>
      </c>
    </row>
    <row r="492" spans="2:19" hidden="1" x14ac:dyDescent="0.35">
      <c r="B492" s="1"/>
      <c r="C492" s="11" t="s">
        <v>837</v>
      </c>
      <c r="D492" s="12">
        <v>0.2</v>
      </c>
      <c r="E492" s="13"/>
      <c r="F492" s="268" t="s">
        <v>837</v>
      </c>
      <c r="G492" s="266">
        <v>0.20100000000000001</v>
      </c>
      <c r="H492" s="13">
        <f>G492+0.4%</f>
        <v>0.20500000000000002</v>
      </c>
      <c r="I492" s="3">
        <f>H492+2.7%</f>
        <v>0.23200000000000001</v>
      </c>
      <c r="J492" s="13">
        <f>I492+0.7%</f>
        <v>0.23900000000000002</v>
      </c>
      <c r="K492" s="13">
        <f>J492+2.7%</f>
        <v>0.26600000000000001</v>
      </c>
      <c r="L492" s="13">
        <f>K492+1.4%</f>
        <v>0.28000000000000003</v>
      </c>
      <c r="M492" s="13">
        <f>L492+1.3%</f>
        <v>0.29300000000000004</v>
      </c>
      <c r="R492" s="438" t="s">
        <v>52</v>
      </c>
      <c r="S492" s="433">
        <f>IFERROR(INDEX('E-Banker master'!$P$2:$P$186,MATCH(S489,'E-Banker master'!$A$2:$A$186,0)),"")</f>
        <v>0</v>
      </c>
    </row>
    <row r="493" spans="2:19" hidden="1" x14ac:dyDescent="0.35">
      <c r="B493" s="1"/>
      <c r="C493" s="11" t="s">
        <v>838</v>
      </c>
      <c r="D493" s="14">
        <f>50/12</f>
        <v>4.166666666666667</v>
      </c>
      <c r="E493" s="1"/>
      <c r="F493" s="268" t="s">
        <v>838</v>
      </c>
      <c r="G493" s="266">
        <f>50/12</f>
        <v>4.166666666666667</v>
      </c>
      <c r="H493" s="3"/>
      <c r="I493" s="3"/>
      <c r="J493" s="3"/>
      <c r="K493" s="1"/>
      <c r="L493" s="1"/>
    </row>
    <row r="494" spans="2:19" hidden="1" x14ac:dyDescent="0.35">
      <c r="B494" s="1"/>
      <c r="C494" s="11" t="s">
        <v>839</v>
      </c>
      <c r="D494" s="14">
        <v>12</v>
      </c>
      <c r="E494" s="1"/>
      <c r="F494" s="268" t="s">
        <v>839</v>
      </c>
      <c r="G494" s="266">
        <v>12</v>
      </c>
      <c r="H494" s="3" t="s">
        <v>840</v>
      </c>
      <c r="I494" s="3" t="s">
        <v>841</v>
      </c>
      <c r="J494" s="3" t="s">
        <v>842</v>
      </c>
      <c r="K494" s="3" t="s">
        <v>855</v>
      </c>
      <c r="L494" s="344" t="s">
        <v>856</v>
      </c>
    </row>
    <row r="495" spans="2:19" hidden="1" x14ac:dyDescent="0.35">
      <c r="B495" s="1"/>
      <c r="C495" s="11" t="s">
        <v>843</v>
      </c>
      <c r="D495" s="15">
        <f>D493*D494</f>
        <v>50</v>
      </c>
      <c r="E495" s="1"/>
      <c r="F495" s="268" t="s">
        <v>843</v>
      </c>
      <c r="G495" s="266">
        <v>44</v>
      </c>
      <c r="H495" s="230">
        <v>45170</v>
      </c>
      <c r="I495" s="231">
        <v>45200</v>
      </c>
      <c r="J495" s="230">
        <v>45261</v>
      </c>
      <c r="K495" s="230">
        <v>44958</v>
      </c>
      <c r="L495" s="230">
        <v>45047</v>
      </c>
    </row>
    <row r="496" spans="2:19" hidden="1" x14ac:dyDescent="0.35">
      <c r="B496" s="1"/>
      <c r="C496" s="11" t="s">
        <v>844</v>
      </c>
      <c r="D496" s="16">
        <v>365</v>
      </c>
      <c r="E496" s="1"/>
      <c r="F496" s="268" t="s">
        <v>844</v>
      </c>
      <c r="G496" s="266">
        <v>365</v>
      </c>
      <c r="H496" s="231" t="s">
        <v>836</v>
      </c>
      <c r="I496" s="231" t="s">
        <v>836</v>
      </c>
      <c r="J496" s="231" t="s">
        <v>836</v>
      </c>
      <c r="K496" s="231" t="s">
        <v>836</v>
      </c>
      <c r="L496" s="344" t="s">
        <v>836</v>
      </c>
    </row>
    <row r="497" spans="2:12" hidden="1" x14ac:dyDescent="0.35">
      <c r="B497" s="1"/>
      <c r="C497" s="17" t="s">
        <v>845</v>
      </c>
      <c r="D497" s="18">
        <f>-PMT(D492/D494,D495,D491,0,0)</f>
        <v>14150582.997141488</v>
      </c>
      <c r="E497" s="3"/>
      <c r="F497" s="269" t="s">
        <v>845</v>
      </c>
      <c r="G497" s="18">
        <f>-PMT(G492/G494,G495,G491,0,0)</f>
        <v>14173626.149148392</v>
      </c>
      <c r="H497" s="13">
        <f>M492+0.7%</f>
        <v>0.30000000000000004</v>
      </c>
      <c r="I497" s="3">
        <f>H497+0.1%</f>
        <v>0.30100000000000005</v>
      </c>
      <c r="J497" s="13">
        <f>I497+0.1%</f>
        <v>0.30200000000000005</v>
      </c>
      <c r="K497" s="13">
        <f>J497+1.3%</f>
        <v>0.31500000000000006</v>
      </c>
      <c r="L497" s="348">
        <f>+K497+0.1%</f>
        <v>0.31600000000000006</v>
      </c>
    </row>
    <row r="498" spans="2:12" hidden="1" x14ac:dyDescent="0.35">
      <c r="B498" s="1"/>
      <c r="C498" s="1"/>
      <c r="D498" s="3"/>
      <c r="E498" s="3"/>
      <c r="F498" s="3"/>
      <c r="G498" s="3"/>
      <c r="H498" s="3"/>
      <c r="I498" s="3"/>
      <c r="J498" s="3"/>
      <c r="K498" s="1"/>
      <c r="L498" s="1"/>
    </row>
    <row r="499" spans="2:12" hidden="1" x14ac:dyDescent="0.35">
      <c r="B499" s="1"/>
      <c r="C499" s="19" t="s">
        <v>846</v>
      </c>
      <c r="D499" s="20" t="s">
        <v>847</v>
      </c>
      <c r="E499" s="20" t="s">
        <v>764</v>
      </c>
      <c r="F499" s="270" t="s">
        <v>848</v>
      </c>
      <c r="G499" s="270" t="s">
        <v>849</v>
      </c>
      <c r="H499" s="270" t="s">
        <v>742</v>
      </c>
      <c r="I499" s="270" t="s">
        <v>740</v>
      </c>
      <c r="J499" s="270" t="s">
        <v>850</v>
      </c>
      <c r="K499" s="21" t="s">
        <v>851</v>
      </c>
      <c r="L499" s="21" t="s">
        <v>871</v>
      </c>
    </row>
    <row r="500" spans="2:12" hidden="1" x14ac:dyDescent="0.35">
      <c r="B500" s="1">
        <v>1</v>
      </c>
      <c r="C500" s="22">
        <v>44501</v>
      </c>
      <c r="D500" s="22">
        <v>44530</v>
      </c>
      <c r="E500" s="23">
        <f t="shared" ref="E500:E531" si="79">D500-C500+1</f>
        <v>30</v>
      </c>
      <c r="F500" s="3">
        <f>D491</f>
        <v>477502871.56999999</v>
      </c>
      <c r="G500" s="3">
        <f>-PMT($D$492/12,50,D491,,0)</f>
        <v>14150582.997141488</v>
      </c>
      <c r="H500" s="3">
        <f t="shared" ref="H500:H505" si="80">$D$492*F500/$D$494</f>
        <v>7958381.1928333342</v>
      </c>
      <c r="I500" s="3">
        <f t="shared" ref="I500:I531" si="81">G500-H500</f>
        <v>6192201.8043081537</v>
      </c>
      <c r="J500" s="3">
        <f t="shared" ref="J500:J531" si="82">F500-I500</f>
        <v>471310669.76569182</v>
      </c>
      <c r="K500" s="24">
        <v>0</v>
      </c>
      <c r="L500" s="24">
        <f>G500-K500</f>
        <v>14150582.997141488</v>
      </c>
    </row>
    <row r="501" spans="2:12" hidden="1" x14ac:dyDescent="0.35">
      <c r="B501" s="1">
        <v>2</v>
      </c>
      <c r="C501" s="22">
        <v>44531</v>
      </c>
      <c r="D501" s="22">
        <v>44561</v>
      </c>
      <c r="E501" s="23">
        <f t="shared" si="79"/>
        <v>31</v>
      </c>
      <c r="F501" s="3">
        <f t="shared" ref="F501:F509" si="83">J500</f>
        <v>471310669.76569182</v>
      </c>
      <c r="G501" s="3">
        <v>14150582.99714149</v>
      </c>
      <c r="H501" s="3">
        <f t="shared" si="80"/>
        <v>7855177.8294281969</v>
      </c>
      <c r="I501" s="3">
        <f t="shared" si="81"/>
        <v>6295405.1677132929</v>
      </c>
      <c r="J501" s="3">
        <f t="shared" si="82"/>
        <v>465015264.59797853</v>
      </c>
      <c r="K501" s="24">
        <f>15000000+16750155.25</f>
        <v>31750155.25</v>
      </c>
      <c r="L501" s="24">
        <f t="shared" ref="L501:L509" si="84">L500+G501-K501</f>
        <v>-3448989.2557170242</v>
      </c>
    </row>
    <row r="502" spans="2:12" hidden="1" x14ac:dyDescent="0.35">
      <c r="B502" s="1">
        <v>3</v>
      </c>
      <c r="C502" s="22">
        <v>44562</v>
      </c>
      <c r="D502" s="22">
        <v>44592</v>
      </c>
      <c r="E502" s="23">
        <f t="shared" si="79"/>
        <v>31</v>
      </c>
      <c r="F502" s="3">
        <f t="shared" si="83"/>
        <v>465015264.59797853</v>
      </c>
      <c r="G502" s="3">
        <v>14150582.99714149</v>
      </c>
      <c r="H502" s="3">
        <f t="shared" si="80"/>
        <v>7750254.4099663096</v>
      </c>
      <c r="I502" s="3">
        <f t="shared" si="81"/>
        <v>6400328.5871751802</v>
      </c>
      <c r="J502" s="3">
        <f t="shared" si="82"/>
        <v>458614936.01080334</v>
      </c>
      <c r="K502" s="24">
        <v>0</v>
      </c>
      <c r="L502" s="24">
        <f t="shared" si="84"/>
        <v>10701593.741424466</v>
      </c>
    </row>
    <row r="503" spans="2:12" hidden="1" x14ac:dyDescent="0.35">
      <c r="B503" s="1">
        <v>4</v>
      </c>
      <c r="C503" s="22">
        <v>44593</v>
      </c>
      <c r="D503" s="22">
        <v>44620</v>
      </c>
      <c r="E503" s="23">
        <f t="shared" si="79"/>
        <v>28</v>
      </c>
      <c r="F503" s="3">
        <f t="shared" si="83"/>
        <v>458614936.01080334</v>
      </c>
      <c r="G503" s="3">
        <v>14150582.99714149</v>
      </c>
      <c r="H503" s="3">
        <f t="shared" si="80"/>
        <v>7643582.2668467229</v>
      </c>
      <c r="I503" s="3">
        <f t="shared" si="81"/>
        <v>6507000.7302947668</v>
      </c>
      <c r="J503" s="3">
        <f t="shared" si="82"/>
        <v>452107935.28050858</v>
      </c>
      <c r="K503" s="24">
        <v>0</v>
      </c>
      <c r="L503" s="24">
        <f t="shared" si="84"/>
        <v>24852176.738565955</v>
      </c>
    </row>
    <row r="504" spans="2:12" hidden="1" x14ac:dyDescent="0.35">
      <c r="B504" s="1">
        <v>5</v>
      </c>
      <c r="C504" s="22">
        <v>44621</v>
      </c>
      <c r="D504" s="22">
        <v>44651</v>
      </c>
      <c r="E504" s="23">
        <f t="shared" si="79"/>
        <v>31</v>
      </c>
      <c r="F504" s="3">
        <f t="shared" si="83"/>
        <v>452107935.28050858</v>
      </c>
      <c r="G504" s="3">
        <v>14150582.99714149</v>
      </c>
      <c r="H504" s="3">
        <f t="shared" si="80"/>
        <v>7535132.2546751434</v>
      </c>
      <c r="I504" s="3">
        <f t="shared" si="81"/>
        <v>6615450.7424663464</v>
      </c>
      <c r="J504" s="3">
        <f t="shared" si="82"/>
        <v>445492484.53804225</v>
      </c>
      <c r="K504" s="24">
        <v>0</v>
      </c>
      <c r="L504" s="24">
        <f t="shared" si="84"/>
        <v>39002759.735707447</v>
      </c>
    </row>
    <row r="505" spans="2:12" hidden="1" x14ac:dyDescent="0.35">
      <c r="B505" s="1">
        <v>6</v>
      </c>
      <c r="C505" s="22">
        <v>44652</v>
      </c>
      <c r="D505" s="22">
        <v>44681</v>
      </c>
      <c r="E505" s="23">
        <f t="shared" si="79"/>
        <v>30</v>
      </c>
      <c r="F505" s="3">
        <f t="shared" si="83"/>
        <v>445492484.53804225</v>
      </c>
      <c r="G505" s="3">
        <v>14150582.99714149</v>
      </c>
      <c r="H505" s="3">
        <f t="shared" si="80"/>
        <v>7424874.7423007041</v>
      </c>
      <c r="I505" s="3">
        <f t="shared" si="81"/>
        <v>6725708.2548407856</v>
      </c>
      <c r="J505" s="3">
        <f t="shared" si="82"/>
        <v>438766776.28320146</v>
      </c>
      <c r="K505" s="24">
        <v>0</v>
      </c>
      <c r="L505" s="24">
        <f t="shared" si="84"/>
        <v>53153342.732848935</v>
      </c>
    </row>
    <row r="506" spans="2:12" hidden="1" x14ac:dyDescent="0.35">
      <c r="B506" s="1">
        <v>7</v>
      </c>
      <c r="C506" s="22">
        <v>44682</v>
      </c>
      <c r="D506" s="22">
        <v>44712</v>
      </c>
      <c r="E506" s="23">
        <f t="shared" si="79"/>
        <v>31</v>
      </c>
      <c r="F506" s="3">
        <f t="shared" si="83"/>
        <v>438766776.28320146</v>
      </c>
      <c r="G506" s="3">
        <v>14173626.14914839</v>
      </c>
      <c r="H506" s="3">
        <f>$G$492*F506/$D$494</f>
        <v>7349343.5027436251</v>
      </c>
      <c r="I506" s="3">
        <f t="shared" si="81"/>
        <v>6824282.6464047646</v>
      </c>
      <c r="J506" s="3">
        <f t="shared" si="82"/>
        <v>431942493.63679671</v>
      </c>
      <c r="K506" s="24"/>
      <c r="L506" s="24">
        <f t="shared" si="84"/>
        <v>67326968.881997317</v>
      </c>
    </row>
    <row r="507" spans="2:12" hidden="1" x14ac:dyDescent="0.35">
      <c r="B507" s="1">
        <v>8</v>
      </c>
      <c r="C507" s="22">
        <v>44713</v>
      </c>
      <c r="D507" s="22">
        <v>44742</v>
      </c>
      <c r="E507" s="23">
        <f t="shared" si="79"/>
        <v>30</v>
      </c>
      <c r="F507" s="3">
        <f t="shared" si="83"/>
        <v>431942493.63679671</v>
      </c>
      <c r="G507" s="3">
        <v>14173626.14914839</v>
      </c>
      <c r="H507" s="3">
        <f>$G$492*F507/$D$494</f>
        <v>7235036.7684163451</v>
      </c>
      <c r="I507" s="3">
        <f t="shared" si="81"/>
        <v>6938589.3807320446</v>
      </c>
      <c r="J507" s="3">
        <f t="shared" si="82"/>
        <v>425003904.25606465</v>
      </c>
      <c r="K507" s="24"/>
      <c r="L507" s="24">
        <f t="shared" si="84"/>
        <v>81500595.031145707</v>
      </c>
    </row>
    <row r="508" spans="2:12" hidden="1" x14ac:dyDescent="0.35">
      <c r="B508" s="1">
        <v>9</v>
      </c>
      <c r="C508" s="22">
        <v>44743</v>
      </c>
      <c r="D508" s="22">
        <v>44773</v>
      </c>
      <c r="E508" s="23">
        <f t="shared" si="79"/>
        <v>31</v>
      </c>
      <c r="F508" s="3">
        <f t="shared" si="83"/>
        <v>425003904.25606465</v>
      </c>
      <c r="G508" s="3">
        <v>14173626.14914839</v>
      </c>
      <c r="H508" s="3">
        <f>$G$492*F508/$D$494</f>
        <v>7118815.3962890832</v>
      </c>
      <c r="I508" s="3">
        <f t="shared" si="81"/>
        <v>7054810.7528593065</v>
      </c>
      <c r="J508" s="3">
        <f t="shared" si="82"/>
        <v>417949093.50320536</v>
      </c>
      <c r="K508" s="24"/>
      <c r="L508" s="24">
        <f t="shared" si="84"/>
        <v>95674221.180294096</v>
      </c>
    </row>
    <row r="509" spans="2:12" hidden="1" x14ac:dyDescent="0.35">
      <c r="B509" s="1">
        <v>10</v>
      </c>
      <c r="C509" s="22">
        <v>44774</v>
      </c>
      <c r="D509" s="22">
        <v>44804</v>
      </c>
      <c r="E509" s="23">
        <f t="shared" si="79"/>
        <v>31</v>
      </c>
      <c r="F509" s="3">
        <f t="shared" si="83"/>
        <v>417949093.50320536</v>
      </c>
      <c r="G509" s="3">
        <v>14173626.14914839</v>
      </c>
      <c r="H509" s="3">
        <f>$G$492*F509/$D$494</f>
        <v>7000647.3161786906</v>
      </c>
      <c r="I509" s="3">
        <f t="shared" si="81"/>
        <v>7172978.8329696991</v>
      </c>
      <c r="J509" s="3">
        <f t="shared" si="82"/>
        <v>410776114.67023563</v>
      </c>
      <c r="K509" s="24"/>
      <c r="L509" s="24">
        <f t="shared" si="84"/>
        <v>109847847.32944249</v>
      </c>
    </row>
    <row r="510" spans="2:12" hidden="1" x14ac:dyDescent="0.35">
      <c r="B510" s="232">
        <v>11</v>
      </c>
      <c r="C510" s="233">
        <v>44805</v>
      </c>
      <c r="D510" s="233">
        <v>44834</v>
      </c>
      <c r="E510" s="234">
        <f t="shared" si="79"/>
        <v>30</v>
      </c>
      <c r="F510" s="272">
        <v>395623962</v>
      </c>
      <c r="G510" s="272">
        <f>-PMT($H$492/$D$494,40,$F$510,,0)</f>
        <v>13732855.340492351</v>
      </c>
      <c r="H510" s="272">
        <f>$H$492*F510/$D$494</f>
        <v>6758576.017500001</v>
      </c>
      <c r="I510" s="272">
        <f t="shared" si="81"/>
        <v>6974279.32299235</v>
      </c>
      <c r="J510" s="272">
        <f t="shared" si="82"/>
        <v>388649682.67700768</v>
      </c>
      <c r="K510" s="205"/>
      <c r="L510" s="235" t="s">
        <v>833</v>
      </c>
    </row>
    <row r="511" spans="2:12" hidden="1" x14ac:dyDescent="0.35">
      <c r="B511" s="1">
        <v>12</v>
      </c>
      <c r="C511" s="22">
        <v>44835</v>
      </c>
      <c r="D511" s="22">
        <v>44865</v>
      </c>
      <c r="E511" s="23">
        <f t="shared" si="79"/>
        <v>31</v>
      </c>
      <c r="F511" s="3">
        <f t="shared" ref="F511:F549" si="85">J510</f>
        <v>388649682.67700768</v>
      </c>
      <c r="G511" s="3">
        <f>-PMT($H$492/$D$494,40,$F$510,,0)</f>
        <v>13732855.340492351</v>
      </c>
      <c r="H511" s="3">
        <f>$H$492*F511/$D$494</f>
        <v>6639432.0790655492</v>
      </c>
      <c r="I511" s="3">
        <f t="shared" si="81"/>
        <v>7093423.2614268018</v>
      </c>
      <c r="J511" s="3">
        <f t="shared" si="82"/>
        <v>381556259.41558087</v>
      </c>
      <c r="K511" s="24"/>
      <c r="L511" s="24"/>
    </row>
    <row r="512" spans="2:12" hidden="1" x14ac:dyDescent="0.35">
      <c r="B512" s="1">
        <v>13</v>
      </c>
      <c r="C512" s="22">
        <v>44866</v>
      </c>
      <c r="D512" s="22">
        <v>44895</v>
      </c>
      <c r="E512" s="23">
        <f t="shared" si="79"/>
        <v>30</v>
      </c>
      <c r="F512" s="3">
        <f t="shared" si="85"/>
        <v>381556259.41558087</v>
      </c>
      <c r="G512" s="3">
        <f>-PMT($I$492/$D$494,38,$F$512,,0)</f>
        <v>14269496.970713144</v>
      </c>
      <c r="H512" s="3">
        <f>$I$492*F512/$D$494</f>
        <v>7376754.3487012303</v>
      </c>
      <c r="I512" s="3">
        <f t="shared" si="81"/>
        <v>6892742.6220119139</v>
      </c>
      <c r="J512" s="3">
        <f t="shared" si="82"/>
        <v>374663516.79356897</v>
      </c>
      <c r="K512" s="24"/>
      <c r="L512" s="24"/>
    </row>
    <row r="513" spans="2:12" hidden="1" x14ac:dyDescent="0.35">
      <c r="B513" s="1">
        <v>14</v>
      </c>
      <c r="C513" s="22">
        <v>44896</v>
      </c>
      <c r="D513" s="22">
        <v>44926</v>
      </c>
      <c r="E513" s="23">
        <f t="shared" si="79"/>
        <v>31</v>
      </c>
      <c r="F513" s="3">
        <f t="shared" si="85"/>
        <v>374663516.79356897</v>
      </c>
      <c r="G513" s="3">
        <f>-PMT($J$492/$D$494,37,$F$513,,0)</f>
        <v>14407334.937699052</v>
      </c>
      <c r="H513" s="3">
        <f>$J$492*F513/$D$494</f>
        <v>7462048.3761385828</v>
      </c>
      <c r="I513" s="3">
        <f t="shared" si="81"/>
        <v>6945286.5615604687</v>
      </c>
      <c r="J513" s="3">
        <f t="shared" si="82"/>
        <v>367718230.23200852</v>
      </c>
      <c r="K513" s="24"/>
      <c r="L513" s="287">
        <f>SUM(G510:G513)</f>
        <v>56142542.589396894</v>
      </c>
    </row>
    <row r="514" spans="2:12" hidden="1" x14ac:dyDescent="0.35">
      <c r="B514" s="1">
        <v>15</v>
      </c>
      <c r="C514" s="22">
        <v>44927</v>
      </c>
      <c r="D514" s="22">
        <v>44957</v>
      </c>
      <c r="E514" s="23">
        <f t="shared" si="79"/>
        <v>31</v>
      </c>
      <c r="F514" s="3">
        <f t="shared" si="85"/>
        <v>367718230.23200852</v>
      </c>
      <c r="G514" s="288">
        <f>-PMT($J$492/$D$494,37,$F$513,,0)</f>
        <v>14407334.937699052</v>
      </c>
      <c r="H514" s="3">
        <f>$J$492*F514/$D$494</f>
        <v>7323721.4187875027</v>
      </c>
      <c r="I514" s="3">
        <f t="shared" si="81"/>
        <v>7083613.5189115489</v>
      </c>
      <c r="J514" s="3">
        <f t="shared" si="82"/>
        <v>360634616.71309698</v>
      </c>
      <c r="K514" s="24"/>
      <c r="L514" s="24"/>
    </row>
    <row r="515" spans="2:12" hidden="1" x14ac:dyDescent="0.35">
      <c r="B515" s="1">
        <v>16</v>
      </c>
      <c r="C515" s="22">
        <v>44958</v>
      </c>
      <c r="D515" s="22">
        <v>44985</v>
      </c>
      <c r="E515" s="23">
        <f t="shared" si="79"/>
        <v>28</v>
      </c>
      <c r="F515" s="3">
        <f t="shared" si="85"/>
        <v>360634616.71309698</v>
      </c>
      <c r="G515" s="288">
        <f>-PMT($J$492/$D$494,37,$F$513,,0)</f>
        <v>14407334.937699052</v>
      </c>
      <c r="H515" s="3">
        <f>$J$492*F515/$D$494</f>
        <v>7182639.4495358495</v>
      </c>
      <c r="I515" s="3">
        <f t="shared" si="81"/>
        <v>7224695.4881632021</v>
      </c>
      <c r="J515" s="3">
        <f t="shared" si="82"/>
        <v>353409921.2249338</v>
      </c>
      <c r="K515" s="24"/>
      <c r="L515" s="24"/>
    </row>
    <row r="516" spans="2:12" hidden="1" x14ac:dyDescent="0.35">
      <c r="B516" s="1">
        <v>17</v>
      </c>
      <c r="C516" s="22">
        <v>44986</v>
      </c>
      <c r="D516" s="22">
        <v>45016</v>
      </c>
      <c r="E516" s="23">
        <f t="shared" si="79"/>
        <v>31</v>
      </c>
      <c r="F516" s="3">
        <f t="shared" si="85"/>
        <v>353409921.2249338</v>
      </c>
      <c r="G516" s="288">
        <f>-PMT($J$492/$D$494,37,$F$513,,0)</f>
        <v>14407334.937699052</v>
      </c>
      <c r="H516" s="3">
        <f>$J$492*F516/$D$494</f>
        <v>7038747.5977299325</v>
      </c>
      <c r="I516" s="3">
        <f t="shared" si="81"/>
        <v>7368587.3399691191</v>
      </c>
      <c r="J516" s="3">
        <f t="shared" si="82"/>
        <v>346041333.8849647</v>
      </c>
      <c r="K516" s="287">
        <v>56142542.590000004</v>
      </c>
      <c r="L516" s="287">
        <f>SUM(G514:G516)</f>
        <v>43222004.813097157</v>
      </c>
    </row>
    <row r="517" spans="2:12" hidden="1" x14ac:dyDescent="0.35">
      <c r="B517" s="1">
        <v>18</v>
      </c>
      <c r="C517" s="22">
        <v>45017</v>
      </c>
      <c r="D517" s="22">
        <v>45046</v>
      </c>
      <c r="E517" s="23">
        <f t="shared" si="79"/>
        <v>30</v>
      </c>
      <c r="F517" s="3">
        <f t="shared" si="85"/>
        <v>346041333.8849647</v>
      </c>
      <c r="G517" s="288">
        <f>-PMT($J$492/$D$494,37,$F$513,,0)</f>
        <v>14407334.937699052</v>
      </c>
      <c r="H517" s="3">
        <f>$J$492*F517/$D$494</f>
        <v>6891989.8998755477</v>
      </c>
      <c r="I517" s="3">
        <f t="shared" si="81"/>
        <v>7515345.0378235038</v>
      </c>
      <c r="J517" s="3">
        <f t="shared" si="82"/>
        <v>338525988.84714121</v>
      </c>
      <c r="K517" s="287">
        <f>14407334.94*2</f>
        <v>28814669.879999999</v>
      </c>
      <c r="L517" s="24">
        <f>L516-K517</f>
        <v>14407334.933097158</v>
      </c>
    </row>
    <row r="518" spans="2:12" hidden="1" x14ac:dyDescent="0.35">
      <c r="B518" s="1">
        <v>19</v>
      </c>
      <c r="C518" s="22">
        <v>45047</v>
      </c>
      <c r="D518" s="22">
        <v>45077</v>
      </c>
      <c r="E518" s="23">
        <f t="shared" si="79"/>
        <v>31</v>
      </c>
      <c r="F518" s="3">
        <f t="shared" si="85"/>
        <v>338525988.84714121</v>
      </c>
      <c r="G518" s="288">
        <f>-PMT($K$492/$D$494,32,$F$518,,0)</f>
        <v>14882922.060813921</v>
      </c>
      <c r="H518" s="3">
        <f>$K$492*F518/$D$494</f>
        <v>7503992.7527782964</v>
      </c>
      <c r="I518" s="3">
        <f t="shared" si="81"/>
        <v>7378929.3080356242</v>
      </c>
      <c r="J518" s="3">
        <f t="shared" si="82"/>
        <v>331147059.53910559</v>
      </c>
      <c r="K518" s="287">
        <v>14407334.93</v>
      </c>
      <c r="L518" s="24"/>
    </row>
    <row r="519" spans="2:12" hidden="1" x14ac:dyDescent="0.35">
      <c r="B519" s="1">
        <v>20</v>
      </c>
      <c r="C519" s="22">
        <v>45078</v>
      </c>
      <c r="D519" s="22">
        <v>45107</v>
      </c>
      <c r="E519" s="23">
        <f t="shared" si="79"/>
        <v>30</v>
      </c>
      <c r="F519" s="3">
        <f t="shared" si="85"/>
        <v>331147059.53910559</v>
      </c>
      <c r="G519" s="288">
        <f>-PMT($K$492/$D$494,32,$F$518,,0)</f>
        <v>14882922.060813921</v>
      </c>
      <c r="H519" s="3">
        <f>$K$492*F519/$D$494</f>
        <v>7340426.4864501739</v>
      </c>
      <c r="I519" s="3">
        <f t="shared" si="81"/>
        <v>7542495.5743637467</v>
      </c>
      <c r="J519" s="3">
        <f t="shared" si="82"/>
        <v>323604563.96474183</v>
      </c>
      <c r="K519" s="287">
        <v>22017653.699999999</v>
      </c>
      <c r="L519" s="24">
        <f>(SUM(G517:G519))-K519</f>
        <v>22155525.359326895</v>
      </c>
    </row>
    <row r="520" spans="2:12" hidden="1" x14ac:dyDescent="0.35">
      <c r="B520" s="1">
        <v>21</v>
      </c>
      <c r="C520" s="22">
        <v>45108</v>
      </c>
      <c r="D520" s="22">
        <v>45138</v>
      </c>
      <c r="E520" s="23">
        <f t="shared" si="79"/>
        <v>31</v>
      </c>
      <c r="F520" s="3">
        <f t="shared" si="85"/>
        <v>323604563.96474183</v>
      </c>
      <c r="G520" s="3">
        <f>-PMT($K$492/$D$494,32,$F$518,,0)</f>
        <v>14882922.060813921</v>
      </c>
      <c r="H520" s="3">
        <f>$L$492*F520/$D$494</f>
        <v>7550773.1591773098</v>
      </c>
      <c r="I520" s="3">
        <f t="shared" si="81"/>
        <v>7332148.9016366107</v>
      </c>
      <c r="J520" s="3">
        <f t="shared" si="82"/>
        <v>316272415.06310523</v>
      </c>
      <c r="K520" s="24"/>
      <c r="L520" s="26"/>
    </row>
    <row r="521" spans="2:12" hidden="1" x14ac:dyDescent="0.35">
      <c r="B521" s="1">
        <v>22</v>
      </c>
      <c r="C521" s="22">
        <v>45139</v>
      </c>
      <c r="D521" s="22">
        <v>45169</v>
      </c>
      <c r="E521" s="23">
        <f t="shared" si="79"/>
        <v>31</v>
      </c>
      <c r="F521" s="3">
        <f t="shared" si="85"/>
        <v>316272415.06310523</v>
      </c>
      <c r="G521" s="3">
        <f>-PMT($M$492/$D$494,29,$F$521,,0)</f>
        <v>15346278.983743476</v>
      </c>
      <c r="H521" s="3">
        <f>$M$492*F521/$D$494</f>
        <v>7722318.1344574867</v>
      </c>
      <c r="I521" s="3">
        <f t="shared" si="81"/>
        <v>7623960.8492859891</v>
      </c>
      <c r="J521" s="3">
        <f t="shared" si="82"/>
        <v>308648454.21381927</v>
      </c>
      <c r="K521" s="24"/>
      <c r="L521" s="24"/>
    </row>
    <row r="522" spans="2:12" hidden="1" x14ac:dyDescent="0.35">
      <c r="B522" s="1">
        <v>23</v>
      </c>
      <c r="C522" s="22">
        <v>45170</v>
      </c>
      <c r="D522" s="22">
        <v>45199</v>
      </c>
      <c r="E522" s="23">
        <f t="shared" si="79"/>
        <v>30</v>
      </c>
      <c r="F522" s="3">
        <f t="shared" si="85"/>
        <v>308648454.21381927</v>
      </c>
      <c r="G522" s="3">
        <f>-PMT($H$497/$D$494,28,$F$522,,0)</f>
        <v>15459563.013007414</v>
      </c>
      <c r="H522" s="3">
        <f>$H$497*F522/$D$494</f>
        <v>7716211.3553454829</v>
      </c>
      <c r="I522" s="3">
        <f t="shared" si="81"/>
        <v>7743351.6576619307</v>
      </c>
      <c r="J522" s="3">
        <f t="shared" si="82"/>
        <v>300905102.55615735</v>
      </c>
      <c r="K522" s="24">
        <v>23677014.800000001</v>
      </c>
      <c r="L522" s="24">
        <f>SUM(G520:G522)+L519-K522</f>
        <v>44167274.616891712</v>
      </c>
    </row>
    <row r="523" spans="2:12" hidden="1" x14ac:dyDescent="0.35">
      <c r="B523" s="1">
        <v>24</v>
      </c>
      <c r="C523" s="22">
        <v>45200</v>
      </c>
      <c r="D523" s="22">
        <v>45230</v>
      </c>
      <c r="E523" s="23">
        <f t="shared" si="79"/>
        <v>31</v>
      </c>
      <c r="F523" s="3">
        <f t="shared" si="85"/>
        <v>300905102.55615735</v>
      </c>
      <c r="G523" s="3">
        <f>-PMT($I$497/$D$494,27,$F$523,,0)</f>
        <v>15475294.590762014</v>
      </c>
      <c r="H523" s="3">
        <f>$I$497*F523/$D$494</f>
        <v>7547702.9891169481</v>
      </c>
      <c r="I523" s="3">
        <f t="shared" si="81"/>
        <v>7927591.6016450655</v>
      </c>
      <c r="J523" s="3">
        <f t="shared" si="82"/>
        <v>292977510.9545123</v>
      </c>
      <c r="K523" s="24"/>
      <c r="L523" s="24"/>
    </row>
    <row r="524" spans="2:12" hidden="1" x14ac:dyDescent="0.35">
      <c r="B524" s="1">
        <v>25</v>
      </c>
      <c r="C524" s="22">
        <v>45231</v>
      </c>
      <c r="D524" s="22">
        <v>45260</v>
      </c>
      <c r="E524" s="23">
        <f t="shared" si="79"/>
        <v>30</v>
      </c>
      <c r="F524" s="3">
        <f t="shared" si="85"/>
        <v>292977510.9545123</v>
      </c>
      <c r="G524" s="3">
        <f>-PMT($I$497/$D$494,27,$F$523,,0)</f>
        <v>15475294.590762014</v>
      </c>
      <c r="H524" s="3">
        <f>$I$497*F524/$D$494</f>
        <v>7348852.5664423518</v>
      </c>
      <c r="I524" s="3">
        <f t="shared" si="81"/>
        <v>8126442.0243196618</v>
      </c>
      <c r="J524" s="3">
        <f t="shared" si="82"/>
        <v>284851068.93019265</v>
      </c>
      <c r="K524" s="24"/>
      <c r="L524" s="24"/>
    </row>
    <row r="525" spans="2:12" hidden="1" x14ac:dyDescent="0.35">
      <c r="B525" s="1">
        <v>26</v>
      </c>
      <c r="C525" s="22">
        <v>45261</v>
      </c>
      <c r="D525" s="22">
        <v>45291</v>
      </c>
      <c r="E525" s="23">
        <f t="shared" si="79"/>
        <v>31</v>
      </c>
      <c r="F525" s="3">
        <f t="shared" si="85"/>
        <v>284851068.93019265</v>
      </c>
      <c r="G525" s="3">
        <f>-PMT($J$497/$D$494,25,$F$525,,0)</f>
        <v>15490042.686099458</v>
      </c>
      <c r="H525" s="3">
        <f>$J$497*F525/$D$494</f>
        <v>7168751.9014098495</v>
      </c>
      <c r="I525" s="3">
        <f t="shared" si="81"/>
        <v>8321290.784689609</v>
      </c>
      <c r="J525" s="3">
        <f t="shared" si="82"/>
        <v>276529778.14550304</v>
      </c>
      <c r="K525" s="24">
        <v>23677014.800000001</v>
      </c>
      <c r="L525" s="25">
        <f>L522+SUM(G523:G525)-K525</f>
        <v>66930891.684515193</v>
      </c>
    </row>
    <row r="526" spans="2:12" hidden="1" x14ac:dyDescent="0.35">
      <c r="B526" s="1">
        <v>27</v>
      </c>
      <c r="C526" s="22">
        <v>45292</v>
      </c>
      <c r="D526" s="22">
        <v>45322</v>
      </c>
      <c r="E526" s="23">
        <f t="shared" si="79"/>
        <v>31</v>
      </c>
      <c r="F526" s="3">
        <f t="shared" si="85"/>
        <v>276529778.14550304</v>
      </c>
      <c r="G526" s="3">
        <f>-PMT($J$497/$D$494,25,$F$525,,0)</f>
        <v>15490042.686099458</v>
      </c>
      <c r="H526" s="3">
        <f>$J$497*F526/$D$494</f>
        <v>6959332.7499951608</v>
      </c>
      <c r="I526" s="3">
        <f t="shared" si="81"/>
        <v>8530709.9361042976</v>
      </c>
      <c r="J526" s="3">
        <f t="shared" si="82"/>
        <v>267999068.20939875</v>
      </c>
      <c r="K526" s="24"/>
      <c r="L526" s="24"/>
    </row>
    <row r="527" spans="2:12" hidden="1" x14ac:dyDescent="0.35">
      <c r="B527" s="1">
        <v>28</v>
      </c>
      <c r="C527" s="22">
        <v>45323</v>
      </c>
      <c r="D527" s="22">
        <v>45351</v>
      </c>
      <c r="E527" s="23">
        <f t="shared" si="79"/>
        <v>29</v>
      </c>
      <c r="F527" s="3">
        <f t="shared" si="85"/>
        <v>267999068.20939875</v>
      </c>
      <c r="G527" s="3">
        <f>-PMT($K$497/$D$494,23,$F$527,,0)</f>
        <v>15669225.521768507</v>
      </c>
      <c r="H527" s="3">
        <f>$K$497*F527/$D$494</f>
        <v>7034975.5404967181</v>
      </c>
      <c r="I527" s="3">
        <f t="shared" si="81"/>
        <v>8634249.9812717885</v>
      </c>
      <c r="J527" s="3">
        <f t="shared" si="82"/>
        <v>259364818.22812694</v>
      </c>
      <c r="K527" s="24"/>
      <c r="L527" s="24"/>
    </row>
    <row r="528" spans="2:12" hidden="1" x14ac:dyDescent="0.35">
      <c r="B528" s="1">
        <v>29</v>
      </c>
      <c r="C528" s="22">
        <v>45352</v>
      </c>
      <c r="D528" s="22">
        <v>45382</v>
      </c>
      <c r="E528" s="23">
        <f t="shared" si="79"/>
        <v>31</v>
      </c>
      <c r="F528" s="3">
        <f t="shared" si="85"/>
        <v>259364818.22812694</v>
      </c>
      <c r="G528" s="3">
        <f>-PMT($K$497/$D$494,23,$F$527,,0)</f>
        <v>15669225.521768507</v>
      </c>
      <c r="H528" s="3">
        <f>$K$497*F528/$D$494</f>
        <v>6808326.4784883335</v>
      </c>
      <c r="I528" s="3">
        <f t="shared" si="81"/>
        <v>8860899.0432801731</v>
      </c>
      <c r="J528" s="3">
        <f t="shared" si="82"/>
        <v>250503919.18484676</v>
      </c>
      <c r="K528" s="24"/>
      <c r="L528" s="25">
        <f>L525+SUM(G526:G528)-K528</f>
        <v>113759385.41415167</v>
      </c>
    </row>
    <row r="529" spans="2:12" hidden="1" x14ac:dyDescent="0.35">
      <c r="B529" s="1">
        <v>30</v>
      </c>
      <c r="C529" s="22">
        <v>45383</v>
      </c>
      <c r="D529" s="22">
        <v>45412</v>
      </c>
      <c r="E529" s="23">
        <f t="shared" si="79"/>
        <v>30</v>
      </c>
      <c r="F529" s="3">
        <f t="shared" si="85"/>
        <v>250503919.18484676</v>
      </c>
      <c r="G529" s="3">
        <f>-PMT($K$497/$D$494,23,$F$527,,0)</f>
        <v>15669225.521768507</v>
      </c>
      <c r="H529" s="3">
        <f>$K$497*F529/$D$494</f>
        <v>6575727.8786022291</v>
      </c>
      <c r="I529" s="3">
        <f t="shared" si="81"/>
        <v>9093497.6431662776</v>
      </c>
      <c r="J529" s="3">
        <f t="shared" si="82"/>
        <v>241410421.54168049</v>
      </c>
      <c r="K529" s="24">
        <v>26075465.780000001</v>
      </c>
      <c r="L529" s="25">
        <f>L525+SUM(G526:G528)-K529</f>
        <v>87683919.634151667</v>
      </c>
    </row>
    <row r="530" spans="2:12" hidden="1" x14ac:dyDescent="0.35">
      <c r="B530" s="1">
        <v>31</v>
      </c>
      <c r="C530" s="22">
        <v>45413</v>
      </c>
      <c r="D530" s="22">
        <v>45443</v>
      </c>
      <c r="E530" s="23">
        <f t="shared" si="79"/>
        <v>31</v>
      </c>
      <c r="F530" s="3">
        <f t="shared" si="85"/>
        <v>241410421.54168049</v>
      </c>
      <c r="G530" s="3">
        <f t="shared" ref="G530:G549" si="86">-PMT($L$497/$D$494,20,$F$530,,0)</f>
        <v>15681496.680855509</v>
      </c>
      <c r="H530" s="3">
        <f t="shared" ref="H530:H549" si="87">$L$497*F530/$D$494</f>
        <v>6357141.1005975874</v>
      </c>
      <c r="I530" s="3">
        <f t="shared" si="81"/>
        <v>9324355.5802579224</v>
      </c>
      <c r="J530" s="3">
        <f t="shared" si="82"/>
        <v>232086065.96142256</v>
      </c>
      <c r="K530" s="24">
        <v>351120707.80000001</v>
      </c>
      <c r="L530" s="25">
        <f>L529+SUM(G527:G529)-K530</f>
        <v>-216429111.60054284</v>
      </c>
    </row>
    <row r="531" spans="2:12" hidden="1" x14ac:dyDescent="0.35">
      <c r="B531" s="1">
        <v>32</v>
      </c>
      <c r="C531" s="22">
        <v>45444</v>
      </c>
      <c r="D531" s="22">
        <v>45473</v>
      </c>
      <c r="E531" s="23">
        <f t="shared" si="79"/>
        <v>30</v>
      </c>
      <c r="F531" s="3">
        <f t="shared" si="85"/>
        <v>232086065.96142256</v>
      </c>
      <c r="G531" s="3">
        <f t="shared" si="86"/>
        <v>15681496.680855509</v>
      </c>
      <c r="H531" s="3">
        <f t="shared" si="87"/>
        <v>6111599.7369841291</v>
      </c>
      <c r="I531" s="3">
        <f t="shared" si="81"/>
        <v>9569896.9438713789</v>
      </c>
      <c r="J531" s="3">
        <f t="shared" si="82"/>
        <v>222516169.01755118</v>
      </c>
      <c r="K531" s="24"/>
      <c r="L531" s="24"/>
    </row>
    <row r="532" spans="2:12" hidden="1" x14ac:dyDescent="0.35">
      <c r="B532" s="1">
        <v>33</v>
      </c>
      <c r="C532" s="22">
        <v>45474</v>
      </c>
      <c r="D532" s="22">
        <v>45504</v>
      </c>
      <c r="E532" s="23">
        <f t="shared" ref="E532:E549" si="88">D532-C532+1</f>
        <v>31</v>
      </c>
      <c r="F532" s="3">
        <f t="shared" si="85"/>
        <v>222516169.01755118</v>
      </c>
      <c r="G532" s="3">
        <f t="shared" si="86"/>
        <v>15681496.680855509</v>
      </c>
      <c r="H532" s="3">
        <f t="shared" si="87"/>
        <v>5859592.4507955154</v>
      </c>
      <c r="I532" s="3">
        <f t="shared" ref="I532:I549" si="89">G532-H532</f>
        <v>9821904.2300599925</v>
      </c>
      <c r="J532" s="3">
        <f t="shared" ref="J532:J549" si="90">F532-I532</f>
        <v>212694264.7874912</v>
      </c>
      <c r="K532" s="24"/>
      <c r="L532" s="24"/>
    </row>
    <row r="533" spans="2:12" hidden="1" x14ac:dyDescent="0.35">
      <c r="B533" s="1">
        <v>34</v>
      </c>
      <c r="C533" s="22">
        <v>45505</v>
      </c>
      <c r="D533" s="22">
        <v>45535</v>
      </c>
      <c r="E533" s="23">
        <f t="shared" si="88"/>
        <v>31</v>
      </c>
      <c r="F533" s="3">
        <f t="shared" si="85"/>
        <v>212694264.7874912</v>
      </c>
      <c r="G533" s="3">
        <f t="shared" si="86"/>
        <v>15681496.680855509</v>
      </c>
      <c r="H533" s="3">
        <f t="shared" si="87"/>
        <v>5600948.9727372685</v>
      </c>
      <c r="I533" s="3">
        <f t="shared" si="89"/>
        <v>10080547.708118241</v>
      </c>
      <c r="J533" s="3">
        <f t="shared" si="90"/>
        <v>202613717.07937297</v>
      </c>
      <c r="K533" s="24"/>
      <c r="L533" s="24"/>
    </row>
    <row r="534" spans="2:12" hidden="1" x14ac:dyDescent="0.35">
      <c r="B534" s="1">
        <v>35</v>
      </c>
      <c r="C534" s="22">
        <v>45536</v>
      </c>
      <c r="D534" s="22">
        <v>45565</v>
      </c>
      <c r="E534" s="23">
        <f t="shared" si="88"/>
        <v>30</v>
      </c>
      <c r="F534" s="3">
        <f t="shared" si="85"/>
        <v>202613717.07937297</v>
      </c>
      <c r="G534" s="3">
        <f t="shared" si="86"/>
        <v>15681496.680855509</v>
      </c>
      <c r="H534" s="3">
        <f t="shared" si="87"/>
        <v>5335494.5497568222</v>
      </c>
      <c r="I534" s="3">
        <f t="shared" si="89"/>
        <v>10346002.131098688</v>
      </c>
      <c r="J534" s="3">
        <f t="shared" si="90"/>
        <v>192267714.94827428</v>
      </c>
      <c r="K534" s="24"/>
      <c r="L534" s="24"/>
    </row>
    <row r="535" spans="2:12" hidden="1" x14ac:dyDescent="0.35">
      <c r="B535" s="1">
        <v>36</v>
      </c>
      <c r="C535" s="22">
        <v>45566</v>
      </c>
      <c r="D535" s="22">
        <v>45596</v>
      </c>
      <c r="E535" s="23">
        <f t="shared" si="88"/>
        <v>31</v>
      </c>
      <c r="F535" s="3">
        <f t="shared" si="85"/>
        <v>192267714.94827428</v>
      </c>
      <c r="G535" s="3">
        <f t="shared" si="86"/>
        <v>15681496.680855509</v>
      </c>
      <c r="H535" s="3">
        <f t="shared" si="87"/>
        <v>5063049.8269712236</v>
      </c>
      <c r="I535" s="3">
        <f t="shared" si="89"/>
        <v>10618446.853884285</v>
      </c>
      <c r="J535" s="3">
        <f t="shared" si="90"/>
        <v>181649268.09439</v>
      </c>
      <c r="K535" s="24"/>
      <c r="L535" s="24"/>
    </row>
    <row r="536" spans="2:12" hidden="1" x14ac:dyDescent="0.35">
      <c r="B536" s="1">
        <v>37</v>
      </c>
      <c r="C536" s="22">
        <v>45597</v>
      </c>
      <c r="D536" s="22">
        <v>45626</v>
      </c>
      <c r="E536" s="23">
        <f t="shared" si="88"/>
        <v>30</v>
      </c>
      <c r="F536" s="3">
        <f t="shared" si="85"/>
        <v>181649268.09439</v>
      </c>
      <c r="G536" s="3">
        <f t="shared" si="86"/>
        <v>15681496.680855509</v>
      </c>
      <c r="H536" s="3">
        <f t="shared" si="87"/>
        <v>4783430.7264856044</v>
      </c>
      <c r="I536" s="3">
        <f t="shared" si="89"/>
        <v>10898065.954369904</v>
      </c>
      <c r="J536" s="3">
        <f t="shared" si="90"/>
        <v>170751202.1400201</v>
      </c>
      <c r="K536" s="24"/>
      <c r="L536" s="24"/>
    </row>
    <row r="537" spans="2:12" hidden="1" x14ac:dyDescent="0.35">
      <c r="B537" s="1">
        <v>38</v>
      </c>
      <c r="C537" s="22">
        <v>45627</v>
      </c>
      <c r="D537" s="22">
        <v>45657</v>
      </c>
      <c r="E537" s="23">
        <f t="shared" si="88"/>
        <v>31</v>
      </c>
      <c r="F537" s="3">
        <f t="shared" si="85"/>
        <v>170751202.1400201</v>
      </c>
      <c r="G537" s="3">
        <f t="shared" si="86"/>
        <v>15681496.680855509</v>
      </c>
      <c r="H537" s="3">
        <f t="shared" si="87"/>
        <v>4496448.3230205299</v>
      </c>
      <c r="I537" s="3">
        <f t="shared" si="89"/>
        <v>11185048.35783498</v>
      </c>
      <c r="J537" s="3">
        <f t="shared" si="90"/>
        <v>159566153.78218514</v>
      </c>
      <c r="K537" s="24"/>
      <c r="L537" s="24"/>
    </row>
    <row r="538" spans="2:12" hidden="1" x14ac:dyDescent="0.35">
      <c r="B538" s="1">
        <v>39</v>
      </c>
      <c r="C538" s="22">
        <v>45658</v>
      </c>
      <c r="D538" s="22">
        <v>45688</v>
      </c>
      <c r="E538" s="23">
        <f t="shared" si="88"/>
        <v>31</v>
      </c>
      <c r="F538" s="3">
        <f t="shared" si="85"/>
        <v>159566153.78218514</v>
      </c>
      <c r="G538" s="3">
        <f t="shared" si="86"/>
        <v>15681496.680855509</v>
      </c>
      <c r="H538" s="3">
        <f t="shared" si="87"/>
        <v>4201908.7162642097</v>
      </c>
      <c r="I538" s="3">
        <f t="shared" si="89"/>
        <v>11479587.964591298</v>
      </c>
      <c r="J538" s="3">
        <f t="shared" si="90"/>
        <v>148086565.81759384</v>
      </c>
      <c r="K538" s="24"/>
      <c r="L538" s="24"/>
    </row>
    <row r="539" spans="2:12" hidden="1" x14ac:dyDescent="0.35">
      <c r="B539" s="1">
        <v>40</v>
      </c>
      <c r="C539" s="22">
        <v>45689</v>
      </c>
      <c r="D539" s="22">
        <v>45716</v>
      </c>
      <c r="E539" s="23">
        <f t="shared" si="88"/>
        <v>28</v>
      </c>
      <c r="F539" s="3">
        <f t="shared" si="85"/>
        <v>148086565.81759384</v>
      </c>
      <c r="G539" s="3">
        <f t="shared" si="86"/>
        <v>15681496.680855509</v>
      </c>
      <c r="H539" s="3">
        <f t="shared" si="87"/>
        <v>3899612.899863305</v>
      </c>
      <c r="I539" s="3">
        <f t="shared" si="89"/>
        <v>11781883.780992204</v>
      </c>
      <c r="J539" s="3">
        <f t="shared" si="90"/>
        <v>136304682.03660163</v>
      </c>
      <c r="K539" s="24"/>
      <c r="L539" s="24"/>
    </row>
    <row r="540" spans="2:12" hidden="1" x14ac:dyDescent="0.35">
      <c r="B540" s="1">
        <v>41</v>
      </c>
      <c r="C540" s="22">
        <v>45717</v>
      </c>
      <c r="D540" s="22">
        <v>45747</v>
      </c>
      <c r="E540" s="23">
        <f t="shared" si="88"/>
        <v>31</v>
      </c>
      <c r="F540" s="3">
        <f t="shared" si="85"/>
        <v>136304682.03660163</v>
      </c>
      <c r="G540" s="3">
        <f t="shared" si="86"/>
        <v>15681496.680855509</v>
      </c>
      <c r="H540" s="3">
        <f t="shared" si="87"/>
        <v>3589356.6269638441</v>
      </c>
      <c r="I540" s="3">
        <f t="shared" si="89"/>
        <v>12092140.053891664</v>
      </c>
      <c r="J540" s="3">
        <f t="shared" si="90"/>
        <v>124212541.98270997</v>
      </c>
      <c r="K540" s="24"/>
      <c r="L540" s="24"/>
    </row>
    <row r="541" spans="2:12" hidden="1" x14ac:dyDescent="0.35">
      <c r="B541" s="1">
        <v>42</v>
      </c>
      <c r="C541" s="22">
        <v>45748</v>
      </c>
      <c r="D541" s="22">
        <v>45777</v>
      </c>
      <c r="E541" s="23">
        <f t="shared" si="88"/>
        <v>30</v>
      </c>
      <c r="F541" s="3">
        <f t="shared" si="85"/>
        <v>124212541.98270997</v>
      </c>
      <c r="G541" s="3">
        <f t="shared" si="86"/>
        <v>15681496.680855509</v>
      </c>
      <c r="H541" s="3">
        <f t="shared" si="87"/>
        <v>3270930.2722113635</v>
      </c>
      <c r="I541" s="3">
        <f t="shared" si="89"/>
        <v>12410566.408644145</v>
      </c>
      <c r="J541" s="3">
        <f t="shared" si="90"/>
        <v>111801975.57406583</v>
      </c>
      <c r="K541" s="24"/>
      <c r="L541" s="24"/>
    </row>
    <row r="542" spans="2:12" hidden="1" x14ac:dyDescent="0.35">
      <c r="B542" s="1">
        <v>43</v>
      </c>
      <c r="C542" s="22">
        <v>45778</v>
      </c>
      <c r="D542" s="22">
        <v>45808</v>
      </c>
      <c r="E542" s="23">
        <f t="shared" si="88"/>
        <v>31</v>
      </c>
      <c r="F542" s="3">
        <f t="shared" si="85"/>
        <v>111801975.57406583</v>
      </c>
      <c r="G542" s="3">
        <f t="shared" si="86"/>
        <v>15681496.680855509</v>
      </c>
      <c r="H542" s="3">
        <f t="shared" si="87"/>
        <v>2944118.6901170672</v>
      </c>
      <c r="I542" s="3">
        <f t="shared" si="89"/>
        <v>12737377.990738442</v>
      </c>
      <c r="J542" s="3">
        <f t="shared" si="90"/>
        <v>99064597.583327398</v>
      </c>
      <c r="K542" s="24"/>
      <c r="L542" s="24"/>
    </row>
    <row r="543" spans="2:12" hidden="1" x14ac:dyDescent="0.35">
      <c r="B543" s="1">
        <v>44</v>
      </c>
      <c r="C543" s="22">
        <v>45809</v>
      </c>
      <c r="D543" s="22">
        <v>45838</v>
      </c>
      <c r="E543" s="23">
        <f t="shared" si="88"/>
        <v>30</v>
      </c>
      <c r="F543" s="3">
        <f t="shared" si="85"/>
        <v>99064597.583327398</v>
      </c>
      <c r="G543" s="3">
        <f t="shared" si="86"/>
        <v>15681496.680855509</v>
      </c>
      <c r="H543" s="3">
        <f t="shared" si="87"/>
        <v>2608701.0696942885</v>
      </c>
      <c r="I543" s="3">
        <f t="shared" si="89"/>
        <v>13072795.611161221</v>
      </c>
      <c r="J543" s="3">
        <f t="shared" si="90"/>
        <v>85991801.972166181</v>
      </c>
      <c r="K543" s="24"/>
      <c r="L543" s="24"/>
    </row>
    <row r="544" spans="2:12" hidden="1" x14ac:dyDescent="0.35">
      <c r="B544" s="1">
        <v>45</v>
      </c>
      <c r="C544" s="22">
        <v>45839</v>
      </c>
      <c r="D544" s="22">
        <v>45869</v>
      </c>
      <c r="E544" s="23">
        <f t="shared" si="88"/>
        <v>31</v>
      </c>
      <c r="F544" s="3">
        <f t="shared" si="85"/>
        <v>85991801.972166181</v>
      </c>
      <c r="G544" s="3">
        <f t="shared" si="86"/>
        <v>15681496.680855509</v>
      </c>
      <c r="H544" s="3">
        <f t="shared" si="87"/>
        <v>2264450.7852670434</v>
      </c>
      <c r="I544" s="3">
        <f t="shared" si="89"/>
        <v>13417045.895588465</v>
      </c>
      <c r="J544" s="3">
        <f t="shared" si="90"/>
        <v>72574756.076577723</v>
      </c>
      <c r="K544" s="24"/>
      <c r="L544" s="24"/>
    </row>
    <row r="545" spans="2:19" hidden="1" x14ac:dyDescent="0.35">
      <c r="B545" s="1">
        <v>46</v>
      </c>
      <c r="C545" s="22">
        <v>45870</v>
      </c>
      <c r="D545" s="22">
        <v>45900</v>
      </c>
      <c r="E545" s="23">
        <f t="shared" si="88"/>
        <v>31</v>
      </c>
      <c r="F545" s="3">
        <f t="shared" si="85"/>
        <v>72574756.076577723</v>
      </c>
      <c r="G545" s="3">
        <f t="shared" si="86"/>
        <v>15681496.680855509</v>
      </c>
      <c r="H545" s="3">
        <f t="shared" si="87"/>
        <v>1911135.2433498802</v>
      </c>
      <c r="I545" s="3">
        <f t="shared" si="89"/>
        <v>13770361.437505629</v>
      </c>
      <c r="J545" s="3">
        <f t="shared" si="90"/>
        <v>58804394.63907209</v>
      </c>
      <c r="K545" s="24"/>
      <c r="L545" s="24"/>
    </row>
    <row r="546" spans="2:19" hidden="1" x14ac:dyDescent="0.35">
      <c r="B546" s="1">
        <v>47</v>
      </c>
      <c r="C546" s="22">
        <v>45901</v>
      </c>
      <c r="D546" s="22">
        <v>45930</v>
      </c>
      <c r="E546" s="23">
        <f t="shared" si="88"/>
        <v>30</v>
      </c>
      <c r="F546" s="3">
        <f t="shared" si="85"/>
        <v>58804394.63907209</v>
      </c>
      <c r="G546" s="3">
        <f t="shared" si="86"/>
        <v>15681496.680855509</v>
      </c>
      <c r="H546" s="3">
        <f t="shared" si="87"/>
        <v>1548515.7254955654</v>
      </c>
      <c r="I546" s="3">
        <f t="shared" si="89"/>
        <v>14132980.955359943</v>
      </c>
      <c r="J546" s="3">
        <f t="shared" si="90"/>
        <v>44671413.683712147</v>
      </c>
      <c r="K546" s="24"/>
      <c r="L546" s="24"/>
    </row>
    <row r="547" spans="2:19" hidden="1" x14ac:dyDescent="0.35">
      <c r="B547" s="1">
        <v>48</v>
      </c>
      <c r="C547" s="22">
        <v>45931</v>
      </c>
      <c r="D547" s="22">
        <v>45961</v>
      </c>
      <c r="E547" s="23">
        <f t="shared" si="88"/>
        <v>31</v>
      </c>
      <c r="F547" s="3">
        <f t="shared" si="85"/>
        <v>44671413.683712147</v>
      </c>
      <c r="G547" s="3">
        <f t="shared" si="86"/>
        <v>15681496.680855509</v>
      </c>
      <c r="H547" s="3">
        <f t="shared" si="87"/>
        <v>1176347.2270044202</v>
      </c>
      <c r="I547" s="3">
        <f t="shared" si="89"/>
        <v>14505149.453851089</v>
      </c>
      <c r="J547" s="3">
        <f t="shared" si="90"/>
        <v>30166264.229861058</v>
      </c>
      <c r="K547" s="24"/>
      <c r="L547" s="24"/>
    </row>
    <row r="548" spans="2:19" hidden="1" x14ac:dyDescent="0.35">
      <c r="B548" s="1">
        <v>49</v>
      </c>
      <c r="C548" s="22">
        <v>45962</v>
      </c>
      <c r="D548" s="22">
        <v>45991</v>
      </c>
      <c r="E548" s="23">
        <f t="shared" si="88"/>
        <v>30</v>
      </c>
      <c r="F548" s="3">
        <f t="shared" si="85"/>
        <v>30166264.229861058</v>
      </c>
      <c r="G548" s="3">
        <f t="shared" si="86"/>
        <v>15681496.680855509</v>
      </c>
      <c r="H548" s="3">
        <f t="shared" si="87"/>
        <v>794378.29138634133</v>
      </c>
      <c r="I548" s="3">
        <f t="shared" si="89"/>
        <v>14887118.389469167</v>
      </c>
      <c r="J548" s="3">
        <f t="shared" si="90"/>
        <v>15279145.840391891</v>
      </c>
      <c r="K548" s="24"/>
      <c r="L548" s="24"/>
    </row>
    <row r="549" spans="2:19" hidden="1" x14ac:dyDescent="0.35">
      <c r="B549" s="1">
        <v>50</v>
      </c>
      <c r="C549" s="22">
        <v>45992</v>
      </c>
      <c r="D549" s="22">
        <v>46022</v>
      </c>
      <c r="E549" s="23">
        <f t="shared" si="88"/>
        <v>31</v>
      </c>
      <c r="F549" s="3">
        <f t="shared" si="85"/>
        <v>15279145.840391891</v>
      </c>
      <c r="G549" s="3">
        <f t="shared" si="86"/>
        <v>15681496.680855509</v>
      </c>
      <c r="H549" s="3">
        <f t="shared" si="87"/>
        <v>402350.84046365321</v>
      </c>
      <c r="I549" s="3">
        <f t="shared" si="89"/>
        <v>15279145.840391856</v>
      </c>
      <c r="J549" s="3">
        <f t="shared" si="90"/>
        <v>3.5390257835388184E-8</v>
      </c>
      <c r="K549" s="24"/>
      <c r="L549" s="24"/>
    </row>
    <row r="550" spans="2:19" hidden="1" x14ac:dyDescent="0.35">
      <c r="B550" s="1"/>
      <c r="C550" s="1"/>
      <c r="D550" s="1"/>
      <c r="E550" s="28">
        <f>SUM(E500:E549)</f>
        <v>1522</v>
      </c>
      <c r="F550" s="3"/>
      <c r="G550" s="3"/>
      <c r="H550" s="3"/>
      <c r="I550" s="3"/>
      <c r="J550" s="3"/>
      <c r="K550" s="1"/>
      <c r="L550" s="1"/>
    </row>
    <row r="553" spans="2:19" x14ac:dyDescent="0.35">
      <c r="B553" s="1"/>
      <c r="C553" s="8" t="s">
        <v>872</v>
      </c>
      <c r="D553" s="3"/>
      <c r="E553" s="3"/>
      <c r="F553" s="3"/>
      <c r="G553" s="3"/>
      <c r="H553" s="3"/>
      <c r="I553" s="231" t="s">
        <v>827</v>
      </c>
      <c r="J553" s="3" t="s">
        <v>828</v>
      </c>
      <c r="K553" s="231" t="s">
        <v>829</v>
      </c>
      <c r="L553" s="231" t="s">
        <v>830</v>
      </c>
      <c r="M553" s="231" t="s">
        <v>831</v>
      </c>
      <c r="R553" s="438" t="s">
        <v>832</v>
      </c>
      <c r="S553" s="432" t="str">
        <f>IFERROR(INDEX(Blocks!$I$2:$I$101,MATCH(9,Blocks!$A$2:$A$101,0)),"")</f>
        <v>000104420000009</v>
      </c>
    </row>
    <row r="554" spans="2:19" x14ac:dyDescent="0.35">
      <c r="B554" s="1"/>
      <c r="C554" s="1"/>
      <c r="D554" s="3"/>
      <c r="E554" s="3"/>
      <c r="F554" s="3" t="s">
        <v>863</v>
      </c>
      <c r="G554" s="3"/>
      <c r="H554" s="230">
        <v>44805</v>
      </c>
      <c r="I554" s="231">
        <v>44866</v>
      </c>
      <c r="J554" s="230">
        <v>44896</v>
      </c>
      <c r="K554" s="230">
        <v>45047</v>
      </c>
      <c r="L554" s="230">
        <v>45108</v>
      </c>
      <c r="M554" s="230">
        <v>45139</v>
      </c>
      <c r="R554" s="438" t="s">
        <v>834</v>
      </c>
      <c r="S554" s="432" t="str">
        <f>IFERROR(INDEX(Blocks!$H$2:$H$101,MATCH(9,Blocks!$A$2:$A$101,0)),"")</f>
        <v>Mach Milk Limited</v>
      </c>
    </row>
    <row r="555" spans="2:19" x14ac:dyDescent="0.35">
      <c r="B555" s="1"/>
      <c r="C555" s="9" t="s">
        <v>835</v>
      </c>
      <c r="D555" s="10">
        <v>81075926.780000001</v>
      </c>
      <c r="E555" s="3"/>
      <c r="F555" s="267" t="s">
        <v>835</v>
      </c>
      <c r="G555" s="10">
        <v>71734831.686819866</v>
      </c>
      <c r="H555" s="231" t="s">
        <v>836</v>
      </c>
      <c r="I555" s="231" t="s">
        <v>836</v>
      </c>
      <c r="J555" s="231" t="s">
        <v>836</v>
      </c>
      <c r="K555" s="231" t="s">
        <v>836</v>
      </c>
      <c r="L555" s="231" t="s">
        <v>836</v>
      </c>
      <c r="M555" s="231" t="s">
        <v>836</v>
      </c>
      <c r="R555" s="438" t="s">
        <v>223</v>
      </c>
      <c r="S555" s="433">
        <f>IFERROR(INDEX('E-Banker master'!$N$2:$N$186,MATCH(S553,'E-Banker master'!$A$2:$A$186,0)),"")</f>
        <v>81075926.780000001</v>
      </c>
    </row>
    <row r="556" spans="2:19" x14ac:dyDescent="0.35">
      <c r="B556" s="1"/>
      <c r="C556" s="11" t="s">
        <v>837</v>
      </c>
      <c r="D556" s="12">
        <v>0.20699999999999999</v>
      </c>
      <c r="E556" s="13"/>
      <c r="F556" s="268" t="s">
        <v>837</v>
      </c>
      <c r="G556" s="266">
        <v>0.221</v>
      </c>
      <c r="H556" s="13">
        <f>G556+0.4%</f>
        <v>0.22500000000000001</v>
      </c>
      <c r="I556" s="3">
        <f>H556+2.7%</f>
        <v>0.252</v>
      </c>
      <c r="J556" s="13">
        <f>I556+0.7%</f>
        <v>0.25900000000000001</v>
      </c>
      <c r="K556" s="13">
        <f>J556+2.7%</f>
        <v>0.28600000000000003</v>
      </c>
      <c r="L556" s="13">
        <f>K556+1.4%</f>
        <v>0.30000000000000004</v>
      </c>
      <c r="M556" s="13">
        <f>L556+1.3%</f>
        <v>0.31300000000000006</v>
      </c>
      <c r="R556" s="438" t="s">
        <v>52</v>
      </c>
      <c r="S556" s="433">
        <f>IFERROR(INDEX('E-Banker master'!$P$2:$P$186,MATCH(S553,'E-Banker master'!$A$2:$A$186,0)),"")</f>
        <v>135070553.40000001</v>
      </c>
    </row>
    <row r="557" spans="2:19" x14ac:dyDescent="0.35">
      <c r="B557" s="1"/>
      <c r="C557" s="11" t="s">
        <v>838</v>
      </c>
      <c r="D557" s="14">
        <v>4</v>
      </c>
      <c r="E557" s="1"/>
      <c r="F557" s="268" t="s">
        <v>838</v>
      </c>
      <c r="G557" s="266">
        <v>4</v>
      </c>
      <c r="H557" s="3"/>
      <c r="I557" s="3"/>
      <c r="J557" s="3"/>
      <c r="K557" s="1"/>
      <c r="L557" s="1"/>
    </row>
    <row r="558" spans="2:19" x14ac:dyDescent="0.35">
      <c r="B558" s="1"/>
      <c r="C558" s="11" t="s">
        <v>839</v>
      </c>
      <c r="D558" s="14">
        <v>12</v>
      </c>
      <c r="E558" s="1"/>
      <c r="F558" s="268" t="s">
        <v>839</v>
      </c>
      <c r="G558" s="266">
        <v>12</v>
      </c>
      <c r="H558" s="3" t="s">
        <v>840</v>
      </c>
      <c r="I558" s="3" t="s">
        <v>841</v>
      </c>
      <c r="J558" s="3" t="s">
        <v>842</v>
      </c>
      <c r="K558" s="3" t="s">
        <v>873</v>
      </c>
      <c r="L558" s="349" t="s">
        <v>856</v>
      </c>
      <c r="M558" s="349" t="s">
        <v>874</v>
      </c>
      <c r="N558" s="349" t="s">
        <v>875</v>
      </c>
    </row>
    <row r="559" spans="2:19" x14ac:dyDescent="0.35">
      <c r="B559" s="1"/>
      <c r="C559" s="11" t="s">
        <v>843</v>
      </c>
      <c r="D559" s="15">
        <f>D557*D558</f>
        <v>48</v>
      </c>
      <c r="E559" s="1"/>
      <c r="F559" s="268" t="s">
        <v>843</v>
      </c>
      <c r="G559" s="266">
        <v>40</v>
      </c>
      <c r="H559" s="230">
        <v>45170</v>
      </c>
      <c r="I559" s="231">
        <v>45200</v>
      </c>
      <c r="J559" s="230">
        <v>45261</v>
      </c>
      <c r="K559" s="230">
        <v>45323</v>
      </c>
      <c r="L559" s="278">
        <v>45413</v>
      </c>
      <c r="M559" s="278">
        <v>45444</v>
      </c>
      <c r="N559" s="278">
        <v>45474</v>
      </c>
    </row>
    <row r="560" spans="2:19" x14ac:dyDescent="0.35">
      <c r="B560" s="1"/>
      <c r="C560" s="11" t="s">
        <v>844</v>
      </c>
      <c r="D560" s="16">
        <v>365</v>
      </c>
      <c r="E560" s="1"/>
      <c r="F560" s="268" t="s">
        <v>844</v>
      </c>
      <c r="G560" s="266">
        <v>365</v>
      </c>
      <c r="H560" s="231" t="s">
        <v>836</v>
      </c>
      <c r="I560" s="231" t="s">
        <v>836</v>
      </c>
      <c r="J560" s="231" t="s">
        <v>836</v>
      </c>
      <c r="K560" s="231" t="s">
        <v>836</v>
      </c>
      <c r="L560" s="349" t="s">
        <v>836</v>
      </c>
      <c r="M560" s="349" t="s">
        <v>836</v>
      </c>
      <c r="N560" s="349" t="s">
        <v>836</v>
      </c>
    </row>
    <row r="561" spans="2:14" x14ac:dyDescent="0.35">
      <c r="B561" s="1"/>
      <c r="C561" s="17" t="s">
        <v>845</v>
      </c>
      <c r="D561" s="18">
        <f>-PMT(D556/D558,D559,D555,0,0)</f>
        <v>2497508.5055986242</v>
      </c>
      <c r="E561" s="3"/>
      <c r="F561" s="269" t="s">
        <v>845</v>
      </c>
      <c r="G561" s="18">
        <f>-PMT(G556/G558,G559,G555,0,0)</f>
        <v>2550052.1032291232</v>
      </c>
      <c r="H561" s="13">
        <f>M556+0.7%</f>
        <v>0.32000000000000006</v>
      </c>
      <c r="I561" s="3">
        <f>H561+0.1%</f>
        <v>0.32100000000000006</v>
      </c>
      <c r="J561" s="13">
        <f>I561+0.1%</f>
        <v>0.32200000000000006</v>
      </c>
      <c r="K561" s="13">
        <f>J561+1.3%</f>
        <v>0.33500000000000008</v>
      </c>
      <c r="L561" s="350">
        <f>+K561+0.1%</f>
        <v>0.33600000000000008</v>
      </c>
      <c r="M561" s="350">
        <f>+L561+0.1%</f>
        <v>0.33700000000000008</v>
      </c>
      <c r="N561" s="350">
        <f>+M561+0.3%</f>
        <v>0.34000000000000008</v>
      </c>
    </row>
    <row r="562" spans="2:14" x14ac:dyDescent="0.35">
      <c r="B562" s="1"/>
      <c r="C562" s="1"/>
      <c r="D562" s="3"/>
      <c r="E562" s="3"/>
      <c r="F562" s="3"/>
      <c r="G562" s="3"/>
      <c r="H562" s="3"/>
      <c r="I562" s="3"/>
      <c r="J562" s="3"/>
      <c r="K562" s="1"/>
      <c r="L562" s="1"/>
    </row>
    <row r="563" spans="2:14" x14ac:dyDescent="0.35">
      <c r="B563" s="1"/>
      <c r="C563" s="19" t="s">
        <v>846</v>
      </c>
      <c r="D563" s="20" t="s">
        <v>847</v>
      </c>
      <c r="E563" s="20" t="s">
        <v>764</v>
      </c>
      <c r="F563" s="270" t="s">
        <v>848</v>
      </c>
      <c r="G563" s="270" t="s">
        <v>849</v>
      </c>
      <c r="H563" s="270" t="s">
        <v>742</v>
      </c>
      <c r="I563" s="270" t="s">
        <v>740</v>
      </c>
      <c r="J563" s="270" t="s">
        <v>850</v>
      </c>
      <c r="K563" s="21" t="s">
        <v>851</v>
      </c>
      <c r="L563" s="21" t="s">
        <v>852</v>
      </c>
    </row>
    <row r="564" spans="2:14" x14ac:dyDescent="0.35">
      <c r="B564" s="1">
        <v>1</v>
      </c>
      <c r="C564" s="22">
        <v>44440</v>
      </c>
      <c r="D564" s="22">
        <v>44469</v>
      </c>
      <c r="E564" s="23">
        <f t="shared" ref="E564:E611" si="91">D564-C564+1</f>
        <v>30</v>
      </c>
      <c r="F564" s="3">
        <f>D555</f>
        <v>81075926.780000001</v>
      </c>
      <c r="G564" s="3"/>
      <c r="H564" s="3">
        <f>D556/D558*F564</f>
        <v>1398559.7369549999</v>
      </c>
      <c r="I564" s="3">
        <f>-H564</f>
        <v>-1398559.7369549999</v>
      </c>
      <c r="J564" s="3">
        <f t="shared" ref="J564:J611" si="92">F564-I564</f>
        <v>82474486.516955003</v>
      </c>
      <c r="K564" s="24">
        <v>0</v>
      </c>
      <c r="L564" s="24"/>
      <c r="N564" s="32"/>
    </row>
    <row r="565" spans="2:14" x14ac:dyDescent="0.35">
      <c r="B565" s="1">
        <v>2</v>
      </c>
      <c r="C565" s="22">
        <f>D564+1</f>
        <v>44470</v>
      </c>
      <c r="D565" s="22">
        <f>C565+30</f>
        <v>44500</v>
      </c>
      <c r="E565" s="23">
        <f t="shared" si="91"/>
        <v>31</v>
      </c>
      <c r="F565" s="3">
        <f t="shared" ref="F565:F611" si="93">J564</f>
        <v>82474486.516955003</v>
      </c>
      <c r="G565" s="3"/>
      <c r="H565" s="3">
        <f t="shared" ref="H565:H571" si="94">$D$556*F565/$D$558</f>
        <v>1422684.8924174737</v>
      </c>
      <c r="I565" s="3">
        <f t="shared" ref="I565:I611" si="95">G565-H565</f>
        <v>-1422684.8924174737</v>
      </c>
      <c r="J565" s="3">
        <f t="shared" si="92"/>
        <v>83897171.409372479</v>
      </c>
      <c r="K565" s="24">
        <v>0</v>
      </c>
      <c r="L565" s="24"/>
    </row>
    <row r="566" spans="2:14" x14ac:dyDescent="0.35">
      <c r="B566" s="1">
        <v>3</v>
      </c>
      <c r="C566" s="22">
        <v>44501</v>
      </c>
      <c r="D566" s="22">
        <v>44530</v>
      </c>
      <c r="E566" s="23">
        <f t="shared" si="91"/>
        <v>30</v>
      </c>
      <c r="F566" s="3">
        <f t="shared" si="93"/>
        <v>83897171.409372479</v>
      </c>
      <c r="G566" s="3"/>
      <c r="H566" s="3">
        <f t="shared" si="94"/>
        <v>1447226.2068116751</v>
      </c>
      <c r="I566" s="3">
        <f t="shared" si="95"/>
        <v>-1447226.2068116751</v>
      </c>
      <c r="J566" s="3">
        <f t="shared" si="92"/>
        <v>85344397.61618416</v>
      </c>
      <c r="K566" s="24">
        <v>0</v>
      </c>
      <c r="L566" s="24"/>
    </row>
    <row r="567" spans="2:14" x14ac:dyDescent="0.35">
      <c r="B567" s="1">
        <v>4</v>
      </c>
      <c r="C567" s="22">
        <f>D566+1</f>
        <v>44531</v>
      </c>
      <c r="D567" s="22">
        <f>C567+30</f>
        <v>44561</v>
      </c>
      <c r="E567" s="23">
        <f t="shared" si="91"/>
        <v>31</v>
      </c>
      <c r="F567" s="3">
        <f t="shared" si="93"/>
        <v>85344397.61618416</v>
      </c>
      <c r="G567" s="3"/>
      <c r="H567" s="3">
        <f t="shared" si="94"/>
        <v>1472190.8588791767</v>
      </c>
      <c r="I567" s="3">
        <f t="shared" si="95"/>
        <v>-1472190.8588791767</v>
      </c>
      <c r="J567" s="3">
        <f t="shared" si="92"/>
        <v>86816588.475063339</v>
      </c>
      <c r="K567" s="24">
        <v>0</v>
      </c>
      <c r="L567" s="24"/>
    </row>
    <row r="568" spans="2:14" x14ac:dyDescent="0.35">
      <c r="B568" s="1">
        <v>5</v>
      </c>
      <c r="C568" s="22">
        <v>44562</v>
      </c>
      <c r="D568" s="22">
        <v>44592</v>
      </c>
      <c r="E568" s="23">
        <f t="shared" si="91"/>
        <v>31</v>
      </c>
      <c r="F568" s="3">
        <f t="shared" si="93"/>
        <v>86816588.475063339</v>
      </c>
      <c r="G568" s="3"/>
      <c r="H568" s="3">
        <f t="shared" si="94"/>
        <v>1497586.1511948425</v>
      </c>
      <c r="I568" s="3">
        <f t="shared" si="95"/>
        <v>-1497586.1511948425</v>
      </c>
      <c r="J568" s="3">
        <f t="shared" si="92"/>
        <v>88314174.62625818</v>
      </c>
      <c r="K568" s="24">
        <v>0</v>
      </c>
      <c r="L568" s="24"/>
    </row>
    <row r="569" spans="2:14" x14ac:dyDescent="0.35">
      <c r="B569" s="1">
        <v>6</v>
      </c>
      <c r="C569" s="22">
        <v>44593</v>
      </c>
      <c r="D569" s="22">
        <v>44620</v>
      </c>
      <c r="E569" s="23">
        <f t="shared" si="91"/>
        <v>28</v>
      </c>
      <c r="F569" s="3">
        <f t="shared" si="93"/>
        <v>88314174.62625818</v>
      </c>
      <c r="G569" s="3"/>
      <c r="H569" s="3">
        <f t="shared" si="94"/>
        <v>1523419.5123029535</v>
      </c>
      <c r="I569" s="3">
        <f t="shared" si="95"/>
        <v>-1523419.5123029535</v>
      </c>
      <c r="J569" s="3">
        <f t="shared" si="92"/>
        <v>89837594.13856113</v>
      </c>
      <c r="K569" s="24">
        <v>0</v>
      </c>
      <c r="L569" s="24"/>
    </row>
    <row r="570" spans="2:14" x14ac:dyDescent="0.35">
      <c r="B570" s="1">
        <v>7</v>
      </c>
      <c r="C570" s="22">
        <v>44621</v>
      </c>
      <c r="D570" s="22">
        <v>44651</v>
      </c>
      <c r="E570" s="23">
        <f t="shared" si="91"/>
        <v>31</v>
      </c>
      <c r="F570" s="3">
        <f t="shared" si="93"/>
        <v>89837594.13856113</v>
      </c>
      <c r="G570" s="3"/>
      <c r="H570" s="3">
        <f t="shared" si="94"/>
        <v>1549698.4988901794</v>
      </c>
      <c r="I570" s="3">
        <f t="shared" si="95"/>
        <v>-1549698.4988901794</v>
      </c>
      <c r="J570" s="3">
        <f t="shared" si="92"/>
        <v>91387292.637451306</v>
      </c>
      <c r="K570" s="24">
        <v>0</v>
      </c>
      <c r="L570" s="24"/>
    </row>
    <row r="571" spans="2:14" x14ac:dyDescent="0.35">
      <c r="B571" s="1">
        <v>8</v>
      </c>
      <c r="C571" s="22">
        <v>44652</v>
      </c>
      <c r="D571" s="22">
        <v>44681</v>
      </c>
      <c r="E571" s="23">
        <f t="shared" si="91"/>
        <v>30</v>
      </c>
      <c r="F571" s="271">
        <f t="shared" si="93"/>
        <v>91387292.637451306</v>
      </c>
      <c r="G571" s="3"/>
      <c r="H571" s="3">
        <f t="shared" si="94"/>
        <v>1576430.7979960348</v>
      </c>
      <c r="I571" s="3">
        <f t="shared" si="95"/>
        <v>-1576430.7979960348</v>
      </c>
      <c r="J571" s="3">
        <f t="shared" si="92"/>
        <v>92963723.435447335</v>
      </c>
      <c r="K571" s="24">
        <v>0</v>
      </c>
      <c r="L571" s="24"/>
    </row>
    <row r="572" spans="2:14" x14ac:dyDescent="0.35">
      <c r="B572" s="1">
        <v>9</v>
      </c>
      <c r="C572" s="22">
        <v>44682</v>
      </c>
      <c r="D572" s="22">
        <v>44712</v>
      </c>
      <c r="E572" s="23">
        <f t="shared" si="91"/>
        <v>31</v>
      </c>
      <c r="F572" s="3">
        <f t="shared" si="93"/>
        <v>92963723.435447335</v>
      </c>
      <c r="G572" s="3"/>
      <c r="H572" s="3">
        <f>$G$556*F572/$D$558</f>
        <v>1712081.9066028215</v>
      </c>
      <c r="I572" s="3">
        <f t="shared" si="95"/>
        <v>-1712081.9066028215</v>
      </c>
      <c r="J572" s="3">
        <f t="shared" si="92"/>
        <v>94675805.34205015</v>
      </c>
      <c r="K572" s="24">
        <v>0</v>
      </c>
    </row>
    <row r="573" spans="2:14" x14ac:dyDescent="0.35">
      <c r="B573" s="1">
        <v>10</v>
      </c>
      <c r="C573" s="22">
        <v>44713</v>
      </c>
      <c r="D573" s="22">
        <v>44742</v>
      </c>
      <c r="E573" s="23">
        <f t="shared" si="91"/>
        <v>30</v>
      </c>
      <c r="F573" s="3">
        <f t="shared" si="93"/>
        <v>94675805.34205015</v>
      </c>
      <c r="G573" s="3">
        <f>-PMT($G$556/$D$558,39,$F$573,,0)</f>
        <v>3424227.6178923734</v>
      </c>
      <c r="H573" s="3">
        <f>$G$556*F573/$D$558</f>
        <v>1743612.7483827567</v>
      </c>
      <c r="I573" s="3">
        <f t="shared" si="95"/>
        <v>1680614.8695096166</v>
      </c>
      <c r="J573" s="3">
        <f t="shared" si="92"/>
        <v>92995190.472540528</v>
      </c>
      <c r="K573" s="24">
        <v>700000</v>
      </c>
      <c r="L573" s="24">
        <f>G573-K573</f>
        <v>2724227.6178923734</v>
      </c>
    </row>
    <row r="574" spans="2:14" x14ac:dyDescent="0.35">
      <c r="B574" s="1">
        <v>11</v>
      </c>
      <c r="C574" s="22">
        <v>44743</v>
      </c>
      <c r="D574" s="22">
        <v>44773</v>
      </c>
      <c r="E574" s="23">
        <f t="shared" si="91"/>
        <v>31</v>
      </c>
      <c r="F574" s="3">
        <f t="shared" si="93"/>
        <v>92995190.472540528</v>
      </c>
      <c r="G574" s="3">
        <f>-PMT($G$556/$D$558,39,$F$573,,0)</f>
        <v>3424227.6178923734</v>
      </c>
      <c r="H574" s="3">
        <f>$G$556*F574/$D$558</f>
        <v>1712661.4245359546</v>
      </c>
      <c r="I574" s="3">
        <f t="shared" si="95"/>
        <v>1711566.1933564187</v>
      </c>
      <c r="J574" s="3">
        <f t="shared" si="92"/>
        <v>91283624.279184103</v>
      </c>
      <c r="K574" s="24">
        <v>0</v>
      </c>
      <c r="L574" s="24">
        <f t="shared" ref="L574:L601" si="96">L573+G574-K574</f>
        <v>6148455.2357847467</v>
      </c>
    </row>
    <row r="575" spans="2:14" x14ac:dyDescent="0.35">
      <c r="B575" s="1">
        <v>12</v>
      </c>
      <c r="C575" s="22">
        <v>44774</v>
      </c>
      <c r="D575" s="22">
        <v>44804</v>
      </c>
      <c r="E575" s="23">
        <f t="shared" si="91"/>
        <v>31</v>
      </c>
      <c r="F575" s="3">
        <f t="shared" si="93"/>
        <v>91283624.279184103</v>
      </c>
      <c r="G575" s="3">
        <f>-PMT($G$556/$D$558,39,$F$573,,0)</f>
        <v>3424227.6178923734</v>
      </c>
      <c r="H575" s="3">
        <f>$G$556*F575/$D$558</f>
        <v>1681140.0804749739</v>
      </c>
      <c r="I575" s="3">
        <f t="shared" si="95"/>
        <v>1743087.5374173995</v>
      </c>
      <c r="J575" s="3">
        <f t="shared" si="92"/>
        <v>89540536.741766706</v>
      </c>
      <c r="K575" s="24"/>
      <c r="L575" s="24">
        <f t="shared" si="96"/>
        <v>9572682.8536771201</v>
      </c>
    </row>
    <row r="576" spans="2:14" x14ac:dyDescent="0.35">
      <c r="B576" s="1">
        <v>13</v>
      </c>
      <c r="C576" s="22">
        <v>44805</v>
      </c>
      <c r="D576" s="22">
        <v>44834</v>
      </c>
      <c r="E576" s="23">
        <f t="shared" si="91"/>
        <v>30</v>
      </c>
      <c r="F576" s="3">
        <f t="shared" si="93"/>
        <v>89540536.741766706</v>
      </c>
      <c r="G576" s="292">
        <f>-PMT($H$556/$D$558,36,$F$576,,0)</f>
        <v>3442798.1151532596</v>
      </c>
      <c r="H576" s="3">
        <f>$H$556*F576/$D$558</f>
        <v>1678885.063908126</v>
      </c>
      <c r="I576" s="3">
        <f t="shared" si="95"/>
        <v>1763913.0512451336</v>
      </c>
      <c r="J576" s="3">
        <f t="shared" si="92"/>
        <v>87776623.690521568</v>
      </c>
      <c r="K576" s="24"/>
      <c r="L576" s="24">
        <f t="shared" si="96"/>
        <v>13015480.968830381</v>
      </c>
    </row>
    <row r="577" spans="2:14" x14ac:dyDescent="0.35">
      <c r="B577" s="1">
        <v>14</v>
      </c>
      <c r="C577" s="22">
        <v>44835</v>
      </c>
      <c r="D577" s="22">
        <v>44865</v>
      </c>
      <c r="E577" s="23">
        <f t="shared" si="91"/>
        <v>31</v>
      </c>
      <c r="F577" s="3">
        <f t="shared" si="93"/>
        <v>87776623.690521568</v>
      </c>
      <c r="G577" s="292">
        <f>-PMT($H$556/$D$558,36,$F$576,,0)</f>
        <v>3442798.1151532596</v>
      </c>
      <c r="H577" s="3">
        <f>$H$556*F577/$D$558</f>
        <v>1645811.6941972794</v>
      </c>
      <c r="I577" s="3">
        <f t="shared" si="95"/>
        <v>1796986.4209559802</v>
      </c>
      <c r="J577" s="3">
        <f t="shared" si="92"/>
        <v>85979637.269565582</v>
      </c>
      <c r="K577" s="24"/>
      <c r="L577" s="24">
        <f t="shared" si="96"/>
        <v>16458279.083983641</v>
      </c>
    </row>
    <row r="578" spans="2:14" x14ac:dyDescent="0.35">
      <c r="B578" s="1">
        <v>15</v>
      </c>
      <c r="C578" s="22">
        <v>44866</v>
      </c>
      <c r="D578" s="22">
        <v>44895</v>
      </c>
      <c r="E578" s="23">
        <f t="shared" si="91"/>
        <v>30</v>
      </c>
      <c r="F578" s="3">
        <f t="shared" si="93"/>
        <v>85979637.269565582</v>
      </c>
      <c r="G578" s="292">
        <f>-PMT($I$556/$D$558,34,$F$578,,0)</f>
        <v>3563504.3390567694</v>
      </c>
      <c r="H578" s="3">
        <f>$I$556*F578/$D$558</f>
        <v>1805572.3826608772</v>
      </c>
      <c r="I578" s="3">
        <f t="shared" si="95"/>
        <v>1757931.9563958922</v>
      </c>
      <c r="J578" s="3">
        <f t="shared" si="92"/>
        <v>84221705.313169688</v>
      </c>
      <c r="K578" s="24"/>
      <c r="L578" s="24">
        <f t="shared" si="96"/>
        <v>20021783.423040412</v>
      </c>
    </row>
    <row r="579" spans="2:14" x14ac:dyDescent="0.35">
      <c r="B579" s="1">
        <v>16</v>
      </c>
      <c r="C579" s="22">
        <v>44896</v>
      </c>
      <c r="D579" s="22">
        <v>44926</v>
      </c>
      <c r="E579" s="23">
        <f t="shared" si="91"/>
        <v>31</v>
      </c>
      <c r="F579" s="3">
        <f t="shared" si="93"/>
        <v>84221705.313169688</v>
      </c>
      <c r="G579" s="292">
        <f>-PMT($J$556/$D$558,33,$F$579,,0)</f>
        <v>3594381.7861944777</v>
      </c>
      <c r="H579" s="3">
        <f>$J$556*F579/$D$558</f>
        <v>1817785.1396759124</v>
      </c>
      <c r="I579" s="3">
        <f t="shared" si="95"/>
        <v>1776596.6465185652</v>
      </c>
      <c r="J579" s="3">
        <f t="shared" si="92"/>
        <v>82445108.66665113</v>
      </c>
      <c r="K579" s="24"/>
      <c r="L579" s="24">
        <f t="shared" si="96"/>
        <v>23616165.20923489</v>
      </c>
    </row>
    <row r="580" spans="2:14" x14ac:dyDescent="0.35">
      <c r="B580" s="1">
        <v>17</v>
      </c>
      <c r="C580" s="22">
        <v>44927</v>
      </c>
      <c r="D580" s="22">
        <v>44957</v>
      </c>
      <c r="E580" s="23">
        <f t="shared" si="91"/>
        <v>31</v>
      </c>
      <c r="F580" s="3">
        <f t="shared" si="93"/>
        <v>82445108.66665113</v>
      </c>
      <c r="G580" s="292">
        <f>-PMT($J$556/$D$558,33,$F$579,,0)</f>
        <v>3594381.7861944777</v>
      </c>
      <c r="H580" s="3">
        <f>$J$556*F580/$D$558</f>
        <v>1779440.2620552203</v>
      </c>
      <c r="I580" s="3">
        <f t="shared" si="95"/>
        <v>1814941.5241392574</v>
      </c>
      <c r="J580" s="3">
        <f t="shared" si="92"/>
        <v>80630167.142511874</v>
      </c>
      <c r="K580" s="24"/>
      <c r="L580" s="24">
        <f t="shared" si="96"/>
        <v>27210546.995429367</v>
      </c>
    </row>
    <row r="581" spans="2:14" x14ac:dyDescent="0.35">
      <c r="B581" s="1">
        <v>18</v>
      </c>
      <c r="C581" s="22">
        <v>44958</v>
      </c>
      <c r="D581" s="22">
        <v>44985</v>
      </c>
      <c r="E581" s="23">
        <f t="shared" si="91"/>
        <v>28</v>
      </c>
      <c r="F581" s="3">
        <f t="shared" si="93"/>
        <v>80630167.142511874</v>
      </c>
      <c r="G581" s="292">
        <f>-PMT($J$556/$D$558,33,$F$579,,0)</f>
        <v>3594381.7861944777</v>
      </c>
      <c r="H581" s="3">
        <f>$J$556*F581/$D$558</f>
        <v>1740267.7741592147</v>
      </c>
      <c r="I581" s="3">
        <f t="shared" si="95"/>
        <v>1854114.012035263</v>
      </c>
      <c r="J581" s="3">
        <f t="shared" si="92"/>
        <v>78776053.130476609</v>
      </c>
      <c r="K581" s="24">
        <v>2000000</v>
      </c>
      <c r="L581" s="24">
        <f t="shared" si="96"/>
        <v>28804928.781623844</v>
      </c>
    </row>
    <row r="582" spans="2:14" x14ac:dyDescent="0.35">
      <c r="B582" s="1">
        <v>19</v>
      </c>
      <c r="C582" s="22">
        <v>44986</v>
      </c>
      <c r="D582" s="22">
        <v>45016</v>
      </c>
      <c r="E582" s="23">
        <f t="shared" si="91"/>
        <v>31</v>
      </c>
      <c r="F582" s="3">
        <f t="shared" si="93"/>
        <v>78776053.130476609</v>
      </c>
      <c r="G582" s="292">
        <f>-PMT($J$556/$D$558,33,$F$579,,0)</f>
        <v>3594381.7861944777</v>
      </c>
      <c r="H582" s="3">
        <f>$J$556*F582/$D$558</f>
        <v>1700249.8133994536</v>
      </c>
      <c r="I582" s="3">
        <f t="shared" si="95"/>
        <v>1894131.972795024</v>
      </c>
      <c r="J582" s="3">
        <f t="shared" si="92"/>
        <v>76881921.157681584</v>
      </c>
      <c r="K582" s="24"/>
      <c r="L582" s="24">
        <f t="shared" si="96"/>
        <v>32399310.567818321</v>
      </c>
    </row>
    <row r="583" spans="2:14" x14ac:dyDescent="0.35">
      <c r="B583" s="1">
        <v>20</v>
      </c>
      <c r="C583" s="22">
        <v>45017</v>
      </c>
      <c r="D583" s="22">
        <v>45046</v>
      </c>
      <c r="E583" s="23">
        <f t="shared" si="91"/>
        <v>30</v>
      </c>
      <c r="F583" s="3">
        <f t="shared" si="93"/>
        <v>76881921.157681584</v>
      </c>
      <c r="G583" s="292">
        <f>-PMT($J$556/$D$558,33,$F$579,,0)</f>
        <v>3594381.7861944777</v>
      </c>
      <c r="H583" s="3">
        <f>$J$556*F583/$D$558</f>
        <v>1659368.1316532942</v>
      </c>
      <c r="I583" s="3">
        <f t="shared" si="95"/>
        <v>1935013.6545411835</v>
      </c>
      <c r="J583" s="3">
        <f t="shared" si="92"/>
        <v>74946907.503140405</v>
      </c>
      <c r="K583" s="24"/>
      <c r="L583" s="24">
        <f t="shared" si="96"/>
        <v>35993692.354012802</v>
      </c>
    </row>
    <row r="584" spans="2:14" x14ac:dyDescent="0.35">
      <c r="B584" s="1">
        <v>21</v>
      </c>
      <c r="C584" s="22">
        <v>45047</v>
      </c>
      <c r="D584" s="22">
        <v>45077</v>
      </c>
      <c r="E584" s="23">
        <f t="shared" si="91"/>
        <v>31</v>
      </c>
      <c r="F584" s="3">
        <f t="shared" si="93"/>
        <v>74946907.503140405</v>
      </c>
      <c r="G584" s="292">
        <f>-PMT($K$556/$D$558,28,$F$584,,0)</f>
        <v>3699029.2995747696</v>
      </c>
      <c r="H584" s="3">
        <f>$K$556*F584/$D$558</f>
        <v>1786234.6288248466</v>
      </c>
      <c r="I584" s="3">
        <f t="shared" si="95"/>
        <v>1912794.670749923</v>
      </c>
      <c r="J584" s="3">
        <f t="shared" si="92"/>
        <v>73034112.832390487</v>
      </c>
      <c r="K584" s="24"/>
      <c r="L584" s="24">
        <f t="shared" si="96"/>
        <v>39692721.653587572</v>
      </c>
    </row>
    <row r="585" spans="2:14" x14ac:dyDescent="0.35">
      <c r="B585" s="1">
        <v>22</v>
      </c>
      <c r="C585" s="22">
        <v>45078</v>
      </c>
      <c r="D585" s="22">
        <v>45107</v>
      </c>
      <c r="E585" s="23">
        <f t="shared" si="91"/>
        <v>30</v>
      </c>
      <c r="F585" s="3">
        <f t="shared" si="93"/>
        <v>73034112.832390487</v>
      </c>
      <c r="G585" s="292">
        <f>-PMT($K$556/$D$558,28,$F$584,,0)</f>
        <v>3699029.2995747696</v>
      </c>
      <c r="H585" s="3">
        <f>$K$556*F585/$D$558</f>
        <v>1740646.3558386404</v>
      </c>
      <c r="I585" s="3">
        <f t="shared" si="95"/>
        <v>1958382.9437361292</v>
      </c>
      <c r="J585" s="3">
        <f t="shared" si="92"/>
        <v>71075729.888654351</v>
      </c>
      <c r="K585" s="24"/>
      <c r="L585" s="26">
        <f t="shared" si="96"/>
        <v>43391750.953162342</v>
      </c>
    </row>
    <row r="586" spans="2:14" x14ac:dyDescent="0.35">
      <c r="B586" s="1">
        <v>23</v>
      </c>
      <c r="C586" s="22">
        <v>45108</v>
      </c>
      <c r="D586" s="22">
        <v>45138</v>
      </c>
      <c r="E586" s="23">
        <f t="shared" si="91"/>
        <v>31</v>
      </c>
      <c r="F586" s="3">
        <f t="shared" si="93"/>
        <v>71075729.888654351</v>
      </c>
      <c r="G586" s="292">
        <f>-PMT($L$556/$D$558,26,$F$586,,0)</f>
        <v>3750577.1898679784</v>
      </c>
      <c r="H586" s="3">
        <f>$L$556*F586/$D$558</f>
        <v>1776893.247216359</v>
      </c>
      <c r="I586" s="3">
        <f t="shared" si="95"/>
        <v>1973683.9426516194</v>
      </c>
      <c r="J586" s="3">
        <f t="shared" si="92"/>
        <v>69102045.946002737</v>
      </c>
      <c r="K586" s="24">
        <v>1000000</v>
      </c>
      <c r="L586" s="26">
        <f t="shared" si="96"/>
        <v>46142328.143030323</v>
      </c>
    </row>
    <row r="587" spans="2:14" x14ac:dyDescent="0.35">
      <c r="B587" s="1">
        <v>24</v>
      </c>
      <c r="C587" s="22">
        <v>45139</v>
      </c>
      <c r="D587" s="22">
        <v>45169</v>
      </c>
      <c r="E587" s="23">
        <f t="shared" si="91"/>
        <v>31</v>
      </c>
      <c r="F587" s="3">
        <f t="shared" si="93"/>
        <v>69102045.946002737</v>
      </c>
      <c r="G587" s="292">
        <f>-PMT($M$556/$D$558,25,$F$587,,0)</f>
        <v>3797207.9731682604</v>
      </c>
      <c r="H587" s="3">
        <f>$M$556*F587/$D$558</f>
        <v>1802411.6984249048</v>
      </c>
      <c r="I587" s="3">
        <f t="shared" si="95"/>
        <v>1994796.2747433556</v>
      </c>
      <c r="J587" s="3">
        <f t="shared" si="92"/>
        <v>67107249.671259381</v>
      </c>
      <c r="K587" s="24"/>
      <c r="L587" s="24">
        <f t="shared" si="96"/>
        <v>49939536.116198584</v>
      </c>
    </row>
    <row r="588" spans="2:14" x14ac:dyDescent="0.35">
      <c r="B588" s="1">
        <v>25</v>
      </c>
      <c r="C588" s="22">
        <v>45170</v>
      </c>
      <c r="D588" s="22">
        <v>45199</v>
      </c>
      <c r="E588" s="23">
        <f t="shared" si="91"/>
        <v>30</v>
      </c>
      <c r="F588" s="3">
        <f t="shared" si="93"/>
        <v>67107249.671259381</v>
      </c>
      <c r="G588" s="292">
        <f>-PMT($H$561/$D$558,24,$F$588,,0)</f>
        <v>3821587.6794124874</v>
      </c>
      <c r="H588" s="3">
        <f>$H$561*F588/$D$558</f>
        <v>1789526.6579002505</v>
      </c>
      <c r="I588" s="3">
        <f t="shared" si="95"/>
        <v>2032061.0215122369</v>
      </c>
      <c r="J588" s="3">
        <f t="shared" si="92"/>
        <v>65075188.649747141</v>
      </c>
      <c r="K588" s="24">
        <v>1000000</v>
      </c>
      <c r="L588" s="24">
        <f t="shared" si="96"/>
        <v>52761123.795611069</v>
      </c>
    </row>
    <row r="589" spans="2:14" x14ac:dyDescent="0.35">
      <c r="B589" s="1">
        <v>26</v>
      </c>
      <c r="C589" s="22">
        <v>45200</v>
      </c>
      <c r="D589" s="22">
        <v>45230</v>
      </c>
      <c r="E589" s="23">
        <f t="shared" si="91"/>
        <v>31</v>
      </c>
      <c r="F589" s="3">
        <f t="shared" si="93"/>
        <v>65075188.649747141</v>
      </c>
      <c r="G589" s="292">
        <f>-PMT($I$561/$D$558,23,$F$589,,0)</f>
        <v>3824953.7922914261</v>
      </c>
      <c r="H589" s="3">
        <f>$I$561*F589/$D$558</f>
        <v>1740761.2963807362</v>
      </c>
      <c r="I589" s="3">
        <f t="shared" si="95"/>
        <v>2084192.4959106899</v>
      </c>
      <c r="J589" s="3">
        <f t="shared" si="92"/>
        <v>62990996.153836451</v>
      </c>
      <c r="K589" s="24"/>
      <c r="L589" s="24">
        <f t="shared" si="96"/>
        <v>56586077.587902494</v>
      </c>
      <c r="N589" s="7"/>
    </row>
    <row r="590" spans="2:14" x14ac:dyDescent="0.35">
      <c r="B590" s="1">
        <v>27</v>
      </c>
      <c r="C590" s="22">
        <v>45231</v>
      </c>
      <c r="D590" s="22">
        <v>45260</v>
      </c>
      <c r="E590" s="23">
        <f t="shared" si="91"/>
        <v>30</v>
      </c>
      <c r="F590" s="3">
        <f t="shared" si="93"/>
        <v>62990996.153836451</v>
      </c>
      <c r="G590" s="292">
        <f>-PMT($I$561/$D$558,23,$F$589,,0)</f>
        <v>3824953.7922914261</v>
      </c>
      <c r="H590" s="3">
        <f>$I$561*F590/$D$558</f>
        <v>1685009.1471151253</v>
      </c>
      <c r="I590" s="3">
        <f t="shared" si="95"/>
        <v>2139944.6451763008</v>
      </c>
      <c r="J590" s="3">
        <f t="shared" si="92"/>
        <v>60851051.508660153</v>
      </c>
      <c r="K590" s="24"/>
      <c r="L590" s="24">
        <f t="shared" si="96"/>
        <v>60411031.380193919</v>
      </c>
    </row>
    <row r="591" spans="2:14" x14ac:dyDescent="0.35">
      <c r="B591" s="1">
        <v>28</v>
      </c>
      <c r="C591" s="22">
        <v>45261</v>
      </c>
      <c r="D591" s="22">
        <v>45291</v>
      </c>
      <c r="E591" s="23">
        <f t="shared" si="91"/>
        <v>31</v>
      </c>
      <c r="F591" s="3">
        <f t="shared" si="93"/>
        <v>60851051.508660153</v>
      </c>
      <c r="G591" s="292">
        <f>-PMT($J$561/$D$558,21,$F$591,,0)</f>
        <v>3828070.3812507023</v>
      </c>
      <c r="H591" s="3">
        <f>$J$561*F591/$D$558</f>
        <v>1632836.5488157144</v>
      </c>
      <c r="I591" s="3">
        <f t="shared" si="95"/>
        <v>2195233.8324349876</v>
      </c>
      <c r="J591" s="3">
        <f t="shared" si="92"/>
        <v>58655817.676225163</v>
      </c>
      <c r="K591" s="24"/>
      <c r="L591" s="24">
        <f t="shared" si="96"/>
        <v>64239101.761444621</v>
      </c>
    </row>
    <row r="592" spans="2:14" x14ac:dyDescent="0.35">
      <c r="B592" s="1">
        <v>29</v>
      </c>
      <c r="C592" s="22">
        <v>45292</v>
      </c>
      <c r="D592" s="22">
        <v>45322</v>
      </c>
      <c r="E592" s="23">
        <f t="shared" si="91"/>
        <v>31</v>
      </c>
      <c r="F592" s="3">
        <f t="shared" si="93"/>
        <v>58655817.676225163</v>
      </c>
      <c r="G592" s="292">
        <f>-PMT($J$561/$D$558,21,$F$591,,0)</f>
        <v>3828070.3812507023</v>
      </c>
      <c r="H592" s="3">
        <f>$J$561*F592/$D$558</f>
        <v>1573931.1076453757</v>
      </c>
      <c r="I592" s="3">
        <f t="shared" si="95"/>
        <v>2254139.2736053267</v>
      </c>
      <c r="J592" s="3">
        <f t="shared" si="92"/>
        <v>56401678.402619839</v>
      </c>
      <c r="K592" s="24"/>
      <c r="L592" s="24">
        <f t="shared" si="96"/>
        <v>68067172.142695323</v>
      </c>
    </row>
    <row r="593" spans="2:12" x14ac:dyDescent="0.35">
      <c r="B593" s="1">
        <v>30</v>
      </c>
      <c r="C593" s="22">
        <v>45323</v>
      </c>
      <c r="D593" s="22">
        <v>45351</v>
      </c>
      <c r="E593" s="23">
        <f t="shared" si="91"/>
        <v>29</v>
      </c>
      <c r="F593" s="3">
        <f t="shared" si="93"/>
        <v>56401678.402619839</v>
      </c>
      <c r="G593" s="292">
        <f>-PMT($K$561/$D$558,19,$F$593,,0)</f>
        <v>3865360.439276794</v>
      </c>
      <c r="H593" s="3">
        <f>$K$561*F593/$D$558</f>
        <v>1574546.8554064708</v>
      </c>
      <c r="I593" s="3">
        <f t="shared" si="95"/>
        <v>2290813.5838703234</v>
      </c>
      <c r="J593" s="3">
        <f t="shared" si="92"/>
        <v>54110864.818749517</v>
      </c>
      <c r="K593" s="24"/>
      <c r="L593" s="24">
        <f t="shared" si="96"/>
        <v>71932532.581972122</v>
      </c>
    </row>
    <row r="594" spans="2:12" x14ac:dyDescent="0.35">
      <c r="B594" s="1">
        <v>31</v>
      </c>
      <c r="C594" s="22">
        <v>45352</v>
      </c>
      <c r="D594" s="22">
        <v>45382</v>
      </c>
      <c r="E594" s="23">
        <f t="shared" si="91"/>
        <v>31</v>
      </c>
      <c r="F594" s="3">
        <f t="shared" si="93"/>
        <v>54110864.818749517</v>
      </c>
      <c r="G594" s="292">
        <f>-PMT($K$561/$D$558,19,$F$593,,0)</f>
        <v>3865360.439276794</v>
      </c>
      <c r="H594" s="3">
        <f>$K$561*F594/$D$558</f>
        <v>1510594.9761900911</v>
      </c>
      <c r="I594" s="3">
        <f t="shared" si="95"/>
        <v>2354765.4630867029</v>
      </c>
      <c r="J594" s="3">
        <f t="shared" si="92"/>
        <v>51756099.355662815</v>
      </c>
      <c r="K594" s="24"/>
      <c r="L594" s="24">
        <f t="shared" si="96"/>
        <v>75797893.021248922</v>
      </c>
    </row>
    <row r="595" spans="2:12" x14ac:dyDescent="0.35">
      <c r="B595" s="1">
        <v>32</v>
      </c>
      <c r="C595" s="22">
        <v>45383</v>
      </c>
      <c r="D595" s="22">
        <v>45412</v>
      </c>
      <c r="E595" s="23">
        <f t="shared" si="91"/>
        <v>30</v>
      </c>
      <c r="F595" s="3">
        <f t="shared" si="93"/>
        <v>51756099.355662815</v>
      </c>
      <c r="G595" s="292">
        <f>-PMT($K$561/$D$558,19,$F$593,,0)</f>
        <v>3865360.439276794</v>
      </c>
      <c r="H595" s="3">
        <f>$K$561*F595/$D$558</f>
        <v>1444857.7736789205</v>
      </c>
      <c r="I595" s="3">
        <f t="shared" si="95"/>
        <v>2420502.6655978737</v>
      </c>
      <c r="J595" s="3">
        <f t="shared" si="92"/>
        <v>49335596.690064944</v>
      </c>
      <c r="K595" s="24"/>
      <c r="L595" s="24">
        <f t="shared" si="96"/>
        <v>79663253.460525721</v>
      </c>
    </row>
    <row r="596" spans="2:12" x14ac:dyDescent="0.35">
      <c r="B596" s="1">
        <v>33</v>
      </c>
      <c r="C596" s="22">
        <v>45413</v>
      </c>
      <c r="D596" s="22">
        <v>45443</v>
      </c>
      <c r="E596" s="23">
        <f t="shared" si="91"/>
        <v>31</v>
      </c>
      <c r="F596" s="3">
        <f t="shared" si="93"/>
        <v>49335596.690064944</v>
      </c>
      <c r="G596" s="292">
        <f>-PMT($L$561/$D$558,16,$F$596,,0)</f>
        <v>3867841.7149316776</v>
      </c>
      <c r="H596" s="3">
        <f>$L$561*F596/$D$558</f>
        <v>1381396.7073218187</v>
      </c>
      <c r="I596" s="3">
        <f t="shared" si="95"/>
        <v>2486445.0076098591</v>
      </c>
      <c r="J596" s="3">
        <f t="shared" si="92"/>
        <v>46849151.682455085</v>
      </c>
      <c r="K596" s="24">
        <v>3700000</v>
      </c>
      <c r="L596" s="24">
        <f t="shared" si="96"/>
        <v>79831095.175457403</v>
      </c>
    </row>
    <row r="597" spans="2:12" x14ac:dyDescent="0.35">
      <c r="B597" s="1">
        <v>34</v>
      </c>
      <c r="C597" s="22">
        <v>45444</v>
      </c>
      <c r="D597" s="22">
        <v>45473</v>
      </c>
      <c r="E597" s="23">
        <f t="shared" si="91"/>
        <v>30</v>
      </c>
      <c r="F597" s="3">
        <f t="shared" si="93"/>
        <v>46849151.682455085</v>
      </c>
      <c r="G597" s="3">
        <f>-PMT($M$561/$D$558,15,$F$597,,0)</f>
        <v>3870189.2619963353</v>
      </c>
      <c r="H597" s="3">
        <f>$M$561*F597/$D$558</f>
        <v>1315680.3430822806</v>
      </c>
      <c r="I597" s="3">
        <f t="shared" si="95"/>
        <v>2554508.9189140545</v>
      </c>
      <c r="J597" s="3">
        <f t="shared" si="92"/>
        <v>44294642.763541028</v>
      </c>
      <c r="K597" s="24">
        <v>3300000</v>
      </c>
      <c r="L597" s="24">
        <f t="shared" si="96"/>
        <v>80401284.437453732</v>
      </c>
    </row>
    <row r="598" spans="2:12" x14ac:dyDescent="0.35">
      <c r="B598" s="1">
        <v>35</v>
      </c>
      <c r="C598" s="22">
        <v>45474</v>
      </c>
      <c r="D598" s="22">
        <v>45504</v>
      </c>
      <c r="E598" s="23">
        <f t="shared" si="91"/>
        <v>31</v>
      </c>
      <c r="F598" s="3">
        <f t="shared" si="93"/>
        <v>44294642.763541028</v>
      </c>
      <c r="G598" s="3">
        <f t="shared" ref="G598:G611" si="97">-PMT($N$561/$D$558,14,$F$598,,0)</f>
        <v>3876828.1801472297</v>
      </c>
      <c r="H598" s="3">
        <f t="shared" ref="H598:H611" si="98">$N$561*F598/$D$558</f>
        <v>1255014.8783003294</v>
      </c>
      <c r="I598" s="3">
        <f t="shared" si="95"/>
        <v>2621813.3018469</v>
      </c>
      <c r="J598" s="3">
        <f t="shared" si="92"/>
        <v>41672829.461694129</v>
      </c>
      <c r="K598" s="24">
        <v>2100000</v>
      </c>
      <c r="L598" s="24">
        <f t="shared" si="96"/>
        <v>82178112.617600963</v>
      </c>
    </row>
    <row r="599" spans="2:12" x14ac:dyDescent="0.35">
      <c r="B599" s="1">
        <v>36</v>
      </c>
      <c r="C599" s="22">
        <v>45505</v>
      </c>
      <c r="D599" s="22">
        <v>45535</v>
      </c>
      <c r="E599" s="23">
        <f t="shared" si="91"/>
        <v>31</v>
      </c>
      <c r="F599" s="3">
        <f t="shared" si="93"/>
        <v>41672829.461694129</v>
      </c>
      <c r="G599" s="3">
        <f t="shared" si="97"/>
        <v>3876828.1801472297</v>
      </c>
      <c r="H599" s="3">
        <f t="shared" si="98"/>
        <v>1180730.1680813339</v>
      </c>
      <c r="I599" s="3">
        <f t="shared" si="95"/>
        <v>2696098.0120658958</v>
      </c>
      <c r="J599" s="3">
        <f t="shared" si="92"/>
        <v>38976731.449628234</v>
      </c>
      <c r="K599" s="24"/>
      <c r="L599" s="24">
        <f t="shared" si="96"/>
        <v>86054940.797748193</v>
      </c>
    </row>
    <row r="600" spans="2:12" x14ac:dyDescent="0.35">
      <c r="B600" s="1">
        <v>37</v>
      </c>
      <c r="C600" s="22">
        <v>45536</v>
      </c>
      <c r="D600" s="22">
        <v>45565</v>
      </c>
      <c r="E600" s="23">
        <f t="shared" si="91"/>
        <v>30</v>
      </c>
      <c r="F600" s="3">
        <f t="shared" si="93"/>
        <v>38976731.449628234</v>
      </c>
      <c r="G600" s="3">
        <f t="shared" si="97"/>
        <v>3876828.1801472297</v>
      </c>
      <c r="H600" s="3">
        <f t="shared" si="98"/>
        <v>1104340.7244061336</v>
      </c>
      <c r="I600" s="3">
        <f t="shared" si="95"/>
        <v>2772487.4557410963</v>
      </c>
      <c r="J600" s="3">
        <f t="shared" si="92"/>
        <v>36204243.993887141</v>
      </c>
      <c r="K600" s="24"/>
      <c r="L600" s="24">
        <f t="shared" si="96"/>
        <v>89931768.977895424</v>
      </c>
    </row>
    <row r="601" spans="2:12" x14ac:dyDescent="0.35">
      <c r="B601" s="1">
        <v>38</v>
      </c>
      <c r="C601" s="22">
        <v>45566</v>
      </c>
      <c r="D601" s="22">
        <v>45596</v>
      </c>
      <c r="E601" s="23">
        <f t="shared" si="91"/>
        <v>31</v>
      </c>
      <c r="F601" s="3">
        <f t="shared" si="93"/>
        <v>36204243.993887141</v>
      </c>
      <c r="G601" s="3">
        <f t="shared" si="97"/>
        <v>3876828.1801472297</v>
      </c>
      <c r="H601" s="3">
        <f t="shared" si="98"/>
        <v>1025786.913160136</v>
      </c>
      <c r="I601" s="3">
        <f t="shared" si="95"/>
        <v>2851041.2669870937</v>
      </c>
      <c r="J601" s="3">
        <f t="shared" si="92"/>
        <v>33353202.726900049</v>
      </c>
      <c r="K601" s="24"/>
      <c r="L601" s="27">
        <f t="shared" si="96"/>
        <v>93808597.158042654</v>
      </c>
    </row>
    <row r="602" spans="2:12" x14ac:dyDescent="0.35">
      <c r="B602" s="1">
        <v>39</v>
      </c>
      <c r="C602" s="22">
        <v>45597</v>
      </c>
      <c r="D602" s="22">
        <v>45626</v>
      </c>
      <c r="E602" s="23">
        <f t="shared" si="91"/>
        <v>30</v>
      </c>
      <c r="F602" s="3">
        <f t="shared" si="93"/>
        <v>33353202.726900049</v>
      </c>
      <c r="G602" s="3">
        <f t="shared" si="97"/>
        <v>3876828.1801472297</v>
      </c>
      <c r="H602" s="3">
        <f t="shared" si="98"/>
        <v>945007.41059550166</v>
      </c>
      <c r="I602" s="3">
        <f t="shared" si="95"/>
        <v>2931820.7695517279</v>
      </c>
      <c r="J602" s="3">
        <f t="shared" si="92"/>
        <v>30421381.957348321</v>
      </c>
      <c r="K602" s="24"/>
      <c r="L602" s="24"/>
    </row>
    <row r="603" spans="2:12" x14ac:dyDescent="0.35">
      <c r="B603" s="1">
        <v>40</v>
      </c>
      <c r="C603" s="22">
        <v>45627</v>
      </c>
      <c r="D603" s="22">
        <v>45657</v>
      </c>
      <c r="E603" s="23">
        <f t="shared" si="91"/>
        <v>31</v>
      </c>
      <c r="F603" s="3">
        <f t="shared" si="93"/>
        <v>30421381.957348321</v>
      </c>
      <c r="G603" s="3">
        <f t="shared" si="97"/>
        <v>3876828.1801472297</v>
      </c>
      <c r="H603" s="3">
        <f t="shared" si="98"/>
        <v>861939.15545820259</v>
      </c>
      <c r="I603" s="3">
        <f t="shared" si="95"/>
        <v>3014889.0246890271</v>
      </c>
      <c r="J603" s="3">
        <f t="shared" si="92"/>
        <v>27406492.932659294</v>
      </c>
      <c r="K603" s="24"/>
      <c r="L603" s="24"/>
    </row>
    <row r="604" spans="2:12" x14ac:dyDescent="0.35">
      <c r="B604" s="1">
        <v>41</v>
      </c>
      <c r="C604" s="22">
        <v>45658</v>
      </c>
      <c r="D604" s="22">
        <v>45688</v>
      </c>
      <c r="E604" s="23">
        <f t="shared" si="91"/>
        <v>31</v>
      </c>
      <c r="F604" s="3">
        <f t="shared" si="93"/>
        <v>27406492.932659294</v>
      </c>
      <c r="G604" s="3">
        <f t="shared" si="97"/>
        <v>3876828.1801472297</v>
      </c>
      <c r="H604" s="3">
        <f t="shared" si="98"/>
        <v>776517.29975868016</v>
      </c>
      <c r="I604" s="3">
        <f t="shared" si="95"/>
        <v>3100310.8803885495</v>
      </c>
      <c r="J604" s="3">
        <f t="shared" si="92"/>
        <v>24306182.052270744</v>
      </c>
      <c r="K604" s="24"/>
      <c r="L604" s="24"/>
    </row>
    <row r="605" spans="2:12" x14ac:dyDescent="0.35">
      <c r="B605" s="1">
        <v>42</v>
      </c>
      <c r="C605" s="22">
        <v>45689</v>
      </c>
      <c r="D605" s="22">
        <v>45716</v>
      </c>
      <c r="E605" s="23">
        <f t="shared" si="91"/>
        <v>28</v>
      </c>
      <c r="F605" s="3">
        <f t="shared" si="93"/>
        <v>24306182.052270744</v>
      </c>
      <c r="G605" s="3">
        <f t="shared" si="97"/>
        <v>3876828.1801472297</v>
      </c>
      <c r="H605" s="3">
        <f t="shared" si="98"/>
        <v>688675.15814767126</v>
      </c>
      <c r="I605" s="3">
        <f t="shared" si="95"/>
        <v>3188153.0219995584</v>
      </c>
      <c r="J605" s="3">
        <f t="shared" si="92"/>
        <v>21118029.030271187</v>
      </c>
      <c r="K605" s="24"/>
      <c r="L605" s="24"/>
    </row>
    <row r="606" spans="2:12" x14ac:dyDescent="0.35">
      <c r="B606" s="1">
        <v>43</v>
      </c>
      <c r="C606" s="22">
        <v>45717</v>
      </c>
      <c r="D606" s="22">
        <v>45747</v>
      </c>
      <c r="E606" s="23">
        <f t="shared" si="91"/>
        <v>31</v>
      </c>
      <c r="F606" s="3">
        <f t="shared" si="93"/>
        <v>21118029.030271187</v>
      </c>
      <c r="G606" s="3">
        <f t="shared" si="97"/>
        <v>3876828.1801472297</v>
      </c>
      <c r="H606" s="3">
        <f t="shared" si="98"/>
        <v>598344.15585768374</v>
      </c>
      <c r="I606" s="3">
        <f t="shared" si="95"/>
        <v>3278484.0242895461</v>
      </c>
      <c r="J606" s="3">
        <f t="shared" si="92"/>
        <v>17839545.005981643</v>
      </c>
      <c r="K606" s="24"/>
      <c r="L606" s="24"/>
    </row>
    <row r="607" spans="2:12" x14ac:dyDescent="0.35">
      <c r="B607" s="1">
        <v>44</v>
      </c>
      <c r="C607" s="22">
        <v>45748</v>
      </c>
      <c r="D607" s="22">
        <v>45777</v>
      </c>
      <c r="E607" s="23">
        <f t="shared" si="91"/>
        <v>30</v>
      </c>
      <c r="F607" s="3">
        <f t="shared" si="93"/>
        <v>17839545.005981643</v>
      </c>
      <c r="G607" s="3">
        <f t="shared" si="97"/>
        <v>3876828.1801472297</v>
      </c>
      <c r="H607" s="3">
        <f t="shared" si="98"/>
        <v>505453.77516947995</v>
      </c>
      <c r="I607" s="3">
        <f t="shared" si="95"/>
        <v>3371374.4049777496</v>
      </c>
      <c r="J607" s="3">
        <f t="shared" si="92"/>
        <v>14468170.601003893</v>
      </c>
      <c r="K607" s="24"/>
      <c r="L607" s="24"/>
    </row>
    <row r="608" spans="2:12" x14ac:dyDescent="0.35">
      <c r="B608" s="1">
        <v>45</v>
      </c>
      <c r="C608" s="22">
        <v>45778</v>
      </c>
      <c r="D608" s="22">
        <v>45808</v>
      </c>
      <c r="E608" s="23">
        <f t="shared" si="91"/>
        <v>31</v>
      </c>
      <c r="F608" s="3">
        <f t="shared" si="93"/>
        <v>14468170.601003893</v>
      </c>
      <c r="G608" s="3">
        <f t="shared" si="97"/>
        <v>3876828.1801472297</v>
      </c>
      <c r="H608" s="3">
        <f t="shared" si="98"/>
        <v>409931.50036177709</v>
      </c>
      <c r="I608" s="3">
        <f t="shared" si="95"/>
        <v>3466896.6797854528</v>
      </c>
      <c r="J608" s="3">
        <f t="shared" si="92"/>
        <v>11001273.92121844</v>
      </c>
      <c r="K608" s="24"/>
      <c r="L608" s="24"/>
    </row>
    <row r="609" spans="2:19" x14ac:dyDescent="0.35">
      <c r="B609" s="1">
        <v>46</v>
      </c>
      <c r="C609" s="22">
        <v>45809</v>
      </c>
      <c r="D609" s="22">
        <v>45838</v>
      </c>
      <c r="E609" s="23">
        <f t="shared" si="91"/>
        <v>30</v>
      </c>
      <c r="F609" s="3">
        <f t="shared" si="93"/>
        <v>11001273.92121844</v>
      </c>
      <c r="G609" s="3">
        <f t="shared" si="97"/>
        <v>3876828.1801472297</v>
      </c>
      <c r="H609" s="3">
        <f t="shared" si="98"/>
        <v>311702.76110118919</v>
      </c>
      <c r="I609" s="3">
        <f t="shared" si="95"/>
        <v>3565125.4190460406</v>
      </c>
      <c r="J609" s="3">
        <f t="shared" si="92"/>
        <v>7436148.5021723993</v>
      </c>
      <c r="K609" s="24"/>
      <c r="L609" s="24"/>
    </row>
    <row r="610" spans="2:19" x14ac:dyDescent="0.35">
      <c r="B610" s="1">
        <v>47</v>
      </c>
      <c r="C610" s="22">
        <v>45839</v>
      </c>
      <c r="D610" s="22">
        <v>45869</v>
      </c>
      <c r="E610" s="23">
        <f t="shared" si="91"/>
        <v>31</v>
      </c>
      <c r="F610" s="3">
        <f t="shared" si="93"/>
        <v>7436148.5021723993</v>
      </c>
      <c r="G610" s="3">
        <f t="shared" si="97"/>
        <v>3876828.1801472297</v>
      </c>
      <c r="H610" s="3">
        <f t="shared" si="98"/>
        <v>210690.87422821802</v>
      </c>
      <c r="I610" s="3">
        <f t="shared" si="95"/>
        <v>3666137.3059190116</v>
      </c>
      <c r="J610" s="3">
        <f t="shared" si="92"/>
        <v>3770011.1962533877</v>
      </c>
      <c r="K610" s="24"/>
      <c r="L610" s="24"/>
    </row>
    <row r="611" spans="2:19" x14ac:dyDescent="0.35">
      <c r="B611" s="1">
        <v>48</v>
      </c>
      <c r="C611" s="22">
        <v>45870</v>
      </c>
      <c r="D611" s="22">
        <v>45900</v>
      </c>
      <c r="E611" s="23">
        <f t="shared" si="91"/>
        <v>31</v>
      </c>
      <c r="F611" s="3">
        <f t="shared" si="93"/>
        <v>3770011.1962533877</v>
      </c>
      <c r="G611" s="3">
        <f t="shared" si="97"/>
        <v>3876828.1801472297</v>
      </c>
      <c r="H611" s="3">
        <f t="shared" si="98"/>
        <v>106816.983893846</v>
      </c>
      <c r="I611" s="3">
        <f t="shared" si="95"/>
        <v>3770011.1962533835</v>
      </c>
      <c r="J611" s="3">
        <f t="shared" si="92"/>
        <v>4.1909515857696533E-9</v>
      </c>
      <c r="K611" s="24"/>
      <c r="L611" s="24"/>
    </row>
    <row r="612" spans="2:19" x14ac:dyDescent="0.35">
      <c r="B612" s="1"/>
      <c r="C612" s="22"/>
      <c r="D612" s="22"/>
      <c r="E612" s="23"/>
      <c r="F612" s="3"/>
      <c r="G612" s="3"/>
      <c r="H612" s="3"/>
      <c r="I612" s="3"/>
      <c r="J612" s="3"/>
      <c r="K612" s="24"/>
      <c r="L612" s="24"/>
    </row>
    <row r="613" spans="2:19" x14ac:dyDescent="0.35">
      <c r="B613" s="1"/>
      <c r="C613" s="1"/>
      <c r="D613" s="1"/>
      <c r="E613" s="28">
        <f>SUM(E564:E611)</f>
        <v>1461</v>
      </c>
      <c r="F613" s="3"/>
      <c r="G613" s="3"/>
      <c r="H613" s="3"/>
      <c r="I613" s="3"/>
      <c r="J613" s="3"/>
      <c r="K613" s="1"/>
      <c r="L613" s="1"/>
    </row>
    <row r="616" spans="2:19" x14ac:dyDescent="0.35">
      <c r="B616" s="1"/>
      <c r="C616" s="8" t="s">
        <v>785</v>
      </c>
      <c r="D616" s="3"/>
      <c r="E616" s="280">
        <f>+D619-12.2%</f>
        <v>5.7999999999999996E-2</v>
      </c>
      <c r="F616" s="3"/>
      <c r="G616" s="3"/>
      <c r="H616" s="3"/>
      <c r="I616" s="3"/>
      <c r="J616" s="231" t="s">
        <v>827</v>
      </c>
      <c r="K616" s="3" t="s">
        <v>828</v>
      </c>
      <c r="L616" s="231" t="s">
        <v>829</v>
      </c>
      <c r="M616" s="231" t="s">
        <v>830</v>
      </c>
      <c r="N616" s="231" t="s">
        <v>831</v>
      </c>
      <c r="R616" s="438" t="s">
        <v>832</v>
      </c>
      <c r="S616" s="432" t="str">
        <f>IFERROR(INDEX(Blocks!$I$2:$I$101,MATCH(10,Blocks!$A$2:$A$101,0)),"")</f>
        <v>000104420000010</v>
      </c>
    </row>
    <row r="617" spans="2:19" x14ac:dyDescent="0.35">
      <c r="B617" s="1"/>
      <c r="C617" s="1"/>
      <c r="D617" s="3" t="s">
        <v>876</v>
      </c>
      <c r="E617" s="3"/>
      <c r="F617" s="3"/>
      <c r="G617" s="3"/>
      <c r="H617" s="3"/>
      <c r="I617" s="231">
        <v>44805</v>
      </c>
      <c r="J617" s="230">
        <v>44866</v>
      </c>
      <c r="K617" s="230">
        <v>44896</v>
      </c>
      <c r="L617" s="230">
        <v>45047</v>
      </c>
      <c r="M617" s="230">
        <v>45108</v>
      </c>
      <c r="N617" s="230">
        <v>45139</v>
      </c>
      <c r="R617" s="438" t="s">
        <v>834</v>
      </c>
      <c r="S617" s="432" t="str">
        <f>IFERROR(INDEX(Blocks!$H$2:$H$101,MATCH(10,Blocks!$A$2:$A$101,0)),"")</f>
        <v>Nature's Gift Limited</v>
      </c>
    </row>
    <row r="618" spans="2:19" x14ac:dyDescent="0.35">
      <c r="B618" s="1"/>
      <c r="C618" s="9" t="s">
        <v>835</v>
      </c>
      <c r="D618" s="10">
        <v>80000000</v>
      </c>
      <c r="E618" s="3"/>
      <c r="F618" s="3"/>
      <c r="G618" s="267" t="s">
        <v>835</v>
      </c>
      <c r="H618" s="10">
        <v>69156569.234617352</v>
      </c>
      <c r="I618" s="231" t="s">
        <v>836</v>
      </c>
      <c r="J618" s="231" t="s">
        <v>836</v>
      </c>
      <c r="K618" s="231" t="s">
        <v>836</v>
      </c>
      <c r="L618" s="231" t="s">
        <v>836</v>
      </c>
      <c r="M618" s="231" t="s">
        <v>836</v>
      </c>
      <c r="N618" s="231" t="s">
        <v>836</v>
      </c>
      <c r="R618" s="438" t="s">
        <v>223</v>
      </c>
      <c r="S618" s="433">
        <f>IFERROR(INDEX('E-Banker master'!$N$2:$N$186,MATCH(S616,'E-Banker master'!$A$2:$A$186,0)),"")</f>
        <v>80000000</v>
      </c>
    </row>
    <row r="619" spans="2:19" x14ac:dyDescent="0.35">
      <c r="B619" s="1"/>
      <c r="C619" s="11" t="s">
        <v>837</v>
      </c>
      <c r="D619" s="12">
        <v>0.18</v>
      </c>
      <c r="E619" s="13"/>
      <c r="F619" s="3"/>
      <c r="G619" s="268" t="s">
        <v>837</v>
      </c>
      <c r="H619" s="266">
        <v>0.19500000000000001</v>
      </c>
      <c r="I619" s="3">
        <f>H619+0.4%</f>
        <v>0.19900000000000001</v>
      </c>
      <c r="J619" s="13">
        <f>I619+2.7%</f>
        <v>0.22600000000000001</v>
      </c>
      <c r="K619" s="13">
        <f>J619+0.7%</f>
        <v>0.23300000000000001</v>
      </c>
      <c r="L619" s="13">
        <f>K619+2.7%</f>
        <v>0.26</v>
      </c>
      <c r="M619" s="13">
        <f>L619+1.4%</f>
        <v>0.27400000000000002</v>
      </c>
      <c r="N619" s="13">
        <f>M619+1.3%</f>
        <v>0.28700000000000003</v>
      </c>
      <c r="R619" s="438" t="s">
        <v>52</v>
      </c>
      <c r="S619" s="433">
        <f>IFERROR(INDEX('E-Banker master'!$P$2:$P$186,MATCH(S616,'E-Banker master'!$A$2:$A$186,0)),"")</f>
        <v>50784761.799999997</v>
      </c>
    </row>
    <row r="620" spans="2:19" x14ac:dyDescent="0.35">
      <c r="B620" s="1"/>
      <c r="C620" s="11" t="s">
        <v>838</v>
      </c>
      <c r="D620" s="14">
        <v>5</v>
      </c>
      <c r="E620" s="1"/>
      <c r="F620" s="3"/>
      <c r="G620" s="268" t="s">
        <v>838</v>
      </c>
      <c r="H620" s="266">
        <v>5</v>
      </c>
      <c r="I620" s="3"/>
      <c r="J620" s="3"/>
      <c r="K620" s="1"/>
      <c r="L620" s="1"/>
    </row>
    <row r="621" spans="2:19" x14ac:dyDescent="0.35">
      <c r="B621" s="1"/>
      <c r="C621" s="11" t="s">
        <v>839</v>
      </c>
      <c r="D621" s="14">
        <v>12</v>
      </c>
      <c r="E621" s="1"/>
      <c r="F621" s="3"/>
      <c r="G621" s="268" t="s">
        <v>839</v>
      </c>
      <c r="H621" s="266">
        <v>12</v>
      </c>
      <c r="I621" s="3"/>
      <c r="J621" s="3" t="s">
        <v>840</v>
      </c>
      <c r="K621" s="3" t="s">
        <v>841</v>
      </c>
      <c r="L621" s="231" t="s">
        <v>842</v>
      </c>
      <c r="M621" s="231" t="s">
        <v>855</v>
      </c>
      <c r="N621" s="349" t="s">
        <v>856</v>
      </c>
      <c r="O621" s="349" t="s">
        <v>877</v>
      </c>
      <c r="P621" s="349" t="s">
        <v>878</v>
      </c>
    </row>
    <row r="622" spans="2:19" x14ac:dyDescent="0.35">
      <c r="B622" s="1"/>
      <c r="C622" s="11" t="s">
        <v>843</v>
      </c>
      <c r="D622" s="15">
        <f>D620*D621</f>
        <v>60</v>
      </c>
      <c r="E622" s="1"/>
      <c r="F622" s="3"/>
      <c r="G622" s="268" t="s">
        <v>843</v>
      </c>
      <c r="H622" s="266">
        <v>48</v>
      </c>
      <c r="I622" s="3">
        <f>+H619-D619</f>
        <v>1.5000000000000013E-2</v>
      </c>
      <c r="J622" s="230">
        <v>45170</v>
      </c>
      <c r="K622" s="230">
        <v>45200</v>
      </c>
      <c r="L622" s="230">
        <v>45261</v>
      </c>
      <c r="M622" s="230">
        <v>44958</v>
      </c>
      <c r="N622" s="278">
        <v>45413</v>
      </c>
      <c r="O622" s="278">
        <v>45444</v>
      </c>
      <c r="P622" s="278">
        <v>45474</v>
      </c>
    </row>
    <row r="623" spans="2:19" x14ac:dyDescent="0.35">
      <c r="B623" s="1"/>
      <c r="C623" s="11" t="s">
        <v>844</v>
      </c>
      <c r="D623" s="16">
        <v>365</v>
      </c>
      <c r="E623" s="1"/>
      <c r="F623" s="3"/>
      <c r="G623" s="268" t="s">
        <v>844</v>
      </c>
      <c r="H623" s="266">
        <v>365</v>
      </c>
      <c r="I623" s="3"/>
      <c r="J623" s="231" t="s">
        <v>836</v>
      </c>
      <c r="K623" s="231" t="s">
        <v>836</v>
      </c>
      <c r="L623" s="231" t="s">
        <v>836</v>
      </c>
      <c r="M623" s="231" t="s">
        <v>836</v>
      </c>
      <c r="N623" s="349" t="s">
        <v>836</v>
      </c>
      <c r="O623" s="349" t="s">
        <v>836</v>
      </c>
      <c r="P623" s="349" t="s">
        <v>836</v>
      </c>
    </row>
    <row r="624" spans="2:19" x14ac:dyDescent="0.35">
      <c r="B624" s="1"/>
      <c r="C624" s="17" t="s">
        <v>845</v>
      </c>
      <c r="D624" s="18">
        <f>-PMT(D619/D621,D622,D618,0,0)</f>
        <v>2031474.1941687267</v>
      </c>
      <c r="E624" s="3"/>
      <c r="F624" s="3"/>
      <c r="G624" s="269" t="s">
        <v>845</v>
      </c>
      <c r="H624" s="18">
        <f>-PMT(H619/H621,H622,H618,0,0)</f>
        <v>2086080.377950608</v>
      </c>
      <c r="I624" s="3"/>
      <c r="J624" s="13">
        <f>N619+0.7%</f>
        <v>0.29400000000000004</v>
      </c>
      <c r="K624" s="13">
        <f>J624+0.1%</f>
        <v>0.29500000000000004</v>
      </c>
      <c r="L624" s="13">
        <f>K624+0.1%</f>
        <v>0.29600000000000004</v>
      </c>
      <c r="M624" s="13">
        <f>L624+1.3%</f>
        <v>0.30900000000000005</v>
      </c>
      <c r="N624" s="350">
        <f>+M624+0.1%</f>
        <v>0.31000000000000005</v>
      </c>
      <c r="O624" s="350">
        <f>+N624+0.1%</f>
        <v>0.31100000000000005</v>
      </c>
      <c r="P624" s="350">
        <f>+O624+0.3%</f>
        <v>0.31400000000000006</v>
      </c>
    </row>
    <row r="625" spans="2:14" x14ac:dyDescent="0.35">
      <c r="B625" s="1"/>
      <c r="C625" s="1"/>
      <c r="D625" s="3"/>
      <c r="E625" s="3"/>
      <c r="F625" s="3"/>
      <c r="G625" s="3"/>
      <c r="H625" s="3"/>
      <c r="I625" s="3"/>
      <c r="J625" s="3"/>
      <c r="K625" s="1"/>
      <c r="L625" s="1"/>
    </row>
    <row r="626" spans="2:14" x14ac:dyDescent="0.35">
      <c r="B626" s="1"/>
      <c r="C626" s="19" t="s">
        <v>846</v>
      </c>
      <c r="D626" s="20" t="s">
        <v>847</v>
      </c>
      <c r="E626" s="20" t="s">
        <v>764</v>
      </c>
      <c r="F626" s="270" t="s">
        <v>848</v>
      </c>
      <c r="G626" s="270" t="s">
        <v>849</v>
      </c>
      <c r="H626" s="270" t="s">
        <v>742</v>
      </c>
      <c r="I626" s="270" t="s">
        <v>740</v>
      </c>
      <c r="J626" s="270" t="s">
        <v>850</v>
      </c>
      <c r="K626" s="21" t="s">
        <v>851</v>
      </c>
      <c r="L626" s="21" t="s">
        <v>852</v>
      </c>
    </row>
    <row r="627" spans="2:14" x14ac:dyDescent="0.35">
      <c r="B627" s="1">
        <v>0</v>
      </c>
      <c r="C627" s="22">
        <v>44307</v>
      </c>
      <c r="D627" s="22">
        <v>44316</v>
      </c>
      <c r="E627" s="23">
        <f t="shared" ref="E627:E658" si="99">D627-C627+1</f>
        <v>10</v>
      </c>
      <c r="F627" s="3">
        <f>D618</f>
        <v>80000000</v>
      </c>
      <c r="G627" s="3">
        <f>H627</f>
        <v>0</v>
      </c>
      <c r="H627" s="3"/>
      <c r="I627" s="3">
        <v>0</v>
      </c>
      <c r="J627" s="3">
        <f t="shared" ref="J627:J658" si="100">F627-I627</f>
        <v>80000000</v>
      </c>
      <c r="K627" s="24">
        <v>0</v>
      </c>
      <c r="L627" s="24">
        <f>H627</f>
        <v>0</v>
      </c>
      <c r="N627" s="32"/>
    </row>
    <row r="628" spans="2:14" x14ac:dyDescent="0.35">
      <c r="B628" s="1">
        <v>1</v>
      </c>
      <c r="C628" s="22">
        <v>44317</v>
      </c>
      <c r="D628" s="22">
        <v>44347</v>
      </c>
      <c r="E628" s="23">
        <f t="shared" si="99"/>
        <v>31</v>
      </c>
      <c r="F628" s="3">
        <f t="shared" ref="F628:F659" si="101">J627</f>
        <v>80000000</v>
      </c>
      <c r="G628" s="3">
        <f>-PMT($D$619/$D$621,60,$F$627,,0)</f>
        <v>2031474.1941687267</v>
      </c>
      <c r="H628" s="3">
        <f>$D$619*F628/$D$621</f>
        <v>1200000</v>
      </c>
      <c r="I628" s="3">
        <f t="shared" ref="I628:I659" si="102">G628-H628</f>
        <v>831474.19416872668</v>
      </c>
      <c r="J628" s="3">
        <f t="shared" si="100"/>
        <v>79168525.805831268</v>
      </c>
      <c r="K628" s="24">
        <v>0</v>
      </c>
      <c r="L628" s="24">
        <f>L627+G628</f>
        <v>2031474.1941687267</v>
      </c>
    </row>
    <row r="629" spans="2:14" x14ac:dyDescent="0.35">
      <c r="B629" s="1">
        <v>2</v>
      </c>
      <c r="C629" s="22">
        <v>44348</v>
      </c>
      <c r="D629" s="22">
        <v>44377</v>
      </c>
      <c r="E629" s="23">
        <f t="shared" si="99"/>
        <v>30</v>
      </c>
      <c r="F629" s="3">
        <f t="shared" si="101"/>
        <v>79168525.805831268</v>
      </c>
      <c r="G629" s="3">
        <f>-PMT($D$619/$D$621,60,$F$627,,0)</f>
        <v>2031474.1941687267</v>
      </c>
      <c r="H629" s="3">
        <f>$D$619*F629/$D$621</f>
        <v>1187527.887087469</v>
      </c>
      <c r="I629" s="3">
        <f t="shared" si="102"/>
        <v>843946.30708125769</v>
      </c>
      <c r="J629" s="3">
        <f t="shared" si="100"/>
        <v>78324579.498750016</v>
      </c>
      <c r="K629" s="24">
        <v>0</v>
      </c>
      <c r="L629" s="26">
        <f>L628+G629</f>
        <v>4062948.3883374534</v>
      </c>
    </row>
    <row r="630" spans="2:14" x14ac:dyDescent="0.35">
      <c r="B630" s="1">
        <v>3</v>
      </c>
      <c r="C630" s="22">
        <v>44378</v>
      </c>
      <c r="D630" s="22">
        <v>44408</v>
      </c>
      <c r="E630" s="23">
        <f t="shared" si="99"/>
        <v>31</v>
      </c>
      <c r="F630" s="3">
        <f t="shared" si="101"/>
        <v>78324579.498750016</v>
      </c>
      <c r="G630" s="3">
        <f>-PMT($D$619/$D$621,60,$F$627,,0)</f>
        <v>2031474.1941687267</v>
      </c>
      <c r="H630" s="3">
        <f>($D$619*F630/$D$621)+F618*8*D619/D623</f>
        <v>1174868.6924812503</v>
      </c>
      <c r="I630" s="3">
        <f t="shared" si="102"/>
        <v>856605.50168747641</v>
      </c>
      <c r="J630" s="3">
        <f t="shared" si="100"/>
        <v>77467973.997062534</v>
      </c>
      <c r="K630" s="24">
        <v>0</v>
      </c>
      <c r="L630" s="26">
        <f>L629+G630</f>
        <v>6094422.5825061798</v>
      </c>
    </row>
    <row r="631" spans="2:14" x14ac:dyDescent="0.35">
      <c r="B631" s="1">
        <v>4</v>
      </c>
      <c r="C631" s="22">
        <v>44409</v>
      </c>
      <c r="D631" s="22">
        <v>44439</v>
      </c>
      <c r="E631" s="23">
        <f t="shared" si="99"/>
        <v>31</v>
      </c>
      <c r="F631" s="3">
        <f t="shared" si="101"/>
        <v>77467973.997062534</v>
      </c>
      <c r="G631" s="3">
        <f t="shared" ref="G631:G639" si="103">-PMT($D$619/$D$621,57,$F$631,,0)</f>
        <v>2031474.1941687269</v>
      </c>
      <c r="H631" s="3">
        <f t="shared" ref="H631:H639" si="104">$D$619*F631/$D$621</f>
        <v>1162019.6099559378</v>
      </c>
      <c r="I631" s="3">
        <f t="shared" si="102"/>
        <v>869454.58421278908</v>
      </c>
      <c r="J631" s="3">
        <f t="shared" si="100"/>
        <v>76598519.412849739</v>
      </c>
      <c r="K631" s="24">
        <v>6488943.1299999999</v>
      </c>
      <c r="L631" s="24">
        <f>L630+G631-K631</f>
        <v>1636953.6466749068</v>
      </c>
    </row>
    <row r="632" spans="2:14" x14ac:dyDescent="0.35">
      <c r="B632" s="1">
        <v>5</v>
      </c>
      <c r="C632" s="22">
        <v>44440</v>
      </c>
      <c r="D632" s="22">
        <v>44469</v>
      </c>
      <c r="E632" s="23">
        <f t="shared" si="99"/>
        <v>30</v>
      </c>
      <c r="F632" s="3">
        <f t="shared" si="101"/>
        <v>76598519.412849739</v>
      </c>
      <c r="G632" s="3">
        <f t="shared" si="103"/>
        <v>2031474.1941687269</v>
      </c>
      <c r="H632" s="3">
        <f t="shared" si="104"/>
        <v>1148977.791192746</v>
      </c>
      <c r="I632" s="3">
        <f t="shared" si="102"/>
        <v>882496.40297598089</v>
      </c>
      <c r="J632" s="3">
        <f t="shared" si="100"/>
        <v>75716023.009873763</v>
      </c>
      <c r="K632" s="24">
        <v>0</v>
      </c>
      <c r="L632" s="24">
        <f>L631+G632-K632</f>
        <v>3668427.8408436337</v>
      </c>
    </row>
    <row r="633" spans="2:14" x14ac:dyDescent="0.35">
      <c r="B633" s="1">
        <v>6</v>
      </c>
      <c r="C633" s="22">
        <v>44470</v>
      </c>
      <c r="D633" s="22">
        <v>44500</v>
      </c>
      <c r="E633" s="23">
        <f t="shared" si="99"/>
        <v>31</v>
      </c>
      <c r="F633" s="3">
        <f t="shared" si="101"/>
        <v>75716023.009873763</v>
      </c>
      <c r="G633" s="3">
        <f t="shared" si="103"/>
        <v>2031474.1941687269</v>
      </c>
      <c r="H633" s="3">
        <f t="shared" si="104"/>
        <v>1135740.3451481063</v>
      </c>
      <c r="I633" s="3">
        <f t="shared" si="102"/>
        <v>895733.84902062058</v>
      </c>
      <c r="J633" s="3">
        <f t="shared" si="100"/>
        <v>74820289.160853148</v>
      </c>
      <c r="K633" s="24">
        <v>5699902.04</v>
      </c>
      <c r="L633" s="24">
        <f>L632+G633-K633</f>
        <v>-4.9876393750309944E-3</v>
      </c>
    </row>
    <row r="634" spans="2:14" x14ac:dyDescent="0.35">
      <c r="B634" s="1">
        <v>7</v>
      </c>
      <c r="C634" s="22">
        <v>44501</v>
      </c>
      <c r="D634" s="22">
        <v>44530</v>
      </c>
      <c r="E634" s="23">
        <f t="shared" si="99"/>
        <v>30</v>
      </c>
      <c r="F634" s="3">
        <f t="shared" si="101"/>
        <v>74820289.160853148</v>
      </c>
      <c r="G634" s="3">
        <f t="shared" si="103"/>
        <v>2031474.1941687269</v>
      </c>
      <c r="H634" s="3">
        <f t="shared" si="104"/>
        <v>1122304.3374127971</v>
      </c>
      <c r="I634" s="3">
        <f t="shared" si="102"/>
        <v>909169.85675592977</v>
      </c>
      <c r="J634" s="3">
        <f t="shared" si="100"/>
        <v>73911119.30409722</v>
      </c>
      <c r="K634" s="24">
        <v>0</v>
      </c>
      <c r="L634" s="24"/>
    </row>
    <row r="635" spans="2:14" x14ac:dyDescent="0.35">
      <c r="B635" s="1">
        <v>8</v>
      </c>
      <c r="C635" s="22">
        <v>44531</v>
      </c>
      <c r="D635" s="22">
        <v>44561</v>
      </c>
      <c r="E635" s="23">
        <f t="shared" si="99"/>
        <v>31</v>
      </c>
      <c r="F635" s="3">
        <f t="shared" si="101"/>
        <v>73911119.30409722</v>
      </c>
      <c r="G635" s="3">
        <f t="shared" si="103"/>
        <v>2031474.1941687269</v>
      </c>
      <c r="H635" s="3">
        <f t="shared" si="104"/>
        <v>1108666.7895614582</v>
      </c>
      <c r="I635" s="3">
        <f t="shared" si="102"/>
        <v>922807.40460726875</v>
      </c>
      <c r="J635" s="3">
        <f t="shared" si="100"/>
        <v>72988311.899489954</v>
      </c>
      <c r="K635" s="24">
        <v>0</v>
      </c>
      <c r="L635" s="24"/>
    </row>
    <row r="636" spans="2:14" x14ac:dyDescent="0.35">
      <c r="B636" s="1">
        <v>9</v>
      </c>
      <c r="C636" s="22">
        <v>44562</v>
      </c>
      <c r="D636" s="22">
        <v>44592</v>
      </c>
      <c r="E636" s="23">
        <f t="shared" si="99"/>
        <v>31</v>
      </c>
      <c r="F636" s="3">
        <f t="shared" si="101"/>
        <v>72988311.899489954</v>
      </c>
      <c r="G636" s="3">
        <f t="shared" si="103"/>
        <v>2031474.1941687269</v>
      </c>
      <c r="H636" s="3">
        <f t="shared" si="104"/>
        <v>1094824.6784923493</v>
      </c>
      <c r="I636" s="3">
        <f t="shared" si="102"/>
        <v>936649.51567637757</v>
      </c>
      <c r="J636" s="3">
        <f t="shared" si="100"/>
        <v>72051662.383813575</v>
      </c>
      <c r="K636" s="24">
        <v>0</v>
      </c>
      <c r="L636" s="24"/>
    </row>
    <row r="637" spans="2:14" x14ac:dyDescent="0.35">
      <c r="B637" s="1">
        <v>10</v>
      </c>
      <c r="C637" s="22">
        <v>44593</v>
      </c>
      <c r="D637" s="22">
        <v>44620</v>
      </c>
      <c r="E637" s="23">
        <f t="shared" si="99"/>
        <v>28</v>
      </c>
      <c r="F637" s="3">
        <f t="shared" si="101"/>
        <v>72051662.383813575</v>
      </c>
      <c r="G637" s="3">
        <f t="shared" si="103"/>
        <v>2031474.1941687269</v>
      </c>
      <c r="H637" s="3">
        <f t="shared" si="104"/>
        <v>1080774.9357572037</v>
      </c>
      <c r="I637" s="3">
        <f t="shared" si="102"/>
        <v>950699.25841152319</v>
      </c>
      <c r="J637" s="3">
        <f t="shared" si="100"/>
        <v>71100963.125402048</v>
      </c>
      <c r="K637" s="24">
        <v>0</v>
      </c>
      <c r="L637" s="24"/>
    </row>
    <row r="638" spans="2:14" x14ac:dyDescent="0.35">
      <c r="B638" s="1">
        <v>11</v>
      </c>
      <c r="C638" s="22">
        <v>44621</v>
      </c>
      <c r="D638" s="22">
        <v>44651</v>
      </c>
      <c r="E638" s="23">
        <f t="shared" si="99"/>
        <v>31</v>
      </c>
      <c r="F638" s="3">
        <f t="shared" si="101"/>
        <v>71100963.125402048</v>
      </c>
      <c r="G638" s="3">
        <f t="shared" si="103"/>
        <v>2031474.1941687269</v>
      </c>
      <c r="H638" s="3">
        <f t="shared" si="104"/>
        <v>1066514.4468810307</v>
      </c>
      <c r="I638" s="3">
        <f t="shared" si="102"/>
        <v>964959.74728769623</v>
      </c>
      <c r="J638" s="3">
        <f t="shared" si="100"/>
        <v>70136003.378114358</v>
      </c>
      <c r="K638" s="24">
        <v>0</v>
      </c>
      <c r="L638" s="24"/>
    </row>
    <row r="639" spans="2:14" x14ac:dyDescent="0.35">
      <c r="B639" s="1">
        <v>12</v>
      </c>
      <c r="C639" s="22">
        <v>44652</v>
      </c>
      <c r="D639" s="22">
        <v>44681</v>
      </c>
      <c r="E639" s="23">
        <f t="shared" si="99"/>
        <v>30</v>
      </c>
      <c r="F639" s="3">
        <f t="shared" si="101"/>
        <v>70136003.378114358</v>
      </c>
      <c r="G639" s="3">
        <f t="shared" si="103"/>
        <v>2031474.1941687269</v>
      </c>
      <c r="H639" s="3">
        <f t="shared" si="104"/>
        <v>1052040.0506717153</v>
      </c>
      <c r="I639" s="3">
        <f t="shared" si="102"/>
        <v>979434.14349701162</v>
      </c>
      <c r="J639" s="3">
        <f t="shared" si="100"/>
        <v>69156569.234617352</v>
      </c>
      <c r="K639" s="24">
        <v>12188845.17</v>
      </c>
      <c r="L639" s="24">
        <f>SUM(G634:G639)-K639</f>
        <v>-4.9876365810632706E-3</v>
      </c>
    </row>
    <row r="640" spans="2:14" x14ac:dyDescent="0.35">
      <c r="B640" s="1">
        <v>13</v>
      </c>
      <c r="C640" s="22">
        <v>44682</v>
      </c>
      <c r="D640" s="22">
        <v>44712</v>
      </c>
      <c r="E640" s="23">
        <f t="shared" si="99"/>
        <v>31</v>
      </c>
      <c r="F640" s="3">
        <f t="shared" si="101"/>
        <v>69156569.234617352</v>
      </c>
      <c r="G640" s="3">
        <f>-PMT($H$619/$D$621,48,$F$640,,0)</f>
        <v>2086080.377950608</v>
      </c>
      <c r="H640" s="3">
        <f>$H$619*F640/$D$621</f>
        <v>1123794.250062532</v>
      </c>
      <c r="I640" s="3">
        <f t="shared" si="102"/>
        <v>962286.12788807601</v>
      </c>
      <c r="J640" s="3">
        <f t="shared" si="100"/>
        <v>68194283.106729269</v>
      </c>
      <c r="K640" s="24"/>
      <c r="L640" s="24"/>
    </row>
    <row r="641" spans="2:12" x14ac:dyDescent="0.35">
      <c r="B641" s="1">
        <v>14</v>
      </c>
      <c r="C641" s="22">
        <v>44713</v>
      </c>
      <c r="D641" s="22">
        <v>44742</v>
      </c>
      <c r="E641" s="23">
        <f t="shared" si="99"/>
        <v>30</v>
      </c>
      <c r="F641" s="3">
        <f t="shared" si="101"/>
        <v>68194283.106729269</v>
      </c>
      <c r="G641" s="3">
        <f>-PMT($H$619/$D$621,48,$F$640,,0)</f>
        <v>2086080.377950608</v>
      </c>
      <c r="H641" s="3">
        <f>$H$619*F641/$D$621</f>
        <v>1108157.1004843507</v>
      </c>
      <c r="I641" s="3">
        <f t="shared" si="102"/>
        <v>977923.27746625734</v>
      </c>
      <c r="J641" s="3">
        <f t="shared" si="100"/>
        <v>67216359.829263017</v>
      </c>
      <c r="K641" s="24"/>
      <c r="L641" s="24"/>
    </row>
    <row r="642" spans="2:12" x14ac:dyDescent="0.35">
      <c r="B642" s="1">
        <v>15</v>
      </c>
      <c r="C642" s="22">
        <v>44743</v>
      </c>
      <c r="D642" s="22">
        <v>44773</v>
      </c>
      <c r="E642" s="23">
        <f t="shared" si="99"/>
        <v>31</v>
      </c>
      <c r="F642" s="3">
        <f t="shared" si="101"/>
        <v>67216359.829263017</v>
      </c>
      <c r="G642" s="3">
        <f>-PMT($H$619/$D$621,48,$F$640,,0)</f>
        <v>2086080.377950608</v>
      </c>
      <c r="H642" s="3">
        <f>$H$619*F642/$D$621</f>
        <v>1092265.847225524</v>
      </c>
      <c r="I642" s="3">
        <f t="shared" si="102"/>
        <v>993814.53072508401</v>
      </c>
      <c r="J642" s="3">
        <f t="shared" si="100"/>
        <v>66222545.298537932</v>
      </c>
      <c r="K642" s="24"/>
      <c r="L642" s="24"/>
    </row>
    <row r="643" spans="2:12" x14ac:dyDescent="0.35">
      <c r="B643" s="1">
        <v>16</v>
      </c>
      <c r="C643" s="22">
        <v>44774</v>
      </c>
      <c r="D643" s="22">
        <v>44804</v>
      </c>
      <c r="E643" s="23">
        <f t="shared" si="99"/>
        <v>31</v>
      </c>
      <c r="F643" s="3">
        <f t="shared" si="101"/>
        <v>66222545.298537932</v>
      </c>
      <c r="G643" s="3">
        <f>-PMT($H$619/$D$621,48,$F$640,,0)</f>
        <v>2086080.377950608</v>
      </c>
      <c r="H643" s="3">
        <f>$H$619*F643/$D$621</f>
        <v>1076116.3611012415</v>
      </c>
      <c r="I643" s="3">
        <f t="shared" si="102"/>
        <v>1009964.0168493665</v>
      </c>
      <c r="J643" s="3">
        <f t="shared" si="100"/>
        <v>65212581.281688564</v>
      </c>
      <c r="K643" s="24"/>
      <c r="L643" s="24"/>
    </row>
    <row r="644" spans="2:12" x14ac:dyDescent="0.35">
      <c r="B644" s="1">
        <v>17</v>
      </c>
      <c r="C644" s="22">
        <v>44805</v>
      </c>
      <c r="D644" s="22">
        <v>44834</v>
      </c>
      <c r="E644" s="23">
        <f t="shared" si="99"/>
        <v>30</v>
      </c>
      <c r="F644" s="3">
        <f t="shared" si="101"/>
        <v>65212581.281688564</v>
      </c>
      <c r="G644" s="3">
        <f>-PMT($I$619/$D$621,44,$F$644,,0)</f>
        <v>2099736.6668566903</v>
      </c>
      <c r="H644" s="3">
        <f>$I$619*F644/$D$621</f>
        <v>1081441.9729213354</v>
      </c>
      <c r="I644" s="3">
        <f t="shared" si="102"/>
        <v>1018294.6939353549</v>
      </c>
      <c r="J644" s="3">
        <f t="shared" si="100"/>
        <v>64194286.587753206</v>
      </c>
      <c r="K644" s="24"/>
      <c r="L644" s="24"/>
    </row>
    <row r="645" spans="2:12" x14ac:dyDescent="0.35">
      <c r="B645" s="1">
        <v>18</v>
      </c>
      <c r="C645" s="22">
        <v>44835</v>
      </c>
      <c r="D645" s="22">
        <v>44865</v>
      </c>
      <c r="E645" s="23">
        <f t="shared" si="99"/>
        <v>31</v>
      </c>
      <c r="F645" s="3">
        <f t="shared" si="101"/>
        <v>64194286.587753206</v>
      </c>
      <c r="G645" s="3">
        <f>-PMT($I$619/$D$621,44,$F$644,,0)</f>
        <v>2099736.6668566903</v>
      </c>
      <c r="H645" s="3">
        <f>$I$619*F645/$D$621</f>
        <v>1064555.2525802406</v>
      </c>
      <c r="I645" s="3">
        <f t="shared" si="102"/>
        <v>1035181.4142764497</v>
      </c>
      <c r="J645" s="3">
        <f t="shared" si="100"/>
        <v>63159105.173476756</v>
      </c>
      <c r="K645" s="24"/>
      <c r="L645" s="24"/>
    </row>
    <row r="646" spans="2:12" x14ac:dyDescent="0.35">
      <c r="B646" s="1">
        <v>19</v>
      </c>
      <c r="C646" s="22">
        <v>44866</v>
      </c>
      <c r="D646" s="22">
        <v>44895</v>
      </c>
      <c r="E646" s="23">
        <f t="shared" si="99"/>
        <v>30</v>
      </c>
      <c r="F646" s="3">
        <f t="shared" si="101"/>
        <v>63159105.173476756</v>
      </c>
      <c r="G646" s="3">
        <f>-PMT($J$619/$D$621,42,$F$646,,0)</f>
        <v>2189547.9549885001</v>
      </c>
      <c r="H646" s="3">
        <f>$J$619*F646/$D$621</f>
        <v>1189496.4807671455</v>
      </c>
      <c r="I646" s="3">
        <f t="shared" si="102"/>
        <v>1000051.4742213546</v>
      </c>
      <c r="J646" s="3">
        <f t="shared" si="100"/>
        <v>62159053.699255399</v>
      </c>
      <c r="K646" s="24"/>
      <c r="L646" s="24"/>
    </row>
    <row r="647" spans="2:12" x14ac:dyDescent="0.35">
      <c r="B647" s="1">
        <v>20</v>
      </c>
      <c r="C647" s="22">
        <v>44896</v>
      </c>
      <c r="D647" s="22">
        <v>44926</v>
      </c>
      <c r="E647" s="23">
        <f t="shared" si="99"/>
        <v>31</v>
      </c>
      <c r="F647" s="3">
        <f t="shared" si="101"/>
        <v>62159053.699255399</v>
      </c>
      <c r="G647" s="3">
        <f>-PMT($K$619/$D$621,41,$F$647,,0)</f>
        <v>2212697.1358366469</v>
      </c>
      <c r="H647" s="3">
        <f>$K$619*F647/$D$621</f>
        <v>1206921.6259938758</v>
      </c>
      <c r="I647" s="3">
        <f t="shared" si="102"/>
        <v>1005775.5098427711</v>
      </c>
      <c r="J647" s="3">
        <f t="shared" si="100"/>
        <v>61153278.189412631</v>
      </c>
      <c r="K647" s="24"/>
      <c r="L647" s="24"/>
    </row>
    <row r="648" spans="2:12" x14ac:dyDescent="0.35">
      <c r="B648" s="1">
        <v>21</v>
      </c>
      <c r="C648" s="22">
        <v>44927</v>
      </c>
      <c r="D648" s="22">
        <v>44957</v>
      </c>
      <c r="E648" s="23">
        <f t="shared" si="99"/>
        <v>31</v>
      </c>
      <c r="F648" s="3">
        <f t="shared" si="101"/>
        <v>61153278.189412631</v>
      </c>
      <c r="G648" s="3">
        <f>-PMT($K$619/$D$621,41,$F$647,,0)</f>
        <v>2212697.1358366469</v>
      </c>
      <c r="H648" s="3">
        <f>$K$619*F648/$D$621</f>
        <v>1187392.818177762</v>
      </c>
      <c r="I648" s="3">
        <f t="shared" si="102"/>
        <v>1025304.3176588849</v>
      </c>
      <c r="J648" s="3">
        <f t="shared" si="100"/>
        <v>60127973.871753745</v>
      </c>
      <c r="K648" s="24"/>
      <c r="L648" s="24"/>
    </row>
    <row r="649" spans="2:12" x14ac:dyDescent="0.35">
      <c r="B649" s="1">
        <v>22</v>
      </c>
      <c r="C649" s="22">
        <v>44958</v>
      </c>
      <c r="D649" s="22">
        <v>44985</v>
      </c>
      <c r="E649" s="23">
        <f t="shared" si="99"/>
        <v>28</v>
      </c>
      <c r="F649" s="3">
        <f t="shared" si="101"/>
        <v>60127973.871753745</v>
      </c>
      <c r="G649" s="3">
        <f>-PMT($K$619/$D$621,41,$F$647,,0)</f>
        <v>2212697.1358366469</v>
      </c>
      <c r="H649" s="3">
        <f>$K$619*F649/$D$621</f>
        <v>1167484.8260098852</v>
      </c>
      <c r="I649" s="3">
        <f t="shared" si="102"/>
        <v>1045212.3098267617</v>
      </c>
      <c r="J649" s="3">
        <f t="shared" si="100"/>
        <v>59082761.561926983</v>
      </c>
      <c r="K649" s="24"/>
      <c r="L649" s="24"/>
    </row>
    <row r="650" spans="2:12" x14ac:dyDescent="0.35">
      <c r="B650" s="1">
        <v>23</v>
      </c>
      <c r="C650" s="22">
        <v>44986</v>
      </c>
      <c r="D650" s="22">
        <v>45016</v>
      </c>
      <c r="E650" s="23">
        <f t="shared" si="99"/>
        <v>31</v>
      </c>
      <c r="F650" s="3">
        <f t="shared" si="101"/>
        <v>59082761.561926983</v>
      </c>
      <c r="G650" s="3">
        <f>-PMT($K$619/$D$621,41,$F$647,,0)</f>
        <v>2212697.1358366469</v>
      </c>
      <c r="H650" s="3">
        <f>$K$619*F650/$D$621</f>
        <v>1147190.2869940824</v>
      </c>
      <c r="I650" s="3">
        <f t="shared" si="102"/>
        <v>1065506.8488425645</v>
      </c>
      <c r="J650" s="3">
        <f t="shared" si="100"/>
        <v>58017254.713084422</v>
      </c>
      <c r="K650" s="24"/>
      <c r="L650" s="24"/>
    </row>
    <row r="651" spans="2:12" x14ac:dyDescent="0.35">
      <c r="B651" s="1">
        <v>24</v>
      </c>
      <c r="C651" s="22">
        <v>45017</v>
      </c>
      <c r="D651" s="22">
        <v>45046</v>
      </c>
      <c r="E651" s="23">
        <f t="shared" si="99"/>
        <v>30</v>
      </c>
      <c r="F651" s="3">
        <f t="shared" si="101"/>
        <v>58017254.713084422</v>
      </c>
      <c r="G651" s="3">
        <f t="shared" ref="G651:G664" si="105">-PMT($N$624/$D$621,37,$F$651,,0)</f>
        <v>2453743.9195017144</v>
      </c>
      <c r="H651" s="3">
        <f t="shared" ref="H651:H664" si="106">$N$624*F651/$D$621</f>
        <v>1498779.0800880145</v>
      </c>
      <c r="I651" s="3">
        <f t="shared" si="102"/>
        <v>954964.83941369993</v>
      </c>
      <c r="J651" s="3">
        <f t="shared" si="100"/>
        <v>57062289.87367072</v>
      </c>
      <c r="K651" s="24">
        <v>25032964.539999999</v>
      </c>
      <c r="L651" s="241">
        <f>SUM(G640:G651)-K651</f>
        <v>1004910.7233526148</v>
      </c>
    </row>
    <row r="652" spans="2:12" x14ac:dyDescent="0.35">
      <c r="B652" s="1">
        <v>25</v>
      </c>
      <c r="C652" s="22">
        <v>45047</v>
      </c>
      <c r="D652" s="22">
        <v>45077</v>
      </c>
      <c r="E652" s="23">
        <f t="shared" si="99"/>
        <v>31</v>
      </c>
      <c r="F652" s="3">
        <f t="shared" si="101"/>
        <v>57062289.87367072</v>
      </c>
      <c r="G652" s="3">
        <f t="shared" si="105"/>
        <v>2453743.9195017144</v>
      </c>
      <c r="H652" s="3">
        <f t="shared" si="106"/>
        <v>1474109.1550698271</v>
      </c>
      <c r="I652" s="3">
        <f t="shared" si="102"/>
        <v>979634.76443188731</v>
      </c>
      <c r="J652" s="3">
        <f t="shared" si="100"/>
        <v>56082655.109238833</v>
      </c>
      <c r="K652" s="24"/>
      <c r="L652" s="24"/>
    </row>
    <row r="653" spans="2:12" x14ac:dyDescent="0.35">
      <c r="B653" s="1">
        <v>26</v>
      </c>
      <c r="C653" s="22">
        <v>45078</v>
      </c>
      <c r="D653" s="22">
        <v>45107</v>
      </c>
      <c r="E653" s="23">
        <f t="shared" si="99"/>
        <v>30</v>
      </c>
      <c r="F653" s="3">
        <f t="shared" si="101"/>
        <v>56082655.109238833</v>
      </c>
      <c r="G653" s="3">
        <f t="shared" si="105"/>
        <v>2453743.9195017144</v>
      </c>
      <c r="H653" s="3">
        <f t="shared" si="106"/>
        <v>1448801.9236553367</v>
      </c>
      <c r="I653" s="3">
        <f t="shared" si="102"/>
        <v>1004941.9958463777</v>
      </c>
      <c r="J653" s="3">
        <f t="shared" si="100"/>
        <v>55077713.113392457</v>
      </c>
      <c r="K653" s="24"/>
      <c r="L653" s="24"/>
    </row>
    <row r="654" spans="2:12" x14ac:dyDescent="0.35">
      <c r="B654" s="1">
        <v>27</v>
      </c>
      <c r="C654" s="22">
        <v>45108</v>
      </c>
      <c r="D654" s="22">
        <v>45138</v>
      </c>
      <c r="E654" s="23">
        <f t="shared" si="99"/>
        <v>31</v>
      </c>
      <c r="F654" s="3">
        <f t="shared" si="101"/>
        <v>55077713.113392457</v>
      </c>
      <c r="G654" s="3">
        <f t="shared" si="105"/>
        <v>2453743.9195017144</v>
      </c>
      <c r="H654" s="3">
        <f t="shared" si="106"/>
        <v>1422840.9220959721</v>
      </c>
      <c r="I654" s="3">
        <f t="shared" si="102"/>
        <v>1030902.9974057423</v>
      </c>
      <c r="J654" s="3">
        <f t="shared" si="100"/>
        <v>54046810.115986712</v>
      </c>
      <c r="K654" s="24"/>
      <c r="L654" s="24"/>
    </row>
    <row r="655" spans="2:12" x14ac:dyDescent="0.35">
      <c r="B655" s="1">
        <v>28</v>
      </c>
      <c r="C655" s="22">
        <v>45139</v>
      </c>
      <c r="D655" s="22">
        <v>45169</v>
      </c>
      <c r="E655" s="23">
        <f t="shared" si="99"/>
        <v>31</v>
      </c>
      <c r="F655" s="3">
        <f t="shared" si="101"/>
        <v>54046810.115986712</v>
      </c>
      <c r="G655" s="3">
        <f t="shared" si="105"/>
        <v>2453743.9195017144</v>
      </c>
      <c r="H655" s="3">
        <f t="shared" si="106"/>
        <v>1396209.2613296569</v>
      </c>
      <c r="I655" s="3">
        <f t="shared" si="102"/>
        <v>1057534.6581720575</v>
      </c>
      <c r="J655" s="3">
        <f t="shared" si="100"/>
        <v>52989275.457814656</v>
      </c>
      <c r="K655" s="24"/>
      <c r="L655" s="24"/>
    </row>
    <row r="656" spans="2:12" x14ac:dyDescent="0.35">
      <c r="B656" s="1">
        <v>29</v>
      </c>
      <c r="C656" s="22">
        <v>45170</v>
      </c>
      <c r="D656" s="22">
        <v>45199</v>
      </c>
      <c r="E656" s="23">
        <f t="shared" si="99"/>
        <v>30</v>
      </c>
      <c r="F656" s="3">
        <f t="shared" si="101"/>
        <v>52989275.457814656</v>
      </c>
      <c r="G656" s="3">
        <f t="shared" si="105"/>
        <v>2453743.9195017144</v>
      </c>
      <c r="H656" s="3">
        <f t="shared" si="106"/>
        <v>1368889.6159935456</v>
      </c>
      <c r="I656" s="3">
        <f t="shared" si="102"/>
        <v>1084854.3035081688</v>
      </c>
      <c r="J656" s="3">
        <f t="shared" si="100"/>
        <v>51904421.154306486</v>
      </c>
      <c r="K656" s="24"/>
      <c r="L656" s="24"/>
    </row>
    <row r="657" spans="2:12" x14ac:dyDescent="0.35">
      <c r="B657" s="1">
        <v>30</v>
      </c>
      <c r="C657" s="22">
        <v>45200</v>
      </c>
      <c r="D657" s="22">
        <v>45230</v>
      </c>
      <c r="E657" s="23">
        <f t="shared" si="99"/>
        <v>31</v>
      </c>
      <c r="F657" s="3">
        <f t="shared" si="101"/>
        <v>51904421.154306486</v>
      </c>
      <c r="G657" s="3">
        <f t="shared" si="105"/>
        <v>2453743.9195017144</v>
      </c>
      <c r="H657" s="3">
        <f t="shared" si="106"/>
        <v>1340864.2131529178</v>
      </c>
      <c r="I657" s="3">
        <f t="shared" si="102"/>
        <v>1112879.7063487966</v>
      </c>
      <c r="J657" s="3">
        <f t="shared" si="100"/>
        <v>50791541.447957687</v>
      </c>
      <c r="K657" s="24"/>
      <c r="L657" s="24"/>
    </row>
    <row r="658" spans="2:12" x14ac:dyDescent="0.35">
      <c r="B658" s="1">
        <v>31</v>
      </c>
      <c r="C658" s="22">
        <v>45231</v>
      </c>
      <c r="D658" s="22">
        <v>45260</v>
      </c>
      <c r="E658" s="23">
        <f t="shared" si="99"/>
        <v>30</v>
      </c>
      <c r="F658" s="3">
        <f t="shared" si="101"/>
        <v>50791541.447957687</v>
      </c>
      <c r="G658" s="3">
        <f t="shared" si="105"/>
        <v>2453743.9195017144</v>
      </c>
      <c r="H658" s="3">
        <f t="shared" si="106"/>
        <v>1312114.8207389072</v>
      </c>
      <c r="I658" s="3">
        <f t="shared" si="102"/>
        <v>1141629.0987628072</v>
      </c>
      <c r="J658" s="3">
        <f t="shared" si="100"/>
        <v>49649912.349194877</v>
      </c>
      <c r="K658" s="24"/>
      <c r="L658" s="24"/>
    </row>
    <row r="659" spans="2:12" x14ac:dyDescent="0.35">
      <c r="B659" s="1">
        <v>32</v>
      </c>
      <c r="C659" s="22">
        <v>45261</v>
      </c>
      <c r="D659" s="22">
        <v>45291</v>
      </c>
      <c r="E659" s="23">
        <f t="shared" ref="E659:E687" si="107">D659-C659+1</f>
        <v>31</v>
      </c>
      <c r="F659" s="3">
        <f t="shared" si="101"/>
        <v>49649912.349194877</v>
      </c>
      <c r="G659" s="3">
        <f t="shared" si="105"/>
        <v>2453743.9195017144</v>
      </c>
      <c r="H659" s="3">
        <f t="shared" si="106"/>
        <v>1282622.7356875346</v>
      </c>
      <c r="I659" s="3">
        <f t="shared" si="102"/>
        <v>1171121.1838141799</v>
      </c>
      <c r="J659" s="3">
        <f t="shared" ref="J659:J687" si="108">F659-I659</f>
        <v>48478791.165380694</v>
      </c>
      <c r="K659" s="24"/>
      <c r="L659" s="24"/>
    </row>
    <row r="660" spans="2:12" x14ac:dyDescent="0.35">
      <c r="B660" s="1">
        <v>33</v>
      </c>
      <c r="C660" s="22">
        <v>45292</v>
      </c>
      <c r="D660" s="22">
        <v>45322</v>
      </c>
      <c r="E660" s="23">
        <f t="shared" si="107"/>
        <v>31</v>
      </c>
      <c r="F660" s="3">
        <f t="shared" ref="F660:F687" si="109">J659</f>
        <v>48478791.165380694</v>
      </c>
      <c r="G660" s="3">
        <f t="shared" si="105"/>
        <v>2453743.9195017144</v>
      </c>
      <c r="H660" s="3">
        <f t="shared" si="106"/>
        <v>1252368.7717723348</v>
      </c>
      <c r="I660" s="3">
        <f t="shared" ref="I660:I687" si="110">G660-H660</f>
        <v>1201375.1477293796</v>
      </c>
      <c r="J660" s="3">
        <f t="shared" si="108"/>
        <v>47277416.017651312</v>
      </c>
      <c r="K660" s="24">
        <v>763863.94</v>
      </c>
      <c r="L660" s="24"/>
    </row>
    <row r="661" spans="2:12" x14ac:dyDescent="0.35">
      <c r="B661" s="1">
        <v>34</v>
      </c>
      <c r="C661" s="22">
        <v>45323</v>
      </c>
      <c r="D661" s="22">
        <v>45351</v>
      </c>
      <c r="E661" s="23">
        <f t="shared" si="107"/>
        <v>29</v>
      </c>
      <c r="F661" s="3">
        <f t="shared" si="109"/>
        <v>47277416.017651312</v>
      </c>
      <c r="G661" s="3">
        <f t="shared" si="105"/>
        <v>2453743.9195017144</v>
      </c>
      <c r="H661" s="3">
        <f t="shared" si="106"/>
        <v>1221333.2471226591</v>
      </c>
      <c r="I661" s="3">
        <f t="shared" si="110"/>
        <v>1232410.6723790553</v>
      </c>
      <c r="J661" s="3">
        <f t="shared" si="108"/>
        <v>46045005.345272258</v>
      </c>
      <c r="K661" s="24"/>
      <c r="L661" s="24"/>
    </row>
    <row r="662" spans="2:12" x14ac:dyDescent="0.35">
      <c r="B662" s="1">
        <v>35</v>
      </c>
      <c r="C662" s="22">
        <v>45352</v>
      </c>
      <c r="D662" s="22">
        <v>45382</v>
      </c>
      <c r="E662" s="23">
        <f t="shared" si="107"/>
        <v>31</v>
      </c>
      <c r="F662" s="3">
        <f t="shared" si="109"/>
        <v>46045005.345272258</v>
      </c>
      <c r="G662" s="3">
        <f t="shared" si="105"/>
        <v>2453743.9195017144</v>
      </c>
      <c r="H662" s="3">
        <f t="shared" si="106"/>
        <v>1189495.9714195335</v>
      </c>
      <c r="I662" s="3">
        <f t="shared" si="110"/>
        <v>1264247.9480821809</v>
      </c>
      <c r="J662" s="3">
        <f t="shared" si="108"/>
        <v>44780757.397190079</v>
      </c>
      <c r="K662" s="24"/>
      <c r="L662" s="24"/>
    </row>
    <row r="663" spans="2:12" x14ac:dyDescent="0.35">
      <c r="B663" s="1">
        <v>36</v>
      </c>
      <c r="C663" s="22">
        <v>45383</v>
      </c>
      <c r="D663" s="22">
        <v>45412</v>
      </c>
      <c r="E663" s="23">
        <f t="shared" si="107"/>
        <v>30</v>
      </c>
      <c r="F663" s="3">
        <f t="shared" si="109"/>
        <v>44780757.397190079</v>
      </c>
      <c r="G663" s="3">
        <f t="shared" si="105"/>
        <v>2453743.9195017144</v>
      </c>
      <c r="H663" s="3">
        <f t="shared" si="106"/>
        <v>1156836.2327607439</v>
      </c>
      <c r="I663" s="3">
        <f t="shared" si="110"/>
        <v>1296907.6867409705</v>
      </c>
      <c r="J663" s="3">
        <f t="shared" si="108"/>
        <v>43483849.710449107</v>
      </c>
      <c r="K663" s="24">
        <v>28443092.670000002</v>
      </c>
      <c r="L663" s="205">
        <f>SUM(G652:G663)-K663</f>
        <v>1001834.3640205711</v>
      </c>
    </row>
    <row r="664" spans="2:12" x14ac:dyDescent="0.35">
      <c r="B664" s="1">
        <v>37</v>
      </c>
      <c r="C664" s="22">
        <v>45413</v>
      </c>
      <c r="D664" s="22">
        <v>45443</v>
      </c>
      <c r="E664" s="23">
        <f t="shared" si="107"/>
        <v>31</v>
      </c>
      <c r="F664" s="3">
        <f t="shared" si="109"/>
        <v>43483849.710449107</v>
      </c>
      <c r="G664" s="3">
        <f t="shared" si="105"/>
        <v>2453743.9195017144</v>
      </c>
      <c r="H664" s="3">
        <f t="shared" si="106"/>
        <v>1123332.7841866021</v>
      </c>
      <c r="I664" s="3">
        <f t="shared" si="110"/>
        <v>1330411.1353151123</v>
      </c>
      <c r="J664" s="3">
        <f t="shared" si="108"/>
        <v>42153438.575133994</v>
      </c>
      <c r="K664" s="24"/>
      <c r="L664" s="24"/>
    </row>
    <row r="665" spans="2:12" x14ac:dyDescent="0.35">
      <c r="B665" s="1">
        <v>38</v>
      </c>
      <c r="C665" s="22">
        <v>45444</v>
      </c>
      <c r="D665" s="22">
        <v>45473</v>
      </c>
      <c r="E665" s="23">
        <f t="shared" si="107"/>
        <v>30</v>
      </c>
      <c r="F665" s="3">
        <f t="shared" si="109"/>
        <v>42153438.575133994</v>
      </c>
      <c r="G665" s="3">
        <f>-PMT($O$624/$D$621,23,$F$665,,0)</f>
        <v>2455913.9731622566</v>
      </c>
      <c r="H665" s="3">
        <f>$O$624*F665/$D$621</f>
        <v>1092476.6164055562</v>
      </c>
      <c r="I665" s="3">
        <f t="shared" si="110"/>
        <v>1363437.3567567004</v>
      </c>
      <c r="J665" s="3">
        <f t="shared" si="108"/>
        <v>40790001.218377292</v>
      </c>
      <c r="K665" s="24"/>
      <c r="L665" s="24"/>
    </row>
    <row r="666" spans="2:12" x14ac:dyDescent="0.35">
      <c r="B666" s="1">
        <v>39</v>
      </c>
      <c r="C666" s="22">
        <v>45474</v>
      </c>
      <c r="D666" s="22">
        <v>45504</v>
      </c>
      <c r="E666" s="23">
        <f t="shared" si="107"/>
        <v>31</v>
      </c>
      <c r="F666" s="3">
        <f t="shared" si="109"/>
        <v>40790001.218377292</v>
      </c>
      <c r="G666" s="3">
        <f t="shared" ref="G666:G687" si="111">-PMT($P$624/$D$621,22,$F$666,,0)</f>
        <v>2462187.6052750191</v>
      </c>
      <c r="H666" s="3">
        <f t="shared" ref="H666:H687" si="112">$P$624*F666/$D$621</f>
        <v>1067338.365214206</v>
      </c>
      <c r="I666" s="3">
        <f t="shared" si="110"/>
        <v>1394849.240060813</v>
      </c>
      <c r="J666" s="3">
        <f t="shared" si="108"/>
        <v>39395151.978316478</v>
      </c>
      <c r="K666" s="24"/>
      <c r="L666" s="24"/>
    </row>
    <row r="667" spans="2:12" x14ac:dyDescent="0.35">
      <c r="B667" s="1">
        <v>40</v>
      </c>
      <c r="C667" s="22">
        <v>45505</v>
      </c>
      <c r="D667" s="22">
        <v>45535</v>
      </c>
      <c r="E667" s="23">
        <f t="shared" si="107"/>
        <v>31</v>
      </c>
      <c r="F667" s="3">
        <f t="shared" si="109"/>
        <v>39395151.978316478</v>
      </c>
      <c r="G667" s="3">
        <f t="shared" si="111"/>
        <v>2462187.6052750191</v>
      </c>
      <c r="H667" s="3">
        <f t="shared" si="112"/>
        <v>1030839.8100992814</v>
      </c>
      <c r="I667" s="3">
        <f t="shared" si="110"/>
        <v>1431347.7951757377</v>
      </c>
      <c r="J667" s="3">
        <f t="shared" si="108"/>
        <v>37963804.18314074</v>
      </c>
      <c r="K667" s="24">
        <v>1001834.36</v>
      </c>
      <c r="L667" s="205">
        <f>SUM(L663)-K667</f>
        <v>4.0205711266025901E-3</v>
      </c>
    </row>
    <row r="668" spans="2:12" x14ac:dyDescent="0.35">
      <c r="B668" s="1">
        <v>41</v>
      </c>
      <c r="C668" s="22">
        <v>45536</v>
      </c>
      <c r="D668" s="22">
        <v>45565</v>
      </c>
      <c r="E668" s="23">
        <f t="shared" si="107"/>
        <v>30</v>
      </c>
      <c r="F668" s="3">
        <f t="shared" si="109"/>
        <v>37963804.18314074</v>
      </c>
      <c r="G668" s="3">
        <f t="shared" si="111"/>
        <v>2462187.6052750191</v>
      </c>
      <c r="H668" s="3">
        <f t="shared" si="112"/>
        <v>993386.20945884951</v>
      </c>
      <c r="I668" s="3">
        <f t="shared" si="110"/>
        <v>1468801.3958161697</v>
      </c>
      <c r="J668" s="3">
        <f t="shared" si="108"/>
        <v>36495002.78732457</v>
      </c>
      <c r="K668" s="24"/>
      <c r="L668" s="24"/>
    </row>
    <row r="669" spans="2:12" x14ac:dyDescent="0.35">
      <c r="B669" s="1">
        <v>42</v>
      </c>
      <c r="C669" s="22">
        <v>45566</v>
      </c>
      <c r="D669" s="22">
        <v>45596</v>
      </c>
      <c r="E669" s="23">
        <f t="shared" si="107"/>
        <v>31</v>
      </c>
      <c r="F669" s="3">
        <f t="shared" si="109"/>
        <v>36495002.78732457</v>
      </c>
      <c r="G669" s="3">
        <f t="shared" si="111"/>
        <v>2462187.6052750191</v>
      </c>
      <c r="H669" s="3">
        <f t="shared" si="112"/>
        <v>954952.57293499308</v>
      </c>
      <c r="I669" s="3">
        <f t="shared" si="110"/>
        <v>1507235.032340026</v>
      </c>
      <c r="J669" s="3">
        <f t="shared" si="108"/>
        <v>34987767.754984543</v>
      </c>
      <c r="K669" s="24"/>
      <c r="L669" s="24"/>
    </row>
    <row r="670" spans="2:12" x14ac:dyDescent="0.35">
      <c r="B670" s="1">
        <v>43</v>
      </c>
      <c r="C670" s="22">
        <v>45597</v>
      </c>
      <c r="D670" s="22">
        <v>45626</v>
      </c>
      <c r="E670" s="23">
        <f t="shared" si="107"/>
        <v>30</v>
      </c>
      <c r="F670" s="3">
        <f t="shared" si="109"/>
        <v>34987767.754984543</v>
      </c>
      <c r="G670" s="3">
        <f t="shared" si="111"/>
        <v>2462187.6052750191</v>
      </c>
      <c r="H670" s="3">
        <f t="shared" si="112"/>
        <v>915513.25625542912</v>
      </c>
      <c r="I670" s="3">
        <f t="shared" si="110"/>
        <v>1546674.3490195898</v>
      </c>
      <c r="J670" s="3">
        <f t="shared" si="108"/>
        <v>33441093.405964952</v>
      </c>
      <c r="K670" s="24"/>
      <c r="L670" s="24"/>
    </row>
    <row r="671" spans="2:12" x14ac:dyDescent="0.35">
      <c r="B671" s="1">
        <v>44</v>
      </c>
      <c r="C671" s="22">
        <v>45627</v>
      </c>
      <c r="D671" s="22">
        <v>45657</v>
      </c>
      <c r="E671" s="23">
        <f t="shared" si="107"/>
        <v>31</v>
      </c>
      <c r="F671" s="3">
        <f t="shared" si="109"/>
        <v>33441093.405964952</v>
      </c>
      <c r="G671" s="3">
        <f t="shared" si="111"/>
        <v>2462187.6052750191</v>
      </c>
      <c r="H671" s="3">
        <f t="shared" si="112"/>
        <v>875041.94412274973</v>
      </c>
      <c r="I671" s="3">
        <f t="shared" si="110"/>
        <v>1587145.6611522692</v>
      </c>
      <c r="J671" s="3">
        <f t="shared" si="108"/>
        <v>31853947.744812682</v>
      </c>
      <c r="K671" s="24"/>
      <c r="L671" s="24"/>
    </row>
    <row r="672" spans="2:12" x14ac:dyDescent="0.35">
      <c r="B672" s="1">
        <v>45</v>
      </c>
      <c r="C672" s="22">
        <v>45658</v>
      </c>
      <c r="D672" s="22">
        <v>45688</v>
      </c>
      <c r="E672" s="23">
        <f t="shared" si="107"/>
        <v>31</v>
      </c>
      <c r="F672" s="3">
        <f t="shared" si="109"/>
        <v>31853947.744812682</v>
      </c>
      <c r="G672" s="3">
        <f t="shared" si="111"/>
        <v>2462187.6052750191</v>
      </c>
      <c r="H672" s="3">
        <f t="shared" si="112"/>
        <v>833511.63265593199</v>
      </c>
      <c r="I672" s="3">
        <f t="shared" si="110"/>
        <v>1628675.972619087</v>
      </c>
      <c r="J672" s="3">
        <f t="shared" si="108"/>
        <v>30225271.772193596</v>
      </c>
      <c r="K672" s="24"/>
      <c r="L672" s="24"/>
    </row>
    <row r="673" spans="2:12" x14ac:dyDescent="0.35">
      <c r="B673" s="1">
        <v>46</v>
      </c>
      <c r="C673" s="22">
        <v>45689</v>
      </c>
      <c r="D673" s="22">
        <v>45716</v>
      </c>
      <c r="E673" s="23">
        <f t="shared" si="107"/>
        <v>28</v>
      </c>
      <c r="F673" s="3">
        <f t="shared" si="109"/>
        <v>30225271.772193596</v>
      </c>
      <c r="G673" s="3">
        <f t="shared" si="111"/>
        <v>2462187.6052750191</v>
      </c>
      <c r="H673" s="3">
        <f t="shared" si="112"/>
        <v>790894.61137239926</v>
      </c>
      <c r="I673" s="3">
        <f t="shared" si="110"/>
        <v>1671292.9939026199</v>
      </c>
      <c r="J673" s="3">
        <f t="shared" si="108"/>
        <v>28553978.778290976</v>
      </c>
      <c r="K673" s="24"/>
      <c r="L673" s="24"/>
    </row>
    <row r="674" spans="2:12" x14ac:dyDescent="0.35">
      <c r="B674" s="1">
        <v>47</v>
      </c>
      <c r="C674" s="22">
        <v>45717</v>
      </c>
      <c r="D674" s="22">
        <v>45747</v>
      </c>
      <c r="E674" s="23">
        <f t="shared" si="107"/>
        <v>31</v>
      </c>
      <c r="F674" s="3">
        <f t="shared" si="109"/>
        <v>28553978.778290976</v>
      </c>
      <c r="G674" s="3">
        <f t="shared" si="111"/>
        <v>2462187.6052750191</v>
      </c>
      <c r="H674" s="3">
        <f t="shared" si="112"/>
        <v>747162.44469861407</v>
      </c>
      <c r="I674" s="3">
        <f t="shared" si="110"/>
        <v>1715025.160576405</v>
      </c>
      <c r="J674" s="3">
        <f t="shared" si="108"/>
        <v>26838953.617714569</v>
      </c>
      <c r="K674" s="24"/>
      <c r="L674" s="24"/>
    </row>
    <row r="675" spans="2:12" x14ac:dyDescent="0.35">
      <c r="B675" s="1">
        <v>48</v>
      </c>
      <c r="C675" s="22">
        <v>45748</v>
      </c>
      <c r="D675" s="22">
        <v>45777</v>
      </c>
      <c r="E675" s="23">
        <f t="shared" si="107"/>
        <v>30</v>
      </c>
      <c r="F675" s="3">
        <f t="shared" si="109"/>
        <v>26838953.617714569</v>
      </c>
      <c r="G675" s="3">
        <f t="shared" si="111"/>
        <v>2462187.6052750191</v>
      </c>
      <c r="H675" s="3">
        <f t="shared" si="112"/>
        <v>702285.95299686457</v>
      </c>
      <c r="I675" s="3">
        <f t="shared" si="110"/>
        <v>1759901.6522781546</v>
      </c>
      <c r="J675" s="3">
        <f t="shared" si="108"/>
        <v>25079051.965436414</v>
      </c>
      <c r="K675" s="24" t="s">
        <v>879</v>
      </c>
      <c r="L675" s="205">
        <f>SUM(G664:G675)</f>
        <v>29531533.945414167</v>
      </c>
    </row>
    <row r="676" spans="2:12" x14ac:dyDescent="0.35">
      <c r="B676" s="1">
        <v>49</v>
      </c>
      <c r="C676" s="22">
        <v>45778</v>
      </c>
      <c r="D676" s="22">
        <v>45808</v>
      </c>
      <c r="E676" s="23">
        <f t="shared" si="107"/>
        <v>31</v>
      </c>
      <c r="F676" s="3">
        <f t="shared" si="109"/>
        <v>25079051.965436414</v>
      </c>
      <c r="G676" s="3">
        <f t="shared" si="111"/>
        <v>2462187.6052750191</v>
      </c>
      <c r="H676" s="3">
        <f t="shared" si="112"/>
        <v>656235.19309558626</v>
      </c>
      <c r="I676" s="3">
        <f t="shared" si="110"/>
        <v>1805952.4121794328</v>
      </c>
      <c r="J676" s="3">
        <f t="shared" si="108"/>
        <v>23273099.553256981</v>
      </c>
      <c r="K676" s="24"/>
      <c r="L676" s="24"/>
    </row>
    <row r="677" spans="2:12" x14ac:dyDescent="0.35">
      <c r="B677" s="1">
        <v>50</v>
      </c>
      <c r="C677" s="22">
        <v>45809</v>
      </c>
      <c r="D677" s="22">
        <v>45838</v>
      </c>
      <c r="E677" s="23">
        <f t="shared" si="107"/>
        <v>30</v>
      </c>
      <c r="F677" s="3">
        <f t="shared" si="109"/>
        <v>23273099.553256981</v>
      </c>
      <c r="G677" s="3">
        <f t="shared" si="111"/>
        <v>2462187.6052750191</v>
      </c>
      <c r="H677" s="3">
        <f t="shared" si="112"/>
        <v>608979.43831022445</v>
      </c>
      <c r="I677" s="3">
        <f t="shared" si="110"/>
        <v>1853208.1669647945</v>
      </c>
      <c r="J677" s="3">
        <f t="shared" si="108"/>
        <v>21419891.386292186</v>
      </c>
      <c r="K677" s="24"/>
      <c r="L677" s="24"/>
    </row>
    <row r="678" spans="2:12" x14ac:dyDescent="0.35">
      <c r="B678" s="1">
        <v>51</v>
      </c>
      <c r="C678" s="22">
        <v>45839</v>
      </c>
      <c r="D678" s="22">
        <v>45869</v>
      </c>
      <c r="E678" s="23">
        <f t="shared" si="107"/>
        <v>31</v>
      </c>
      <c r="F678" s="3">
        <f t="shared" si="109"/>
        <v>21419891.386292186</v>
      </c>
      <c r="G678" s="3">
        <f t="shared" si="111"/>
        <v>2462187.6052750191</v>
      </c>
      <c r="H678" s="3">
        <f t="shared" si="112"/>
        <v>560487.1579413123</v>
      </c>
      <c r="I678" s="3">
        <f t="shared" si="110"/>
        <v>1901700.4473337068</v>
      </c>
      <c r="J678" s="3">
        <f t="shared" si="108"/>
        <v>19518190.938958477</v>
      </c>
      <c r="K678" s="24"/>
      <c r="L678" s="24"/>
    </row>
    <row r="679" spans="2:12" x14ac:dyDescent="0.35">
      <c r="B679" s="1">
        <v>52</v>
      </c>
      <c r="C679" s="22">
        <v>45870</v>
      </c>
      <c r="D679" s="22">
        <v>45900</v>
      </c>
      <c r="E679" s="23">
        <f t="shared" si="107"/>
        <v>31</v>
      </c>
      <c r="F679" s="3">
        <f t="shared" si="109"/>
        <v>19518190.938958477</v>
      </c>
      <c r="G679" s="3">
        <f t="shared" si="111"/>
        <v>2462187.6052750191</v>
      </c>
      <c r="H679" s="3">
        <f t="shared" si="112"/>
        <v>510725.99623608025</v>
      </c>
      <c r="I679" s="3">
        <f t="shared" si="110"/>
        <v>1951461.6090389388</v>
      </c>
      <c r="J679" s="3">
        <f t="shared" si="108"/>
        <v>17566729.329919539</v>
      </c>
      <c r="K679" s="24"/>
      <c r="L679" s="24"/>
    </row>
    <row r="680" spans="2:12" x14ac:dyDescent="0.35">
      <c r="B680" s="1">
        <v>53</v>
      </c>
      <c r="C680" s="22">
        <v>45901</v>
      </c>
      <c r="D680" s="22">
        <v>45930</v>
      </c>
      <c r="E680" s="23">
        <f t="shared" si="107"/>
        <v>30</v>
      </c>
      <c r="F680" s="3">
        <f t="shared" si="109"/>
        <v>17566729.329919539</v>
      </c>
      <c r="G680" s="3">
        <f t="shared" si="111"/>
        <v>2462187.6052750191</v>
      </c>
      <c r="H680" s="3">
        <f t="shared" si="112"/>
        <v>459662.75079956139</v>
      </c>
      <c r="I680" s="3">
        <f t="shared" si="110"/>
        <v>2002524.8544754577</v>
      </c>
      <c r="J680" s="3">
        <f t="shared" si="108"/>
        <v>15564204.475444082</v>
      </c>
      <c r="K680" s="24"/>
      <c r="L680" s="24"/>
    </row>
    <row r="681" spans="2:12" x14ac:dyDescent="0.35">
      <c r="B681" s="1">
        <v>54</v>
      </c>
      <c r="C681" s="22">
        <v>45931</v>
      </c>
      <c r="D681" s="22">
        <v>45961</v>
      </c>
      <c r="E681" s="23">
        <f t="shared" si="107"/>
        <v>31</v>
      </c>
      <c r="F681" s="3">
        <f t="shared" si="109"/>
        <v>15564204.475444082</v>
      </c>
      <c r="G681" s="3">
        <f t="shared" si="111"/>
        <v>2462187.6052750191</v>
      </c>
      <c r="H681" s="3">
        <f t="shared" si="112"/>
        <v>407263.35044078692</v>
      </c>
      <c r="I681" s="3">
        <f t="shared" si="110"/>
        <v>2054924.2548342322</v>
      </c>
      <c r="J681" s="3">
        <f t="shared" si="108"/>
        <v>13509280.220609849</v>
      </c>
      <c r="K681" s="24"/>
      <c r="L681" s="24"/>
    </row>
    <row r="682" spans="2:12" x14ac:dyDescent="0.35">
      <c r="B682" s="1">
        <v>55</v>
      </c>
      <c r="C682" s="22">
        <v>45962</v>
      </c>
      <c r="D682" s="22">
        <v>45991</v>
      </c>
      <c r="E682" s="23">
        <f t="shared" si="107"/>
        <v>30</v>
      </c>
      <c r="F682" s="3">
        <f t="shared" si="109"/>
        <v>13509280.220609849</v>
      </c>
      <c r="G682" s="3">
        <f t="shared" si="111"/>
        <v>2462187.6052750191</v>
      </c>
      <c r="H682" s="3">
        <f t="shared" si="112"/>
        <v>353492.83243929112</v>
      </c>
      <c r="I682" s="3">
        <f t="shared" si="110"/>
        <v>2108694.7728357278</v>
      </c>
      <c r="J682" s="3">
        <f t="shared" si="108"/>
        <v>11400585.447774122</v>
      </c>
      <c r="K682" s="24"/>
      <c r="L682" s="24"/>
    </row>
    <row r="683" spans="2:12" x14ac:dyDescent="0.35">
      <c r="B683" s="1">
        <v>56</v>
      </c>
      <c r="C683" s="22">
        <v>45992</v>
      </c>
      <c r="D683" s="22">
        <v>46022</v>
      </c>
      <c r="E683" s="23">
        <f t="shared" si="107"/>
        <v>31</v>
      </c>
      <c r="F683" s="3">
        <f t="shared" si="109"/>
        <v>11400585.447774122</v>
      </c>
      <c r="G683" s="3">
        <f t="shared" si="111"/>
        <v>2462187.6052750191</v>
      </c>
      <c r="H683" s="3">
        <f t="shared" si="112"/>
        <v>298315.31921675621</v>
      </c>
      <c r="I683" s="3">
        <f t="shared" si="110"/>
        <v>2163872.2860582629</v>
      </c>
      <c r="J683" s="3">
        <f t="shared" si="108"/>
        <v>9236713.1617158577</v>
      </c>
      <c r="K683" s="24"/>
      <c r="L683" s="24"/>
    </row>
    <row r="684" spans="2:12" x14ac:dyDescent="0.35">
      <c r="B684" s="1">
        <v>57</v>
      </c>
      <c r="C684" s="22">
        <v>46023</v>
      </c>
      <c r="D684" s="22">
        <v>46053</v>
      </c>
      <c r="E684" s="23">
        <f t="shared" si="107"/>
        <v>31</v>
      </c>
      <c r="F684" s="3">
        <f t="shared" si="109"/>
        <v>9236713.1617158577</v>
      </c>
      <c r="G684" s="3">
        <f t="shared" si="111"/>
        <v>2462187.6052750191</v>
      </c>
      <c r="H684" s="3">
        <f t="shared" si="112"/>
        <v>241693.99439823165</v>
      </c>
      <c r="I684" s="3">
        <f t="shared" si="110"/>
        <v>2220493.6108767875</v>
      </c>
      <c r="J684" s="3">
        <f t="shared" si="108"/>
        <v>7016219.5508390702</v>
      </c>
      <c r="K684" s="24"/>
      <c r="L684" s="24"/>
    </row>
    <row r="685" spans="2:12" x14ac:dyDescent="0.35">
      <c r="B685" s="1">
        <v>58</v>
      </c>
      <c r="C685" s="22">
        <v>46054</v>
      </c>
      <c r="D685" s="22">
        <v>46081</v>
      </c>
      <c r="E685" s="23">
        <f t="shared" si="107"/>
        <v>28</v>
      </c>
      <c r="F685" s="3">
        <f t="shared" si="109"/>
        <v>7016219.5508390702</v>
      </c>
      <c r="G685" s="3">
        <f t="shared" si="111"/>
        <v>2462187.6052750191</v>
      </c>
      <c r="H685" s="3">
        <f t="shared" si="112"/>
        <v>183591.07824695573</v>
      </c>
      <c r="I685" s="3">
        <f t="shared" si="110"/>
        <v>2278596.5270280633</v>
      </c>
      <c r="J685" s="3">
        <f t="shared" si="108"/>
        <v>4737623.0238110069</v>
      </c>
      <c r="K685" s="24"/>
      <c r="L685" s="24"/>
    </row>
    <row r="686" spans="2:12" x14ac:dyDescent="0.35">
      <c r="B686" s="1">
        <v>59</v>
      </c>
      <c r="C686" s="22">
        <v>46082</v>
      </c>
      <c r="D686" s="22">
        <v>46112</v>
      </c>
      <c r="E686" s="23">
        <f t="shared" si="107"/>
        <v>31</v>
      </c>
      <c r="F686" s="3">
        <f t="shared" si="109"/>
        <v>4737623.0238110069</v>
      </c>
      <c r="G686" s="3">
        <f t="shared" si="111"/>
        <v>2462187.6052750191</v>
      </c>
      <c r="H686" s="3">
        <f t="shared" si="112"/>
        <v>123967.80245638803</v>
      </c>
      <c r="I686" s="3">
        <f t="shared" si="110"/>
        <v>2338219.8028186308</v>
      </c>
      <c r="J686" s="3">
        <f t="shared" si="108"/>
        <v>2399403.2209923761</v>
      </c>
      <c r="K686" s="24"/>
      <c r="L686" s="24"/>
    </row>
    <row r="687" spans="2:12" x14ac:dyDescent="0.35">
      <c r="B687" s="1">
        <v>60</v>
      </c>
      <c r="C687" s="22">
        <v>46113</v>
      </c>
      <c r="D687" s="22">
        <v>46142</v>
      </c>
      <c r="E687" s="23">
        <f t="shared" si="107"/>
        <v>30</v>
      </c>
      <c r="F687" s="3">
        <f t="shared" si="109"/>
        <v>2399403.2209923761</v>
      </c>
      <c r="G687" s="3">
        <f t="shared" si="111"/>
        <v>2462187.6052750191</v>
      </c>
      <c r="H687" s="3">
        <f t="shared" si="112"/>
        <v>62784.384282633859</v>
      </c>
      <c r="I687" s="3">
        <f t="shared" si="110"/>
        <v>2399403.2209923854</v>
      </c>
      <c r="J687" s="3">
        <f t="shared" si="108"/>
        <v>-9.3132257461547852E-9</v>
      </c>
      <c r="K687" s="24"/>
      <c r="L687" s="24"/>
    </row>
    <row r="688" spans="2:12" x14ac:dyDescent="0.35">
      <c r="B688" s="1"/>
      <c r="C688" s="1"/>
      <c r="D688" s="1"/>
      <c r="E688" s="28">
        <f>SUM(E627:E687)</f>
        <v>1836</v>
      </c>
      <c r="F688" s="3"/>
      <c r="G688" s="3"/>
      <c r="H688" s="3"/>
      <c r="I688" s="3"/>
      <c r="J688" s="3"/>
      <c r="K688" s="1"/>
      <c r="L688" s="1"/>
    </row>
    <row r="692" spans="2:19" x14ac:dyDescent="0.35">
      <c r="B692" s="1"/>
      <c r="C692" s="8" t="s">
        <v>880</v>
      </c>
      <c r="D692" s="3"/>
      <c r="E692" s="3"/>
      <c r="F692" s="3"/>
      <c r="G692" s="3"/>
      <c r="H692" s="3"/>
      <c r="I692" s="3"/>
      <c r="J692" s="231" t="s">
        <v>827</v>
      </c>
      <c r="K692" s="3" t="s">
        <v>828</v>
      </c>
      <c r="L692" s="231" t="s">
        <v>829</v>
      </c>
      <c r="M692" s="231" t="s">
        <v>830</v>
      </c>
      <c r="N692" s="231" t="s">
        <v>831</v>
      </c>
      <c r="R692" s="438" t="s">
        <v>832</v>
      </c>
      <c r="S692" s="432" t="str">
        <f>IFERROR(INDEX(Blocks!$I$2:$I$101,MATCH(11,Blocks!$A$2:$A$101,0)),"")</f>
        <v>000104420000011</v>
      </c>
    </row>
    <row r="693" spans="2:19" x14ac:dyDescent="0.35">
      <c r="B693" s="1"/>
      <c r="C693" s="1"/>
      <c r="D693" s="3"/>
      <c r="E693" s="3"/>
      <c r="F693" s="3" t="s">
        <v>881</v>
      </c>
      <c r="G693" s="3"/>
      <c r="H693" s="3"/>
      <c r="I693" s="231">
        <v>44805</v>
      </c>
      <c r="J693" s="230">
        <v>44866</v>
      </c>
      <c r="K693" s="230">
        <v>44896</v>
      </c>
      <c r="L693" s="230">
        <v>45047</v>
      </c>
      <c r="M693" s="230">
        <v>45108</v>
      </c>
      <c r="N693" s="230">
        <v>45139</v>
      </c>
      <c r="R693" s="438" t="s">
        <v>834</v>
      </c>
      <c r="S693" s="432" t="str">
        <f>IFERROR(INDEX(Blocks!$H$2:$H$101,MATCH(11,Blocks!$A$2:$A$101,0)),"")</f>
        <v>Kajikhomele Foundation Ltd</v>
      </c>
    </row>
    <row r="694" spans="2:19" x14ac:dyDescent="0.35">
      <c r="B694" s="1"/>
      <c r="C694" s="9" t="s">
        <v>835</v>
      </c>
      <c r="D694" s="10">
        <f>46448288+2605500+2498712</f>
        <v>51552500</v>
      </c>
      <c r="E694" s="3"/>
      <c r="F694" s="3">
        <v>45000000</v>
      </c>
      <c r="G694" s="267" t="s">
        <v>835</v>
      </c>
      <c r="H694" s="10">
        <v>91448288</v>
      </c>
      <c r="I694" s="231" t="s">
        <v>836</v>
      </c>
      <c r="J694" s="231" t="s">
        <v>836</v>
      </c>
      <c r="K694" s="231" t="s">
        <v>836</v>
      </c>
      <c r="L694" s="231" t="s">
        <v>836</v>
      </c>
      <c r="M694" s="231" t="s">
        <v>836</v>
      </c>
      <c r="N694" s="231" t="s">
        <v>836</v>
      </c>
      <c r="R694" s="438" t="s">
        <v>223</v>
      </c>
      <c r="S694" s="433">
        <f>IFERROR(INDEX('E-Banker master'!$N$2:$N$186,MATCH(S692,'E-Banker master'!$A$2:$A$186,0)),"")</f>
        <v>96552500</v>
      </c>
    </row>
    <row r="695" spans="2:19" x14ac:dyDescent="0.35">
      <c r="B695" s="1"/>
      <c r="C695" s="11" t="s">
        <v>837</v>
      </c>
      <c r="D695" s="12">
        <v>0.19</v>
      </c>
      <c r="E695" s="13"/>
      <c r="F695" s="3"/>
      <c r="G695" s="268" t="s">
        <v>837</v>
      </c>
      <c r="H695" s="266">
        <v>0.20499999999999999</v>
      </c>
      <c r="I695" s="3">
        <f>H695+0.4%</f>
        <v>0.20899999999999999</v>
      </c>
      <c r="J695" s="13">
        <f>I695+2.7%</f>
        <v>0.23599999999999999</v>
      </c>
      <c r="K695" s="13">
        <f>J695+0.7%</f>
        <v>0.24299999999999999</v>
      </c>
      <c r="L695" s="13">
        <f>K695+2.7%</f>
        <v>0.27</v>
      </c>
      <c r="M695" s="13">
        <f>L695+1.4%</f>
        <v>0.28400000000000003</v>
      </c>
      <c r="N695" s="13">
        <f>M695+1.3%</f>
        <v>0.29700000000000004</v>
      </c>
      <c r="R695" s="438" t="s">
        <v>52</v>
      </c>
      <c r="S695" s="433">
        <f>IFERROR(INDEX('E-Banker master'!$P$2:$P$186,MATCH(S692,'E-Banker master'!$A$2:$A$186,0)),"")</f>
        <v>162085543.34</v>
      </c>
    </row>
    <row r="696" spans="2:19" x14ac:dyDescent="0.35">
      <c r="B696" s="1"/>
      <c r="C696" s="11" t="s">
        <v>838</v>
      </c>
      <c r="D696" s="14">
        <v>4</v>
      </c>
      <c r="E696" s="1"/>
      <c r="F696" s="3"/>
      <c r="G696" s="268" t="s">
        <v>838</v>
      </c>
      <c r="H696" s="266">
        <v>4</v>
      </c>
      <c r="I696" s="3"/>
      <c r="J696" s="3"/>
      <c r="K696" s="1"/>
      <c r="L696" s="1"/>
    </row>
    <row r="697" spans="2:19" x14ac:dyDescent="0.35">
      <c r="B697" s="1"/>
      <c r="C697" s="11" t="s">
        <v>839</v>
      </c>
      <c r="D697" s="14">
        <v>12</v>
      </c>
      <c r="E697" s="1"/>
      <c r="F697" s="3"/>
      <c r="G697" s="268" t="s">
        <v>839</v>
      </c>
      <c r="H697" s="266">
        <v>12</v>
      </c>
      <c r="I697" s="3" t="s">
        <v>840</v>
      </c>
      <c r="J697" s="3" t="s">
        <v>841</v>
      </c>
      <c r="K697" s="231" t="s">
        <v>842</v>
      </c>
      <c r="L697" s="231" t="s">
        <v>855</v>
      </c>
      <c r="M697" s="351" t="s">
        <v>856</v>
      </c>
      <c r="N697" s="351" t="s">
        <v>874</v>
      </c>
      <c r="O697" s="351" t="s">
        <v>882</v>
      </c>
    </row>
    <row r="698" spans="2:19" x14ac:dyDescent="0.35">
      <c r="B698" s="1"/>
      <c r="C698" s="11" t="s">
        <v>843</v>
      </c>
      <c r="D698" s="15">
        <f>D696*D697</f>
        <v>48</v>
      </c>
      <c r="E698" s="1"/>
      <c r="F698" s="3"/>
      <c r="G698" s="268" t="s">
        <v>843</v>
      </c>
      <c r="H698" s="266">
        <v>37</v>
      </c>
      <c r="I698" s="231">
        <v>45170</v>
      </c>
      <c r="J698" s="230">
        <v>45200</v>
      </c>
      <c r="K698" s="230">
        <v>45261</v>
      </c>
      <c r="L698" s="230">
        <v>44958</v>
      </c>
      <c r="M698" s="352">
        <v>45413</v>
      </c>
      <c r="N698" s="352">
        <v>45444</v>
      </c>
      <c r="O698" s="352">
        <v>45444</v>
      </c>
    </row>
    <row r="699" spans="2:19" x14ac:dyDescent="0.35">
      <c r="B699" s="1"/>
      <c r="C699" s="11" t="s">
        <v>844</v>
      </c>
      <c r="D699" s="16">
        <v>365</v>
      </c>
      <c r="E699" s="1"/>
      <c r="F699" s="3"/>
      <c r="G699" s="268" t="s">
        <v>844</v>
      </c>
      <c r="H699" s="266">
        <v>365</v>
      </c>
      <c r="I699" s="231" t="s">
        <v>836</v>
      </c>
      <c r="J699" s="231" t="s">
        <v>836</v>
      </c>
      <c r="K699" s="231" t="s">
        <v>836</v>
      </c>
      <c r="L699" s="231" t="s">
        <v>836</v>
      </c>
      <c r="M699" s="351" t="s">
        <v>836</v>
      </c>
      <c r="N699" s="351" t="s">
        <v>836</v>
      </c>
      <c r="O699" s="351" t="s">
        <v>836</v>
      </c>
    </row>
    <row r="700" spans="2:19" x14ac:dyDescent="0.35">
      <c r="B700" s="1"/>
      <c r="C700" s="17" t="s">
        <v>845</v>
      </c>
      <c r="D700" s="18">
        <f>-PMT(D695/D697,D698,D694,0,0)</f>
        <v>1541425.8442385609</v>
      </c>
      <c r="E700" s="3"/>
      <c r="F700" s="3"/>
      <c r="G700" s="269" t="s">
        <v>845</v>
      </c>
      <c r="H700" s="18">
        <f>-PMT(H695/H697,H698,H694,0,0)</f>
        <v>3354812.6084618508</v>
      </c>
      <c r="I700" s="3">
        <f>N695+0.7%</f>
        <v>0.30400000000000005</v>
      </c>
      <c r="J700" s="13">
        <f>I700+0.1%</f>
        <v>0.30500000000000005</v>
      </c>
      <c r="K700" s="13">
        <f>J700+0.1%</f>
        <v>0.30600000000000005</v>
      </c>
      <c r="L700" s="13">
        <f>K700+1.3%</f>
        <v>0.31900000000000006</v>
      </c>
      <c r="M700" s="350">
        <f>+L700+0.1%</f>
        <v>0.32000000000000006</v>
      </c>
      <c r="N700" s="350">
        <f>+M700+0.1%</f>
        <v>0.32100000000000006</v>
      </c>
      <c r="O700" s="350">
        <f>+N700+0.3%</f>
        <v>0.32400000000000007</v>
      </c>
    </row>
    <row r="701" spans="2:19" x14ac:dyDescent="0.35">
      <c r="B701" s="1"/>
      <c r="C701" s="1"/>
      <c r="D701" s="3"/>
      <c r="E701" s="3"/>
      <c r="F701" s="3"/>
      <c r="G701" s="3"/>
      <c r="H701" s="3"/>
      <c r="I701" s="3"/>
      <c r="J701" s="3"/>
      <c r="K701" s="1"/>
      <c r="L701" s="1"/>
    </row>
    <row r="702" spans="2:19" x14ac:dyDescent="0.35">
      <c r="B702" s="1"/>
      <c r="C702" s="19" t="s">
        <v>846</v>
      </c>
      <c r="D702" s="20" t="s">
        <v>847</v>
      </c>
      <c r="E702" s="20" t="s">
        <v>764</v>
      </c>
      <c r="F702" s="270" t="s">
        <v>848</v>
      </c>
      <c r="G702" s="270" t="s">
        <v>849</v>
      </c>
      <c r="H702" s="270" t="s">
        <v>742</v>
      </c>
      <c r="I702" s="270" t="s">
        <v>740</v>
      </c>
      <c r="J702" s="270" t="s">
        <v>850</v>
      </c>
      <c r="K702" s="21" t="s">
        <v>851</v>
      </c>
      <c r="L702" s="21" t="s">
        <v>852</v>
      </c>
    </row>
    <row r="703" spans="2:19" x14ac:dyDescent="0.35">
      <c r="B703" s="1">
        <v>0</v>
      </c>
      <c r="C703" s="22">
        <v>44336</v>
      </c>
      <c r="D703" s="22">
        <v>44347</v>
      </c>
      <c r="E703" s="23">
        <f t="shared" ref="E703:E734" si="113">D703-C703+1</f>
        <v>12</v>
      </c>
      <c r="F703" s="3">
        <f>D694</f>
        <v>51552500</v>
      </c>
      <c r="G703" s="3">
        <v>0</v>
      </c>
      <c r="H703" s="3">
        <f>F703*D695*E703/365</f>
        <v>322026.57534246577</v>
      </c>
      <c r="I703" s="3">
        <v>0</v>
      </c>
      <c r="J703" s="3">
        <f t="shared" ref="J703:J734" si="114">F703-I703</f>
        <v>51552500</v>
      </c>
      <c r="K703" s="24">
        <v>0</v>
      </c>
      <c r="L703" s="24">
        <v>0</v>
      </c>
      <c r="N703" s="32"/>
    </row>
    <row r="704" spans="2:19" x14ac:dyDescent="0.35">
      <c r="B704" s="1">
        <v>1</v>
      </c>
      <c r="C704" s="22">
        <f>D703+1</f>
        <v>44348</v>
      </c>
      <c r="D704" s="22">
        <v>44377</v>
      </c>
      <c r="E704" s="23">
        <f t="shared" si="113"/>
        <v>30</v>
      </c>
      <c r="F704" s="3">
        <f>J703</f>
        <v>51552500</v>
      </c>
      <c r="G704" s="3">
        <v>0</v>
      </c>
      <c r="H704" s="3">
        <f>D695*F704/D697</f>
        <v>816247.91666666663</v>
      </c>
      <c r="I704" s="3">
        <v>0</v>
      </c>
      <c r="J704" s="3">
        <f t="shared" si="114"/>
        <v>51552500</v>
      </c>
      <c r="K704" s="24">
        <v>0</v>
      </c>
      <c r="L704" s="24"/>
    </row>
    <row r="705" spans="2:12" x14ac:dyDescent="0.35">
      <c r="B705" s="1">
        <v>2</v>
      </c>
      <c r="C705" s="22">
        <v>44378</v>
      </c>
      <c r="D705" s="22">
        <v>44408</v>
      </c>
      <c r="E705" s="23">
        <f t="shared" si="113"/>
        <v>31</v>
      </c>
      <c r="F705" s="3">
        <f>J704</f>
        <v>51552500</v>
      </c>
      <c r="G705" s="3">
        <v>0</v>
      </c>
      <c r="H705" s="3">
        <f>(D695*F705/D697)+F694*D695*24/D699</f>
        <v>1378439.6974885846</v>
      </c>
      <c r="I705" s="3">
        <v>0</v>
      </c>
      <c r="J705" s="3">
        <f t="shared" si="114"/>
        <v>51552500</v>
      </c>
      <c r="K705" s="24">
        <v>0</v>
      </c>
      <c r="L705" s="24">
        <v>0</v>
      </c>
    </row>
    <row r="706" spans="2:12" x14ac:dyDescent="0.35">
      <c r="B706" s="1">
        <v>3</v>
      </c>
      <c r="C706" s="22">
        <f>D705+1</f>
        <v>44409</v>
      </c>
      <c r="D706" s="22">
        <v>44439</v>
      </c>
      <c r="E706" s="23">
        <f t="shared" si="113"/>
        <v>31</v>
      </c>
      <c r="F706" s="3">
        <f>J705+F694</f>
        <v>96552500</v>
      </c>
      <c r="G706" s="3">
        <v>0</v>
      </c>
      <c r="H706" s="3">
        <f>D695*F706/D697</f>
        <v>1528747.9166666667</v>
      </c>
      <c r="I706" s="3">
        <v>0</v>
      </c>
      <c r="J706" s="3">
        <f t="shared" si="114"/>
        <v>96552500</v>
      </c>
      <c r="K706" s="24">
        <v>0</v>
      </c>
      <c r="L706" s="24">
        <v>0</v>
      </c>
    </row>
    <row r="707" spans="2:12" x14ac:dyDescent="0.35">
      <c r="B707" s="1">
        <v>4</v>
      </c>
      <c r="C707" s="22">
        <v>44440</v>
      </c>
      <c r="D707" s="22">
        <v>44469</v>
      </c>
      <c r="E707" s="23">
        <f t="shared" si="113"/>
        <v>30</v>
      </c>
      <c r="F707" s="3">
        <f t="shared" ref="F707:F715" si="115">J706</f>
        <v>96552500</v>
      </c>
      <c r="G707" s="3">
        <v>0</v>
      </c>
      <c r="H707" s="3">
        <f t="shared" ref="H707:H714" si="116">$D$695*F707/$D$697</f>
        <v>1528747.9166666667</v>
      </c>
      <c r="I707" s="3">
        <v>0</v>
      </c>
      <c r="J707" s="3">
        <f t="shared" si="114"/>
        <v>96552500</v>
      </c>
      <c r="K707" s="24">
        <v>0</v>
      </c>
      <c r="L707" s="24">
        <v>0</v>
      </c>
    </row>
    <row r="708" spans="2:12" x14ac:dyDescent="0.35">
      <c r="B708" s="1">
        <v>5</v>
      </c>
      <c r="C708" s="22">
        <f>D707+1</f>
        <v>44470</v>
      </c>
      <c r="D708" s="22">
        <v>44500</v>
      </c>
      <c r="E708" s="23">
        <f t="shared" si="113"/>
        <v>31</v>
      </c>
      <c r="F708" s="3">
        <f t="shared" si="115"/>
        <v>96552500</v>
      </c>
      <c r="G708" s="3">
        <v>0</v>
      </c>
      <c r="H708" s="3">
        <f t="shared" si="116"/>
        <v>1528747.9166666667</v>
      </c>
      <c r="I708" s="3">
        <v>0</v>
      </c>
      <c r="J708" s="3">
        <f t="shared" si="114"/>
        <v>96552500</v>
      </c>
      <c r="K708" s="24">
        <v>0</v>
      </c>
      <c r="L708" s="24">
        <v>0</v>
      </c>
    </row>
    <row r="709" spans="2:12" x14ac:dyDescent="0.35">
      <c r="B709" s="1">
        <v>6</v>
      </c>
      <c r="C709" s="22">
        <v>44501</v>
      </c>
      <c r="D709" s="22">
        <v>44530</v>
      </c>
      <c r="E709" s="23">
        <f t="shared" si="113"/>
        <v>30</v>
      </c>
      <c r="F709" s="3">
        <f t="shared" si="115"/>
        <v>96552500</v>
      </c>
      <c r="G709" s="3">
        <v>0</v>
      </c>
      <c r="H709" s="3">
        <f t="shared" si="116"/>
        <v>1528747.9166666667</v>
      </c>
      <c r="I709" s="3">
        <v>0</v>
      </c>
      <c r="J709" s="3">
        <f t="shared" si="114"/>
        <v>96552500</v>
      </c>
      <c r="K709" s="24">
        <v>0</v>
      </c>
      <c r="L709" s="24">
        <v>0</v>
      </c>
    </row>
    <row r="710" spans="2:12" x14ac:dyDescent="0.35">
      <c r="B710" s="1">
        <v>7</v>
      </c>
      <c r="C710" s="22">
        <f>D709+1</f>
        <v>44531</v>
      </c>
      <c r="D710" s="22">
        <v>44561</v>
      </c>
      <c r="E710" s="23">
        <f t="shared" si="113"/>
        <v>31</v>
      </c>
      <c r="F710" s="271">
        <f t="shared" si="115"/>
        <v>96552500</v>
      </c>
      <c r="G710" s="3">
        <v>0</v>
      </c>
      <c r="H710" s="3">
        <f t="shared" si="116"/>
        <v>1528747.9166666667</v>
      </c>
      <c r="I710" s="3">
        <v>0</v>
      </c>
      <c r="J710" s="3">
        <f t="shared" si="114"/>
        <v>96552500</v>
      </c>
      <c r="K710" s="24">
        <v>0</v>
      </c>
      <c r="L710" s="24">
        <v>0</v>
      </c>
    </row>
    <row r="711" spans="2:12" x14ac:dyDescent="0.35">
      <c r="B711" s="1">
        <v>8</v>
      </c>
      <c r="C711" s="22">
        <v>44562</v>
      </c>
      <c r="D711" s="22">
        <v>44592</v>
      </c>
      <c r="E711" s="23">
        <f t="shared" si="113"/>
        <v>31</v>
      </c>
      <c r="F711" s="3">
        <f t="shared" si="115"/>
        <v>96552500</v>
      </c>
      <c r="G711" s="3">
        <v>0</v>
      </c>
      <c r="H711" s="3">
        <f t="shared" si="116"/>
        <v>1528747.9166666667</v>
      </c>
      <c r="I711" s="3">
        <v>0</v>
      </c>
      <c r="J711" s="3">
        <f t="shared" si="114"/>
        <v>96552500</v>
      </c>
      <c r="K711" s="24">
        <v>0</v>
      </c>
      <c r="L711" s="24">
        <v>0</v>
      </c>
    </row>
    <row r="712" spans="2:12" x14ac:dyDescent="0.35">
      <c r="B712" s="1">
        <v>9</v>
      </c>
      <c r="C712" s="22">
        <f>D711+1</f>
        <v>44593</v>
      </c>
      <c r="D712" s="22">
        <v>44620</v>
      </c>
      <c r="E712" s="23">
        <f t="shared" si="113"/>
        <v>28</v>
      </c>
      <c r="F712" s="3">
        <f t="shared" si="115"/>
        <v>96552500</v>
      </c>
      <c r="G712" s="3">
        <v>0</v>
      </c>
      <c r="H712" s="3">
        <f t="shared" si="116"/>
        <v>1528747.9166666667</v>
      </c>
      <c r="I712" s="3">
        <v>0</v>
      </c>
      <c r="J712" s="3">
        <f t="shared" si="114"/>
        <v>96552500</v>
      </c>
      <c r="K712" s="24">
        <v>0</v>
      </c>
      <c r="L712" s="24">
        <v>0</v>
      </c>
    </row>
    <row r="713" spans="2:12" x14ac:dyDescent="0.35">
      <c r="B713" s="1">
        <v>10</v>
      </c>
      <c r="C713" s="22">
        <v>44621</v>
      </c>
      <c r="D713" s="22">
        <v>44651</v>
      </c>
      <c r="E713" s="23">
        <f t="shared" si="113"/>
        <v>31</v>
      </c>
      <c r="F713" s="3">
        <f t="shared" si="115"/>
        <v>96552500</v>
      </c>
      <c r="G713" s="3">
        <v>0</v>
      </c>
      <c r="H713" s="3">
        <f t="shared" si="116"/>
        <v>1528747.9166666667</v>
      </c>
      <c r="I713" s="3">
        <v>0</v>
      </c>
      <c r="J713" s="3">
        <f t="shared" si="114"/>
        <v>96552500</v>
      </c>
      <c r="K713" s="24">
        <v>0</v>
      </c>
      <c r="L713" s="24">
        <v>0</v>
      </c>
    </row>
    <row r="714" spans="2:12" x14ac:dyDescent="0.35">
      <c r="B714" s="1">
        <v>11</v>
      </c>
      <c r="C714" s="22">
        <f>D713+1</f>
        <v>44652</v>
      </c>
      <c r="D714" s="22">
        <v>44681</v>
      </c>
      <c r="E714" s="23">
        <f t="shared" si="113"/>
        <v>30</v>
      </c>
      <c r="F714" s="3">
        <f t="shared" si="115"/>
        <v>96552500</v>
      </c>
      <c r="G714" s="3">
        <v>0</v>
      </c>
      <c r="H714" s="3">
        <f t="shared" si="116"/>
        <v>1528747.9166666667</v>
      </c>
      <c r="I714" s="3">
        <v>0</v>
      </c>
      <c r="J714" s="3">
        <f t="shared" si="114"/>
        <v>96552500</v>
      </c>
      <c r="K714" s="24">
        <v>0</v>
      </c>
      <c r="L714" s="24">
        <v>0</v>
      </c>
    </row>
    <row r="715" spans="2:12" x14ac:dyDescent="0.35">
      <c r="B715" s="1">
        <v>12</v>
      </c>
      <c r="C715" s="22">
        <v>44682</v>
      </c>
      <c r="D715" s="22">
        <v>44712</v>
      </c>
      <c r="E715" s="23">
        <f t="shared" si="113"/>
        <v>31</v>
      </c>
      <c r="F715" s="3">
        <f t="shared" si="115"/>
        <v>96552500</v>
      </c>
      <c r="G715" s="3">
        <v>0</v>
      </c>
      <c r="H715" s="3">
        <f>$H$695*F715/$D$697</f>
        <v>1649438.5416666667</v>
      </c>
      <c r="I715" s="3">
        <v>0</v>
      </c>
      <c r="J715" s="3">
        <f t="shared" si="114"/>
        <v>96552500</v>
      </c>
      <c r="K715" s="24">
        <v>0</v>
      </c>
      <c r="L715" s="24">
        <v>0</v>
      </c>
    </row>
    <row r="716" spans="2:12" x14ac:dyDescent="0.35">
      <c r="B716" s="1">
        <v>13</v>
      </c>
      <c r="C716" s="22">
        <f>D715+1</f>
        <v>44713</v>
      </c>
      <c r="D716" s="22">
        <v>44742</v>
      </c>
      <c r="E716" s="23">
        <f t="shared" si="113"/>
        <v>30</v>
      </c>
      <c r="F716" s="3">
        <f>J715+SUM(H703:H715)</f>
        <v>114477383.98116438</v>
      </c>
      <c r="G716" s="3">
        <v>0</v>
      </c>
      <c r="H716" s="3">
        <f>$H$695*F716/$D$697</f>
        <v>1955655.3096782248</v>
      </c>
      <c r="I716" s="3">
        <v>0</v>
      </c>
      <c r="J716" s="3">
        <f t="shared" si="114"/>
        <v>114477383.98116438</v>
      </c>
      <c r="K716" s="24">
        <v>0</v>
      </c>
      <c r="L716" s="26"/>
    </row>
    <row r="717" spans="2:12" x14ac:dyDescent="0.35">
      <c r="B717" s="1">
        <v>14</v>
      </c>
      <c r="C717" s="22">
        <v>44743</v>
      </c>
      <c r="D717" s="22">
        <v>44773</v>
      </c>
      <c r="E717" s="23">
        <f t="shared" si="113"/>
        <v>31</v>
      </c>
      <c r="F717" s="3">
        <f t="shared" ref="F717:F751" si="117">J716</f>
        <v>114477383.98116438</v>
      </c>
      <c r="G717" s="3">
        <v>0</v>
      </c>
      <c r="H717" s="3">
        <f>$H$695*F717/$D$697</f>
        <v>1955655.3096782248</v>
      </c>
      <c r="I717" s="3">
        <v>0</v>
      </c>
      <c r="J717" s="3">
        <f t="shared" si="114"/>
        <v>114477383.98116438</v>
      </c>
      <c r="K717" s="24"/>
      <c r="L717" s="24"/>
    </row>
    <row r="718" spans="2:12" x14ac:dyDescent="0.35">
      <c r="B718" s="1">
        <v>15</v>
      </c>
      <c r="C718" s="22">
        <f>D717+1</f>
        <v>44774</v>
      </c>
      <c r="D718" s="22">
        <v>44804</v>
      </c>
      <c r="E718" s="23">
        <f t="shared" si="113"/>
        <v>31</v>
      </c>
      <c r="F718" s="3">
        <f t="shared" si="117"/>
        <v>114477383.98116438</v>
      </c>
      <c r="G718" s="3">
        <v>0</v>
      </c>
      <c r="H718" s="3">
        <f>$H$695*F718/$D$697</f>
        <v>1955655.3096782248</v>
      </c>
      <c r="I718" s="3">
        <v>0</v>
      </c>
      <c r="J718" s="3">
        <f t="shared" si="114"/>
        <v>114477383.98116438</v>
      </c>
      <c r="K718" s="24"/>
      <c r="L718" s="24"/>
    </row>
    <row r="719" spans="2:12" x14ac:dyDescent="0.35">
      <c r="B719" s="1">
        <v>16</v>
      </c>
      <c r="C719" s="22">
        <v>44805</v>
      </c>
      <c r="D719" s="22">
        <v>44834</v>
      </c>
      <c r="E719" s="23">
        <f t="shared" si="113"/>
        <v>30</v>
      </c>
      <c r="F719" s="3">
        <f t="shared" si="117"/>
        <v>114477383.98116438</v>
      </c>
      <c r="G719" s="3">
        <v>0</v>
      </c>
      <c r="H719" s="3">
        <f>$I$695*F719/$D$697</f>
        <v>1993814.4376719464</v>
      </c>
      <c r="I719" s="3">
        <v>0</v>
      </c>
      <c r="J719" s="3">
        <f t="shared" si="114"/>
        <v>114477383.98116438</v>
      </c>
      <c r="K719" s="24"/>
      <c r="L719" s="24"/>
    </row>
    <row r="720" spans="2:12" x14ac:dyDescent="0.35">
      <c r="B720" s="1">
        <v>17</v>
      </c>
      <c r="C720" s="22">
        <f>D719+1</f>
        <v>44835</v>
      </c>
      <c r="D720" s="22">
        <v>44865</v>
      </c>
      <c r="E720" s="23">
        <f t="shared" si="113"/>
        <v>31</v>
      </c>
      <c r="F720" s="3">
        <f t="shared" si="117"/>
        <v>114477383.98116438</v>
      </c>
      <c r="G720" s="3">
        <v>0</v>
      </c>
      <c r="H720" s="3">
        <f>$I$695*F720/$D$697</f>
        <v>1993814.4376719464</v>
      </c>
      <c r="I720" s="3">
        <v>0</v>
      </c>
      <c r="J720" s="3">
        <f t="shared" si="114"/>
        <v>114477383.98116438</v>
      </c>
      <c r="K720" s="24"/>
      <c r="L720" s="24"/>
    </row>
    <row r="721" spans="1:16" x14ac:dyDescent="0.35">
      <c r="B721" s="1">
        <v>18</v>
      </c>
      <c r="C721" s="22">
        <v>44866</v>
      </c>
      <c r="D721" s="22">
        <v>44895</v>
      </c>
      <c r="E721" s="23">
        <f t="shared" si="113"/>
        <v>30</v>
      </c>
      <c r="F721" s="3">
        <f t="shared" si="117"/>
        <v>114477383.98116438</v>
      </c>
      <c r="G721" s="3">
        <v>0</v>
      </c>
      <c r="H721" s="3">
        <f>$J$695*F721/$D$697</f>
        <v>2251388.5516295661</v>
      </c>
      <c r="I721" s="3">
        <v>0</v>
      </c>
      <c r="J721" s="3">
        <f t="shared" si="114"/>
        <v>114477383.98116438</v>
      </c>
      <c r="K721" s="24"/>
      <c r="L721" s="141"/>
      <c r="M721" s="24"/>
    </row>
    <row r="722" spans="1:16" x14ac:dyDescent="0.35">
      <c r="B722" s="1">
        <v>19</v>
      </c>
      <c r="C722" s="22">
        <f>D721+1</f>
        <v>44896</v>
      </c>
      <c r="D722" s="22">
        <v>44926</v>
      </c>
      <c r="E722" s="23">
        <f t="shared" si="113"/>
        <v>31</v>
      </c>
      <c r="F722" s="3">
        <f t="shared" si="117"/>
        <v>114477383.98116438</v>
      </c>
      <c r="G722" s="3">
        <v>0</v>
      </c>
      <c r="H722" s="3">
        <f>$K$695*F722/$D$697</f>
        <v>2318167.0256185788</v>
      </c>
      <c r="I722" s="3">
        <v>0</v>
      </c>
      <c r="J722" s="3">
        <f t="shared" si="114"/>
        <v>114477383.98116438</v>
      </c>
      <c r="K722" s="24"/>
      <c r="L722" s="24"/>
    </row>
    <row r="723" spans="1:16" x14ac:dyDescent="0.35">
      <c r="B723" s="1">
        <v>20</v>
      </c>
      <c r="C723" s="22">
        <v>44927</v>
      </c>
      <c r="D723" s="22">
        <v>44957</v>
      </c>
      <c r="E723" s="23">
        <f t="shared" si="113"/>
        <v>31</v>
      </c>
      <c r="F723" s="3">
        <f t="shared" si="117"/>
        <v>114477383.98116438</v>
      </c>
      <c r="G723" s="3">
        <v>0</v>
      </c>
      <c r="H723" s="3">
        <f>$K$695*F723/$D$697</f>
        <v>2318167.0256185788</v>
      </c>
      <c r="I723" s="3">
        <v>0</v>
      </c>
      <c r="J723" s="3">
        <f t="shared" si="114"/>
        <v>114477383.98116438</v>
      </c>
      <c r="K723" s="24"/>
      <c r="L723" s="24"/>
    </row>
    <row r="724" spans="1:16" x14ac:dyDescent="0.35">
      <c r="B724" s="1">
        <v>21</v>
      </c>
      <c r="C724" s="22">
        <f>D723+1</f>
        <v>44958</v>
      </c>
      <c r="D724" s="22">
        <v>44985</v>
      </c>
      <c r="E724" s="23">
        <f t="shared" si="113"/>
        <v>28</v>
      </c>
      <c r="F724" s="3">
        <f t="shared" si="117"/>
        <v>114477383.98116438</v>
      </c>
      <c r="G724" s="3">
        <v>0</v>
      </c>
      <c r="H724" s="3">
        <f>$K$695*F724/$D$697</f>
        <v>2318167.0256185788</v>
      </c>
      <c r="I724" s="3">
        <v>0</v>
      </c>
      <c r="J724" s="3">
        <f t="shared" si="114"/>
        <v>114477383.98116438</v>
      </c>
      <c r="K724" s="24"/>
      <c r="L724" s="24"/>
    </row>
    <row r="725" spans="1:16" s="7" customFormat="1" ht="14" x14ac:dyDescent="0.3">
      <c r="A725" s="6"/>
      <c r="B725" s="1">
        <v>22</v>
      </c>
      <c r="C725" s="22">
        <v>44986</v>
      </c>
      <c r="D725" s="22">
        <v>45016</v>
      </c>
      <c r="E725" s="23">
        <f t="shared" si="113"/>
        <v>31</v>
      </c>
      <c r="F725" s="3">
        <f t="shared" si="117"/>
        <v>114477383.98116438</v>
      </c>
      <c r="G725" s="3">
        <v>0</v>
      </c>
      <c r="H725" s="3">
        <f>$K$695*F725/$D$697</f>
        <v>2318167.0256185788</v>
      </c>
      <c r="I725" s="3">
        <v>0</v>
      </c>
      <c r="J725" s="3">
        <f t="shared" si="114"/>
        <v>114477383.98116438</v>
      </c>
      <c r="K725" s="24"/>
      <c r="L725" s="24"/>
      <c r="N725" s="6"/>
      <c r="O725" s="6"/>
      <c r="P725" s="6"/>
    </row>
    <row r="726" spans="1:16" s="7" customFormat="1" ht="14.5" customHeight="1" thickBot="1" x14ac:dyDescent="0.35">
      <c r="A726" s="6"/>
      <c r="B726" s="1">
        <v>23</v>
      </c>
      <c r="C726" s="22">
        <f>D725+1</f>
        <v>45017</v>
      </c>
      <c r="D726" s="22">
        <v>45046</v>
      </c>
      <c r="E726" s="23">
        <f t="shared" si="113"/>
        <v>30</v>
      </c>
      <c r="F726" s="3">
        <f t="shared" si="117"/>
        <v>114477383.98116438</v>
      </c>
      <c r="G726" s="3">
        <v>0</v>
      </c>
      <c r="H726" s="3">
        <f>$K$695*F726/$D$697</f>
        <v>2318167.0256185788</v>
      </c>
      <c r="I726" s="3">
        <v>0</v>
      </c>
      <c r="J726" s="3">
        <f t="shared" si="114"/>
        <v>114477383.98116438</v>
      </c>
      <c r="K726" s="24"/>
      <c r="L726" s="24"/>
      <c r="N726" s="6"/>
      <c r="O726" s="6"/>
      <c r="P726" s="6"/>
    </row>
    <row r="727" spans="1:16" s="7" customFormat="1" ht="14.5" customHeight="1" thickBot="1" x14ac:dyDescent="0.35">
      <c r="A727" s="6"/>
      <c r="B727" s="1">
        <v>24</v>
      </c>
      <c r="C727" s="22">
        <v>45047</v>
      </c>
      <c r="D727" s="22">
        <v>45077</v>
      </c>
      <c r="E727" s="23">
        <f t="shared" si="113"/>
        <v>31</v>
      </c>
      <c r="F727" s="3">
        <f t="shared" si="117"/>
        <v>114477383.98116438</v>
      </c>
      <c r="G727" s="3">
        <v>0</v>
      </c>
      <c r="H727" s="3">
        <f>$L$695*F727/$D$697</f>
        <v>2575741.139576199</v>
      </c>
      <c r="I727" s="3">
        <v>0</v>
      </c>
      <c r="J727" s="3">
        <f t="shared" si="114"/>
        <v>114477383.98116438</v>
      </c>
      <c r="K727" s="24"/>
      <c r="L727" s="24"/>
      <c r="M727" s="289"/>
      <c r="N727" s="6"/>
      <c r="O727" s="6"/>
      <c r="P727" s="6"/>
    </row>
    <row r="728" spans="1:16" s="7" customFormat="1" ht="14" x14ac:dyDescent="0.3">
      <c r="A728" s="6"/>
      <c r="B728" s="1">
        <v>25</v>
      </c>
      <c r="C728" s="22">
        <f>D727+1</f>
        <v>45078</v>
      </c>
      <c r="D728" s="22">
        <v>45107</v>
      </c>
      <c r="E728" s="23">
        <f t="shared" si="113"/>
        <v>30</v>
      </c>
      <c r="F728" s="3">
        <f t="shared" si="117"/>
        <v>114477383.98116438</v>
      </c>
      <c r="G728" s="3">
        <f>-PMT($L$695/$D$697,24,$F$728,,0)</f>
        <v>6225306.3454876048</v>
      </c>
      <c r="H728" s="3">
        <f>$L$695*F728/$D$697</f>
        <v>2575741.139576199</v>
      </c>
      <c r="I728" s="3">
        <f t="shared" ref="I728:I751" si="118">G728-H728</f>
        <v>3649565.2059114059</v>
      </c>
      <c r="J728" s="3">
        <f t="shared" si="114"/>
        <v>110827818.77525297</v>
      </c>
      <c r="K728" s="24" t="s">
        <v>883</v>
      </c>
      <c r="L728" s="24">
        <f>G728</f>
        <v>6225306.3454876048</v>
      </c>
      <c r="N728" s="6"/>
      <c r="O728" s="6"/>
      <c r="P728" s="6"/>
    </row>
    <row r="729" spans="1:16" s="7" customFormat="1" ht="14" x14ac:dyDescent="0.3">
      <c r="A729" s="6"/>
      <c r="B729" s="1">
        <v>26</v>
      </c>
      <c r="C729" s="22">
        <v>45108</v>
      </c>
      <c r="D729" s="22">
        <v>45138</v>
      </c>
      <c r="E729" s="23">
        <f t="shared" si="113"/>
        <v>31</v>
      </c>
      <c r="F729" s="3">
        <f t="shared" si="117"/>
        <v>110827818.77525297</v>
      </c>
      <c r="G729" s="3">
        <f>-PMT($M$695/$D$697,23,$F$729,,0)</f>
        <v>6303890.4862488462</v>
      </c>
      <c r="H729" s="3">
        <f>$M$695*F729/$D$697</f>
        <v>2622925.0443476536</v>
      </c>
      <c r="I729" s="3">
        <f t="shared" si="118"/>
        <v>3680965.4419011925</v>
      </c>
      <c r="J729" s="3">
        <f t="shared" si="114"/>
        <v>107146853.33335178</v>
      </c>
      <c r="K729" s="24"/>
      <c r="L729" s="24">
        <f t="shared" ref="L729:L744" si="119">+L728+G729-K729</f>
        <v>12529196.831736451</v>
      </c>
      <c r="N729" s="6"/>
      <c r="O729" s="6"/>
      <c r="P729" s="6"/>
    </row>
    <row r="730" spans="1:16" s="7" customFormat="1" ht="14" x14ac:dyDescent="0.3">
      <c r="A730" s="6"/>
      <c r="B730" s="1">
        <v>27</v>
      </c>
      <c r="C730" s="22">
        <f>D729+1</f>
        <v>45139</v>
      </c>
      <c r="D730" s="22">
        <v>45169</v>
      </c>
      <c r="E730" s="23">
        <f t="shared" si="113"/>
        <v>31</v>
      </c>
      <c r="F730" s="3">
        <f t="shared" si="117"/>
        <v>107146853.33335178</v>
      </c>
      <c r="G730" s="3">
        <f>-PMT($N$695/$D$697,22,$F$730,,0)</f>
        <v>6374573.4428380169</v>
      </c>
      <c r="H730" s="3">
        <f>$N$695*F730/$D$697</f>
        <v>2651884.6200004569</v>
      </c>
      <c r="I730" s="3">
        <f t="shared" si="118"/>
        <v>3722688.82283756</v>
      </c>
      <c r="J730" s="3">
        <f t="shared" si="114"/>
        <v>103424164.51051421</v>
      </c>
      <c r="K730" s="24"/>
      <c r="L730" s="24">
        <f t="shared" si="119"/>
        <v>18903770.274574466</v>
      </c>
      <c r="N730" s="6"/>
      <c r="O730" s="6"/>
      <c r="P730" s="6"/>
    </row>
    <row r="731" spans="1:16" s="7" customFormat="1" ht="14" x14ac:dyDescent="0.3">
      <c r="A731" s="6"/>
      <c r="B731" s="1">
        <v>28</v>
      </c>
      <c r="C731" s="22">
        <v>45170</v>
      </c>
      <c r="D731" s="22">
        <v>45199</v>
      </c>
      <c r="E731" s="23">
        <f t="shared" si="113"/>
        <v>30</v>
      </c>
      <c r="F731" s="3">
        <f t="shared" si="117"/>
        <v>103424164.51051421</v>
      </c>
      <c r="G731" s="3">
        <f>-PMT($I$700/$D$697,21,$F$731,,0)</f>
        <v>6411307.9920871146</v>
      </c>
      <c r="H731" s="3">
        <f>$I$700*F731/$D$697</f>
        <v>2620078.8342663604</v>
      </c>
      <c r="I731" s="3">
        <f t="shared" si="118"/>
        <v>3791229.1578207542</v>
      </c>
      <c r="J731" s="3">
        <f t="shared" si="114"/>
        <v>99632935.352693453</v>
      </c>
      <c r="K731" s="24"/>
      <c r="L731" s="24">
        <f t="shared" si="119"/>
        <v>25315078.266661581</v>
      </c>
      <c r="N731" s="6"/>
      <c r="O731" s="6"/>
      <c r="P731" s="6"/>
    </row>
    <row r="732" spans="1:16" s="7" customFormat="1" ht="14" x14ac:dyDescent="0.3">
      <c r="A732" s="6"/>
      <c r="B732" s="1">
        <v>29</v>
      </c>
      <c r="C732" s="22">
        <f>D731+1</f>
        <v>45200</v>
      </c>
      <c r="D732" s="22">
        <v>45230</v>
      </c>
      <c r="E732" s="23">
        <f t="shared" si="113"/>
        <v>31</v>
      </c>
      <c r="F732" s="3">
        <f t="shared" si="117"/>
        <v>99632935.352693453</v>
      </c>
      <c r="G732" s="292">
        <f>-PMT($J$700/$D$697,20,$F$732,,0)</f>
        <v>6416348.7120653037</v>
      </c>
      <c r="H732" s="3">
        <f>$J$700*F732/$D$697</f>
        <v>2532337.1068809591</v>
      </c>
      <c r="I732" s="3">
        <f t="shared" si="118"/>
        <v>3884011.6051843446</v>
      </c>
      <c r="J732" s="3">
        <f t="shared" si="114"/>
        <v>95748923.747509107</v>
      </c>
      <c r="K732" s="24">
        <v>23143102</v>
      </c>
      <c r="L732" s="24">
        <f t="shared" si="119"/>
        <v>8588324.9787268862</v>
      </c>
      <c r="N732" s="6"/>
      <c r="O732" s="6"/>
      <c r="P732" s="6"/>
    </row>
    <row r="733" spans="1:16" s="7" customFormat="1" ht="14" x14ac:dyDescent="0.3">
      <c r="A733" s="6"/>
      <c r="B733" s="1">
        <v>30</v>
      </c>
      <c r="C733" s="22">
        <v>45231</v>
      </c>
      <c r="D733" s="22">
        <v>45260</v>
      </c>
      <c r="E733" s="23">
        <f t="shared" si="113"/>
        <v>30</v>
      </c>
      <c r="F733" s="3">
        <f t="shared" si="117"/>
        <v>95748923.747509107</v>
      </c>
      <c r="G733" s="292">
        <f>-PMT($J$700/$D$697,20,$F$732,,0)</f>
        <v>6416348.7120653037</v>
      </c>
      <c r="H733" s="3">
        <f>$J$700*F733/$D$697</f>
        <v>2433618.4785825233</v>
      </c>
      <c r="I733" s="3">
        <f t="shared" si="118"/>
        <v>3982730.2334827804</v>
      </c>
      <c r="J733" s="3">
        <f t="shared" si="114"/>
        <v>91766193.514026329</v>
      </c>
      <c r="K733" s="24"/>
      <c r="L733" s="24">
        <f t="shared" si="119"/>
        <v>15004673.69079219</v>
      </c>
      <c r="N733" s="6"/>
      <c r="O733" s="6"/>
      <c r="P733" s="6"/>
    </row>
    <row r="734" spans="1:16" s="7" customFormat="1" ht="14" x14ac:dyDescent="0.3">
      <c r="A734" s="6"/>
      <c r="B734" s="1">
        <v>31</v>
      </c>
      <c r="C734" s="22">
        <f>D733+1</f>
        <v>45261</v>
      </c>
      <c r="D734" s="22">
        <v>45291</v>
      </c>
      <c r="E734" s="23">
        <f t="shared" si="113"/>
        <v>31</v>
      </c>
      <c r="F734" s="3">
        <f t="shared" si="117"/>
        <v>91766193.514026329</v>
      </c>
      <c r="G734" s="292">
        <f>-PMT($K$700/$D$697,18,$F$734,,0)</f>
        <v>6420952.2330076648</v>
      </c>
      <c r="H734" s="3">
        <f>$K$700*F734/$D$697</f>
        <v>2340037.934607672</v>
      </c>
      <c r="I734" s="3">
        <f t="shared" si="118"/>
        <v>4080914.2983999928</v>
      </c>
      <c r="J734" s="3">
        <f t="shared" si="114"/>
        <v>87685279.215626329</v>
      </c>
      <c r="K734" s="24"/>
      <c r="L734" s="24">
        <f t="shared" si="119"/>
        <v>21425625.923799854</v>
      </c>
      <c r="N734" s="6"/>
      <c r="O734" s="6"/>
      <c r="P734" s="6"/>
    </row>
    <row r="735" spans="1:16" s="7" customFormat="1" ht="14" x14ac:dyDescent="0.3">
      <c r="A735" s="6"/>
      <c r="B735" s="1">
        <v>32</v>
      </c>
      <c r="C735" s="22">
        <v>45292</v>
      </c>
      <c r="D735" s="22">
        <v>45322</v>
      </c>
      <c r="E735" s="23">
        <f t="shared" ref="E735:E751" si="120">D735-C735+1</f>
        <v>31</v>
      </c>
      <c r="F735" s="3">
        <f t="shared" si="117"/>
        <v>87685279.215626329</v>
      </c>
      <c r="G735" s="292">
        <f>-PMT($K$700/$D$697,18,$F$734,,0)</f>
        <v>6420952.2330076648</v>
      </c>
      <c r="H735" s="3">
        <f>$K$700*F735/$D$697</f>
        <v>2235974.6199984718</v>
      </c>
      <c r="I735" s="3">
        <f t="shared" si="118"/>
        <v>4184977.613009193</v>
      </c>
      <c r="J735" s="3">
        <f t="shared" ref="J735:J751" si="121">F735-I735</f>
        <v>83500301.60261713</v>
      </c>
      <c r="K735" s="24"/>
      <c r="L735" s="24">
        <f t="shared" si="119"/>
        <v>27846578.156807519</v>
      </c>
      <c r="N735" s="6"/>
      <c r="O735" s="6"/>
      <c r="P735" s="6"/>
    </row>
    <row r="736" spans="1:16" s="7" customFormat="1" ht="14" x14ac:dyDescent="0.3">
      <c r="A736" s="6"/>
      <c r="B736" s="1">
        <v>33</v>
      </c>
      <c r="C736" s="22">
        <f>D735+1</f>
        <v>45323</v>
      </c>
      <c r="D736" s="22">
        <v>45351</v>
      </c>
      <c r="E736" s="23">
        <f t="shared" si="120"/>
        <v>29</v>
      </c>
      <c r="F736" s="3">
        <f t="shared" si="117"/>
        <v>83500301.60261713</v>
      </c>
      <c r="G736" s="292">
        <f>-PMT($L$700/$D$697,16,$F$736,,0)</f>
        <v>6475111.7946523875</v>
      </c>
      <c r="H736" s="3">
        <f>$L$700*F736/$D$697</f>
        <v>2219716.3509362391</v>
      </c>
      <c r="I736" s="3">
        <f t="shared" si="118"/>
        <v>4255395.4437161479</v>
      </c>
      <c r="J736" s="3">
        <f t="shared" si="121"/>
        <v>79244906.158900976</v>
      </c>
      <c r="K736" s="24"/>
      <c r="L736" s="24">
        <f t="shared" si="119"/>
        <v>34321689.951459907</v>
      </c>
      <c r="N736" s="6"/>
      <c r="O736" s="6"/>
      <c r="P736" s="6"/>
    </row>
    <row r="737" spans="1:16" s="7" customFormat="1" ht="14" x14ac:dyDescent="0.3">
      <c r="A737" s="6"/>
      <c r="B737" s="1">
        <v>34</v>
      </c>
      <c r="C737" s="22">
        <v>45352</v>
      </c>
      <c r="D737" s="22">
        <v>45382</v>
      </c>
      <c r="E737" s="23">
        <f t="shared" si="120"/>
        <v>31</v>
      </c>
      <c r="F737" s="3">
        <f t="shared" si="117"/>
        <v>79244906.158900976</v>
      </c>
      <c r="G737" s="292">
        <f>-PMT($L$700/$D$697,16,$F$736,,0)</f>
        <v>6475111.7946523875</v>
      </c>
      <c r="H737" s="3">
        <f>$L$700*F737/$D$697</f>
        <v>2106593.7553907847</v>
      </c>
      <c r="I737" s="3">
        <f t="shared" si="118"/>
        <v>4368518.0392616028</v>
      </c>
      <c r="J737" s="3">
        <f t="shared" si="121"/>
        <v>74876388.119639367</v>
      </c>
      <c r="K737" s="24"/>
      <c r="L737" s="24">
        <f t="shared" si="119"/>
        <v>40796801.746112294</v>
      </c>
      <c r="N737" s="6"/>
      <c r="O737" s="6"/>
      <c r="P737" s="6"/>
    </row>
    <row r="738" spans="1:16" s="7" customFormat="1" ht="14" x14ac:dyDescent="0.3">
      <c r="A738" s="6"/>
      <c r="B738" s="1">
        <v>35</v>
      </c>
      <c r="C738" s="22">
        <f>D737+1</f>
        <v>45383</v>
      </c>
      <c r="D738" s="22">
        <v>45412</v>
      </c>
      <c r="E738" s="23">
        <f t="shared" si="120"/>
        <v>30</v>
      </c>
      <c r="F738" s="3">
        <f t="shared" si="117"/>
        <v>74876388.119639367</v>
      </c>
      <c r="G738" s="292">
        <f>-PMT($L$700/$D$697,16,$F$736,,0)</f>
        <v>6475111.7946523875</v>
      </c>
      <c r="H738" s="3">
        <f>$L$700*F738/$D$697</f>
        <v>1990463.9841804134</v>
      </c>
      <c r="I738" s="3">
        <f t="shared" si="118"/>
        <v>4484647.8104719743</v>
      </c>
      <c r="J738" s="3">
        <f t="shared" si="121"/>
        <v>70391740.309167385</v>
      </c>
      <c r="K738" s="24"/>
      <c r="L738" s="24">
        <f t="shared" si="119"/>
        <v>47271913.540764682</v>
      </c>
      <c r="N738" s="6"/>
      <c r="O738" s="6"/>
      <c r="P738" s="6"/>
    </row>
    <row r="739" spans="1:16" s="7" customFormat="1" ht="14" x14ac:dyDescent="0.3">
      <c r="A739" s="6"/>
      <c r="B739" s="1">
        <v>36</v>
      </c>
      <c r="C739" s="22">
        <v>45413</v>
      </c>
      <c r="D739" s="22">
        <v>45443</v>
      </c>
      <c r="E739" s="23">
        <f t="shared" si="120"/>
        <v>31</v>
      </c>
      <c r="F739" s="3">
        <f t="shared" si="117"/>
        <v>70391740.309167385</v>
      </c>
      <c r="G739" s="292">
        <f>-PMT($M$700/$D$697,13,$F$739,,0)</f>
        <v>6478598.9465273991</v>
      </c>
      <c r="H739" s="3">
        <f>$M$700*F739/$D$697</f>
        <v>1877113.0749111306</v>
      </c>
      <c r="I739" s="3">
        <f t="shared" si="118"/>
        <v>4601485.8716162685</v>
      </c>
      <c r="J739" s="3">
        <f t="shared" si="121"/>
        <v>65790254.437551118</v>
      </c>
      <c r="K739" s="24"/>
      <c r="L739" s="24">
        <f t="shared" si="119"/>
        <v>53750512.487292081</v>
      </c>
      <c r="N739" s="6"/>
      <c r="O739" s="6"/>
      <c r="P739" s="6"/>
    </row>
    <row r="740" spans="1:16" s="7" customFormat="1" ht="14" x14ac:dyDescent="0.3">
      <c r="A740" s="6"/>
      <c r="B740" s="1">
        <v>37</v>
      </c>
      <c r="C740" s="22">
        <f>D739+1</f>
        <v>45444</v>
      </c>
      <c r="D740" s="22">
        <v>45473</v>
      </c>
      <c r="E740" s="23">
        <f t="shared" si="120"/>
        <v>30</v>
      </c>
      <c r="F740" s="3">
        <f t="shared" si="117"/>
        <v>65790254.437551118</v>
      </c>
      <c r="G740" s="3">
        <f>-PMT($N$700/$D$697,12,$F$740,,0)</f>
        <v>6481852.8282219823</v>
      </c>
      <c r="H740" s="3">
        <f>$N$700*F740/$D$697</f>
        <v>1759889.3062044929</v>
      </c>
      <c r="I740" s="3">
        <f t="shared" si="118"/>
        <v>4721963.5220174892</v>
      </c>
      <c r="J740" s="3">
        <f t="shared" si="121"/>
        <v>61068290.915533632</v>
      </c>
      <c r="K740" s="24"/>
      <c r="L740" s="24">
        <f t="shared" si="119"/>
        <v>60232365.315514065</v>
      </c>
      <c r="N740" s="6"/>
      <c r="O740" s="6"/>
      <c r="P740" s="6"/>
    </row>
    <row r="741" spans="1:16" x14ac:dyDescent="0.35">
      <c r="B741" s="1">
        <v>38</v>
      </c>
      <c r="C741" s="22">
        <v>45474</v>
      </c>
      <c r="D741" s="22">
        <v>45504</v>
      </c>
      <c r="E741" s="23">
        <f t="shared" si="120"/>
        <v>31</v>
      </c>
      <c r="F741" s="3">
        <f t="shared" si="117"/>
        <v>61068290.915533632</v>
      </c>
      <c r="G741" s="298">
        <f t="shared" ref="G741:G751" si="122">-PMT($O$700/$D$697,11,$F$741,,0)</f>
        <v>6490909.5622459818</v>
      </c>
      <c r="H741" s="3">
        <f t="shared" ref="H741:H751" si="123">$O$700*F741/$D$697</f>
        <v>1648843.8547194086</v>
      </c>
      <c r="I741" s="3">
        <f t="shared" si="118"/>
        <v>4842065.707526573</v>
      </c>
      <c r="J741" s="3">
        <f t="shared" si="121"/>
        <v>56226225.20800706</v>
      </c>
      <c r="K741" s="24"/>
      <c r="L741" s="24">
        <f t="shared" si="119"/>
        <v>66723274.877760045</v>
      </c>
    </row>
    <row r="742" spans="1:16" x14ac:dyDescent="0.35">
      <c r="B742" s="1">
        <v>39</v>
      </c>
      <c r="C742" s="22">
        <f>D741+1</f>
        <v>45505</v>
      </c>
      <c r="D742" s="22">
        <v>45535</v>
      </c>
      <c r="E742" s="23">
        <f t="shared" si="120"/>
        <v>31</v>
      </c>
      <c r="F742" s="3">
        <f t="shared" si="117"/>
        <v>56226225.20800706</v>
      </c>
      <c r="G742" s="3">
        <f t="shared" si="122"/>
        <v>6490909.5622459818</v>
      </c>
      <c r="H742" s="3">
        <f t="shared" si="123"/>
        <v>1518108.080616191</v>
      </c>
      <c r="I742" s="3">
        <f t="shared" si="118"/>
        <v>4972801.4816297907</v>
      </c>
      <c r="J742" s="3">
        <f t="shared" si="121"/>
        <v>51253423.726377271</v>
      </c>
      <c r="K742" s="24"/>
      <c r="L742" s="24">
        <f t="shared" si="119"/>
        <v>73214184.440006033</v>
      </c>
    </row>
    <row r="743" spans="1:16" x14ac:dyDescent="0.35">
      <c r="B743" s="1">
        <v>40</v>
      </c>
      <c r="C743" s="22">
        <v>45536</v>
      </c>
      <c r="D743" s="22">
        <v>45565</v>
      </c>
      <c r="E743" s="23">
        <f t="shared" si="120"/>
        <v>30</v>
      </c>
      <c r="F743" s="3">
        <f t="shared" si="117"/>
        <v>51253423.726377271</v>
      </c>
      <c r="G743" s="3">
        <f t="shared" si="122"/>
        <v>6490909.5622459818</v>
      </c>
      <c r="H743" s="3">
        <f t="shared" si="123"/>
        <v>1383842.4406121867</v>
      </c>
      <c r="I743" s="3">
        <f t="shared" si="118"/>
        <v>5107067.1216337951</v>
      </c>
      <c r="J743" s="3">
        <f t="shared" si="121"/>
        <v>46146356.604743473</v>
      </c>
      <c r="K743" s="24"/>
      <c r="L743" s="24">
        <f t="shared" si="119"/>
        <v>79705094.002252012</v>
      </c>
    </row>
    <row r="744" spans="1:16" x14ac:dyDescent="0.35">
      <c r="B744" s="1">
        <v>41</v>
      </c>
      <c r="C744" s="22">
        <f>D743+1</f>
        <v>45566</v>
      </c>
      <c r="D744" s="22">
        <v>45596</v>
      </c>
      <c r="E744" s="23">
        <f t="shared" si="120"/>
        <v>31</v>
      </c>
      <c r="F744" s="3">
        <f t="shared" si="117"/>
        <v>46146356.604743473</v>
      </c>
      <c r="G744" s="3">
        <f t="shared" si="122"/>
        <v>6490909.5622459818</v>
      </c>
      <c r="H744" s="3">
        <f t="shared" si="123"/>
        <v>1245951.628328074</v>
      </c>
      <c r="I744" s="3">
        <f t="shared" si="118"/>
        <v>5244957.933917908</v>
      </c>
      <c r="J744" s="3">
        <f t="shared" si="121"/>
        <v>40901398.670825563</v>
      </c>
      <c r="K744" s="24"/>
      <c r="L744" s="27">
        <f t="shared" si="119"/>
        <v>86196003.564497992</v>
      </c>
    </row>
    <row r="745" spans="1:16" x14ac:dyDescent="0.35">
      <c r="B745" s="1">
        <v>42</v>
      </c>
      <c r="C745" s="22">
        <v>45597</v>
      </c>
      <c r="D745" s="22">
        <v>45626</v>
      </c>
      <c r="E745" s="23">
        <f t="shared" si="120"/>
        <v>30</v>
      </c>
      <c r="F745" s="3">
        <f t="shared" si="117"/>
        <v>40901398.670825563</v>
      </c>
      <c r="G745" s="3">
        <f t="shared" si="122"/>
        <v>6490909.5622459818</v>
      </c>
      <c r="H745" s="3">
        <f t="shared" si="123"/>
        <v>1104337.7641122905</v>
      </c>
      <c r="I745" s="3">
        <f t="shared" si="118"/>
        <v>5386571.7981336918</v>
      </c>
      <c r="J745" s="3">
        <f t="shared" si="121"/>
        <v>35514826.87269187</v>
      </c>
      <c r="K745" s="24"/>
      <c r="L745" s="24"/>
    </row>
    <row r="746" spans="1:16" x14ac:dyDescent="0.35">
      <c r="B746" s="1">
        <v>43</v>
      </c>
      <c r="C746" s="22">
        <f>D745+1</f>
        <v>45627</v>
      </c>
      <c r="D746" s="22">
        <v>45657</v>
      </c>
      <c r="E746" s="23">
        <f t="shared" si="120"/>
        <v>31</v>
      </c>
      <c r="F746" s="3">
        <f t="shared" si="117"/>
        <v>35514826.87269187</v>
      </c>
      <c r="G746" s="3">
        <f t="shared" si="122"/>
        <v>6490909.5622459818</v>
      </c>
      <c r="H746" s="3">
        <f t="shared" si="123"/>
        <v>958900.32556268061</v>
      </c>
      <c r="I746" s="3">
        <f t="shared" si="118"/>
        <v>5532009.2366833016</v>
      </c>
      <c r="J746" s="3">
        <f t="shared" si="121"/>
        <v>29982817.636008568</v>
      </c>
      <c r="K746" s="24"/>
      <c r="L746" s="24"/>
    </row>
    <row r="747" spans="1:16" x14ac:dyDescent="0.35">
      <c r="B747" s="1">
        <v>44</v>
      </c>
      <c r="C747" s="22">
        <v>45658</v>
      </c>
      <c r="D747" s="22">
        <v>45688</v>
      </c>
      <c r="E747" s="23">
        <f t="shared" si="120"/>
        <v>31</v>
      </c>
      <c r="F747" s="3">
        <f t="shared" si="117"/>
        <v>29982817.636008568</v>
      </c>
      <c r="G747" s="3">
        <f t="shared" si="122"/>
        <v>6490909.5622459818</v>
      </c>
      <c r="H747" s="3">
        <f t="shared" si="123"/>
        <v>809536.07617223158</v>
      </c>
      <c r="I747" s="3">
        <f t="shared" si="118"/>
        <v>5681373.4860737501</v>
      </c>
      <c r="J747" s="3">
        <f t="shared" si="121"/>
        <v>24301444.149934817</v>
      </c>
      <c r="K747" s="24"/>
      <c r="L747" s="24"/>
    </row>
    <row r="748" spans="1:16" x14ac:dyDescent="0.35">
      <c r="B748" s="1">
        <v>45</v>
      </c>
      <c r="C748" s="22">
        <f>D747+1</f>
        <v>45689</v>
      </c>
      <c r="D748" s="22">
        <v>45716</v>
      </c>
      <c r="E748" s="23">
        <f t="shared" si="120"/>
        <v>28</v>
      </c>
      <c r="F748" s="3">
        <f t="shared" si="117"/>
        <v>24301444.149934817</v>
      </c>
      <c r="G748" s="3">
        <f t="shared" si="122"/>
        <v>6490909.5622459818</v>
      </c>
      <c r="H748" s="3">
        <f t="shared" si="123"/>
        <v>656138.99204824015</v>
      </c>
      <c r="I748" s="3">
        <f t="shared" si="118"/>
        <v>5834770.5701977415</v>
      </c>
      <c r="J748" s="3">
        <f t="shared" si="121"/>
        <v>18466673.579737075</v>
      </c>
      <c r="K748" s="24"/>
      <c r="L748" s="24"/>
    </row>
    <row r="749" spans="1:16" x14ac:dyDescent="0.35">
      <c r="B749" s="1">
        <v>46</v>
      </c>
      <c r="C749" s="22">
        <v>45717</v>
      </c>
      <c r="D749" s="22">
        <v>45747</v>
      </c>
      <c r="E749" s="23">
        <f t="shared" si="120"/>
        <v>31</v>
      </c>
      <c r="F749" s="3">
        <f t="shared" si="117"/>
        <v>18466673.579737075</v>
      </c>
      <c r="G749" s="3">
        <f t="shared" si="122"/>
        <v>6490909.5622459818</v>
      </c>
      <c r="H749" s="3">
        <f t="shared" si="123"/>
        <v>498600.18665290112</v>
      </c>
      <c r="I749" s="3">
        <f t="shared" si="118"/>
        <v>5992309.3755930811</v>
      </c>
      <c r="J749" s="3">
        <f t="shared" si="121"/>
        <v>12474364.204143994</v>
      </c>
      <c r="K749" s="24"/>
      <c r="L749" s="24"/>
    </row>
    <row r="750" spans="1:16" x14ac:dyDescent="0.35">
      <c r="B750" s="1">
        <v>47</v>
      </c>
      <c r="C750" s="22">
        <f>D749+1</f>
        <v>45748</v>
      </c>
      <c r="D750" s="22">
        <v>45777</v>
      </c>
      <c r="E750" s="23">
        <f t="shared" si="120"/>
        <v>30</v>
      </c>
      <c r="F750" s="3">
        <f t="shared" si="117"/>
        <v>12474364.204143994</v>
      </c>
      <c r="G750" s="3">
        <f t="shared" si="122"/>
        <v>6490909.5622459818</v>
      </c>
      <c r="H750" s="3">
        <f t="shared" si="123"/>
        <v>336807.83351188787</v>
      </c>
      <c r="I750" s="3">
        <f t="shared" si="118"/>
        <v>6154101.7287340937</v>
      </c>
      <c r="J750" s="3">
        <f t="shared" si="121"/>
        <v>6320262.4754098998</v>
      </c>
      <c r="K750" s="24"/>
      <c r="L750" s="24"/>
    </row>
    <row r="751" spans="1:16" x14ac:dyDescent="0.35">
      <c r="B751" s="1">
        <v>48</v>
      </c>
      <c r="C751" s="22">
        <v>45778</v>
      </c>
      <c r="D751" s="22">
        <v>45808</v>
      </c>
      <c r="E751" s="23">
        <f t="shared" si="120"/>
        <v>31</v>
      </c>
      <c r="F751" s="3">
        <f t="shared" si="117"/>
        <v>6320262.4754098998</v>
      </c>
      <c r="G751" s="3">
        <f t="shared" si="122"/>
        <v>6490909.5622459818</v>
      </c>
      <c r="H751" s="3">
        <f t="shared" si="123"/>
        <v>170647.08683606735</v>
      </c>
      <c r="I751" s="3">
        <f t="shared" si="118"/>
        <v>6320262.4754099147</v>
      </c>
      <c r="J751" s="3">
        <f t="shared" si="121"/>
        <v>-1.4901161193847656E-8</v>
      </c>
      <c r="K751" s="24"/>
      <c r="L751" s="24"/>
    </row>
    <row r="752" spans="1:16" x14ac:dyDescent="0.35">
      <c r="B752" s="1"/>
      <c r="C752" s="22"/>
      <c r="D752" s="22"/>
      <c r="E752" s="23"/>
      <c r="F752" s="3"/>
      <c r="G752" s="3"/>
      <c r="H752" s="3"/>
      <c r="I752" s="3"/>
      <c r="J752" s="3"/>
      <c r="K752" s="24"/>
      <c r="L752" s="24"/>
    </row>
    <row r="753" spans="1:19" x14ac:dyDescent="0.35">
      <c r="B753" s="1"/>
      <c r="C753" s="1"/>
      <c r="D753" s="1"/>
      <c r="E753" s="28">
        <f>SUM(E703:E751)</f>
        <v>1473</v>
      </c>
      <c r="F753" s="3"/>
      <c r="G753" s="3"/>
      <c r="H753" s="3"/>
      <c r="I753" s="3"/>
      <c r="J753" s="3"/>
      <c r="K753" s="1"/>
      <c r="L753" s="1"/>
    </row>
    <row r="754" spans="1:19" x14ac:dyDescent="0.35">
      <c r="B754" s="1"/>
      <c r="C754" s="8"/>
      <c r="D754" s="3"/>
      <c r="E754" s="3"/>
      <c r="F754" s="3"/>
      <c r="G754" s="3"/>
      <c r="H754" s="3"/>
      <c r="I754" s="3"/>
      <c r="J754" s="231"/>
      <c r="K754" s="3"/>
      <c r="L754" s="231"/>
      <c r="M754" s="231"/>
      <c r="N754" s="231"/>
    </row>
    <row r="756" spans="1:19" s="7" customFormat="1" x14ac:dyDescent="0.35">
      <c r="A756" s="6"/>
      <c r="B756" s="1"/>
      <c r="C756" s="8" t="s">
        <v>785</v>
      </c>
      <c r="D756" s="3"/>
      <c r="E756" s="3"/>
      <c r="F756" s="3"/>
      <c r="G756" s="3"/>
      <c r="H756" s="3"/>
      <c r="I756" s="231" t="s">
        <v>827</v>
      </c>
      <c r="J756" s="3" t="s">
        <v>828</v>
      </c>
      <c r="K756" s="231" t="s">
        <v>829</v>
      </c>
      <c r="L756" s="231" t="s">
        <v>830</v>
      </c>
      <c r="M756" s="231" t="s">
        <v>831</v>
      </c>
      <c r="N756" s="6"/>
      <c r="O756" s="6"/>
      <c r="R756" s="438" t="s">
        <v>832</v>
      </c>
      <c r="S756" s="432" t="str">
        <f>IFERROR(INDEX(Blocks!$I$2:$I$101,MATCH(12,Blocks!$A$2:$A$101,0)),"")</f>
        <v>000104420000012</v>
      </c>
    </row>
    <row r="757" spans="1:19" s="7" customFormat="1" x14ac:dyDescent="0.35">
      <c r="A757" s="6"/>
      <c r="B757" s="1"/>
      <c r="C757" s="1"/>
      <c r="D757" s="3" t="s">
        <v>884</v>
      </c>
      <c r="E757" s="3"/>
      <c r="F757" s="3"/>
      <c r="G757" s="3"/>
      <c r="H757" s="230">
        <v>44805</v>
      </c>
      <c r="I757" s="231">
        <v>44866</v>
      </c>
      <c r="J757" s="230">
        <v>44896</v>
      </c>
      <c r="K757" s="230">
        <v>45047</v>
      </c>
      <c r="L757" s="230">
        <v>45108</v>
      </c>
      <c r="M757" s="230">
        <v>45139</v>
      </c>
      <c r="N757" s="6"/>
      <c r="O757" s="6"/>
      <c r="R757" s="438" t="s">
        <v>834</v>
      </c>
      <c r="S757" s="432" t="str">
        <f>IFERROR(INDEX(Blocks!$H$2:$H$101,MATCH(12,Blocks!$A$2:$A$101,0)),"")</f>
        <v>Nature's Gift Limited</v>
      </c>
    </row>
    <row r="758" spans="1:19" s="7" customFormat="1" x14ac:dyDescent="0.35">
      <c r="A758" s="6"/>
      <c r="B758" s="1"/>
      <c r="C758" s="9" t="s">
        <v>835</v>
      </c>
      <c r="D758" s="10">
        <v>85000000</v>
      </c>
      <c r="E758" s="3"/>
      <c r="F758" s="267" t="s">
        <v>835</v>
      </c>
      <c r="G758" s="10">
        <v>75638638.30036813</v>
      </c>
      <c r="H758" s="231" t="s">
        <v>836</v>
      </c>
      <c r="I758" s="231" t="s">
        <v>836</v>
      </c>
      <c r="J758" s="231" t="s">
        <v>836</v>
      </c>
      <c r="K758" s="231" t="s">
        <v>836</v>
      </c>
      <c r="L758" s="231" t="s">
        <v>836</v>
      </c>
      <c r="M758" s="231" t="s">
        <v>836</v>
      </c>
      <c r="N758" s="6"/>
      <c r="O758" s="6"/>
      <c r="R758" s="438" t="s">
        <v>223</v>
      </c>
      <c r="S758" s="433">
        <f>IFERROR(INDEX('E-Banker master'!$N$2:$N$186,MATCH(S756,'E-Banker master'!$A$2:$A$186,0)),"")</f>
        <v>85000000</v>
      </c>
    </row>
    <row r="759" spans="1:19" s="7" customFormat="1" x14ac:dyDescent="0.35">
      <c r="A759" s="6"/>
      <c r="B759" s="1"/>
      <c r="C759" s="11" t="s">
        <v>837</v>
      </c>
      <c r="D759" s="12">
        <v>0.18</v>
      </c>
      <c r="E759" s="13"/>
      <c r="F759" s="268" t="s">
        <v>837</v>
      </c>
      <c r="G759" s="266">
        <v>0.19500000000000001</v>
      </c>
      <c r="H759" s="13">
        <f>G759+0.4%</f>
        <v>0.19900000000000001</v>
      </c>
      <c r="I759" s="3">
        <f>H759+2.7%</f>
        <v>0.22600000000000001</v>
      </c>
      <c r="J759" s="13">
        <f>I759+0.7%</f>
        <v>0.23300000000000001</v>
      </c>
      <c r="K759" s="13">
        <f>J759+2.7%</f>
        <v>0.26</v>
      </c>
      <c r="L759" s="13">
        <f>K759+1.4%</f>
        <v>0.27400000000000002</v>
      </c>
      <c r="M759" s="13">
        <f>L759+1.3%</f>
        <v>0.28700000000000003</v>
      </c>
      <c r="N759" s="6"/>
      <c r="O759" s="6"/>
      <c r="R759" s="438" t="s">
        <v>52</v>
      </c>
      <c r="S759" s="433">
        <f>IFERROR(INDEX('E-Banker master'!$P$2:$P$186,MATCH(S756,'E-Banker master'!$A$2:$A$186,0)),"")</f>
        <v>42742352.289999999</v>
      </c>
    </row>
    <row r="760" spans="1:19" s="7" customFormat="1" ht="14" x14ac:dyDescent="0.3">
      <c r="A760" s="6"/>
      <c r="B760" s="1"/>
      <c r="C760" s="11" t="s">
        <v>838</v>
      </c>
      <c r="D760" s="14">
        <v>5</v>
      </c>
      <c r="E760" s="1"/>
      <c r="F760" s="268" t="s">
        <v>838</v>
      </c>
      <c r="G760" s="266">
        <v>5</v>
      </c>
      <c r="H760" s="3"/>
      <c r="I760" s="3"/>
      <c r="J760" s="3"/>
      <c r="K760" s="1"/>
      <c r="L760" s="1"/>
      <c r="N760" s="6"/>
      <c r="O760" s="6"/>
    </row>
    <row r="761" spans="1:19" s="7" customFormat="1" ht="14" x14ac:dyDescent="0.3">
      <c r="A761" s="6"/>
      <c r="B761" s="1"/>
      <c r="C761" s="11" t="s">
        <v>839</v>
      </c>
      <c r="D761" s="14">
        <v>12</v>
      </c>
      <c r="E761" s="1"/>
      <c r="F761" s="268" t="s">
        <v>839</v>
      </c>
      <c r="G761" s="266">
        <v>12</v>
      </c>
      <c r="H761" s="3" t="s">
        <v>840</v>
      </c>
      <c r="I761" s="3" t="s">
        <v>841</v>
      </c>
      <c r="J761" s="231" t="s">
        <v>842</v>
      </c>
      <c r="K761" s="231" t="s">
        <v>855</v>
      </c>
      <c r="L761" s="351" t="s">
        <v>856</v>
      </c>
      <c r="M761" s="351" t="s">
        <v>877</v>
      </c>
      <c r="N761" s="351" t="s">
        <v>885</v>
      </c>
      <c r="O761" s="6"/>
    </row>
    <row r="762" spans="1:19" x14ac:dyDescent="0.35">
      <c r="B762" s="1"/>
      <c r="C762" s="11" t="s">
        <v>843</v>
      </c>
      <c r="D762" s="15">
        <v>56</v>
      </c>
      <c r="E762" s="1"/>
      <c r="F762" s="268" t="s">
        <v>843</v>
      </c>
      <c r="G762" s="266">
        <v>47</v>
      </c>
      <c r="H762" s="230">
        <v>45170</v>
      </c>
      <c r="I762" s="231">
        <v>45200</v>
      </c>
      <c r="J762" s="230">
        <v>45261</v>
      </c>
      <c r="K762" s="230">
        <v>44958</v>
      </c>
      <c r="L762" s="352">
        <v>45413</v>
      </c>
      <c r="M762" s="352">
        <v>45444</v>
      </c>
      <c r="N762" s="352">
        <v>45444</v>
      </c>
    </row>
    <row r="763" spans="1:19" x14ac:dyDescent="0.35">
      <c r="B763" s="1"/>
      <c r="C763" s="11" t="s">
        <v>844</v>
      </c>
      <c r="D763" s="16">
        <v>365</v>
      </c>
      <c r="E763" s="1"/>
      <c r="F763" s="268" t="s">
        <v>844</v>
      </c>
      <c r="G763" s="266">
        <v>365</v>
      </c>
      <c r="H763" s="231" t="s">
        <v>836</v>
      </c>
      <c r="I763" s="231" t="s">
        <v>836</v>
      </c>
      <c r="J763" s="231" t="s">
        <v>836</v>
      </c>
      <c r="K763" s="231" t="s">
        <v>836</v>
      </c>
      <c r="L763" s="351" t="s">
        <v>836</v>
      </c>
      <c r="M763" s="351" t="s">
        <v>836</v>
      </c>
      <c r="N763" s="351" t="s">
        <v>836</v>
      </c>
    </row>
    <row r="764" spans="1:19" x14ac:dyDescent="0.35">
      <c r="B764" s="1"/>
      <c r="C764" s="17" t="s">
        <v>845</v>
      </c>
      <c r="D764" s="18">
        <f>-PMT(D759/D761,D762,D758,0,0)</f>
        <v>2254290.3939651703</v>
      </c>
      <c r="E764" s="3"/>
      <c r="F764" s="269" t="s">
        <v>845</v>
      </c>
      <c r="G764" s="18">
        <f>-PMT(G759/G761,G762,G758,0,0)</f>
        <v>2313805.0872439048</v>
      </c>
      <c r="H764" s="13">
        <f>M759+0.7%</f>
        <v>0.29400000000000004</v>
      </c>
      <c r="I764" s="3">
        <f>H764+0.1%</f>
        <v>0.29500000000000004</v>
      </c>
      <c r="J764" s="13">
        <f>I764+0.1%</f>
        <v>0.29600000000000004</v>
      </c>
      <c r="K764" s="13">
        <f>J764+1.3%</f>
        <v>0.30900000000000005</v>
      </c>
      <c r="L764" s="350">
        <f>+K764+0.1%</f>
        <v>0.31000000000000005</v>
      </c>
      <c r="M764" s="350">
        <f>+L764+0.1%</f>
        <v>0.31100000000000005</v>
      </c>
      <c r="N764" s="350">
        <f>+M764+0.3%</f>
        <v>0.31400000000000006</v>
      </c>
    </row>
    <row r="765" spans="1:19" x14ac:dyDescent="0.35">
      <c r="B765" s="1"/>
      <c r="C765" s="1"/>
      <c r="D765" s="3"/>
      <c r="E765" s="3"/>
      <c r="F765" s="3"/>
      <c r="G765" s="3"/>
      <c r="H765" s="3"/>
      <c r="I765" s="3"/>
      <c r="J765" s="3"/>
      <c r="K765" s="1"/>
      <c r="L765" s="1"/>
    </row>
    <row r="766" spans="1:19" x14ac:dyDescent="0.35">
      <c r="B766" s="1"/>
      <c r="C766" s="19" t="s">
        <v>846</v>
      </c>
      <c r="D766" s="20" t="s">
        <v>847</v>
      </c>
      <c r="E766" s="20" t="s">
        <v>764</v>
      </c>
      <c r="F766" s="270" t="s">
        <v>848</v>
      </c>
      <c r="G766" s="270" t="s">
        <v>849</v>
      </c>
      <c r="H766" s="270" t="s">
        <v>742</v>
      </c>
      <c r="I766" s="270" t="s">
        <v>740</v>
      </c>
      <c r="J766" s="270" t="s">
        <v>850</v>
      </c>
      <c r="K766" s="21" t="s">
        <v>851</v>
      </c>
      <c r="L766" s="21" t="s">
        <v>852</v>
      </c>
    </row>
    <row r="767" spans="1:19" x14ac:dyDescent="0.35">
      <c r="B767" s="1">
        <v>0</v>
      </c>
      <c r="C767" s="22">
        <v>44400</v>
      </c>
      <c r="D767" s="22">
        <v>44408</v>
      </c>
      <c r="E767" s="23">
        <f t="shared" ref="E767:E798" si="124">D767-C767+1</f>
        <v>9</v>
      </c>
      <c r="F767" s="3">
        <f>D758</f>
        <v>85000000</v>
      </c>
      <c r="G767" s="3">
        <f>H767</f>
        <v>419178.08219178085</v>
      </c>
      <c r="H767" s="3">
        <f>F767*D759*10/D763</f>
        <v>419178.08219178085</v>
      </c>
      <c r="I767" s="3">
        <v>0</v>
      </c>
      <c r="J767" s="3">
        <f t="shared" ref="J767:J798" si="125">F767-I767</f>
        <v>85000000</v>
      </c>
      <c r="K767" s="24"/>
      <c r="L767" s="24"/>
      <c r="N767" s="32"/>
    </row>
    <row r="768" spans="1:19" x14ac:dyDescent="0.35">
      <c r="B768" s="1">
        <v>1</v>
      </c>
      <c r="C768" s="22">
        <v>44409</v>
      </c>
      <c r="D768" s="22">
        <v>44439</v>
      </c>
      <c r="E768" s="23">
        <f t="shared" si="124"/>
        <v>31</v>
      </c>
      <c r="F768" s="3">
        <f t="shared" ref="F768:F799" si="126">J767</f>
        <v>85000000</v>
      </c>
      <c r="G768" s="3">
        <f t="shared" ref="G768:G776" si="127">-PMT($D$759/$D$761,56,$F$767,,0)</f>
        <v>2254290.3939651703</v>
      </c>
      <c r="H768" s="3">
        <f t="shared" ref="H768:H776" si="128">$D$759*F768/$D$761</f>
        <v>1275000</v>
      </c>
      <c r="I768" s="3">
        <f t="shared" ref="I768:I799" si="129">G768-H768</f>
        <v>979290.39396517025</v>
      </c>
      <c r="J768" s="3">
        <f t="shared" si="125"/>
        <v>84020709.60603483</v>
      </c>
      <c r="K768" s="24"/>
      <c r="L768" s="24"/>
    </row>
    <row r="769" spans="1:15" x14ac:dyDescent="0.35">
      <c r="B769" s="1">
        <v>2</v>
      </c>
      <c r="C769" s="22">
        <v>44440</v>
      </c>
      <c r="D769" s="22">
        <v>44469</v>
      </c>
      <c r="E769" s="23">
        <f t="shared" si="124"/>
        <v>30</v>
      </c>
      <c r="F769" s="3">
        <f t="shared" si="126"/>
        <v>84020709.60603483</v>
      </c>
      <c r="G769" s="3">
        <f t="shared" si="127"/>
        <v>2254290.3939651703</v>
      </c>
      <c r="H769" s="3">
        <f t="shared" si="128"/>
        <v>1260310.6440905223</v>
      </c>
      <c r="I769" s="3">
        <f t="shared" si="129"/>
        <v>993979.74987464794</v>
      </c>
      <c r="J769" s="3">
        <f t="shared" si="125"/>
        <v>83026729.856160179</v>
      </c>
      <c r="K769" s="24"/>
      <c r="L769" s="26"/>
    </row>
    <row r="770" spans="1:15" x14ac:dyDescent="0.35">
      <c r="B770" s="1">
        <v>3</v>
      </c>
      <c r="C770" s="22">
        <v>44470</v>
      </c>
      <c r="D770" s="22">
        <v>44500</v>
      </c>
      <c r="E770" s="23">
        <f t="shared" si="124"/>
        <v>31</v>
      </c>
      <c r="F770" s="3">
        <f t="shared" si="126"/>
        <v>83026729.856160179</v>
      </c>
      <c r="G770" s="3">
        <f t="shared" si="127"/>
        <v>2254290.3939651703</v>
      </c>
      <c r="H770" s="3">
        <f t="shared" si="128"/>
        <v>1245400.9478424026</v>
      </c>
      <c r="I770" s="3">
        <f t="shared" si="129"/>
        <v>1008889.4461227676</v>
      </c>
      <c r="J770" s="3">
        <f t="shared" si="125"/>
        <v>82017840.410037413</v>
      </c>
      <c r="K770" s="24"/>
      <c r="L770" s="26"/>
    </row>
    <row r="771" spans="1:15" x14ac:dyDescent="0.35">
      <c r="B771" s="1">
        <v>4</v>
      </c>
      <c r="C771" s="22">
        <v>44501</v>
      </c>
      <c r="D771" s="22">
        <v>44530</v>
      </c>
      <c r="E771" s="23">
        <f t="shared" si="124"/>
        <v>30</v>
      </c>
      <c r="F771" s="3">
        <f t="shared" si="126"/>
        <v>82017840.410037413</v>
      </c>
      <c r="G771" s="3">
        <f t="shared" si="127"/>
        <v>2254290.3939651703</v>
      </c>
      <c r="H771" s="3">
        <f t="shared" si="128"/>
        <v>1230267.6061505612</v>
      </c>
      <c r="I771" s="3">
        <f t="shared" si="129"/>
        <v>1024022.787814609</v>
      </c>
      <c r="J771" s="3">
        <f t="shared" si="125"/>
        <v>80993817.622222811</v>
      </c>
      <c r="K771" s="24"/>
      <c r="L771" s="24"/>
    </row>
    <row r="772" spans="1:15" x14ac:dyDescent="0.35">
      <c r="B772" s="1">
        <v>5</v>
      </c>
      <c r="C772" s="22">
        <v>44531</v>
      </c>
      <c r="D772" s="22">
        <v>44561</v>
      </c>
      <c r="E772" s="23">
        <f t="shared" si="124"/>
        <v>31</v>
      </c>
      <c r="F772" s="3">
        <f t="shared" si="126"/>
        <v>80993817.622222811</v>
      </c>
      <c r="G772" s="3">
        <f t="shared" si="127"/>
        <v>2254290.3939651703</v>
      </c>
      <c r="H772" s="3">
        <f t="shared" si="128"/>
        <v>1214907.264333342</v>
      </c>
      <c r="I772" s="3">
        <f t="shared" si="129"/>
        <v>1039383.1296318283</v>
      </c>
      <c r="J772" s="3">
        <f t="shared" si="125"/>
        <v>79954434.492590979</v>
      </c>
      <c r="K772" s="24"/>
      <c r="L772" s="24"/>
    </row>
    <row r="773" spans="1:15" x14ac:dyDescent="0.35">
      <c r="B773" s="1">
        <v>6</v>
      </c>
      <c r="C773" s="22">
        <v>44562</v>
      </c>
      <c r="D773" s="22">
        <v>44592</v>
      </c>
      <c r="E773" s="23">
        <f t="shared" si="124"/>
        <v>31</v>
      </c>
      <c r="F773" s="3">
        <f t="shared" si="126"/>
        <v>79954434.492590979</v>
      </c>
      <c r="G773" s="3">
        <f t="shared" si="127"/>
        <v>2254290.3939651703</v>
      </c>
      <c r="H773" s="3">
        <f t="shared" si="128"/>
        <v>1199316.5173888647</v>
      </c>
      <c r="I773" s="3">
        <f t="shared" si="129"/>
        <v>1054973.8765763056</v>
      </c>
      <c r="J773" s="3">
        <f t="shared" si="125"/>
        <v>78899460.616014674</v>
      </c>
      <c r="K773" s="24"/>
      <c r="L773" s="24">
        <f>SUM(G767:G773)</f>
        <v>13944920.445982801</v>
      </c>
      <c r="M773" s="7">
        <f>L773*2</f>
        <v>27889840.891965602</v>
      </c>
    </row>
    <row r="774" spans="1:15" x14ac:dyDescent="0.35">
      <c r="B774" s="1">
        <v>7</v>
      </c>
      <c r="C774" s="22">
        <v>44593</v>
      </c>
      <c r="D774" s="22">
        <v>44620</v>
      </c>
      <c r="E774" s="23">
        <f t="shared" si="124"/>
        <v>28</v>
      </c>
      <c r="F774" s="3">
        <f t="shared" si="126"/>
        <v>78899460.616014674</v>
      </c>
      <c r="G774" s="3">
        <f t="shared" si="127"/>
        <v>2254290.3939651703</v>
      </c>
      <c r="H774" s="3">
        <f t="shared" si="128"/>
        <v>1183491.90924022</v>
      </c>
      <c r="I774" s="3">
        <f t="shared" si="129"/>
        <v>1070798.4847249503</v>
      </c>
      <c r="J774" s="3">
        <f t="shared" si="125"/>
        <v>77828662.131289721</v>
      </c>
      <c r="K774" s="24"/>
      <c r="L774" s="24"/>
    </row>
    <row r="775" spans="1:15" x14ac:dyDescent="0.35">
      <c r="B775" s="1">
        <v>8</v>
      </c>
      <c r="C775" s="22">
        <v>44621</v>
      </c>
      <c r="D775" s="22">
        <v>44651</v>
      </c>
      <c r="E775" s="23">
        <f t="shared" si="124"/>
        <v>31</v>
      </c>
      <c r="F775" s="3">
        <f t="shared" si="126"/>
        <v>77828662.131289721</v>
      </c>
      <c r="G775" s="3">
        <f t="shared" si="127"/>
        <v>2254290.3939651703</v>
      </c>
      <c r="H775" s="3">
        <f t="shared" si="128"/>
        <v>1167429.9319693458</v>
      </c>
      <c r="I775" s="3">
        <f t="shared" si="129"/>
        <v>1086860.4619958245</v>
      </c>
      <c r="J775" s="3">
        <f t="shared" si="125"/>
        <v>76741801.669293895</v>
      </c>
      <c r="K775" s="24"/>
      <c r="L775" s="24"/>
    </row>
    <row r="776" spans="1:15" x14ac:dyDescent="0.35">
      <c r="B776" s="1">
        <v>9</v>
      </c>
      <c r="C776" s="22">
        <v>44652</v>
      </c>
      <c r="D776" s="22">
        <v>44681</v>
      </c>
      <c r="E776" s="23">
        <f t="shared" si="124"/>
        <v>30</v>
      </c>
      <c r="F776" s="3">
        <f t="shared" si="126"/>
        <v>76741801.669293895</v>
      </c>
      <c r="G776" s="3">
        <f t="shared" si="127"/>
        <v>2254290.3939651703</v>
      </c>
      <c r="H776" s="3">
        <f t="shared" si="128"/>
        <v>1151127.0250394084</v>
      </c>
      <c r="I776" s="3">
        <f t="shared" si="129"/>
        <v>1103163.3689257619</v>
      </c>
      <c r="J776" s="3">
        <f t="shared" si="125"/>
        <v>75638638.30036813</v>
      </c>
      <c r="K776" s="24"/>
      <c r="L776" s="24"/>
    </row>
    <row r="777" spans="1:15" x14ac:dyDescent="0.35">
      <c r="B777" s="1">
        <v>10</v>
      </c>
      <c r="C777" s="22">
        <v>44682</v>
      </c>
      <c r="D777" s="22">
        <v>44712</v>
      </c>
      <c r="E777" s="23">
        <f t="shared" si="124"/>
        <v>31</v>
      </c>
      <c r="F777" s="3">
        <f t="shared" si="126"/>
        <v>75638638.30036813</v>
      </c>
      <c r="G777" s="3">
        <f>-PMT($G$759/$D$761,47,$F$777,,0)</f>
        <v>2313805.0872439048</v>
      </c>
      <c r="H777" s="3">
        <f>$G$759*F777/$D$761</f>
        <v>1229127.8723809822</v>
      </c>
      <c r="I777" s="3">
        <f t="shared" si="129"/>
        <v>1084677.2148629227</v>
      </c>
      <c r="J777" s="3">
        <f t="shared" si="125"/>
        <v>74553961.085505202</v>
      </c>
      <c r="K777" s="24"/>
      <c r="L777" s="24"/>
    </row>
    <row r="778" spans="1:15" s="7" customFormat="1" ht="14" x14ac:dyDescent="0.3">
      <c r="A778" s="6"/>
      <c r="B778" s="1">
        <v>11</v>
      </c>
      <c r="C778" s="22">
        <v>44713</v>
      </c>
      <c r="D778" s="22">
        <v>44742</v>
      </c>
      <c r="E778" s="23">
        <f t="shared" si="124"/>
        <v>30</v>
      </c>
      <c r="F778" s="3">
        <f t="shared" si="126"/>
        <v>74553961.085505202</v>
      </c>
      <c r="G778" s="3">
        <f>-PMT($G$759/$D$761,47,$F$777,,0)</f>
        <v>2313805.0872439048</v>
      </c>
      <c r="H778" s="3">
        <f>$G$759*F778/$D$761</f>
        <v>1211501.8676394594</v>
      </c>
      <c r="I778" s="3">
        <f t="shared" si="129"/>
        <v>1102303.2196044454</v>
      </c>
      <c r="J778" s="3">
        <f t="shared" si="125"/>
        <v>73451657.865900755</v>
      </c>
      <c r="K778" s="24"/>
      <c r="L778" s="24"/>
      <c r="N778" s="6"/>
      <c r="O778" s="6"/>
    </row>
    <row r="779" spans="1:15" s="7" customFormat="1" ht="14" x14ac:dyDescent="0.3">
      <c r="A779" s="6"/>
      <c r="B779" s="1">
        <v>12</v>
      </c>
      <c r="C779" s="22">
        <v>44743</v>
      </c>
      <c r="D779" s="22">
        <v>44773</v>
      </c>
      <c r="E779" s="23">
        <f t="shared" si="124"/>
        <v>31</v>
      </c>
      <c r="F779" s="3">
        <f t="shared" si="126"/>
        <v>73451657.865900755</v>
      </c>
      <c r="G779" s="3">
        <f>-PMT($G$759/$D$761,47,$F$777,,0)</f>
        <v>2313805.0872439048</v>
      </c>
      <c r="H779" s="3">
        <f>$G$759*F779/$D$761</f>
        <v>1193589.4403208874</v>
      </c>
      <c r="I779" s="3">
        <f t="shared" si="129"/>
        <v>1120215.6469230175</v>
      </c>
      <c r="J779" s="3">
        <f t="shared" si="125"/>
        <v>72331442.218977734</v>
      </c>
      <c r="K779" s="24">
        <v>27889840.890000001</v>
      </c>
      <c r="L779" s="24">
        <f>SUM(G767:G779)-K779</f>
        <v>-240634.00038997829</v>
      </c>
      <c r="N779" s="6"/>
      <c r="O779" s="6"/>
    </row>
    <row r="780" spans="1:15" s="7" customFormat="1" ht="14" x14ac:dyDescent="0.3">
      <c r="A780" s="6"/>
      <c r="B780" s="1">
        <v>13</v>
      </c>
      <c r="C780" s="22">
        <v>44774</v>
      </c>
      <c r="D780" s="22">
        <v>44804</v>
      </c>
      <c r="E780" s="23">
        <f t="shared" si="124"/>
        <v>31</v>
      </c>
      <c r="F780" s="3">
        <f t="shared" si="126"/>
        <v>72331442.218977734</v>
      </c>
      <c r="G780" s="3">
        <f>-PMT($G$759/$D$761,47,$F$777,,0)</f>
        <v>2313805.0872439048</v>
      </c>
      <c r="H780" s="3">
        <f>$G$759*F780/$D$761</f>
        <v>1175385.9360583883</v>
      </c>
      <c r="I780" s="3">
        <f t="shared" si="129"/>
        <v>1138419.1511855165</v>
      </c>
      <c r="J780" s="142">
        <f t="shared" si="125"/>
        <v>71193023.067792222</v>
      </c>
      <c r="K780" s="24"/>
      <c r="L780" s="24"/>
      <c r="N780" s="6"/>
      <c r="O780" s="6"/>
    </row>
    <row r="781" spans="1:15" s="7" customFormat="1" ht="14" x14ac:dyDescent="0.3">
      <c r="A781" s="6"/>
      <c r="B781" s="1">
        <v>14</v>
      </c>
      <c r="C781" s="22">
        <v>44805</v>
      </c>
      <c r="D781" s="22">
        <v>44834</v>
      </c>
      <c r="E781" s="23">
        <f t="shared" si="124"/>
        <v>30</v>
      </c>
      <c r="F781" s="3">
        <f t="shared" si="126"/>
        <v>71193023.067792222</v>
      </c>
      <c r="G781" s="3">
        <f>-PMT($H$759/$D$761,43,$F$781,,0)</f>
        <v>2328658.9649293819</v>
      </c>
      <c r="H781" s="3">
        <f>$H$759*F781/$D$761</f>
        <v>1180617.6325408877</v>
      </c>
      <c r="I781" s="3">
        <f t="shared" si="129"/>
        <v>1148041.3323884942</v>
      </c>
      <c r="J781" s="142">
        <f t="shared" si="125"/>
        <v>70044981.735403731</v>
      </c>
      <c r="K781" s="24"/>
      <c r="L781" s="24"/>
      <c r="N781" s="6"/>
      <c r="O781" s="6"/>
    </row>
    <row r="782" spans="1:15" s="7" customFormat="1" ht="14" x14ac:dyDescent="0.3">
      <c r="A782" s="6"/>
      <c r="B782" s="1">
        <v>15</v>
      </c>
      <c r="C782" s="22">
        <v>44835</v>
      </c>
      <c r="D782" s="22">
        <v>44865</v>
      </c>
      <c r="E782" s="23">
        <f t="shared" si="124"/>
        <v>31</v>
      </c>
      <c r="F782" s="3">
        <f t="shared" si="126"/>
        <v>70044981.735403731</v>
      </c>
      <c r="G782" s="3">
        <f>-PMT($H$759/$D$761,43,$F$781,,0)</f>
        <v>2328658.9649293819</v>
      </c>
      <c r="H782" s="3">
        <f>$H$759*F782/$D$761</f>
        <v>1161579.2804454453</v>
      </c>
      <c r="I782" s="3">
        <f t="shared" si="129"/>
        <v>1167079.6844839365</v>
      </c>
      <c r="J782" s="142">
        <f t="shared" si="125"/>
        <v>68877902.050919801</v>
      </c>
      <c r="K782" s="24"/>
      <c r="L782" s="24"/>
      <c r="N782" s="6"/>
      <c r="O782" s="6"/>
    </row>
    <row r="783" spans="1:15" s="7" customFormat="1" ht="14" x14ac:dyDescent="0.3">
      <c r="A783" s="6"/>
      <c r="B783" s="1">
        <v>16</v>
      </c>
      <c r="C783" s="22">
        <v>44866</v>
      </c>
      <c r="D783" s="22">
        <v>44895</v>
      </c>
      <c r="E783" s="23">
        <f t="shared" si="124"/>
        <v>30</v>
      </c>
      <c r="F783" s="3">
        <f t="shared" si="126"/>
        <v>68877902.050919801</v>
      </c>
      <c r="G783" s="3">
        <f>-PMT($I$759/$D$761,41,$F$783,,0)</f>
        <v>2426218.8788967393</v>
      </c>
      <c r="H783" s="3">
        <f>$I$759*F783/$D$761</f>
        <v>1297200.4886256563</v>
      </c>
      <c r="I783" s="3">
        <f t="shared" si="129"/>
        <v>1129018.390271083</v>
      </c>
      <c r="J783" s="142">
        <f t="shared" si="125"/>
        <v>67748883.660648718</v>
      </c>
      <c r="K783" s="24"/>
      <c r="L783" s="24"/>
      <c r="N783" s="6"/>
      <c r="O783" s="6"/>
    </row>
    <row r="784" spans="1:15" s="7" customFormat="1" ht="14" x14ac:dyDescent="0.3">
      <c r="A784" s="6"/>
      <c r="B784" s="1">
        <v>17</v>
      </c>
      <c r="C784" s="22">
        <v>44896</v>
      </c>
      <c r="D784" s="22">
        <v>44926</v>
      </c>
      <c r="E784" s="23">
        <f t="shared" si="124"/>
        <v>31</v>
      </c>
      <c r="F784" s="3">
        <f t="shared" si="126"/>
        <v>67748883.660648718</v>
      </c>
      <c r="G784" s="3">
        <f>-PMT($J$759/$D$761,40,$F$784,,0)</f>
        <v>2451344.6420277255</v>
      </c>
      <c r="H784" s="3">
        <f>$J$759*F784/$D$761</f>
        <v>1315457.4910775961</v>
      </c>
      <c r="I784" s="3">
        <f t="shared" si="129"/>
        <v>1135887.1509501294</v>
      </c>
      <c r="J784" s="142">
        <f t="shared" si="125"/>
        <v>66612996.509698592</v>
      </c>
      <c r="K784" s="24"/>
      <c r="L784" s="24"/>
      <c r="N784" s="6"/>
      <c r="O784" s="6"/>
    </row>
    <row r="785" spans="1:15" s="7" customFormat="1" ht="14" x14ac:dyDescent="0.3">
      <c r="A785" s="6"/>
      <c r="B785" s="1">
        <v>18</v>
      </c>
      <c r="C785" s="22">
        <v>44927</v>
      </c>
      <c r="D785" s="22">
        <v>44957</v>
      </c>
      <c r="E785" s="23">
        <f t="shared" si="124"/>
        <v>31</v>
      </c>
      <c r="F785" s="3">
        <f t="shared" si="126"/>
        <v>66612996.509698592</v>
      </c>
      <c r="G785" s="3">
        <f>-PMT($J$759/$D$761,40,$F$784,,0)</f>
        <v>2451344.6420277255</v>
      </c>
      <c r="H785" s="3">
        <f>$J$759*F785/$D$761</f>
        <v>1293402.3488966478</v>
      </c>
      <c r="I785" s="3">
        <f t="shared" si="129"/>
        <v>1157942.2931310777</v>
      </c>
      <c r="J785" s="142">
        <f t="shared" si="125"/>
        <v>65455054.216567516</v>
      </c>
      <c r="K785" s="24"/>
      <c r="L785" s="24"/>
      <c r="N785" s="6"/>
      <c r="O785" s="6"/>
    </row>
    <row r="786" spans="1:15" s="7" customFormat="1" ht="14" x14ac:dyDescent="0.3">
      <c r="A786" s="6"/>
      <c r="B786" s="1">
        <v>19</v>
      </c>
      <c r="C786" s="22">
        <v>44958</v>
      </c>
      <c r="D786" s="22">
        <v>44985</v>
      </c>
      <c r="E786" s="23">
        <f t="shared" si="124"/>
        <v>28</v>
      </c>
      <c r="F786" s="3">
        <f t="shared" si="126"/>
        <v>65455054.216567516</v>
      </c>
      <c r="G786" s="3">
        <f>-PMT($J$759/$D$761,40,$F$784,,0)</f>
        <v>2451344.6420277255</v>
      </c>
      <c r="H786" s="3">
        <f>$J$759*F786/$D$761</f>
        <v>1270918.969371686</v>
      </c>
      <c r="I786" s="3">
        <f t="shared" si="129"/>
        <v>1180425.6726560395</v>
      </c>
      <c r="J786" s="142">
        <f t="shared" si="125"/>
        <v>64274628.543911479</v>
      </c>
      <c r="K786" s="24"/>
      <c r="L786" s="24"/>
      <c r="N786" s="6"/>
      <c r="O786" s="6"/>
    </row>
    <row r="787" spans="1:15" s="7" customFormat="1" ht="14" x14ac:dyDescent="0.3">
      <c r="A787" s="6"/>
      <c r="B787" s="1">
        <v>20</v>
      </c>
      <c r="C787" s="22">
        <v>44986</v>
      </c>
      <c r="D787" s="22">
        <v>45016</v>
      </c>
      <c r="E787" s="23">
        <f t="shared" si="124"/>
        <v>31</v>
      </c>
      <c r="F787" s="3">
        <f t="shared" si="126"/>
        <v>64274628.543911479</v>
      </c>
      <c r="G787" s="3">
        <f>-PMT($J$759/$D$761,40,$F$784,,0)</f>
        <v>2451344.6420277255</v>
      </c>
      <c r="H787" s="3">
        <f>$J$759*F787/$D$761</f>
        <v>1247999.0375609479</v>
      </c>
      <c r="I787" s="3">
        <f t="shared" si="129"/>
        <v>1203345.6044667775</v>
      </c>
      <c r="J787" s="142">
        <f t="shared" si="125"/>
        <v>63071282.939444698</v>
      </c>
      <c r="K787" s="24"/>
      <c r="L787" s="24"/>
      <c r="N787" s="6"/>
      <c r="O787" s="6"/>
    </row>
    <row r="788" spans="1:15" s="7" customFormat="1" ht="14" x14ac:dyDescent="0.3">
      <c r="A788" s="6"/>
      <c r="B788" s="1">
        <v>21</v>
      </c>
      <c r="C788" s="22">
        <v>45017</v>
      </c>
      <c r="D788" s="22">
        <v>45046</v>
      </c>
      <c r="E788" s="23">
        <f t="shared" si="124"/>
        <v>30</v>
      </c>
      <c r="F788" s="3">
        <f t="shared" si="126"/>
        <v>63071282.939444698</v>
      </c>
      <c r="G788" s="3">
        <f>-PMT($J$759/$D$761,40,$F$784,,0)</f>
        <v>2451344.6420277255</v>
      </c>
      <c r="H788" s="3">
        <f>$J$759*F788/$D$761</f>
        <v>1224634.0770742178</v>
      </c>
      <c r="I788" s="3">
        <f t="shared" si="129"/>
        <v>1226710.5649535076</v>
      </c>
      <c r="J788" s="142">
        <f t="shared" si="125"/>
        <v>61844572.374491192</v>
      </c>
      <c r="K788" s="24"/>
      <c r="L788" s="24"/>
      <c r="N788" s="6"/>
      <c r="O788" s="6"/>
    </row>
    <row r="789" spans="1:15" s="7" customFormat="1" ht="14" x14ac:dyDescent="0.3">
      <c r="A789" s="6"/>
      <c r="B789" s="1">
        <v>22</v>
      </c>
      <c r="C789" s="22">
        <v>45047</v>
      </c>
      <c r="D789" s="22">
        <v>45077</v>
      </c>
      <c r="E789" s="23">
        <f t="shared" si="124"/>
        <v>31</v>
      </c>
      <c r="F789" s="3">
        <f t="shared" si="126"/>
        <v>61844572.374491192</v>
      </c>
      <c r="G789" s="3">
        <f>-PMT($K$759/$D$761,35,$F$789,,0)</f>
        <v>2539043.2222668505</v>
      </c>
      <c r="H789" s="3">
        <f>$K$759*F789/$D$761</f>
        <v>1339965.7347806424</v>
      </c>
      <c r="I789" s="3">
        <f t="shared" si="129"/>
        <v>1199077.4874862081</v>
      </c>
      <c r="J789" s="142">
        <f t="shared" si="125"/>
        <v>60645494.887004986</v>
      </c>
      <c r="K789" s="24"/>
      <c r="L789" s="24"/>
      <c r="N789" s="6"/>
      <c r="O789" s="6"/>
    </row>
    <row r="790" spans="1:15" s="7" customFormat="1" ht="14" x14ac:dyDescent="0.3">
      <c r="A790" s="6"/>
      <c r="B790" s="1">
        <v>23</v>
      </c>
      <c r="C790" s="22">
        <v>45078</v>
      </c>
      <c r="D790" s="22">
        <v>45107</v>
      </c>
      <c r="E790" s="23">
        <f t="shared" si="124"/>
        <v>30</v>
      </c>
      <c r="F790" s="3">
        <f t="shared" si="126"/>
        <v>60645494.887004986</v>
      </c>
      <c r="G790" s="3">
        <f>-PMT($K$759/$D$761,35,$F$789,,0)</f>
        <v>2539043.2222668505</v>
      </c>
      <c r="H790" s="3">
        <f>$K$759*F790/$D$761</f>
        <v>1313985.7225517747</v>
      </c>
      <c r="I790" s="3">
        <f t="shared" si="129"/>
        <v>1225057.4997150758</v>
      </c>
      <c r="J790" s="142">
        <f t="shared" si="125"/>
        <v>59420437.387289912</v>
      </c>
      <c r="K790" s="24"/>
      <c r="L790" s="24"/>
      <c r="N790" s="6"/>
      <c r="O790" s="6"/>
    </row>
    <row r="791" spans="1:15" s="7" customFormat="1" ht="14" x14ac:dyDescent="0.3">
      <c r="A791" s="6"/>
      <c r="B791" s="1">
        <v>24</v>
      </c>
      <c r="C791" s="22">
        <v>45108</v>
      </c>
      <c r="D791" s="22">
        <v>45138</v>
      </c>
      <c r="E791" s="23">
        <f t="shared" si="124"/>
        <v>31</v>
      </c>
      <c r="F791" s="3">
        <f t="shared" si="126"/>
        <v>59420437.387289912</v>
      </c>
      <c r="G791" s="3">
        <f>-PMT($L$759/$D$761,33,$F$791,,0)</f>
        <v>2582948.8187381988</v>
      </c>
      <c r="H791" s="3">
        <f>$L$759*F791/$D$761</f>
        <v>1356766.653676453</v>
      </c>
      <c r="I791" s="3">
        <f t="shared" si="129"/>
        <v>1226182.1650617458</v>
      </c>
      <c r="J791" s="142">
        <f t="shared" si="125"/>
        <v>58194255.222228169</v>
      </c>
      <c r="K791" s="26">
        <v>27765661.050000001</v>
      </c>
      <c r="L791" s="24">
        <f>SUM(G779:G791)-K791+L779</f>
        <v>3622610.4062638544</v>
      </c>
      <c r="N791" s="6"/>
      <c r="O791" s="6"/>
    </row>
    <row r="792" spans="1:15" s="7" customFormat="1" ht="14" x14ac:dyDescent="0.3">
      <c r="A792" s="6"/>
      <c r="B792" s="1">
        <v>25</v>
      </c>
      <c r="C792" s="22">
        <v>45139</v>
      </c>
      <c r="D792" s="22">
        <v>45169</v>
      </c>
      <c r="E792" s="23">
        <f t="shared" si="124"/>
        <v>31</v>
      </c>
      <c r="F792" s="3">
        <f t="shared" si="126"/>
        <v>58194255.222228169</v>
      </c>
      <c r="G792" s="3">
        <f>-PMT($M$759/$D$761,32,$F$792,,0)</f>
        <v>2623034.9337993148</v>
      </c>
      <c r="H792" s="3">
        <f>$M$759*F792/$D$761</f>
        <v>1391812.6040649572</v>
      </c>
      <c r="I792" s="3">
        <f t="shared" si="129"/>
        <v>1231222.3297343575</v>
      </c>
      <c r="J792" s="3">
        <f t="shared" si="125"/>
        <v>56963032.892493814</v>
      </c>
      <c r="K792" s="24"/>
      <c r="L792" s="24"/>
      <c r="N792" s="6"/>
      <c r="O792" s="6"/>
    </row>
    <row r="793" spans="1:15" s="7" customFormat="1" ht="14" x14ac:dyDescent="0.3">
      <c r="A793" s="6"/>
      <c r="B793" s="1">
        <v>26</v>
      </c>
      <c r="C793" s="22">
        <v>45170</v>
      </c>
      <c r="D793" s="22">
        <v>45199</v>
      </c>
      <c r="E793" s="23">
        <f t="shared" si="124"/>
        <v>30</v>
      </c>
      <c r="F793" s="3">
        <f t="shared" si="126"/>
        <v>56963032.892493814</v>
      </c>
      <c r="G793" s="3">
        <f>-PMT($H$764/$D$761,31,$F$793,,0)</f>
        <v>2644189.8948193933</v>
      </c>
      <c r="H793" s="3">
        <f>$H$764*F793/$D$761</f>
        <v>1395594.3058660987</v>
      </c>
      <c r="I793" s="3">
        <f t="shared" si="129"/>
        <v>1248595.5889532946</v>
      </c>
      <c r="J793" s="3">
        <f t="shared" si="125"/>
        <v>55714437.30354052</v>
      </c>
      <c r="K793" s="24"/>
      <c r="L793" s="24"/>
      <c r="N793" s="6"/>
      <c r="O793" s="6"/>
    </row>
    <row r="794" spans="1:15" s="7" customFormat="1" ht="14" x14ac:dyDescent="0.3">
      <c r="A794" s="6"/>
      <c r="B794" s="1">
        <v>27</v>
      </c>
      <c r="C794" s="22">
        <v>45200</v>
      </c>
      <c r="D794" s="22">
        <v>45230</v>
      </c>
      <c r="E794" s="23">
        <f t="shared" si="124"/>
        <v>31</v>
      </c>
      <c r="F794" s="3">
        <f t="shared" si="126"/>
        <v>55714437.30354052</v>
      </c>
      <c r="G794" s="3">
        <f>-PMT($I$764/$D$761,30,$F$794,,0)</f>
        <v>2647137.891482356</v>
      </c>
      <c r="H794" s="3">
        <f>$I$764*F794/$D$761</f>
        <v>1369646.5837120379</v>
      </c>
      <c r="I794" s="3">
        <f t="shared" si="129"/>
        <v>1277491.3077703181</v>
      </c>
      <c r="J794" s="3">
        <f t="shared" si="125"/>
        <v>54436945.995770201</v>
      </c>
      <c r="K794" s="24"/>
      <c r="L794" s="24"/>
      <c r="N794" s="6"/>
      <c r="O794" s="6"/>
    </row>
    <row r="795" spans="1:15" s="7" customFormat="1" ht="14" x14ac:dyDescent="0.3">
      <c r="A795" s="6"/>
      <c r="B795" s="1">
        <v>28</v>
      </c>
      <c r="C795" s="22">
        <v>45231</v>
      </c>
      <c r="D795" s="22">
        <v>45260</v>
      </c>
      <c r="E795" s="23">
        <f t="shared" si="124"/>
        <v>30</v>
      </c>
      <c r="F795" s="3">
        <f t="shared" si="126"/>
        <v>54436945.995770201</v>
      </c>
      <c r="G795" s="3">
        <f>-PMT($I$764/$D$761,30,$F$794,,0)</f>
        <v>2647137.891482356</v>
      </c>
      <c r="H795" s="3">
        <f>$I$764*F795/$D$761</f>
        <v>1338241.5890626842</v>
      </c>
      <c r="I795" s="3">
        <f t="shared" si="129"/>
        <v>1308896.3024196718</v>
      </c>
      <c r="J795" s="3">
        <f t="shared" si="125"/>
        <v>53128049.693350531</v>
      </c>
      <c r="K795" s="24"/>
      <c r="L795" s="24"/>
      <c r="N795" s="6"/>
      <c r="O795" s="6"/>
    </row>
    <row r="796" spans="1:15" s="7" customFormat="1" ht="14" x14ac:dyDescent="0.3">
      <c r="A796" s="6"/>
      <c r="B796" s="1">
        <v>29</v>
      </c>
      <c r="C796" s="22">
        <v>45261</v>
      </c>
      <c r="D796" s="22">
        <v>45291</v>
      </c>
      <c r="E796" s="23">
        <f t="shared" si="124"/>
        <v>31</v>
      </c>
      <c r="F796" s="3">
        <f t="shared" si="126"/>
        <v>53128049.693350531</v>
      </c>
      <c r="G796" s="3">
        <f>-PMT($J$764/$D$761,28,$F$796,,0)</f>
        <v>2649921.984867814</v>
      </c>
      <c r="H796" s="3">
        <f>$J$764*F796/$D$761</f>
        <v>1310491.8924359798</v>
      </c>
      <c r="I796" s="3">
        <f t="shared" si="129"/>
        <v>1339430.0924318342</v>
      </c>
      <c r="J796" s="3">
        <f t="shared" si="125"/>
        <v>51788619.600918695</v>
      </c>
      <c r="K796" s="24"/>
      <c r="L796" s="24"/>
      <c r="N796" s="6"/>
      <c r="O796" s="6"/>
    </row>
    <row r="797" spans="1:15" s="7" customFormat="1" ht="14" x14ac:dyDescent="0.3">
      <c r="A797" s="6"/>
      <c r="B797" s="1">
        <v>30</v>
      </c>
      <c r="C797" s="22">
        <v>45292</v>
      </c>
      <c r="D797" s="22">
        <v>45322</v>
      </c>
      <c r="E797" s="23">
        <f t="shared" si="124"/>
        <v>31</v>
      </c>
      <c r="F797" s="3">
        <f t="shared" si="126"/>
        <v>51788619.600918695</v>
      </c>
      <c r="G797" s="3">
        <f>-PMT($J$764/$D$761,28,$F$796,,0)</f>
        <v>2649921.984867814</v>
      </c>
      <c r="H797" s="3">
        <f>$J$764*F797/$D$761</f>
        <v>1277452.6168226614</v>
      </c>
      <c r="I797" s="3">
        <f t="shared" si="129"/>
        <v>1372469.3680451526</v>
      </c>
      <c r="J797" s="3">
        <f t="shared" si="125"/>
        <v>50416150.232873544</v>
      </c>
      <c r="K797" s="24">
        <v>3622610.41</v>
      </c>
      <c r="L797" s="24">
        <f>K797-L791</f>
        <v>3.7361457943916321E-3</v>
      </c>
      <c r="N797" s="6"/>
      <c r="O797" s="6"/>
    </row>
    <row r="798" spans="1:15" s="7" customFormat="1" ht="14" x14ac:dyDescent="0.3">
      <c r="A798" s="6"/>
      <c r="B798" s="1">
        <v>31</v>
      </c>
      <c r="C798" s="22">
        <v>45323</v>
      </c>
      <c r="D798" s="22">
        <v>45351</v>
      </c>
      <c r="E798" s="23">
        <f t="shared" si="124"/>
        <v>29</v>
      </c>
      <c r="F798" s="3">
        <f t="shared" si="126"/>
        <v>50416150.232873544</v>
      </c>
      <c r="G798" s="3">
        <f>-PMT($K$764/$D$761,26,$F$798,,0)</f>
        <v>2684047.9016376301</v>
      </c>
      <c r="H798" s="3">
        <f>$K$764*F798/$D$761</f>
        <v>1298215.8684964941</v>
      </c>
      <c r="I798" s="3">
        <f t="shared" si="129"/>
        <v>1385832.0331411359</v>
      </c>
      <c r="J798" s="3">
        <f t="shared" si="125"/>
        <v>49030318.199732408</v>
      </c>
      <c r="K798" s="24"/>
      <c r="L798" s="24"/>
      <c r="N798" s="6"/>
      <c r="O798" s="6"/>
    </row>
    <row r="799" spans="1:15" s="7" customFormat="1" ht="14" x14ac:dyDescent="0.3">
      <c r="A799" s="6"/>
      <c r="B799" s="1">
        <v>32</v>
      </c>
      <c r="C799" s="22">
        <v>45352</v>
      </c>
      <c r="D799" s="22">
        <v>45382</v>
      </c>
      <c r="E799" s="23">
        <f t="shared" ref="E799:E823" si="130">D799-C799+1</f>
        <v>31</v>
      </c>
      <c r="F799" s="3">
        <f t="shared" si="126"/>
        <v>49030318.199732408</v>
      </c>
      <c r="G799" s="3">
        <f>-PMT($K$764/$D$761,26,$F$798,,0)</f>
        <v>2684047.9016376301</v>
      </c>
      <c r="H799" s="3">
        <f>$K$764*F799/$D$761</f>
        <v>1262530.6936431096</v>
      </c>
      <c r="I799" s="3">
        <f t="shared" si="129"/>
        <v>1421517.2079945204</v>
      </c>
      <c r="J799" s="3">
        <f t="shared" ref="J799:J823" si="131">F799-I799</f>
        <v>47608800.991737887</v>
      </c>
      <c r="K799" s="24"/>
      <c r="L799" s="24"/>
      <c r="N799" s="6"/>
      <c r="O799" s="6"/>
    </row>
    <row r="800" spans="1:15" s="7" customFormat="1" ht="14" x14ac:dyDescent="0.3">
      <c r="A800" s="6"/>
      <c r="B800" s="1">
        <v>33</v>
      </c>
      <c r="C800" s="22">
        <v>45383</v>
      </c>
      <c r="D800" s="22">
        <v>45412</v>
      </c>
      <c r="E800" s="23">
        <f t="shared" si="130"/>
        <v>30</v>
      </c>
      <c r="F800" s="3">
        <f t="shared" ref="F800:F823" si="132">J799</f>
        <v>47608800.991737887</v>
      </c>
      <c r="G800" s="3">
        <f>-PMT($K$764/$D$761,26,$F$798,,0)</f>
        <v>2684047.9016376301</v>
      </c>
      <c r="H800" s="3">
        <f>$K$764*F800/$D$761</f>
        <v>1225926.6255372509</v>
      </c>
      <c r="I800" s="3">
        <f t="shared" ref="I800:I823" si="133">G800-H800</f>
        <v>1458121.2761003792</v>
      </c>
      <c r="J800" s="3">
        <f t="shared" si="131"/>
        <v>46150679.715637505</v>
      </c>
      <c r="K800" s="24"/>
      <c r="L800" s="24"/>
      <c r="N800" s="6"/>
      <c r="O800" s="6"/>
    </row>
    <row r="801" spans="1:15" s="7" customFormat="1" ht="14" x14ac:dyDescent="0.3">
      <c r="A801" s="6"/>
      <c r="B801" s="1">
        <v>34</v>
      </c>
      <c r="C801" s="22">
        <v>45413</v>
      </c>
      <c r="D801" s="22">
        <v>45443</v>
      </c>
      <c r="E801" s="23">
        <f t="shared" si="130"/>
        <v>31</v>
      </c>
      <c r="F801" s="3">
        <f t="shared" si="132"/>
        <v>46150679.715637505</v>
      </c>
      <c r="G801" s="3">
        <f>-PMT($L$764/$D$761,23,$F$801,,0)</f>
        <v>2686422.5923414272</v>
      </c>
      <c r="H801" s="3">
        <f>$L$764*F801/$D$761</f>
        <v>1192225.8926539691</v>
      </c>
      <c r="I801" s="3">
        <f t="shared" si="133"/>
        <v>1494196.6996874581</v>
      </c>
      <c r="J801" s="3">
        <f t="shared" si="131"/>
        <v>44656483.015950046</v>
      </c>
      <c r="K801" s="24"/>
      <c r="L801" s="24"/>
      <c r="N801" s="6"/>
      <c r="O801" s="6"/>
    </row>
    <row r="802" spans="1:15" s="7" customFormat="1" ht="14" x14ac:dyDescent="0.3">
      <c r="A802" s="6"/>
      <c r="B802" s="1">
        <v>35</v>
      </c>
      <c r="C802" s="22">
        <v>45444</v>
      </c>
      <c r="D802" s="22">
        <v>45473</v>
      </c>
      <c r="E802" s="23">
        <f t="shared" si="130"/>
        <v>30</v>
      </c>
      <c r="F802" s="3">
        <f t="shared" si="132"/>
        <v>44656483.015950046</v>
      </c>
      <c r="G802" s="3">
        <f>-PMT($M$764/$D$761,22,$F$802,,0)</f>
        <v>2688709.9130985937</v>
      </c>
      <c r="H802" s="3">
        <f>$M$764*F802/$D$761</f>
        <v>1157347.184830039</v>
      </c>
      <c r="I802" s="3">
        <f t="shared" si="133"/>
        <v>1531362.7282685547</v>
      </c>
      <c r="J802" s="3">
        <f t="shared" si="131"/>
        <v>43125120.28768149</v>
      </c>
      <c r="K802" s="24"/>
      <c r="L802" s="24"/>
      <c r="N802" s="6"/>
      <c r="O802" s="6"/>
    </row>
    <row r="803" spans="1:15" s="7" customFormat="1" ht="14" x14ac:dyDescent="0.3">
      <c r="A803" s="6"/>
      <c r="B803" s="1">
        <v>36</v>
      </c>
      <c r="C803" s="22">
        <v>45474</v>
      </c>
      <c r="D803" s="22">
        <v>45504</v>
      </c>
      <c r="E803" s="23">
        <f t="shared" si="130"/>
        <v>31</v>
      </c>
      <c r="F803" s="3">
        <f t="shared" si="132"/>
        <v>43125120.28768149</v>
      </c>
      <c r="G803" s="3">
        <f t="shared" ref="G803:G823" si="134">-PMT($N$764/$D$761,21,$F$803,,0)</f>
        <v>2695309.7352376617</v>
      </c>
      <c r="H803" s="3">
        <f t="shared" ref="H803:H823" si="135">$N$764*F803/$D$761</f>
        <v>1128440.6475276658</v>
      </c>
      <c r="I803" s="3">
        <f t="shared" si="133"/>
        <v>1566869.0877099959</v>
      </c>
      <c r="J803" s="292">
        <f t="shared" si="131"/>
        <v>41558251.199971497</v>
      </c>
      <c r="K803" s="24"/>
      <c r="L803" s="205">
        <f>SUM(G792:G803)</f>
        <v>31983930.526909616</v>
      </c>
      <c r="N803" s="6"/>
      <c r="O803" s="6"/>
    </row>
    <row r="804" spans="1:15" s="7" customFormat="1" ht="14" x14ac:dyDescent="0.3">
      <c r="A804" s="6"/>
      <c r="B804" s="1">
        <v>37</v>
      </c>
      <c r="C804" s="22">
        <v>45505</v>
      </c>
      <c r="D804" s="22">
        <v>45535</v>
      </c>
      <c r="E804" s="23">
        <f t="shared" si="130"/>
        <v>31</v>
      </c>
      <c r="F804" s="3">
        <f t="shared" si="132"/>
        <v>41558251.199971497</v>
      </c>
      <c r="G804" s="3">
        <f t="shared" si="134"/>
        <v>2695309.7352376617</v>
      </c>
      <c r="H804" s="3">
        <f t="shared" si="135"/>
        <v>1087440.9063992545</v>
      </c>
      <c r="I804" s="3">
        <f t="shared" si="133"/>
        <v>1607868.8288384073</v>
      </c>
      <c r="J804" s="3">
        <f t="shared" si="131"/>
        <v>39950382.371133089</v>
      </c>
      <c r="K804" s="24">
        <v>31983930.530000001</v>
      </c>
      <c r="L804" s="24">
        <f>K804-L803</f>
        <v>3.0903853476047516E-3</v>
      </c>
      <c r="N804" s="6"/>
      <c r="O804" s="6"/>
    </row>
    <row r="805" spans="1:15" s="7" customFormat="1" ht="14" x14ac:dyDescent="0.3">
      <c r="A805" s="6"/>
      <c r="B805" s="1">
        <v>38</v>
      </c>
      <c r="C805" s="22">
        <v>45536</v>
      </c>
      <c r="D805" s="22">
        <v>45565</v>
      </c>
      <c r="E805" s="23">
        <f t="shared" si="130"/>
        <v>30</v>
      </c>
      <c r="F805" s="3">
        <f t="shared" si="132"/>
        <v>39950382.371133089</v>
      </c>
      <c r="G805" s="3">
        <f t="shared" si="134"/>
        <v>2695309.7352376617</v>
      </c>
      <c r="H805" s="3">
        <f t="shared" si="135"/>
        <v>1045368.3387113161</v>
      </c>
      <c r="I805" s="3">
        <f t="shared" si="133"/>
        <v>1649941.3965263455</v>
      </c>
      <c r="J805" s="3">
        <f t="shared" si="131"/>
        <v>38300440.974606745</v>
      </c>
      <c r="K805" s="24"/>
      <c r="L805" s="24"/>
      <c r="N805" s="6"/>
      <c r="O805" s="6"/>
    </row>
    <row r="806" spans="1:15" s="7" customFormat="1" ht="14" x14ac:dyDescent="0.3">
      <c r="A806" s="6"/>
      <c r="B806" s="1">
        <v>39</v>
      </c>
      <c r="C806" s="22">
        <v>45566</v>
      </c>
      <c r="D806" s="22">
        <v>45596</v>
      </c>
      <c r="E806" s="23">
        <f t="shared" si="130"/>
        <v>31</v>
      </c>
      <c r="F806" s="3">
        <f t="shared" si="132"/>
        <v>38300440.974606745</v>
      </c>
      <c r="G806" s="3">
        <f t="shared" si="134"/>
        <v>2695309.7352376617</v>
      </c>
      <c r="H806" s="3">
        <f t="shared" si="135"/>
        <v>1002194.8721688767</v>
      </c>
      <c r="I806" s="3">
        <f t="shared" si="133"/>
        <v>1693114.8630687851</v>
      </c>
      <c r="J806" s="3">
        <f t="shared" si="131"/>
        <v>36607326.111537963</v>
      </c>
      <c r="K806" s="24"/>
      <c r="L806" s="24"/>
      <c r="N806" s="6"/>
      <c r="O806" s="6"/>
    </row>
    <row r="807" spans="1:15" s="7" customFormat="1" ht="14" x14ac:dyDescent="0.3">
      <c r="A807" s="6"/>
      <c r="B807" s="1">
        <v>40</v>
      </c>
      <c r="C807" s="22">
        <v>45597</v>
      </c>
      <c r="D807" s="22">
        <v>45626</v>
      </c>
      <c r="E807" s="23">
        <f t="shared" si="130"/>
        <v>30</v>
      </c>
      <c r="F807" s="3">
        <f t="shared" si="132"/>
        <v>36607326.111537963</v>
      </c>
      <c r="G807" s="3">
        <f t="shared" si="134"/>
        <v>2695309.7352376617</v>
      </c>
      <c r="H807" s="3">
        <f t="shared" si="135"/>
        <v>957891.69991857687</v>
      </c>
      <c r="I807" s="3">
        <f t="shared" si="133"/>
        <v>1737418.0353190848</v>
      </c>
      <c r="J807" s="3">
        <f t="shared" si="131"/>
        <v>34869908.076218881</v>
      </c>
      <c r="K807" s="24"/>
      <c r="L807" s="24"/>
      <c r="N807" s="6"/>
      <c r="O807" s="6"/>
    </row>
    <row r="808" spans="1:15" s="7" customFormat="1" ht="14" x14ac:dyDescent="0.3">
      <c r="A808" s="6"/>
      <c r="B808" s="1">
        <v>41</v>
      </c>
      <c r="C808" s="22">
        <v>45627</v>
      </c>
      <c r="D808" s="22">
        <v>45657</v>
      </c>
      <c r="E808" s="23">
        <f t="shared" si="130"/>
        <v>31</v>
      </c>
      <c r="F808" s="3">
        <f t="shared" si="132"/>
        <v>34869908.076218881</v>
      </c>
      <c r="G808" s="3">
        <f t="shared" si="134"/>
        <v>2695309.7352376617</v>
      </c>
      <c r="H808" s="3">
        <f t="shared" si="135"/>
        <v>912429.26132772758</v>
      </c>
      <c r="I808" s="3">
        <f t="shared" si="133"/>
        <v>1782880.4739099341</v>
      </c>
      <c r="J808" s="3">
        <f t="shared" si="131"/>
        <v>33087027.602308948</v>
      </c>
      <c r="K808" s="24"/>
      <c r="L808" s="24"/>
      <c r="N808" s="6"/>
      <c r="O808" s="6"/>
    </row>
    <row r="809" spans="1:15" s="7" customFormat="1" ht="14" x14ac:dyDescent="0.3">
      <c r="A809" s="6"/>
      <c r="B809" s="1">
        <v>42</v>
      </c>
      <c r="C809" s="22">
        <v>45658</v>
      </c>
      <c r="D809" s="22">
        <v>45688</v>
      </c>
      <c r="E809" s="23">
        <f t="shared" si="130"/>
        <v>31</v>
      </c>
      <c r="F809" s="3">
        <f t="shared" si="132"/>
        <v>33087027.602308948</v>
      </c>
      <c r="G809" s="3">
        <f t="shared" si="134"/>
        <v>2695309.7352376617</v>
      </c>
      <c r="H809" s="3">
        <f t="shared" si="135"/>
        <v>865777.22226041753</v>
      </c>
      <c r="I809" s="3">
        <f t="shared" si="133"/>
        <v>1829532.5129772443</v>
      </c>
      <c r="J809" s="3">
        <f t="shared" si="131"/>
        <v>31257495.089331701</v>
      </c>
      <c r="K809" s="24"/>
      <c r="L809" s="24"/>
      <c r="N809" s="6"/>
      <c r="O809" s="6"/>
    </row>
    <row r="810" spans="1:15" s="7" customFormat="1" ht="14" x14ac:dyDescent="0.3">
      <c r="A810" s="6"/>
      <c r="B810" s="1">
        <v>43</v>
      </c>
      <c r="C810" s="22">
        <v>45689</v>
      </c>
      <c r="D810" s="22">
        <v>45716</v>
      </c>
      <c r="E810" s="23">
        <f t="shared" si="130"/>
        <v>28</v>
      </c>
      <c r="F810" s="3">
        <f t="shared" si="132"/>
        <v>31257495.089331701</v>
      </c>
      <c r="G810" s="3">
        <f t="shared" si="134"/>
        <v>2695309.7352376617</v>
      </c>
      <c r="H810" s="3">
        <f t="shared" si="135"/>
        <v>817904.45483751304</v>
      </c>
      <c r="I810" s="3">
        <f t="shared" si="133"/>
        <v>1877405.2804001486</v>
      </c>
      <c r="J810" s="3">
        <f t="shared" si="131"/>
        <v>29380089.808931552</v>
      </c>
      <c r="K810" s="24"/>
      <c r="L810" s="24"/>
      <c r="N810" s="6"/>
      <c r="O810" s="6"/>
    </row>
    <row r="811" spans="1:15" s="7" customFormat="1" ht="14" x14ac:dyDescent="0.3">
      <c r="A811" s="6"/>
      <c r="B811" s="1">
        <v>44</v>
      </c>
      <c r="C811" s="22">
        <v>45717</v>
      </c>
      <c r="D811" s="22">
        <v>45747</v>
      </c>
      <c r="E811" s="23">
        <f t="shared" si="130"/>
        <v>31</v>
      </c>
      <c r="F811" s="3">
        <f t="shared" si="132"/>
        <v>29380089.808931552</v>
      </c>
      <c r="G811" s="3">
        <f t="shared" si="134"/>
        <v>2695309.7352376617</v>
      </c>
      <c r="H811" s="3">
        <f t="shared" si="135"/>
        <v>768779.01666704239</v>
      </c>
      <c r="I811" s="3">
        <f t="shared" si="133"/>
        <v>1926530.7185706194</v>
      </c>
      <c r="J811" s="3">
        <f t="shared" si="131"/>
        <v>27453559.090360932</v>
      </c>
      <c r="K811" s="24"/>
      <c r="L811" s="24"/>
      <c r="N811" s="6"/>
      <c r="O811" s="6"/>
    </row>
    <row r="812" spans="1:15" s="7" customFormat="1" ht="14" x14ac:dyDescent="0.3">
      <c r="A812" s="6"/>
      <c r="B812" s="1">
        <v>45</v>
      </c>
      <c r="C812" s="22">
        <v>45748</v>
      </c>
      <c r="D812" s="22">
        <v>45777</v>
      </c>
      <c r="E812" s="23">
        <f t="shared" si="130"/>
        <v>30</v>
      </c>
      <c r="F812" s="3">
        <f t="shared" si="132"/>
        <v>27453559.090360932</v>
      </c>
      <c r="G812" s="3">
        <f t="shared" si="134"/>
        <v>2695309.7352376617</v>
      </c>
      <c r="H812" s="3">
        <f t="shared" si="135"/>
        <v>718368.12953111122</v>
      </c>
      <c r="I812" s="3">
        <f t="shared" si="133"/>
        <v>1976941.6057065506</v>
      </c>
      <c r="J812" s="3">
        <f t="shared" si="131"/>
        <v>25476617.484654382</v>
      </c>
      <c r="K812" s="24"/>
      <c r="L812" s="24"/>
      <c r="N812" s="6"/>
      <c r="O812" s="6"/>
    </row>
    <row r="813" spans="1:15" s="7" customFormat="1" ht="14" x14ac:dyDescent="0.3">
      <c r="A813" s="6"/>
      <c r="B813" s="1">
        <v>46</v>
      </c>
      <c r="C813" s="22">
        <v>45778</v>
      </c>
      <c r="D813" s="22">
        <v>45808</v>
      </c>
      <c r="E813" s="23">
        <f t="shared" si="130"/>
        <v>31</v>
      </c>
      <c r="F813" s="3">
        <f t="shared" si="132"/>
        <v>25476617.484654382</v>
      </c>
      <c r="G813" s="3">
        <f t="shared" si="134"/>
        <v>2695309.7352376617</v>
      </c>
      <c r="H813" s="3">
        <f t="shared" si="135"/>
        <v>666638.15751512314</v>
      </c>
      <c r="I813" s="3">
        <f t="shared" si="133"/>
        <v>2028671.5777225387</v>
      </c>
      <c r="J813" s="3">
        <f t="shared" si="131"/>
        <v>23447945.906931844</v>
      </c>
      <c r="K813" s="24"/>
      <c r="L813" s="24"/>
      <c r="N813" s="6"/>
      <c r="O813" s="6"/>
    </row>
    <row r="814" spans="1:15" s="7" customFormat="1" ht="14" x14ac:dyDescent="0.3">
      <c r="A814" s="6"/>
      <c r="B814" s="1">
        <v>47</v>
      </c>
      <c r="C814" s="22">
        <v>45809</v>
      </c>
      <c r="D814" s="22">
        <v>45838</v>
      </c>
      <c r="E814" s="23">
        <f t="shared" si="130"/>
        <v>30</v>
      </c>
      <c r="F814" s="3">
        <f t="shared" si="132"/>
        <v>23447945.906931844</v>
      </c>
      <c r="G814" s="3">
        <f t="shared" si="134"/>
        <v>2695309.7352376617</v>
      </c>
      <c r="H814" s="3">
        <f t="shared" si="135"/>
        <v>613554.58456471667</v>
      </c>
      <c r="I814" s="3">
        <f t="shared" si="133"/>
        <v>2081755.1506729452</v>
      </c>
      <c r="J814" s="3">
        <f t="shared" si="131"/>
        <v>21366190.756258897</v>
      </c>
      <c r="K814" s="24"/>
      <c r="L814" s="24"/>
      <c r="N814" s="6"/>
      <c r="O814" s="6"/>
    </row>
    <row r="815" spans="1:15" s="7" customFormat="1" ht="14" x14ac:dyDescent="0.3">
      <c r="A815" s="6"/>
      <c r="B815" s="1">
        <v>48</v>
      </c>
      <c r="C815" s="22">
        <v>45839</v>
      </c>
      <c r="D815" s="22">
        <v>45869</v>
      </c>
      <c r="E815" s="23">
        <f t="shared" si="130"/>
        <v>31</v>
      </c>
      <c r="F815" s="3">
        <f t="shared" si="132"/>
        <v>21366190.756258897</v>
      </c>
      <c r="G815" s="3">
        <f t="shared" si="134"/>
        <v>2695309.7352376617</v>
      </c>
      <c r="H815" s="3">
        <f t="shared" si="135"/>
        <v>559081.99145544122</v>
      </c>
      <c r="I815" s="3">
        <f t="shared" si="133"/>
        <v>2136227.7437822204</v>
      </c>
      <c r="J815" s="3">
        <f t="shared" si="131"/>
        <v>19229963.012476675</v>
      </c>
      <c r="K815" s="24" t="s">
        <v>886</v>
      </c>
      <c r="L815" s="24"/>
      <c r="N815" s="6"/>
      <c r="O815" s="6"/>
    </row>
    <row r="816" spans="1:15" s="7" customFormat="1" ht="14" x14ac:dyDescent="0.3">
      <c r="A816" s="6"/>
      <c r="B816" s="1">
        <v>49</v>
      </c>
      <c r="C816" s="22">
        <v>45870</v>
      </c>
      <c r="D816" s="22">
        <v>45900</v>
      </c>
      <c r="E816" s="23">
        <f t="shared" si="130"/>
        <v>31</v>
      </c>
      <c r="F816" s="3">
        <f t="shared" si="132"/>
        <v>19229963.012476675</v>
      </c>
      <c r="G816" s="3">
        <f t="shared" si="134"/>
        <v>2695309.7352376617</v>
      </c>
      <c r="H816" s="3">
        <f t="shared" si="135"/>
        <v>503184.03215980646</v>
      </c>
      <c r="I816" s="3">
        <f t="shared" si="133"/>
        <v>2192125.7030778555</v>
      </c>
      <c r="J816" s="3">
        <f t="shared" si="131"/>
        <v>17037837.309398819</v>
      </c>
      <c r="K816" s="24"/>
      <c r="L816" s="24"/>
      <c r="N816" s="6"/>
      <c r="O816" s="6"/>
    </row>
    <row r="817" spans="1:19" s="7" customFormat="1" ht="14" x14ac:dyDescent="0.3">
      <c r="A817" s="6"/>
      <c r="B817" s="1">
        <v>50</v>
      </c>
      <c r="C817" s="22">
        <v>45901</v>
      </c>
      <c r="D817" s="22">
        <v>45930</v>
      </c>
      <c r="E817" s="23">
        <f t="shared" si="130"/>
        <v>30</v>
      </c>
      <c r="F817" s="3">
        <f t="shared" si="132"/>
        <v>17037837.309398819</v>
      </c>
      <c r="G817" s="3">
        <f t="shared" si="134"/>
        <v>2695309.7352376617</v>
      </c>
      <c r="H817" s="3">
        <f t="shared" si="135"/>
        <v>445823.40959593584</v>
      </c>
      <c r="I817" s="3">
        <f t="shared" si="133"/>
        <v>2249486.3256417261</v>
      </c>
      <c r="J817" s="3">
        <f t="shared" si="131"/>
        <v>14788350.983757094</v>
      </c>
      <c r="K817" s="24"/>
      <c r="L817" s="24"/>
      <c r="N817" s="6"/>
      <c r="O817" s="6"/>
    </row>
    <row r="818" spans="1:19" s="7" customFormat="1" ht="14" x14ac:dyDescent="0.3">
      <c r="A818" s="6"/>
      <c r="B818" s="1">
        <v>51</v>
      </c>
      <c r="C818" s="22">
        <v>45931</v>
      </c>
      <c r="D818" s="22">
        <v>45961</v>
      </c>
      <c r="E818" s="23">
        <f t="shared" si="130"/>
        <v>31</v>
      </c>
      <c r="F818" s="3">
        <f t="shared" si="132"/>
        <v>14788350.983757094</v>
      </c>
      <c r="G818" s="3">
        <f t="shared" si="134"/>
        <v>2695309.7352376617</v>
      </c>
      <c r="H818" s="3">
        <f t="shared" si="135"/>
        <v>386961.85074164398</v>
      </c>
      <c r="I818" s="3">
        <f t="shared" si="133"/>
        <v>2308347.8844960178</v>
      </c>
      <c r="J818" s="3">
        <f t="shared" si="131"/>
        <v>12480003.099261075</v>
      </c>
      <c r="K818" s="24"/>
      <c r="L818" s="24"/>
      <c r="N818" s="6"/>
      <c r="O818" s="6"/>
    </row>
    <row r="819" spans="1:19" s="7" customFormat="1" ht="14" x14ac:dyDescent="0.3">
      <c r="A819" s="6"/>
      <c r="B819" s="1">
        <v>52</v>
      </c>
      <c r="C819" s="22">
        <v>45962</v>
      </c>
      <c r="D819" s="22">
        <v>45991</v>
      </c>
      <c r="E819" s="23">
        <f t="shared" si="130"/>
        <v>30</v>
      </c>
      <c r="F819" s="3">
        <f t="shared" si="132"/>
        <v>12480003.099261075</v>
      </c>
      <c r="G819" s="3">
        <f t="shared" si="134"/>
        <v>2695309.7352376617</v>
      </c>
      <c r="H819" s="3">
        <f t="shared" si="135"/>
        <v>326560.08109733154</v>
      </c>
      <c r="I819" s="3">
        <f t="shared" si="133"/>
        <v>2368749.6541403304</v>
      </c>
      <c r="J819" s="3">
        <f t="shared" si="131"/>
        <v>10111253.445120744</v>
      </c>
      <c r="K819" s="24"/>
      <c r="L819" s="24"/>
      <c r="N819" s="6"/>
      <c r="O819" s="6"/>
    </row>
    <row r="820" spans="1:19" s="7" customFormat="1" ht="14" x14ac:dyDescent="0.3">
      <c r="A820" s="6"/>
      <c r="B820" s="1">
        <v>53</v>
      </c>
      <c r="C820" s="22">
        <v>45992</v>
      </c>
      <c r="D820" s="22">
        <v>46022</v>
      </c>
      <c r="E820" s="23">
        <f t="shared" si="130"/>
        <v>31</v>
      </c>
      <c r="F820" s="3">
        <f t="shared" si="132"/>
        <v>10111253.445120744</v>
      </c>
      <c r="G820" s="3">
        <f t="shared" si="134"/>
        <v>2695309.7352376617</v>
      </c>
      <c r="H820" s="3">
        <f t="shared" si="135"/>
        <v>264577.79848065955</v>
      </c>
      <c r="I820" s="3">
        <f t="shared" si="133"/>
        <v>2430731.936757002</v>
      </c>
      <c r="J820" s="3">
        <f t="shared" si="131"/>
        <v>7680521.5083637424</v>
      </c>
      <c r="K820" s="24"/>
      <c r="L820" s="24"/>
      <c r="N820" s="6"/>
      <c r="O820" s="6"/>
    </row>
    <row r="821" spans="1:19" s="7" customFormat="1" ht="14" x14ac:dyDescent="0.3">
      <c r="A821" s="6"/>
      <c r="B821" s="1">
        <v>54</v>
      </c>
      <c r="C821" s="22">
        <v>46023</v>
      </c>
      <c r="D821" s="22">
        <v>46053</v>
      </c>
      <c r="E821" s="23">
        <f t="shared" si="130"/>
        <v>31</v>
      </c>
      <c r="F821" s="3">
        <f t="shared" si="132"/>
        <v>7680521.5083637424</v>
      </c>
      <c r="G821" s="3">
        <f t="shared" si="134"/>
        <v>2695309.7352376617</v>
      </c>
      <c r="H821" s="3">
        <f t="shared" si="135"/>
        <v>200973.64613551798</v>
      </c>
      <c r="I821" s="3">
        <f t="shared" si="133"/>
        <v>2494336.0891021439</v>
      </c>
      <c r="J821" s="3">
        <f t="shared" si="131"/>
        <v>5186185.419261599</v>
      </c>
      <c r="K821" s="24"/>
      <c r="L821" s="24"/>
      <c r="N821" s="6"/>
      <c r="O821" s="6"/>
    </row>
    <row r="822" spans="1:19" s="7" customFormat="1" ht="14" x14ac:dyDescent="0.3">
      <c r="A822" s="6"/>
      <c r="B822" s="1">
        <v>55</v>
      </c>
      <c r="C822" s="22">
        <v>46054</v>
      </c>
      <c r="D822" s="22">
        <v>46081</v>
      </c>
      <c r="E822" s="23">
        <f t="shared" si="130"/>
        <v>28</v>
      </c>
      <c r="F822" s="3">
        <f t="shared" si="132"/>
        <v>5186185.419261599</v>
      </c>
      <c r="G822" s="3">
        <f t="shared" si="134"/>
        <v>2695309.7352376617</v>
      </c>
      <c r="H822" s="3">
        <f t="shared" si="135"/>
        <v>135705.18513734519</v>
      </c>
      <c r="I822" s="3">
        <f t="shared" si="133"/>
        <v>2559604.5501003168</v>
      </c>
      <c r="J822" s="3">
        <f t="shared" si="131"/>
        <v>2626580.8691612822</v>
      </c>
      <c r="K822" s="24"/>
      <c r="L822" s="24"/>
      <c r="N822" s="6"/>
      <c r="O822" s="6"/>
    </row>
    <row r="823" spans="1:19" s="7" customFormat="1" ht="14" x14ac:dyDescent="0.3">
      <c r="A823" s="6"/>
      <c r="B823" s="1">
        <v>56</v>
      </c>
      <c r="C823" s="22">
        <v>46082</v>
      </c>
      <c r="D823" s="22">
        <v>46112</v>
      </c>
      <c r="E823" s="23">
        <f t="shared" si="130"/>
        <v>31</v>
      </c>
      <c r="F823" s="3">
        <f t="shared" si="132"/>
        <v>2626580.8691612822</v>
      </c>
      <c r="G823" s="3">
        <f t="shared" si="134"/>
        <v>2695309.7352376617</v>
      </c>
      <c r="H823" s="3">
        <f t="shared" si="135"/>
        <v>68728.866076386897</v>
      </c>
      <c r="I823" s="3">
        <f t="shared" si="133"/>
        <v>2626580.8691612747</v>
      </c>
      <c r="J823" s="3">
        <f t="shared" si="131"/>
        <v>7.4505805969238281E-9</v>
      </c>
      <c r="K823" s="24"/>
      <c r="L823" s="24"/>
      <c r="N823" s="6"/>
      <c r="O823" s="6"/>
    </row>
    <row r="824" spans="1:19" s="7" customFormat="1" ht="14" x14ac:dyDescent="0.3">
      <c r="A824" s="6"/>
      <c r="B824" s="1"/>
      <c r="C824" s="22"/>
      <c r="D824" s="22"/>
      <c r="E824" s="23"/>
      <c r="F824" s="3"/>
      <c r="G824" s="3"/>
      <c r="H824" s="3"/>
      <c r="I824" s="3"/>
      <c r="J824" s="3"/>
      <c r="K824" s="24"/>
      <c r="L824" s="24"/>
      <c r="N824" s="6"/>
      <c r="O824" s="6"/>
    </row>
    <row r="825" spans="1:19" s="7" customFormat="1" ht="14" x14ac:dyDescent="0.3">
      <c r="A825" s="6"/>
      <c r="B825" s="1"/>
      <c r="C825" s="1"/>
      <c r="D825" s="1"/>
      <c r="E825" s="28">
        <f>SUM(E767:E824)</f>
        <v>1713</v>
      </c>
      <c r="F825" s="3"/>
      <c r="G825" s="3"/>
      <c r="H825" s="3"/>
      <c r="I825" s="3"/>
      <c r="J825" s="3"/>
      <c r="K825" s="1"/>
      <c r="L825" s="1"/>
      <c r="N825" s="6"/>
      <c r="O825" s="6"/>
    </row>
    <row r="827" spans="1:19" hidden="1" x14ac:dyDescent="0.35"/>
    <row r="828" spans="1:19" hidden="1" x14ac:dyDescent="0.35"/>
    <row r="829" spans="1:19" hidden="1" x14ac:dyDescent="0.35"/>
    <row r="830" spans="1:19" hidden="1" x14ac:dyDescent="0.35">
      <c r="B830" s="1"/>
      <c r="C830" s="8" t="s">
        <v>887</v>
      </c>
      <c r="D830" s="3"/>
      <c r="E830" s="3"/>
      <c r="F830" s="3"/>
      <c r="G830" s="3"/>
      <c r="H830" s="3"/>
      <c r="I830" s="3"/>
      <c r="J830" s="3"/>
      <c r="K830" s="3"/>
      <c r="L830" s="3"/>
      <c r="R830" s="438" t="s">
        <v>832</v>
      </c>
      <c r="S830" s="432" t="str">
        <f>IFERROR(INDEX(Blocks!$I$2:$I$101,MATCH(13,Blocks!$A$2:$A$101,0)),"")</f>
        <v>000104450000013</v>
      </c>
    </row>
    <row r="831" spans="1:19" hidden="1" x14ac:dyDescent="0.35">
      <c r="B831" s="1"/>
      <c r="C831" s="1"/>
      <c r="D831" s="3"/>
      <c r="E831" s="3"/>
      <c r="F831" s="3"/>
      <c r="G831" s="3"/>
      <c r="H831" s="3"/>
      <c r="I831" s="3"/>
      <c r="J831" s="3"/>
      <c r="K831" s="3"/>
      <c r="L831" s="3"/>
      <c r="R831" s="438" t="s">
        <v>834</v>
      </c>
      <c r="S831" s="432" t="str">
        <f>IFERROR(INDEX(Blocks!$H$2:$H$101,MATCH(13,Blocks!$A$2:$A$101,0)),"")</f>
        <v>Ndagha Sustainable Food Ltd</v>
      </c>
    </row>
    <row r="832" spans="1:19" hidden="1" x14ac:dyDescent="0.35">
      <c r="B832" s="1"/>
      <c r="C832" s="9" t="s">
        <v>835</v>
      </c>
      <c r="D832" s="10">
        <v>10000000</v>
      </c>
      <c r="E832" s="3"/>
      <c r="F832" s="3"/>
      <c r="G832" s="3">
        <f>D832*D833*8/D837</f>
        <v>21917.808219178081</v>
      </c>
      <c r="H832" s="3" t="s">
        <v>862</v>
      </c>
      <c r="I832" s="3"/>
      <c r="J832" s="3"/>
      <c r="K832" s="3"/>
      <c r="L832" s="3"/>
      <c r="R832" s="438" t="s">
        <v>223</v>
      </c>
      <c r="S832" s="433">
        <f>IFERROR(INDEX('E-Banker master'!$N$2:$N$186,MATCH(S830,'E-Banker master'!$A$2:$A$186,0)),"")</f>
        <v>0</v>
      </c>
    </row>
    <row r="833" spans="2:19" hidden="1" x14ac:dyDescent="0.35">
      <c r="B833" s="1"/>
      <c r="C833" s="11" t="s">
        <v>837</v>
      </c>
      <c r="D833" s="12">
        <v>0.1</v>
      </c>
      <c r="E833" s="13"/>
      <c r="F833" s="3"/>
      <c r="G833" s="3"/>
      <c r="H833" s="3"/>
      <c r="I833" s="3"/>
      <c r="J833" s="3"/>
      <c r="K833" s="3"/>
      <c r="L833" s="3"/>
      <c r="R833" s="438" t="s">
        <v>52</v>
      </c>
      <c r="S833" s="433">
        <f>IFERROR(INDEX('E-Banker master'!$P$2:$P$186,MATCH(S830,'E-Banker master'!$A$2:$A$186,0)),"")</f>
        <v>0</v>
      </c>
    </row>
    <row r="834" spans="2:19" hidden="1" x14ac:dyDescent="0.35">
      <c r="B834" s="1"/>
      <c r="C834" s="11" t="s">
        <v>838</v>
      </c>
      <c r="D834" s="14">
        <v>2</v>
      </c>
      <c r="E834" s="1"/>
      <c r="F834" s="3"/>
      <c r="G834" s="3"/>
      <c r="H834" s="3"/>
      <c r="I834" s="3"/>
      <c r="J834" s="3"/>
      <c r="K834" s="1"/>
      <c r="L834" s="1"/>
    </row>
    <row r="835" spans="2:19" hidden="1" x14ac:dyDescent="0.35">
      <c r="B835" s="1"/>
      <c r="C835" s="11" t="s">
        <v>839</v>
      </c>
      <c r="D835" s="14">
        <v>12</v>
      </c>
      <c r="E835" s="1"/>
      <c r="F835" s="3"/>
      <c r="G835" s="3"/>
      <c r="H835" s="3"/>
      <c r="I835" s="3"/>
      <c r="J835" s="3"/>
      <c r="K835" s="1"/>
      <c r="L835" s="1"/>
    </row>
    <row r="836" spans="2:19" hidden="1" x14ac:dyDescent="0.35">
      <c r="B836" s="1"/>
      <c r="C836" s="11" t="s">
        <v>843</v>
      </c>
      <c r="D836" s="15">
        <f>D834*D835</f>
        <v>24</v>
      </c>
      <c r="E836" s="1"/>
      <c r="F836" s="3"/>
      <c r="G836" s="3"/>
      <c r="H836" s="3"/>
      <c r="I836" s="3"/>
      <c r="J836" s="3"/>
      <c r="K836" s="1"/>
      <c r="L836" s="1"/>
    </row>
    <row r="837" spans="2:19" hidden="1" x14ac:dyDescent="0.35">
      <c r="B837" s="1"/>
      <c r="C837" s="11" t="s">
        <v>844</v>
      </c>
      <c r="D837" s="16">
        <v>365</v>
      </c>
      <c r="E837" s="1"/>
      <c r="F837" s="3"/>
      <c r="G837" s="3"/>
      <c r="H837" s="3"/>
      <c r="I837" s="3"/>
      <c r="J837" s="3"/>
      <c r="K837" s="1"/>
      <c r="L837" s="1"/>
    </row>
    <row r="838" spans="2:19" hidden="1" x14ac:dyDescent="0.35">
      <c r="B838" s="1"/>
      <c r="C838" s="17" t="s">
        <v>845</v>
      </c>
      <c r="D838" s="18">
        <f>-PMT(D833/D835,D836,D832,0,0)</f>
        <v>461449.26337516506</v>
      </c>
      <c r="E838" s="3"/>
      <c r="F838" s="3"/>
      <c r="G838" s="3"/>
      <c r="H838" s="3"/>
      <c r="I838" s="3"/>
      <c r="J838" s="3"/>
      <c r="K838" s="1"/>
      <c r="L838" s="1"/>
    </row>
    <row r="839" spans="2:19" hidden="1" x14ac:dyDescent="0.35">
      <c r="B839" s="1"/>
      <c r="C839" s="1"/>
      <c r="D839" s="3"/>
      <c r="E839" s="3"/>
      <c r="F839" s="3"/>
      <c r="G839" s="3"/>
      <c r="H839" s="3"/>
      <c r="I839" s="3"/>
      <c r="J839" s="3"/>
      <c r="K839" s="1"/>
      <c r="L839" s="1"/>
    </row>
    <row r="840" spans="2:19" hidden="1" x14ac:dyDescent="0.35">
      <c r="B840" s="1"/>
      <c r="C840" s="19" t="s">
        <v>846</v>
      </c>
      <c r="D840" s="20" t="s">
        <v>847</v>
      </c>
      <c r="E840" s="20" t="s">
        <v>764</v>
      </c>
      <c r="F840" s="270" t="s">
        <v>848</v>
      </c>
      <c r="G840" s="270" t="s">
        <v>849</v>
      </c>
      <c r="H840" s="270" t="s">
        <v>742</v>
      </c>
      <c r="I840" s="270" t="s">
        <v>740</v>
      </c>
      <c r="J840" s="270" t="s">
        <v>850</v>
      </c>
      <c r="K840" s="21" t="s">
        <v>851</v>
      </c>
      <c r="L840" s="21" t="s">
        <v>852</v>
      </c>
    </row>
    <row r="841" spans="2:19" hidden="1" x14ac:dyDescent="0.35">
      <c r="B841" s="1">
        <v>1</v>
      </c>
      <c r="C841" s="22">
        <v>44562</v>
      </c>
      <c r="D841" s="22">
        <v>44592</v>
      </c>
      <c r="E841" s="23">
        <f t="shared" ref="E841:E864" si="136">D841-C841+1</f>
        <v>31</v>
      </c>
      <c r="F841" s="3">
        <f>D832</f>
        <v>10000000</v>
      </c>
      <c r="G841" s="3">
        <f t="shared" ref="G841:G864" si="137">-PMT($D$833/$D$835,24,$D$832,,0)</f>
        <v>461449.26337516506</v>
      </c>
      <c r="H841" s="3">
        <f t="shared" ref="H841:H864" si="138">$D$833/$D$835*F841</f>
        <v>83333.333333333328</v>
      </c>
      <c r="I841" s="3">
        <f t="shared" ref="I841:I864" si="139">G841-H841</f>
        <v>378115.93004183174</v>
      </c>
      <c r="J841" s="3">
        <f t="shared" ref="J841:J864" si="140">F841-I841</f>
        <v>9621884.069958169</v>
      </c>
      <c r="K841" s="24"/>
      <c r="L841" s="24"/>
    </row>
    <row r="842" spans="2:19" hidden="1" x14ac:dyDescent="0.35">
      <c r="B842" s="1">
        <v>2</v>
      </c>
      <c r="C842" s="22">
        <v>44593</v>
      </c>
      <c r="D842" s="22">
        <v>44620</v>
      </c>
      <c r="E842" s="23">
        <f t="shared" si="136"/>
        <v>28</v>
      </c>
      <c r="F842" s="3">
        <f t="shared" ref="F842:F864" si="141">J841</f>
        <v>9621884.069958169</v>
      </c>
      <c r="G842" s="3">
        <f t="shared" si="137"/>
        <v>461449.26337516506</v>
      </c>
      <c r="H842" s="3">
        <f t="shared" si="138"/>
        <v>80182.367249651405</v>
      </c>
      <c r="I842" s="3">
        <f t="shared" si="139"/>
        <v>381266.89612551365</v>
      </c>
      <c r="J842" s="3">
        <f t="shared" si="140"/>
        <v>9240617.173832655</v>
      </c>
      <c r="K842" s="24"/>
      <c r="L842" s="24"/>
    </row>
    <row r="843" spans="2:19" hidden="1" x14ac:dyDescent="0.35">
      <c r="B843" s="1">
        <v>3</v>
      </c>
      <c r="C843" s="22">
        <v>44621</v>
      </c>
      <c r="D843" s="22">
        <v>44651</v>
      </c>
      <c r="E843" s="23">
        <f t="shared" si="136"/>
        <v>31</v>
      </c>
      <c r="F843" s="3">
        <f t="shared" si="141"/>
        <v>9240617.173832655</v>
      </c>
      <c r="G843" s="3">
        <f t="shared" si="137"/>
        <v>461449.26337516506</v>
      </c>
      <c r="H843" s="3">
        <f t="shared" si="138"/>
        <v>77005.14311527212</v>
      </c>
      <c r="I843" s="3">
        <f t="shared" si="139"/>
        <v>384444.12025989295</v>
      </c>
      <c r="J843" s="3">
        <f t="shared" si="140"/>
        <v>8856173.0535727628</v>
      </c>
      <c r="K843" s="24"/>
      <c r="L843" s="24"/>
    </row>
    <row r="844" spans="2:19" hidden="1" x14ac:dyDescent="0.35">
      <c r="B844" s="1">
        <v>4</v>
      </c>
      <c r="C844" s="22">
        <v>44652</v>
      </c>
      <c r="D844" s="22">
        <v>44681</v>
      </c>
      <c r="E844" s="23">
        <f t="shared" si="136"/>
        <v>30</v>
      </c>
      <c r="F844" s="3">
        <f t="shared" si="141"/>
        <v>8856173.0535727628</v>
      </c>
      <c r="G844" s="3">
        <f t="shared" si="137"/>
        <v>461449.26337516506</v>
      </c>
      <c r="H844" s="3">
        <f t="shared" si="138"/>
        <v>73801.442113106357</v>
      </c>
      <c r="I844" s="3">
        <f t="shared" si="139"/>
        <v>387647.82126205869</v>
      </c>
      <c r="J844" s="3">
        <f t="shared" si="140"/>
        <v>8468525.2323107049</v>
      </c>
      <c r="K844" s="24"/>
      <c r="L844" s="24"/>
    </row>
    <row r="845" spans="2:19" hidden="1" x14ac:dyDescent="0.35">
      <c r="B845" s="1">
        <v>5</v>
      </c>
      <c r="C845" s="22">
        <v>44682</v>
      </c>
      <c r="D845" s="22">
        <v>44712</v>
      </c>
      <c r="E845" s="23">
        <f t="shared" si="136"/>
        <v>31</v>
      </c>
      <c r="F845" s="3">
        <f t="shared" si="141"/>
        <v>8468525.2323107049</v>
      </c>
      <c r="G845" s="3">
        <f t="shared" si="137"/>
        <v>461449.26337516506</v>
      </c>
      <c r="H845" s="3">
        <f t="shared" si="138"/>
        <v>70571.043602589212</v>
      </c>
      <c r="I845" s="3">
        <f t="shared" si="139"/>
        <v>390878.21977257583</v>
      </c>
      <c r="J845" s="3">
        <f t="shared" si="140"/>
        <v>8077647.0125381295</v>
      </c>
      <c r="K845" s="24"/>
      <c r="L845" s="24"/>
    </row>
    <row r="846" spans="2:19" hidden="1" x14ac:dyDescent="0.35">
      <c r="B846" s="1">
        <v>6</v>
      </c>
      <c r="C846" s="22">
        <v>44713</v>
      </c>
      <c r="D846" s="22">
        <v>44742</v>
      </c>
      <c r="E846" s="23">
        <f t="shared" si="136"/>
        <v>30</v>
      </c>
      <c r="F846" s="3">
        <f t="shared" si="141"/>
        <v>8077647.0125381295</v>
      </c>
      <c r="G846" s="3">
        <f t="shared" si="137"/>
        <v>461449.26337516506</v>
      </c>
      <c r="H846" s="3">
        <f t="shared" si="138"/>
        <v>67313.725104484416</v>
      </c>
      <c r="I846" s="3">
        <f t="shared" si="139"/>
        <v>394135.53827068064</v>
      </c>
      <c r="J846" s="3">
        <f t="shared" si="140"/>
        <v>7683511.4742674492</v>
      </c>
      <c r="K846" s="24"/>
      <c r="L846" s="24"/>
    </row>
    <row r="847" spans="2:19" hidden="1" x14ac:dyDescent="0.35">
      <c r="B847" s="1">
        <v>7</v>
      </c>
      <c r="C847" s="22">
        <v>44743</v>
      </c>
      <c r="D847" s="22">
        <v>44773</v>
      </c>
      <c r="E847" s="23">
        <f t="shared" si="136"/>
        <v>31</v>
      </c>
      <c r="F847" s="3">
        <f t="shared" si="141"/>
        <v>7683511.4742674492</v>
      </c>
      <c r="G847" s="3">
        <f t="shared" si="137"/>
        <v>461449.26337516506</v>
      </c>
      <c r="H847" s="3">
        <f t="shared" si="138"/>
        <v>64029.262285562079</v>
      </c>
      <c r="I847" s="3">
        <f t="shared" si="139"/>
        <v>397420.001089603</v>
      </c>
      <c r="J847" s="3">
        <f t="shared" si="140"/>
        <v>7286091.4731778465</v>
      </c>
      <c r="K847" s="24"/>
      <c r="L847" s="24"/>
    </row>
    <row r="848" spans="2:19" hidden="1" x14ac:dyDescent="0.35">
      <c r="B848" s="1">
        <v>8</v>
      </c>
      <c r="C848" s="22">
        <v>44774</v>
      </c>
      <c r="D848" s="22">
        <v>44804</v>
      </c>
      <c r="E848" s="23">
        <f t="shared" si="136"/>
        <v>31</v>
      </c>
      <c r="F848" s="3">
        <f t="shared" si="141"/>
        <v>7286091.4731778465</v>
      </c>
      <c r="G848" s="3">
        <f t="shared" si="137"/>
        <v>461449.26337516506</v>
      </c>
      <c r="H848" s="3">
        <f t="shared" si="138"/>
        <v>60717.42894314872</v>
      </c>
      <c r="I848" s="3">
        <f t="shared" si="139"/>
        <v>400731.83443201636</v>
      </c>
      <c r="J848" s="3">
        <f t="shared" si="140"/>
        <v>6885359.6387458304</v>
      </c>
      <c r="K848" s="24"/>
      <c r="L848" s="26"/>
    </row>
    <row r="849" spans="2:12" hidden="1" x14ac:dyDescent="0.35">
      <c r="B849" s="1">
        <v>9</v>
      </c>
      <c r="C849" s="22">
        <v>44805</v>
      </c>
      <c r="D849" s="22">
        <v>44834</v>
      </c>
      <c r="E849" s="23">
        <f t="shared" si="136"/>
        <v>30</v>
      </c>
      <c r="F849" s="3">
        <f t="shared" si="141"/>
        <v>6885359.6387458304</v>
      </c>
      <c r="G849" s="3">
        <f t="shared" si="137"/>
        <v>461449.26337516506</v>
      </c>
      <c r="H849" s="3">
        <f t="shared" si="138"/>
        <v>57377.996989548585</v>
      </c>
      <c r="I849" s="3">
        <f t="shared" si="139"/>
        <v>404071.2663856165</v>
      </c>
      <c r="J849" s="3">
        <f t="shared" si="140"/>
        <v>6481288.3723602137</v>
      </c>
      <c r="K849" s="24"/>
      <c r="L849" s="24"/>
    </row>
    <row r="850" spans="2:12" hidden="1" x14ac:dyDescent="0.35">
      <c r="B850" s="1">
        <v>10</v>
      </c>
      <c r="C850" s="22">
        <v>44835</v>
      </c>
      <c r="D850" s="22">
        <v>44865</v>
      </c>
      <c r="E850" s="23">
        <f t="shared" si="136"/>
        <v>31</v>
      </c>
      <c r="F850" s="3">
        <f t="shared" si="141"/>
        <v>6481288.3723602137</v>
      </c>
      <c r="G850" s="3">
        <f t="shared" si="137"/>
        <v>461449.26337516506</v>
      </c>
      <c r="H850" s="3">
        <f t="shared" si="138"/>
        <v>54010.736436335115</v>
      </c>
      <c r="I850" s="3">
        <f t="shared" si="139"/>
        <v>407438.52693882992</v>
      </c>
      <c r="J850" s="3">
        <f t="shared" si="140"/>
        <v>6073849.8454213841</v>
      </c>
      <c r="K850" s="24"/>
      <c r="L850" s="24"/>
    </row>
    <row r="851" spans="2:12" hidden="1" x14ac:dyDescent="0.35">
      <c r="B851" s="1">
        <v>11</v>
      </c>
      <c r="C851" s="22">
        <v>44866</v>
      </c>
      <c r="D851" s="22">
        <v>44895</v>
      </c>
      <c r="E851" s="23">
        <f t="shared" si="136"/>
        <v>30</v>
      </c>
      <c r="F851" s="3">
        <f t="shared" si="141"/>
        <v>6073849.8454213841</v>
      </c>
      <c r="G851" s="3">
        <f t="shared" si="137"/>
        <v>461449.26337516506</v>
      </c>
      <c r="H851" s="3">
        <f t="shared" si="138"/>
        <v>50615.415378511534</v>
      </c>
      <c r="I851" s="3">
        <f t="shared" si="139"/>
        <v>410833.84799665352</v>
      </c>
      <c r="J851" s="3">
        <f t="shared" si="140"/>
        <v>5663015.997424731</v>
      </c>
      <c r="K851" s="24"/>
      <c r="L851" s="26"/>
    </row>
    <row r="852" spans="2:12" hidden="1" x14ac:dyDescent="0.35">
      <c r="B852" s="1">
        <v>12</v>
      </c>
      <c r="C852" s="22">
        <v>44896</v>
      </c>
      <c r="D852" s="22">
        <v>44926</v>
      </c>
      <c r="E852" s="23">
        <f t="shared" si="136"/>
        <v>31</v>
      </c>
      <c r="F852" s="3">
        <f t="shared" si="141"/>
        <v>5663015.997424731</v>
      </c>
      <c r="G852" s="3">
        <f t="shared" si="137"/>
        <v>461449.26337516506</v>
      </c>
      <c r="H852" s="3">
        <f t="shared" si="138"/>
        <v>47191.799978539428</v>
      </c>
      <c r="I852" s="3">
        <f t="shared" si="139"/>
        <v>414257.46339662565</v>
      </c>
      <c r="J852" s="3">
        <f t="shared" si="140"/>
        <v>5248758.5340281054</v>
      </c>
      <c r="K852" s="24">
        <v>1000000</v>
      </c>
      <c r="L852" s="24">
        <f>SUM(G841:G852)-K852</f>
        <v>4537391.1605019802</v>
      </c>
    </row>
    <row r="853" spans="2:12" hidden="1" x14ac:dyDescent="0.35">
      <c r="B853" s="1">
        <v>13</v>
      </c>
      <c r="C853" s="22">
        <v>44927</v>
      </c>
      <c r="D853" s="22">
        <v>44957</v>
      </c>
      <c r="E853" s="23">
        <f t="shared" si="136"/>
        <v>31</v>
      </c>
      <c r="F853" s="3">
        <f t="shared" si="141"/>
        <v>5248758.5340281054</v>
      </c>
      <c r="G853" s="3">
        <f t="shared" si="137"/>
        <v>461449.26337516506</v>
      </c>
      <c r="H853" s="3">
        <f t="shared" si="138"/>
        <v>43739.654450234215</v>
      </c>
      <c r="I853" s="3">
        <f t="shared" si="139"/>
        <v>417709.60892493086</v>
      </c>
      <c r="J853" s="3">
        <f t="shared" si="140"/>
        <v>4831048.9251031745</v>
      </c>
      <c r="K853" s="24">
        <v>0</v>
      </c>
      <c r="L853" s="24">
        <f>L852+G853-K853</f>
        <v>4998840.4238771452</v>
      </c>
    </row>
    <row r="854" spans="2:12" hidden="1" x14ac:dyDescent="0.35">
      <c r="B854" s="1">
        <v>14</v>
      </c>
      <c r="C854" s="22">
        <v>44958</v>
      </c>
      <c r="D854" s="22">
        <v>44985</v>
      </c>
      <c r="E854" s="23">
        <f t="shared" si="136"/>
        <v>28</v>
      </c>
      <c r="F854" s="3">
        <f t="shared" si="141"/>
        <v>4831048.9251031745</v>
      </c>
      <c r="G854" s="3">
        <f t="shared" si="137"/>
        <v>461449.26337516506</v>
      </c>
      <c r="H854" s="3">
        <f t="shared" si="138"/>
        <v>40258.741042526453</v>
      </c>
      <c r="I854" s="3">
        <f t="shared" si="139"/>
        <v>421190.52233263862</v>
      </c>
      <c r="J854" s="3">
        <f t="shared" si="140"/>
        <v>4409858.402770536</v>
      </c>
      <c r="K854" s="24"/>
      <c r="L854" s="24">
        <f>L853+G854-K854</f>
        <v>5460289.6872523101</v>
      </c>
    </row>
    <row r="855" spans="2:12" hidden="1" x14ac:dyDescent="0.35">
      <c r="B855" s="1">
        <v>15</v>
      </c>
      <c r="C855" s="22">
        <v>44986</v>
      </c>
      <c r="D855" s="22">
        <v>45016</v>
      </c>
      <c r="E855" s="23">
        <f t="shared" si="136"/>
        <v>31</v>
      </c>
      <c r="F855" s="3">
        <f t="shared" si="141"/>
        <v>4409858.402770536</v>
      </c>
      <c r="G855" s="3">
        <f t="shared" si="137"/>
        <v>461449.26337516506</v>
      </c>
      <c r="H855" s="3">
        <f t="shared" si="138"/>
        <v>36748.820023087799</v>
      </c>
      <c r="I855" s="3">
        <f t="shared" si="139"/>
        <v>424700.44335207727</v>
      </c>
      <c r="J855" s="3">
        <f t="shared" si="140"/>
        <v>3985157.9594184589</v>
      </c>
      <c r="K855" s="24"/>
      <c r="L855" s="24"/>
    </row>
    <row r="856" spans="2:12" hidden="1" x14ac:dyDescent="0.35">
      <c r="B856" s="1">
        <v>16</v>
      </c>
      <c r="C856" s="22">
        <v>45017</v>
      </c>
      <c r="D856" s="22">
        <v>45046</v>
      </c>
      <c r="E856" s="23">
        <f t="shared" si="136"/>
        <v>30</v>
      </c>
      <c r="F856" s="3">
        <f t="shared" si="141"/>
        <v>3985157.9594184589</v>
      </c>
      <c r="G856" s="3">
        <f t="shared" si="137"/>
        <v>461449.26337516506</v>
      </c>
      <c r="H856" s="3">
        <f t="shared" si="138"/>
        <v>33209.649661820491</v>
      </c>
      <c r="I856" s="3">
        <f t="shared" si="139"/>
        <v>428239.61371334456</v>
      </c>
      <c r="J856" s="3">
        <f t="shared" si="140"/>
        <v>3556918.3457051143</v>
      </c>
      <c r="K856" s="24"/>
      <c r="L856" s="24"/>
    </row>
    <row r="857" spans="2:12" hidden="1" x14ac:dyDescent="0.35">
      <c r="B857" s="1">
        <v>17</v>
      </c>
      <c r="C857" s="22">
        <v>45047</v>
      </c>
      <c r="D857" s="22">
        <v>45077</v>
      </c>
      <c r="E857" s="23">
        <f t="shared" si="136"/>
        <v>31</v>
      </c>
      <c r="F857" s="3">
        <f t="shared" si="141"/>
        <v>3556918.3457051143</v>
      </c>
      <c r="G857" s="3">
        <f t="shared" si="137"/>
        <v>461449.26337516506</v>
      </c>
      <c r="H857" s="3">
        <f t="shared" si="138"/>
        <v>29640.986214209286</v>
      </c>
      <c r="I857" s="3">
        <f t="shared" si="139"/>
        <v>431808.27716095577</v>
      </c>
      <c r="J857" s="3">
        <f t="shared" si="140"/>
        <v>3125110.0685441587</v>
      </c>
      <c r="K857" s="24"/>
      <c r="L857" s="24"/>
    </row>
    <row r="858" spans="2:12" hidden="1" x14ac:dyDescent="0.35">
      <c r="B858" s="1">
        <v>18</v>
      </c>
      <c r="C858" s="22">
        <v>45078</v>
      </c>
      <c r="D858" s="22">
        <v>45107</v>
      </c>
      <c r="E858" s="23">
        <f t="shared" si="136"/>
        <v>30</v>
      </c>
      <c r="F858" s="3">
        <f t="shared" si="141"/>
        <v>3125110.0685441587</v>
      </c>
      <c r="G858" s="3">
        <f t="shared" si="137"/>
        <v>461449.26337516506</v>
      </c>
      <c r="H858" s="3">
        <f t="shared" si="138"/>
        <v>26042.583904534655</v>
      </c>
      <c r="I858" s="3">
        <f t="shared" si="139"/>
        <v>435406.67947063042</v>
      </c>
      <c r="J858" s="3">
        <f t="shared" si="140"/>
        <v>2689703.3890735283</v>
      </c>
      <c r="K858" s="24"/>
      <c r="L858" s="24"/>
    </row>
    <row r="859" spans="2:12" hidden="1" x14ac:dyDescent="0.35">
      <c r="B859" s="1">
        <v>19</v>
      </c>
      <c r="C859" s="22">
        <v>45108</v>
      </c>
      <c r="D859" s="22">
        <v>45138</v>
      </c>
      <c r="E859" s="23">
        <f t="shared" si="136"/>
        <v>31</v>
      </c>
      <c r="F859" s="3">
        <f t="shared" si="141"/>
        <v>2689703.3890735283</v>
      </c>
      <c r="G859" s="3">
        <f t="shared" si="137"/>
        <v>461449.26337516506</v>
      </c>
      <c r="H859" s="3">
        <f t="shared" si="138"/>
        <v>22414.194908946069</v>
      </c>
      <c r="I859" s="3">
        <f t="shared" si="139"/>
        <v>439035.068466219</v>
      </c>
      <c r="J859" s="3">
        <f t="shared" si="140"/>
        <v>2250668.3206073092</v>
      </c>
      <c r="K859" s="24"/>
      <c r="L859" s="24">
        <f>SUM(G841:G859)-K852</f>
        <v>7767536.0041281357</v>
      </c>
    </row>
    <row r="860" spans="2:12" hidden="1" x14ac:dyDescent="0.35">
      <c r="B860" s="1">
        <v>20</v>
      </c>
      <c r="C860" s="22">
        <v>45139</v>
      </c>
      <c r="D860" s="22">
        <v>45169</v>
      </c>
      <c r="E860" s="23">
        <f t="shared" si="136"/>
        <v>31</v>
      </c>
      <c r="F860" s="3">
        <f t="shared" si="141"/>
        <v>2250668.3206073092</v>
      </c>
      <c r="G860" s="3">
        <f t="shared" si="137"/>
        <v>461449.26337516506</v>
      </c>
      <c r="H860" s="3">
        <f t="shared" si="138"/>
        <v>18755.569338394242</v>
      </c>
      <c r="I860" s="3">
        <f t="shared" si="139"/>
        <v>442693.69403677084</v>
      </c>
      <c r="J860" s="3">
        <f t="shared" si="140"/>
        <v>1807974.6265705384</v>
      </c>
      <c r="K860" s="24"/>
      <c r="L860" s="24">
        <f>L859</f>
        <v>7767536.0041281357</v>
      </c>
    </row>
    <row r="861" spans="2:12" hidden="1" x14ac:dyDescent="0.35">
      <c r="B861" s="1">
        <v>21</v>
      </c>
      <c r="C861" s="22">
        <v>45170</v>
      </c>
      <c r="D861" s="22">
        <v>45199</v>
      </c>
      <c r="E861" s="23">
        <f t="shared" si="136"/>
        <v>30</v>
      </c>
      <c r="F861" s="3">
        <f t="shared" si="141"/>
        <v>1807974.6265705384</v>
      </c>
      <c r="G861" s="3">
        <f t="shared" si="137"/>
        <v>461449.26337516506</v>
      </c>
      <c r="H861" s="3">
        <f t="shared" si="138"/>
        <v>15066.455221421153</v>
      </c>
      <c r="I861" s="3">
        <f t="shared" si="139"/>
        <v>446382.80815374391</v>
      </c>
      <c r="J861" s="3">
        <f t="shared" si="140"/>
        <v>1361591.8184167945</v>
      </c>
      <c r="K861" s="24">
        <v>5000000</v>
      </c>
      <c r="L861" s="204">
        <f>L860-K861</f>
        <v>2767536.0041281357</v>
      </c>
    </row>
    <row r="862" spans="2:12" hidden="1" x14ac:dyDescent="0.35">
      <c r="B862" s="1">
        <v>22</v>
      </c>
      <c r="C862" s="22">
        <v>45200</v>
      </c>
      <c r="D862" s="22">
        <v>45230</v>
      </c>
      <c r="E862" s="23">
        <f t="shared" si="136"/>
        <v>31</v>
      </c>
      <c r="F862" s="3">
        <f t="shared" si="141"/>
        <v>1361591.8184167945</v>
      </c>
      <c r="G862" s="3">
        <f t="shared" si="137"/>
        <v>461449.26337516506</v>
      </c>
      <c r="H862" s="3">
        <f t="shared" si="138"/>
        <v>11346.598486806621</v>
      </c>
      <c r="I862" s="3">
        <f t="shared" si="139"/>
        <v>450102.66488835844</v>
      </c>
      <c r="J862" s="3">
        <f t="shared" si="140"/>
        <v>911489.15352843609</v>
      </c>
      <c r="K862" s="24"/>
      <c r="L862" s="24"/>
    </row>
    <row r="863" spans="2:12" hidden="1" x14ac:dyDescent="0.35">
      <c r="B863" s="1">
        <v>23</v>
      </c>
      <c r="C863" s="22">
        <v>45231</v>
      </c>
      <c r="D863" s="22">
        <v>45260</v>
      </c>
      <c r="E863" s="23">
        <f t="shared" si="136"/>
        <v>30</v>
      </c>
      <c r="F863" s="3">
        <f t="shared" si="141"/>
        <v>911489.15352843609</v>
      </c>
      <c r="G863" s="3">
        <f t="shared" si="137"/>
        <v>461449.26337516506</v>
      </c>
      <c r="H863" s="3">
        <f t="shared" si="138"/>
        <v>7595.7429460703006</v>
      </c>
      <c r="I863" s="3">
        <f t="shared" si="139"/>
        <v>453853.52042909473</v>
      </c>
      <c r="J863" s="3">
        <f t="shared" si="140"/>
        <v>457635.63309934136</v>
      </c>
      <c r="K863" s="24"/>
      <c r="L863" s="24"/>
    </row>
    <row r="864" spans="2:12" hidden="1" x14ac:dyDescent="0.35">
      <c r="B864" s="1">
        <v>24</v>
      </c>
      <c r="C864" s="22">
        <v>45261</v>
      </c>
      <c r="D864" s="22">
        <v>45291</v>
      </c>
      <c r="E864" s="23">
        <f t="shared" si="136"/>
        <v>31</v>
      </c>
      <c r="F864" s="3">
        <f t="shared" si="141"/>
        <v>457635.63309934136</v>
      </c>
      <c r="G864" s="3">
        <f t="shared" si="137"/>
        <v>461449.26337516506</v>
      </c>
      <c r="H864" s="3">
        <f t="shared" si="138"/>
        <v>3813.6302758278448</v>
      </c>
      <c r="I864" s="3">
        <f t="shared" si="139"/>
        <v>457635.63309933722</v>
      </c>
      <c r="J864" s="3">
        <f t="shared" si="140"/>
        <v>4.1327439248561859E-9</v>
      </c>
      <c r="K864" s="24">
        <v>7767536</v>
      </c>
      <c r="L864" s="205">
        <f>SUM(G860:G864)+L861-K864+2692753.68</f>
        <v>1.0039606131613255E-3</v>
      </c>
    </row>
    <row r="865" spans="2:19" ht="14.25" hidden="1" customHeight="1" x14ac:dyDescent="0.35">
      <c r="B865" s="1"/>
      <c r="C865" s="1"/>
      <c r="D865" s="1"/>
      <c r="E865" s="28">
        <f>SUM(E841:E864)</f>
        <v>730</v>
      </c>
      <c r="F865" s="3"/>
      <c r="G865" s="3"/>
      <c r="H865" s="3"/>
      <c r="I865" s="3"/>
      <c r="J865" s="3"/>
      <c r="K865" s="1"/>
      <c r="L865" s="1"/>
    </row>
    <row r="866" spans="2:19" hidden="1" x14ac:dyDescent="0.35"/>
    <row r="867" spans="2:19" hidden="1" x14ac:dyDescent="0.35"/>
    <row r="868" spans="2:19" hidden="1" x14ac:dyDescent="0.35"/>
    <row r="869" spans="2:19" hidden="1" x14ac:dyDescent="0.35"/>
    <row r="870" spans="2:19" ht="14.25" hidden="1" customHeight="1" x14ac:dyDescent="0.35"/>
    <row r="871" spans="2:19" hidden="1" x14ac:dyDescent="0.35">
      <c r="B871" s="1"/>
      <c r="C871" s="8" t="s">
        <v>633</v>
      </c>
      <c r="D871" s="3"/>
      <c r="E871" s="3"/>
      <c r="F871" s="3"/>
      <c r="G871" s="3"/>
      <c r="H871" s="3"/>
      <c r="I871" s="3"/>
      <c r="J871" s="3"/>
      <c r="K871" s="3"/>
      <c r="L871" s="3"/>
      <c r="R871" s="438" t="s">
        <v>832</v>
      </c>
      <c r="S871" s="432" t="str">
        <f>IFERROR(INDEX(Blocks!$I$2:$I$101,MATCH(14,Blocks!$A$2:$A$101,0)),"")</f>
        <v>000104460000014</v>
      </c>
    </row>
    <row r="872" spans="2:19" hidden="1" x14ac:dyDescent="0.35">
      <c r="B872" s="1"/>
      <c r="C872" s="1"/>
      <c r="D872" s="3"/>
      <c r="E872" s="3"/>
      <c r="F872" s="3"/>
      <c r="G872" s="3">
        <f>D873*D874*11/D878</f>
        <v>60273.972602739726</v>
      </c>
      <c r="H872" s="3"/>
      <c r="I872" s="3"/>
      <c r="J872" s="3"/>
      <c r="K872" s="3"/>
      <c r="L872" s="3"/>
      <c r="R872" s="438" t="s">
        <v>834</v>
      </c>
      <c r="S872" s="432" t="str">
        <f>IFERROR(INDEX(Blocks!$H$2:$H$101,MATCH(14,Blocks!$A$2:$A$101,0)),"")</f>
        <v>Ecogen Ltd</v>
      </c>
    </row>
    <row r="873" spans="2:19" hidden="1" x14ac:dyDescent="0.35">
      <c r="B873" s="1"/>
      <c r="C873" s="9" t="s">
        <v>835</v>
      </c>
      <c r="D873" s="10">
        <v>20000000</v>
      </c>
      <c r="E873" s="3"/>
      <c r="F873" s="3"/>
      <c r="G873" s="3"/>
      <c r="H873" s="3"/>
      <c r="I873" s="3"/>
      <c r="J873" s="3"/>
      <c r="K873" s="3"/>
      <c r="L873" s="3"/>
      <c r="R873" s="438" t="s">
        <v>223</v>
      </c>
      <c r="S873" s="433">
        <f>IFERROR(INDEX('E-Banker master'!$N$2:$N$186,MATCH(S871,'E-Banker master'!$A$2:$A$186,0)),"")</f>
        <v>0</v>
      </c>
    </row>
    <row r="874" spans="2:19" hidden="1" x14ac:dyDescent="0.35">
      <c r="B874" s="1"/>
      <c r="C874" s="11" t="s">
        <v>837</v>
      </c>
      <c r="D874" s="12">
        <v>0.1</v>
      </c>
      <c r="E874" s="13"/>
      <c r="F874" s="3"/>
      <c r="G874" s="3"/>
      <c r="H874" s="3"/>
      <c r="I874" s="3"/>
      <c r="J874" s="3"/>
      <c r="K874" s="3"/>
      <c r="L874" s="3"/>
      <c r="R874" s="438" t="s">
        <v>52</v>
      </c>
      <c r="S874" s="433">
        <f>IFERROR(INDEX('E-Banker master'!$P$2:$P$186,MATCH(S871,'E-Banker master'!$A$2:$A$186,0)),"")</f>
        <v>0</v>
      </c>
    </row>
    <row r="875" spans="2:19" hidden="1" x14ac:dyDescent="0.35">
      <c r="B875" s="1"/>
      <c r="C875" s="11" t="s">
        <v>838</v>
      </c>
      <c r="D875" s="14">
        <v>2</v>
      </c>
      <c r="E875" s="1"/>
      <c r="F875" s="3"/>
      <c r="G875" s="3"/>
      <c r="H875" s="3"/>
      <c r="I875" s="3"/>
      <c r="J875" s="3"/>
      <c r="K875" s="1"/>
      <c r="L875" s="1"/>
    </row>
    <row r="876" spans="2:19" hidden="1" x14ac:dyDescent="0.35">
      <c r="B876" s="1"/>
      <c r="C876" s="11" t="s">
        <v>839</v>
      </c>
      <c r="D876" s="14">
        <v>12</v>
      </c>
      <c r="E876" s="1"/>
      <c r="F876" s="3"/>
      <c r="G876" s="3"/>
      <c r="H876" s="3"/>
      <c r="I876" s="3"/>
      <c r="J876" s="3"/>
      <c r="K876" s="1"/>
      <c r="L876" s="1"/>
    </row>
    <row r="877" spans="2:19" hidden="1" x14ac:dyDescent="0.35">
      <c r="B877" s="1"/>
      <c r="C877" s="11" t="s">
        <v>843</v>
      </c>
      <c r="D877" s="15">
        <f>D875*D876</f>
        <v>24</v>
      </c>
      <c r="E877" s="1"/>
      <c r="F877" s="3"/>
      <c r="G877" s="3"/>
      <c r="H877" s="3"/>
      <c r="I877" s="3"/>
      <c r="J877" s="3"/>
      <c r="K877" s="1"/>
      <c r="L877" s="1"/>
    </row>
    <row r="878" spans="2:19" hidden="1" x14ac:dyDescent="0.35">
      <c r="B878" s="1"/>
      <c r="C878" s="11" t="s">
        <v>844</v>
      </c>
      <c r="D878" s="16">
        <v>365</v>
      </c>
      <c r="E878" s="1"/>
      <c r="F878" s="3"/>
      <c r="G878" s="3"/>
      <c r="H878" s="3"/>
      <c r="I878" s="3"/>
      <c r="J878" s="3"/>
      <c r="K878" s="1"/>
      <c r="L878" s="1"/>
    </row>
    <row r="879" spans="2:19" hidden="1" x14ac:dyDescent="0.35">
      <c r="B879" s="1"/>
      <c r="C879" s="17" t="s">
        <v>845</v>
      </c>
      <c r="D879" s="18">
        <f>-PMT(D874/D876,D877,D873,0,0)</f>
        <v>922898.52675033011</v>
      </c>
      <c r="E879" s="3"/>
      <c r="F879" s="3"/>
      <c r="G879" s="3"/>
      <c r="H879" s="3"/>
      <c r="I879" s="3"/>
      <c r="J879" s="3"/>
      <c r="K879" s="1"/>
      <c r="L879" s="1"/>
    </row>
    <row r="880" spans="2:19" hidden="1" x14ac:dyDescent="0.35">
      <c r="B880" s="1"/>
      <c r="C880" s="1"/>
      <c r="D880" s="3"/>
      <c r="E880" s="3"/>
      <c r="F880" s="3"/>
      <c r="G880" s="3"/>
      <c r="H880" s="3"/>
      <c r="I880" s="3"/>
      <c r="J880" s="3"/>
      <c r="K880" s="1"/>
      <c r="L880" s="1"/>
    </row>
    <row r="881" spans="2:12" hidden="1" x14ac:dyDescent="0.35">
      <c r="B881" s="1"/>
      <c r="C881" s="19" t="s">
        <v>846</v>
      </c>
      <c r="D881" s="20" t="s">
        <v>847</v>
      </c>
      <c r="E881" s="20" t="s">
        <v>764</v>
      </c>
      <c r="F881" s="270" t="s">
        <v>848</v>
      </c>
      <c r="G881" s="270" t="s">
        <v>849</v>
      </c>
      <c r="H881" s="270" t="s">
        <v>742</v>
      </c>
      <c r="I881" s="270" t="s">
        <v>740</v>
      </c>
      <c r="J881" s="270" t="s">
        <v>850</v>
      </c>
      <c r="K881" s="21" t="s">
        <v>851</v>
      </c>
      <c r="L881" s="21" t="s">
        <v>852</v>
      </c>
    </row>
    <row r="882" spans="2:12" hidden="1" x14ac:dyDescent="0.35">
      <c r="B882" s="1">
        <v>1</v>
      </c>
      <c r="C882" s="22">
        <v>44562</v>
      </c>
      <c r="D882" s="22">
        <v>44592</v>
      </c>
      <c r="E882" s="23">
        <f t="shared" ref="E882:E905" si="142">D882-C882+1</f>
        <v>31</v>
      </c>
      <c r="F882" s="3">
        <f>D873</f>
        <v>20000000</v>
      </c>
      <c r="G882" s="3"/>
      <c r="H882" s="3">
        <f t="shared" ref="H882:H905" si="143">$D$874/$D$876*F882</f>
        <v>166666.66666666666</v>
      </c>
      <c r="I882" s="3">
        <f t="shared" ref="I882:I905" si="144">G882-H882</f>
        <v>-166666.66666666666</v>
      </c>
      <c r="J882" s="3">
        <f t="shared" ref="J882:J905" si="145">F882-I882</f>
        <v>20166666.666666668</v>
      </c>
      <c r="K882" s="24"/>
      <c r="L882" s="24"/>
    </row>
    <row r="883" spans="2:12" hidden="1" x14ac:dyDescent="0.35">
      <c r="B883" s="1">
        <v>2</v>
      </c>
      <c r="C883" s="22">
        <v>44593</v>
      </c>
      <c r="D883" s="22">
        <v>44620</v>
      </c>
      <c r="E883" s="23">
        <f t="shared" si="142"/>
        <v>28</v>
      </c>
      <c r="F883" s="3">
        <f t="shared" ref="F883:F905" si="146">J882</f>
        <v>20166666.666666668</v>
      </c>
      <c r="G883" s="3"/>
      <c r="H883" s="3">
        <f t="shared" si="143"/>
        <v>168055.55555555556</v>
      </c>
      <c r="I883" s="3">
        <f t="shared" si="144"/>
        <v>-168055.55555555556</v>
      </c>
      <c r="J883" s="3">
        <f t="shared" si="145"/>
        <v>20334722.222222224</v>
      </c>
      <c r="K883" s="24"/>
      <c r="L883" s="24"/>
    </row>
    <row r="884" spans="2:12" hidden="1" x14ac:dyDescent="0.35">
      <c r="B884" s="1">
        <v>3</v>
      </c>
      <c r="C884" s="22">
        <v>44621</v>
      </c>
      <c r="D884" s="22">
        <v>44651</v>
      </c>
      <c r="E884" s="23">
        <f t="shared" si="142"/>
        <v>31</v>
      </c>
      <c r="F884" s="3">
        <f t="shared" si="146"/>
        <v>20334722.222222224</v>
      </c>
      <c r="G884" s="3"/>
      <c r="H884" s="3">
        <f t="shared" si="143"/>
        <v>169456.01851851854</v>
      </c>
      <c r="I884" s="3">
        <f t="shared" si="144"/>
        <v>-169456.01851851854</v>
      </c>
      <c r="J884" s="3">
        <f t="shared" si="145"/>
        <v>20504178.240740743</v>
      </c>
      <c r="K884" s="24"/>
      <c r="L884" s="24"/>
    </row>
    <row r="885" spans="2:12" hidden="1" x14ac:dyDescent="0.35">
      <c r="B885" s="1">
        <v>4</v>
      </c>
      <c r="C885" s="22">
        <v>44652</v>
      </c>
      <c r="D885" s="22">
        <v>44681</v>
      </c>
      <c r="E885" s="23">
        <f t="shared" si="142"/>
        <v>30</v>
      </c>
      <c r="F885" s="3">
        <f t="shared" si="146"/>
        <v>20504178.240740743</v>
      </c>
      <c r="G885" s="3"/>
      <c r="H885" s="3">
        <f t="shared" si="143"/>
        <v>170868.15200617287</v>
      </c>
      <c r="I885" s="3">
        <f t="shared" si="144"/>
        <v>-170868.15200617287</v>
      </c>
      <c r="J885" s="3">
        <f t="shared" si="145"/>
        <v>20675046.392746914</v>
      </c>
      <c r="K885" s="24"/>
      <c r="L885" s="24"/>
    </row>
    <row r="886" spans="2:12" hidden="1" x14ac:dyDescent="0.35">
      <c r="B886" s="1">
        <v>5</v>
      </c>
      <c r="C886" s="22">
        <v>44682</v>
      </c>
      <c r="D886" s="22">
        <v>44712</v>
      </c>
      <c r="E886" s="23">
        <f t="shared" si="142"/>
        <v>31</v>
      </c>
      <c r="F886" s="3">
        <f t="shared" si="146"/>
        <v>20675046.392746914</v>
      </c>
      <c r="G886" s="3"/>
      <c r="H886" s="3">
        <f t="shared" si="143"/>
        <v>172292.05327289095</v>
      </c>
      <c r="I886" s="3">
        <f t="shared" si="144"/>
        <v>-172292.05327289095</v>
      </c>
      <c r="J886" s="3">
        <f t="shared" si="145"/>
        <v>20847338.446019806</v>
      </c>
      <c r="K886" s="24"/>
      <c r="L886" s="24"/>
    </row>
    <row r="887" spans="2:12" hidden="1" x14ac:dyDescent="0.35">
      <c r="B887" s="1">
        <v>6</v>
      </c>
      <c r="C887" s="22">
        <v>44713</v>
      </c>
      <c r="D887" s="22">
        <v>44742</v>
      </c>
      <c r="E887" s="23">
        <f t="shared" si="142"/>
        <v>30</v>
      </c>
      <c r="F887" s="3">
        <f t="shared" si="146"/>
        <v>20847338.446019806</v>
      </c>
      <c r="G887" s="3"/>
      <c r="H887" s="3">
        <f t="shared" si="143"/>
        <v>173727.82038349839</v>
      </c>
      <c r="I887" s="3">
        <f t="shared" si="144"/>
        <v>-173727.82038349839</v>
      </c>
      <c r="J887" s="3">
        <f t="shared" si="145"/>
        <v>21021066.266403303</v>
      </c>
      <c r="K887" s="24"/>
      <c r="L887" s="24"/>
    </row>
    <row r="888" spans="2:12" hidden="1" x14ac:dyDescent="0.35">
      <c r="B888" s="1">
        <v>7</v>
      </c>
      <c r="C888" s="22">
        <v>44743</v>
      </c>
      <c r="D888" s="22">
        <v>44773</v>
      </c>
      <c r="E888" s="23">
        <f t="shared" si="142"/>
        <v>31</v>
      </c>
      <c r="F888" s="3">
        <f t="shared" si="146"/>
        <v>21021066.266403303</v>
      </c>
      <c r="G888" s="3">
        <f t="shared" ref="G888:G905" si="147">-PMT($D$874/$D$876,18,$F$888,,0)</f>
        <v>1262463.8586769544</v>
      </c>
      <c r="H888" s="3">
        <f t="shared" si="143"/>
        <v>175175.55222002752</v>
      </c>
      <c r="I888" s="3">
        <f t="shared" si="144"/>
        <v>1087288.306456927</v>
      </c>
      <c r="J888" s="3">
        <f t="shared" si="145"/>
        <v>19933777.959946375</v>
      </c>
      <c r="K888" s="24"/>
      <c r="L888" s="24">
        <f>G872+G888</f>
        <v>1322737.8312796941</v>
      </c>
    </row>
    <row r="889" spans="2:12" hidden="1" x14ac:dyDescent="0.35">
      <c r="B889" s="1">
        <v>8</v>
      </c>
      <c r="C889" s="22">
        <v>44774</v>
      </c>
      <c r="D889" s="22">
        <v>44804</v>
      </c>
      <c r="E889" s="23">
        <f t="shared" si="142"/>
        <v>31</v>
      </c>
      <c r="F889" s="3">
        <f t="shared" si="146"/>
        <v>19933777.959946375</v>
      </c>
      <c r="G889" s="3">
        <f t="shared" si="147"/>
        <v>1262463.8586769544</v>
      </c>
      <c r="H889" s="3">
        <f t="shared" si="143"/>
        <v>166114.81633288646</v>
      </c>
      <c r="I889" s="3">
        <f t="shared" si="144"/>
        <v>1096349.0423440679</v>
      </c>
      <c r="J889" s="3">
        <f t="shared" si="145"/>
        <v>18837428.917602308</v>
      </c>
      <c r="K889" s="24">
        <v>1300000</v>
      </c>
      <c r="L889" s="24">
        <f t="shared" ref="L889:L905" si="148">L888+G889-K889</f>
        <v>1285201.6899566483</v>
      </c>
    </row>
    <row r="890" spans="2:12" hidden="1" x14ac:dyDescent="0.35">
      <c r="B890" s="1">
        <v>9</v>
      </c>
      <c r="C890" s="22">
        <v>44805</v>
      </c>
      <c r="D890" s="22">
        <v>44834</v>
      </c>
      <c r="E890" s="23">
        <f t="shared" si="142"/>
        <v>30</v>
      </c>
      <c r="F890" s="3">
        <f t="shared" si="146"/>
        <v>18837428.917602308</v>
      </c>
      <c r="G890" s="3">
        <f t="shared" si="147"/>
        <v>1262463.8586769544</v>
      </c>
      <c r="H890" s="3">
        <f t="shared" si="143"/>
        <v>156978.57431335255</v>
      </c>
      <c r="I890" s="3">
        <f t="shared" si="144"/>
        <v>1105485.2843636018</v>
      </c>
      <c r="J890" s="3">
        <f t="shared" si="145"/>
        <v>17731943.633238707</v>
      </c>
      <c r="K890" s="24">
        <f>1300000+1300000</f>
        <v>2600000</v>
      </c>
      <c r="L890" s="24">
        <f t="shared" si="148"/>
        <v>-52334.451366397552</v>
      </c>
    </row>
    <row r="891" spans="2:12" hidden="1" x14ac:dyDescent="0.35">
      <c r="B891" s="1">
        <v>10</v>
      </c>
      <c r="C891" s="22">
        <v>44835</v>
      </c>
      <c r="D891" s="22">
        <v>44865</v>
      </c>
      <c r="E891" s="23">
        <f t="shared" si="142"/>
        <v>31</v>
      </c>
      <c r="F891" s="3">
        <f t="shared" si="146"/>
        <v>17731943.633238707</v>
      </c>
      <c r="G891" s="3">
        <f t="shared" si="147"/>
        <v>1262463.8586769544</v>
      </c>
      <c r="H891" s="3">
        <f t="shared" si="143"/>
        <v>147766.1969436559</v>
      </c>
      <c r="I891" s="3">
        <f t="shared" si="144"/>
        <v>1114697.6617332986</v>
      </c>
      <c r="J891" s="3">
        <f t="shared" si="145"/>
        <v>16617245.971505407</v>
      </c>
      <c r="K891" s="24"/>
      <c r="L891" s="24">
        <f t="shared" si="148"/>
        <v>1210129.4073105569</v>
      </c>
    </row>
    <row r="892" spans="2:12" hidden="1" x14ac:dyDescent="0.35">
      <c r="B892" s="1">
        <v>11</v>
      </c>
      <c r="C892" s="22">
        <v>44866</v>
      </c>
      <c r="D892" s="22">
        <v>44895</v>
      </c>
      <c r="E892" s="23">
        <f t="shared" si="142"/>
        <v>30</v>
      </c>
      <c r="F892" s="3">
        <f t="shared" si="146"/>
        <v>16617245.971505407</v>
      </c>
      <c r="G892" s="3">
        <f t="shared" si="147"/>
        <v>1262463.8586769544</v>
      </c>
      <c r="H892" s="3">
        <f t="shared" si="143"/>
        <v>138477.04976254507</v>
      </c>
      <c r="I892" s="3">
        <f t="shared" si="144"/>
        <v>1123986.8089144093</v>
      </c>
      <c r="J892" s="3">
        <f t="shared" si="145"/>
        <v>15493259.162590997</v>
      </c>
      <c r="K892" s="24">
        <v>1300000</v>
      </c>
      <c r="L892" s="24">
        <f t="shared" si="148"/>
        <v>1172593.2659875113</v>
      </c>
    </row>
    <row r="893" spans="2:12" hidden="1" x14ac:dyDescent="0.35">
      <c r="B893" s="1">
        <v>12</v>
      </c>
      <c r="C893" s="22">
        <v>44896</v>
      </c>
      <c r="D893" s="22">
        <v>44926</v>
      </c>
      <c r="E893" s="23">
        <f t="shared" si="142"/>
        <v>31</v>
      </c>
      <c r="F893" s="3">
        <f t="shared" si="146"/>
        <v>15493259.162590997</v>
      </c>
      <c r="G893" s="3">
        <f t="shared" si="147"/>
        <v>1262463.8586769544</v>
      </c>
      <c r="H893" s="3">
        <f t="shared" si="143"/>
        <v>129110.49302159164</v>
      </c>
      <c r="I893" s="3">
        <f t="shared" si="144"/>
        <v>1133353.3656553628</v>
      </c>
      <c r="J893" s="3">
        <f t="shared" si="145"/>
        <v>14359905.796935635</v>
      </c>
      <c r="K893" s="24">
        <v>1300000</v>
      </c>
      <c r="L893" s="24">
        <f t="shared" si="148"/>
        <v>1135057.1246644659</v>
      </c>
    </row>
    <row r="894" spans="2:12" hidden="1" x14ac:dyDescent="0.35">
      <c r="B894" s="1">
        <v>13</v>
      </c>
      <c r="C894" s="22">
        <v>44927</v>
      </c>
      <c r="D894" s="22">
        <v>44957</v>
      </c>
      <c r="E894" s="23">
        <f t="shared" si="142"/>
        <v>31</v>
      </c>
      <c r="F894" s="3">
        <f t="shared" si="146"/>
        <v>14359905.796935635</v>
      </c>
      <c r="G894" s="3">
        <f t="shared" si="147"/>
        <v>1262463.8586769544</v>
      </c>
      <c r="H894" s="3">
        <f t="shared" si="143"/>
        <v>119665.88164113028</v>
      </c>
      <c r="I894" s="3">
        <f t="shared" si="144"/>
        <v>1142797.9770358242</v>
      </c>
      <c r="J894" s="3">
        <f t="shared" si="145"/>
        <v>13217107.81989981</v>
      </c>
      <c r="K894" s="24">
        <v>1300000</v>
      </c>
      <c r="L894" s="24">
        <f t="shared" si="148"/>
        <v>1097520.9833414201</v>
      </c>
    </row>
    <row r="895" spans="2:12" hidden="1" x14ac:dyDescent="0.35">
      <c r="B895" s="1">
        <v>14</v>
      </c>
      <c r="C895" s="22">
        <v>44958</v>
      </c>
      <c r="D895" s="22">
        <v>44985</v>
      </c>
      <c r="E895" s="23">
        <f t="shared" si="142"/>
        <v>28</v>
      </c>
      <c r="F895" s="3">
        <f t="shared" si="146"/>
        <v>13217107.81989981</v>
      </c>
      <c r="G895" s="3">
        <f t="shared" si="147"/>
        <v>1262463.8586769544</v>
      </c>
      <c r="H895" s="3">
        <f t="shared" si="143"/>
        <v>110142.56516583175</v>
      </c>
      <c r="I895" s="3">
        <f t="shared" si="144"/>
        <v>1152321.2935111227</v>
      </c>
      <c r="J895" s="3">
        <f t="shared" si="145"/>
        <v>12064786.526388688</v>
      </c>
      <c r="K895" s="24">
        <v>0</v>
      </c>
      <c r="L895" s="24">
        <f t="shared" si="148"/>
        <v>2359984.8420183742</v>
      </c>
    </row>
    <row r="896" spans="2:12" hidden="1" x14ac:dyDescent="0.35">
      <c r="B896" s="1">
        <v>15</v>
      </c>
      <c r="C896" s="22">
        <v>44986</v>
      </c>
      <c r="D896" s="22">
        <v>45016</v>
      </c>
      <c r="E896" s="23">
        <f t="shared" si="142"/>
        <v>31</v>
      </c>
      <c r="F896" s="3">
        <f t="shared" si="146"/>
        <v>12064786.526388688</v>
      </c>
      <c r="G896" s="3">
        <f t="shared" si="147"/>
        <v>1262463.8586769544</v>
      </c>
      <c r="H896" s="3">
        <f t="shared" si="143"/>
        <v>100539.88771990573</v>
      </c>
      <c r="I896" s="3">
        <f t="shared" si="144"/>
        <v>1161923.9709570487</v>
      </c>
      <c r="J896" s="3">
        <f t="shared" si="145"/>
        <v>10902862.55543164</v>
      </c>
      <c r="K896" s="24">
        <f>2600000+1300000</f>
        <v>3900000</v>
      </c>
      <c r="L896" s="24">
        <f t="shared" si="148"/>
        <v>-277551.29930467159</v>
      </c>
    </row>
    <row r="897" spans="2:19" hidden="1" x14ac:dyDescent="0.35">
      <c r="B897" s="1">
        <v>16</v>
      </c>
      <c r="C897" s="22">
        <v>45017</v>
      </c>
      <c r="D897" s="22">
        <v>45046</v>
      </c>
      <c r="E897" s="23">
        <f t="shared" si="142"/>
        <v>30</v>
      </c>
      <c r="F897" s="3">
        <f t="shared" si="146"/>
        <v>10902862.55543164</v>
      </c>
      <c r="G897" s="3">
        <f t="shared" si="147"/>
        <v>1262463.8586769544</v>
      </c>
      <c r="H897" s="3">
        <f t="shared" si="143"/>
        <v>90857.187961930336</v>
      </c>
      <c r="I897" s="3">
        <f t="shared" si="144"/>
        <v>1171606.670715024</v>
      </c>
      <c r="J897" s="3">
        <f t="shared" si="145"/>
        <v>9731255.8847166151</v>
      </c>
      <c r="K897" s="24">
        <v>0</v>
      </c>
      <c r="L897" s="24">
        <f t="shared" si="148"/>
        <v>984912.55937228282</v>
      </c>
    </row>
    <row r="898" spans="2:19" hidden="1" x14ac:dyDescent="0.35">
      <c r="B898" s="1">
        <v>17</v>
      </c>
      <c r="C898" s="22">
        <v>45047</v>
      </c>
      <c r="D898" s="22">
        <v>45077</v>
      </c>
      <c r="E898" s="23">
        <f t="shared" si="142"/>
        <v>31</v>
      </c>
      <c r="F898" s="3">
        <f t="shared" si="146"/>
        <v>9731255.8847166151</v>
      </c>
      <c r="G898" s="3">
        <f t="shared" si="147"/>
        <v>1262463.8586769544</v>
      </c>
      <c r="H898" s="3">
        <f t="shared" si="143"/>
        <v>81093.79903930513</v>
      </c>
      <c r="I898" s="3">
        <f t="shared" si="144"/>
        <v>1181370.0596376492</v>
      </c>
      <c r="J898" s="3">
        <f t="shared" si="145"/>
        <v>8549885.8250789661</v>
      </c>
      <c r="K898" s="24">
        <v>0</v>
      </c>
      <c r="L898" s="24">
        <f t="shared" si="148"/>
        <v>2247376.4180492372</v>
      </c>
    </row>
    <row r="899" spans="2:19" hidden="1" x14ac:dyDescent="0.35">
      <c r="B899" s="1">
        <v>18</v>
      </c>
      <c r="C899" s="22">
        <v>45078</v>
      </c>
      <c r="D899" s="22">
        <v>45107</v>
      </c>
      <c r="E899" s="23">
        <f t="shared" si="142"/>
        <v>30</v>
      </c>
      <c r="F899" s="3">
        <f t="shared" si="146"/>
        <v>8549885.8250789661</v>
      </c>
      <c r="G899" s="3">
        <f t="shared" si="147"/>
        <v>1262463.8586769544</v>
      </c>
      <c r="H899" s="3">
        <f t="shared" si="143"/>
        <v>71249.048542324716</v>
      </c>
      <c r="I899" s="3">
        <f t="shared" si="144"/>
        <v>1191214.8101346297</v>
      </c>
      <c r="J899" s="3">
        <f t="shared" si="145"/>
        <v>7358671.0149443364</v>
      </c>
      <c r="K899" s="24">
        <v>2500000</v>
      </c>
      <c r="L899" s="26">
        <f t="shared" si="148"/>
        <v>1009840.2767261919</v>
      </c>
    </row>
    <row r="900" spans="2:19" hidden="1" x14ac:dyDescent="0.35">
      <c r="B900" s="1">
        <v>19</v>
      </c>
      <c r="C900" s="22">
        <v>45108</v>
      </c>
      <c r="D900" s="22">
        <v>45138</v>
      </c>
      <c r="E900" s="23">
        <f t="shared" si="142"/>
        <v>31</v>
      </c>
      <c r="F900" s="3">
        <f t="shared" si="146"/>
        <v>7358671.0149443364</v>
      </c>
      <c r="G900" s="3">
        <f t="shared" si="147"/>
        <v>1262463.8586769544</v>
      </c>
      <c r="H900" s="3">
        <f t="shared" si="143"/>
        <v>61322.258457869466</v>
      </c>
      <c r="I900" s="3">
        <f t="shared" si="144"/>
        <v>1201141.6002190849</v>
      </c>
      <c r="J900" s="3">
        <f t="shared" si="145"/>
        <v>6157529.4147252515</v>
      </c>
      <c r="K900" s="24"/>
      <c r="L900" s="26">
        <f t="shared" si="148"/>
        <v>2272304.135403146</v>
      </c>
    </row>
    <row r="901" spans="2:19" hidden="1" x14ac:dyDescent="0.35">
      <c r="B901" s="1">
        <v>20</v>
      </c>
      <c r="C901" s="22">
        <v>45139</v>
      </c>
      <c r="D901" s="22">
        <v>45169</v>
      </c>
      <c r="E901" s="23">
        <f t="shared" si="142"/>
        <v>31</v>
      </c>
      <c r="F901" s="3">
        <f t="shared" si="146"/>
        <v>6157529.4147252515</v>
      </c>
      <c r="G901" s="3">
        <f t="shared" si="147"/>
        <v>1262463.8586769544</v>
      </c>
      <c r="H901" s="3">
        <f t="shared" si="143"/>
        <v>51312.745122710432</v>
      </c>
      <c r="I901" s="3">
        <f t="shared" si="144"/>
        <v>1211151.1135542439</v>
      </c>
      <c r="J901" s="3">
        <f t="shared" si="145"/>
        <v>4946378.3011710076</v>
      </c>
      <c r="K901" s="24">
        <v>2272304.14</v>
      </c>
      <c r="L901" s="24">
        <f t="shared" si="148"/>
        <v>1262463.8540801001</v>
      </c>
    </row>
    <row r="902" spans="2:19" hidden="1" x14ac:dyDescent="0.35">
      <c r="B902" s="1">
        <v>21</v>
      </c>
      <c r="C902" s="22">
        <v>45170</v>
      </c>
      <c r="D902" s="22">
        <v>45199</v>
      </c>
      <c r="E902" s="23">
        <f t="shared" si="142"/>
        <v>30</v>
      </c>
      <c r="F902" s="3">
        <f t="shared" si="146"/>
        <v>4946378.3011710076</v>
      </c>
      <c r="G902" s="3">
        <f t="shared" si="147"/>
        <v>1262463.8586769544</v>
      </c>
      <c r="H902" s="3">
        <f t="shared" si="143"/>
        <v>41219.819176425066</v>
      </c>
      <c r="I902" s="3">
        <f t="shared" si="144"/>
        <v>1221244.0395005294</v>
      </c>
      <c r="J902" s="3">
        <f t="shared" si="145"/>
        <v>3725134.2616704782</v>
      </c>
      <c r="K902" s="24">
        <f>1300000+1300000</f>
        <v>2600000</v>
      </c>
      <c r="L902" s="24">
        <f t="shared" si="148"/>
        <v>-75072.287242945284</v>
      </c>
    </row>
    <row r="903" spans="2:19" hidden="1" x14ac:dyDescent="0.35">
      <c r="B903" s="1">
        <v>22</v>
      </c>
      <c r="C903" s="22">
        <v>45200</v>
      </c>
      <c r="D903" s="22">
        <v>45230</v>
      </c>
      <c r="E903" s="23">
        <f t="shared" si="142"/>
        <v>31</v>
      </c>
      <c r="F903" s="3">
        <f t="shared" si="146"/>
        <v>3725134.2616704782</v>
      </c>
      <c r="G903" s="3">
        <f t="shared" si="147"/>
        <v>1262463.8586769544</v>
      </c>
      <c r="H903" s="3">
        <f t="shared" si="143"/>
        <v>31042.785513920651</v>
      </c>
      <c r="I903" s="3">
        <f t="shared" si="144"/>
        <v>1231421.0731630337</v>
      </c>
      <c r="J903" s="3">
        <f t="shared" si="145"/>
        <v>2493713.1885074442</v>
      </c>
      <c r="K903" s="24"/>
      <c r="L903" s="24">
        <f t="shared" si="148"/>
        <v>1187391.5714340091</v>
      </c>
    </row>
    <row r="904" spans="2:19" hidden="1" x14ac:dyDescent="0.35">
      <c r="B904" s="1">
        <v>23</v>
      </c>
      <c r="C904" s="22">
        <v>45231</v>
      </c>
      <c r="D904" s="22">
        <v>45260</v>
      </c>
      <c r="E904" s="23">
        <f t="shared" si="142"/>
        <v>30</v>
      </c>
      <c r="F904" s="3">
        <f t="shared" si="146"/>
        <v>2493713.1885074442</v>
      </c>
      <c r="G904" s="3">
        <f t="shared" si="147"/>
        <v>1262463.8586769544</v>
      </c>
      <c r="H904" s="3">
        <f t="shared" si="143"/>
        <v>20780.943237562034</v>
      </c>
      <c r="I904" s="3">
        <f t="shared" si="144"/>
        <v>1241682.9154393924</v>
      </c>
      <c r="J904" s="3">
        <f t="shared" si="145"/>
        <v>1252030.2730680518</v>
      </c>
      <c r="K904" s="24">
        <v>1300000</v>
      </c>
      <c r="L904" s="24">
        <f t="shared" si="148"/>
        <v>1149855.4301109635</v>
      </c>
    </row>
    <row r="905" spans="2:19" hidden="1" x14ac:dyDescent="0.35">
      <c r="B905" s="1">
        <v>24</v>
      </c>
      <c r="C905" s="22">
        <v>45261</v>
      </c>
      <c r="D905" s="22">
        <v>45291</v>
      </c>
      <c r="E905" s="23">
        <f t="shared" si="142"/>
        <v>31</v>
      </c>
      <c r="F905" s="3">
        <f t="shared" si="146"/>
        <v>1252030.2730680518</v>
      </c>
      <c r="G905" s="3">
        <f t="shared" si="147"/>
        <v>1262463.8586769544</v>
      </c>
      <c r="H905" s="3">
        <f t="shared" si="143"/>
        <v>10433.585608900432</v>
      </c>
      <c r="I905" s="3">
        <f t="shared" si="144"/>
        <v>1252030.2730680539</v>
      </c>
      <c r="J905" s="3">
        <f t="shared" si="145"/>
        <v>-2.0954757928848267E-9</v>
      </c>
      <c r="K905" s="24">
        <v>2412319.31</v>
      </c>
      <c r="L905" s="205">
        <f t="shared" si="148"/>
        <v>-2.1212081890553236E-2</v>
      </c>
    </row>
    <row r="906" spans="2:19" ht="14.25" hidden="1" customHeight="1" x14ac:dyDescent="0.35">
      <c r="B906" s="1"/>
      <c r="C906" s="1"/>
      <c r="D906" s="1"/>
      <c r="E906" s="28">
        <f>SUM(E882:E905)</f>
        <v>730</v>
      </c>
      <c r="F906" s="3"/>
      <c r="G906" s="3"/>
      <c r="H906" s="3"/>
      <c r="I906" s="3"/>
      <c r="J906" s="3"/>
      <c r="K906" s="1"/>
      <c r="L906" s="1"/>
    </row>
    <row r="907" spans="2:19" hidden="1" x14ac:dyDescent="0.35"/>
    <row r="911" spans="2:19" x14ac:dyDescent="0.35">
      <c r="B911" s="1"/>
      <c r="C911" s="8" t="s">
        <v>588</v>
      </c>
      <c r="D911" s="3"/>
      <c r="E911" s="3"/>
      <c r="F911" s="3"/>
      <c r="G911" s="3"/>
      <c r="H911" s="3"/>
      <c r="I911" s="3"/>
      <c r="J911" s="3"/>
      <c r="K911" s="3"/>
      <c r="L911" s="3"/>
      <c r="R911" s="438" t="s">
        <v>832</v>
      </c>
      <c r="S911" s="432" t="str">
        <f>IFERROR(INDEX(Blocks!$I$2:$I$101,MATCH(15,Blocks!$A$2:$A$101,0)),"")</f>
        <v>000104450000015</v>
      </c>
    </row>
    <row r="912" spans="2:19" x14ac:dyDescent="0.35">
      <c r="B912" s="1"/>
      <c r="C912" s="1"/>
      <c r="D912" s="3"/>
      <c r="E912" s="3"/>
      <c r="F912" s="3"/>
      <c r="G912" s="3"/>
      <c r="H912" s="3"/>
      <c r="I912" s="3"/>
      <c r="J912" s="3"/>
      <c r="K912" s="3"/>
      <c r="L912" s="3"/>
      <c r="R912" s="438" t="s">
        <v>834</v>
      </c>
      <c r="S912" s="432" t="str">
        <f>IFERROR(INDEX(Blocks!$H$2:$H$101,MATCH(15,Blocks!$A$2:$A$101,0)),"")</f>
        <v>Zaithwa Farms</v>
      </c>
    </row>
    <row r="913" spans="2:19" x14ac:dyDescent="0.35">
      <c r="B913" s="1"/>
      <c r="C913" s="9" t="s">
        <v>835</v>
      </c>
      <c r="D913" s="10">
        <v>10000000</v>
      </c>
      <c r="E913" s="3"/>
      <c r="F913" s="3"/>
      <c r="G913" s="3">
        <f>D913*D914*11/D918</f>
        <v>30136.986301369863</v>
      </c>
      <c r="H913" s="3" t="s">
        <v>862</v>
      </c>
      <c r="I913" s="3"/>
      <c r="J913" s="3"/>
      <c r="K913" s="3"/>
      <c r="L913" s="3"/>
      <c r="R913" s="438" t="s">
        <v>223</v>
      </c>
      <c r="S913" s="433">
        <f>IFERROR(INDEX('E-Banker master'!$N$2:$N$186,MATCH(S911,'E-Banker master'!$A$2:$A$186,0)),"")</f>
        <v>10000000</v>
      </c>
    </row>
    <row r="914" spans="2:19" x14ac:dyDescent="0.35">
      <c r="B914" s="1"/>
      <c r="C914" s="11" t="s">
        <v>837</v>
      </c>
      <c r="D914" s="12">
        <v>0.1</v>
      </c>
      <c r="E914" s="13"/>
      <c r="F914" s="3"/>
      <c r="G914" s="3"/>
      <c r="H914" s="3"/>
      <c r="I914" s="3"/>
      <c r="J914" s="3"/>
      <c r="K914" s="3"/>
      <c r="L914" s="3"/>
      <c r="R914" s="438" t="s">
        <v>52</v>
      </c>
      <c r="S914" s="433">
        <f>IFERROR(INDEX('E-Banker master'!$P$2:$P$186,MATCH(S911,'E-Banker master'!$A$2:$A$186,0)),"")</f>
        <v>11387182.140000001</v>
      </c>
    </row>
    <row r="915" spans="2:19" x14ac:dyDescent="0.35">
      <c r="B915" s="1"/>
      <c r="C915" s="11" t="s">
        <v>838</v>
      </c>
      <c r="D915" s="14">
        <v>2</v>
      </c>
      <c r="E915" s="1"/>
      <c r="F915" s="3"/>
      <c r="G915" s="3"/>
      <c r="H915" s="3"/>
      <c r="I915" s="3"/>
      <c r="J915" s="3"/>
      <c r="K915" s="1"/>
      <c r="L915" s="1"/>
    </row>
    <row r="916" spans="2:19" x14ac:dyDescent="0.35">
      <c r="B916" s="1"/>
      <c r="C916" s="11" t="s">
        <v>839</v>
      </c>
      <c r="D916" s="14">
        <v>12</v>
      </c>
      <c r="E916" s="1"/>
      <c r="F916" s="3"/>
      <c r="G916" s="3"/>
      <c r="H916" s="3"/>
      <c r="I916" s="3"/>
      <c r="J916" s="3"/>
      <c r="K916" s="1"/>
      <c r="L916" s="1"/>
    </row>
    <row r="917" spans="2:19" x14ac:dyDescent="0.35">
      <c r="B917" s="1"/>
      <c r="C917" s="11" t="s">
        <v>843</v>
      </c>
      <c r="D917" s="15">
        <f>D915*D916</f>
        <v>24</v>
      </c>
      <c r="E917" s="1"/>
      <c r="F917" s="3"/>
      <c r="G917" s="3"/>
      <c r="H917" s="3"/>
      <c r="I917" s="3"/>
      <c r="J917" s="3"/>
      <c r="K917" s="1"/>
      <c r="L917" s="1"/>
    </row>
    <row r="918" spans="2:19" x14ac:dyDescent="0.35">
      <c r="B918" s="1"/>
      <c r="C918" s="11" t="s">
        <v>844</v>
      </c>
      <c r="D918" s="16">
        <v>365</v>
      </c>
      <c r="E918" s="1"/>
      <c r="F918" s="3"/>
      <c r="G918" s="3"/>
      <c r="H918" s="3"/>
      <c r="I918" s="3"/>
      <c r="J918" s="3"/>
      <c r="K918" s="1"/>
      <c r="L918" s="1"/>
    </row>
    <row r="919" spans="2:19" x14ac:dyDescent="0.35">
      <c r="B919" s="1"/>
      <c r="C919" s="17" t="s">
        <v>845</v>
      </c>
      <c r="D919" s="18">
        <f>-PMT(D914/D916,D917,D913,0,0)</f>
        <v>461449.26337516506</v>
      </c>
      <c r="E919" s="3"/>
      <c r="F919" s="3"/>
      <c r="G919" s="3"/>
      <c r="H919" s="3"/>
      <c r="I919" s="3"/>
      <c r="J919" s="3"/>
      <c r="K919" s="1"/>
      <c r="L919" s="1"/>
    </row>
    <row r="920" spans="2:19" x14ac:dyDescent="0.35">
      <c r="B920" s="1"/>
      <c r="C920" s="1"/>
      <c r="D920" s="3"/>
      <c r="E920" s="3"/>
      <c r="F920" s="3"/>
      <c r="G920" s="3"/>
      <c r="H920" s="3"/>
      <c r="I920" s="3"/>
      <c r="J920" s="3"/>
      <c r="K920" s="1"/>
      <c r="L920" s="1"/>
    </row>
    <row r="921" spans="2:19" x14ac:dyDescent="0.35">
      <c r="B921" s="1"/>
      <c r="C921" s="19" t="s">
        <v>846</v>
      </c>
      <c r="D921" s="20" t="s">
        <v>847</v>
      </c>
      <c r="E921" s="20" t="s">
        <v>764</v>
      </c>
      <c r="F921" s="270" t="s">
        <v>848</v>
      </c>
      <c r="G921" s="270" t="s">
        <v>849</v>
      </c>
      <c r="H921" s="270" t="s">
        <v>742</v>
      </c>
      <c r="I921" s="270" t="s">
        <v>740</v>
      </c>
      <c r="J921" s="270" t="s">
        <v>850</v>
      </c>
      <c r="K921" s="21" t="s">
        <v>851</v>
      </c>
      <c r="L921" s="21" t="s">
        <v>852</v>
      </c>
    </row>
    <row r="922" spans="2:19" x14ac:dyDescent="0.35">
      <c r="B922" s="1">
        <v>1</v>
      </c>
      <c r="C922" s="22">
        <v>44562</v>
      </c>
      <c r="D922" s="22">
        <v>44592</v>
      </c>
      <c r="E922" s="23">
        <f t="shared" ref="E922:E945" si="149">D922-C922+1</f>
        <v>31</v>
      </c>
      <c r="F922" s="3">
        <f>D913</f>
        <v>10000000</v>
      </c>
      <c r="G922" s="3">
        <f t="shared" ref="G922:G945" si="150">-PMT($D$914/$D$916,24,$D$913,,0)</f>
        <v>461449.26337516506</v>
      </c>
      <c r="H922" s="3">
        <f t="shared" ref="H922:H945" si="151">$D$914/$D$916*F922</f>
        <v>83333.333333333328</v>
      </c>
      <c r="I922" s="3">
        <f t="shared" ref="I922:I945" si="152">G922-H922</f>
        <v>378115.93004183174</v>
      </c>
      <c r="J922" s="3">
        <f t="shared" ref="J922:J945" si="153">F922-I922</f>
        <v>9621884.069958169</v>
      </c>
      <c r="K922" s="24"/>
      <c r="L922" s="24"/>
    </row>
    <row r="923" spans="2:19" x14ac:dyDescent="0.35">
      <c r="B923" s="1">
        <v>2</v>
      </c>
      <c r="C923" s="22">
        <v>44593</v>
      </c>
      <c r="D923" s="22">
        <v>44620</v>
      </c>
      <c r="E923" s="23">
        <f t="shared" si="149"/>
        <v>28</v>
      </c>
      <c r="F923" s="3">
        <f t="shared" ref="F923:F945" si="154">J922</f>
        <v>9621884.069958169</v>
      </c>
      <c r="G923" s="3">
        <f t="shared" si="150"/>
        <v>461449.26337516506</v>
      </c>
      <c r="H923" s="3">
        <f t="shared" si="151"/>
        <v>80182.367249651405</v>
      </c>
      <c r="I923" s="3">
        <f t="shared" si="152"/>
        <v>381266.89612551365</v>
      </c>
      <c r="J923" s="3">
        <f t="shared" si="153"/>
        <v>9240617.173832655</v>
      </c>
      <c r="K923" s="24"/>
      <c r="L923" s="24"/>
    </row>
    <row r="924" spans="2:19" x14ac:dyDescent="0.35">
      <c r="B924" s="1">
        <v>3</v>
      </c>
      <c r="C924" s="22">
        <v>44621</v>
      </c>
      <c r="D924" s="22">
        <v>44651</v>
      </c>
      <c r="E924" s="23">
        <f t="shared" si="149"/>
        <v>31</v>
      </c>
      <c r="F924" s="3">
        <f t="shared" si="154"/>
        <v>9240617.173832655</v>
      </c>
      <c r="G924" s="3">
        <f t="shared" si="150"/>
        <v>461449.26337516506</v>
      </c>
      <c r="H924" s="3">
        <f t="shared" si="151"/>
        <v>77005.14311527212</v>
      </c>
      <c r="I924" s="3">
        <f t="shared" si="152"/>
        <v>384444.12025989295</v>
      </c>
      <c r="J924" s="3">
        <f t="shared" si="153"/>
        <v>8856173.0535727628</v>
      </c>
      <c r="K924" s="24"/>
      <c r="L924" s="24"/>
    </row>
    <row r="925" spans="2:19" x14ac:dyDescent="0.35">
      <c r="B925" s="1">
        <v>4</v>
      </c>
      <c r="C925" s="22">
        <v>44652</v>
      </c>
      <c r="D925" s="22">
        <v>44681</v>
      </c>
      <c r="E925" s="23">
        <f t="shared" si="149"/>
        <v>30</v>
      </c>
      <c r="F925" s="3">
        <f t="shared" si="154"/>
        <v>8856173.0535727628</v>
      </c>
      <c r="G925" s="3">
        <f t="shared" si="150"/>
        <v>461449.26337516506</v>
      </c>
      <c r="H925" s="3">
        <f t="shared" si="151"/>
        <v>73801.442113106357</v>
      </c>
      <c r="I925" s="3">
        <f t="shared" si="152"/>
        <v>387647.82126205869</v>
      </c>
      <c r="J925" s="3">
        <f t="shared" si="153"/>
        <v>8468525.2323107049</v>
      </c>
      <c r="K925" s="24"/>
      <c r="L925" s="24"/>
    </row>
    <row r="926" spans="2:19" x14ac:dyDescent="0.35">
      <c r="B926" s="1">
        <v>5</v>
      </c>
      <c r="C926" s="22">
        <v>44682</v>
      </c>
      <c r="D926" s="22">
        <v>44712</v>
      </c>
      <c r="E926" s="23">
        <f t="shared" si="149"/>
        <v>31</v>
      </c>
      <c r="F926" s="3">
        <f t="shared" si="154"/>
        <v>8468525.2323107049</v>
      </c>
      <c r="G926" s="3">
        <f t="shared" si="150"/>
        <v>461449.26337516506</v>
      </c>
      <c r="H926" s="3">
        <f t="shared" si="151"/>
        <v>70571.043602589212</v>
      </c>
      <c r="I926" s="3">
        <f t="shared" si="152"/>
        <v>390878.21977257583</v>
      </c>
      <c r="J926" s="3">
        <f t="shared" si="153"/>
        <v>8077647.0125381295</v>
      </c>
      <c r="K926" s="24"/>
      <c r="L926" s="24"/>
    </row>
    <row r="927" spans="2:19" x14ac:dyDescent="0.35">
      <c r="B927" s="1">
        <v>6</v>
      </c>
      <c r="C927" s="22">
        <v>44713</v>
      </c>
      <c r="D927" s="22">
        <v>44742</v>
      </c>
      <c r="E927" s="23">
        <f t="shared" si="149"/>
        <v>30</v>
      </c>
      <c r="F927" s="3">
        <f t="shared" si="154"/>
        <v>8077647.0125381295</v>
      </c>
      <c r="G927" s="3">
        <f t="shared" si="150"/>
        <v>461449.26337516506</v>
      </c>
      <c r="H927" s="3">
        <f t="shared" si="151"/>
        <v>67313.725104484416</v>
      </c>
      <c r="I927" s="3">
        <f t="shared" si="152"/>
        <v>394135.53827068064</v>
      </c>
      <c r="J927" s="3">
        <f t="shared" si="153"/>
        <v>7683511.4742674492</v>
      </c>
      <c r="K927" s="24"/>
      <c r="L927" s="24"/>
    </row>
    <row r="928" spans="2:19" x14ac:dyDescent="0.35">
      <c r="B928" s="1">
        <v>7</v>
      </c>
      <c r="C928" s="22">
        <v>44743</v>
      </c>
      <c r="D928" s="22">
        <v>44773</v>
      </c>
      <c r="E928" s="23">
        <f t="shared" si="149"/>
        <v>31</v>
      </c>
      <c r="F928" s="3">
        <f t="shared" si="154"/>
        <v>7683511.4742674492</v>
      </c>
      <c r="G928" s="3">
        <f t="shared" si="150"/>
        <v>461449.26337516506</v>
      </c>
      <c r="H928" s="3">
        <f t="shared" si="151"/>
        <v>64029.262285562079</v>
      </c>
      <c r="I928" s="3">
        <f t="shared" si="152"/>
        <v>397420.001089603</v>
      </c>
      <c r="J928" s="3">
        <f t="shared" si="153"/>
        <v>7286091.4731778465</v>
      </c>
      <c r="K928" s="24"/>
      <c r="L928" s="24"/>
    </row>
    <row r="929" spans="2:12" x14ac:dyDescent="0.35">
      <c r="B929" s="1">
        <v>8</v>
      </c>
      <c r="C929" s="22">
        <v>44774</v>
      </c>
      <c r="D929" s="22">
        <v>44804</v>
      </c>
      <c r="E929" s="23">
        <f t="shared" si="149"/>
        <v>31</v>
      </c>
      <c r="F929" s="3">
        <f t="shared" si="154"/>
        <v>7286091.4731778465</v>
      </c>
      <c r="G929" s="3">
        <f t="shared" si="150"/>
        <v>461449.26337516506</v>
      </c>
      <c r="H929" s="3">
        <f t="shared" si="151"/>
        <v>60717.42894314872</v>
      </c>
      <c r="I929" s="3">
        <f t="shared" si="152"/>
        <v>400731.83443201636</v>
      </c>
      <c r="J929" s="3">
        <f t="shared" si="153"/>
        <v>6885359.6387458304</v>
      </c>
      <c r="K929" s="24"/>
      <c r="L929" s="26"/>
    </row>
    <row r="930" spans="2:12" x14ac:dyDescent="0.35">
      <c r="B930" s="1">
        <v>9</v>
      </c>
      <c r="C930" s="22">
        <v>44805</v>
      </c>
      <c r="D930" s="22">
        <v>44834</v>
      </c>
      <c r="E930" s="23">
        <f t="shared" si="149"/>
        <v>30</v>
      </c>
      <c r="F930" s="3">
        <f t="shared" si="154"/>
        <v>6885359.6387458304</v>
      </c>
      <c r="G930" s="3">
        <f t="shared" si="150"/>
        <v>461449.26337516506</v>
      </c>
      <c r="H930" s="3">
        <f t="shared" si="151"/>
        <v>57377.996989548585</v>
      </c>
      <c r="I930" s="3">
        <f t="shared" si="152"/>
        <v>404071.2663856165</v>
      </c>
      <c r="J930" s="3">
        <f t="shared" si="153"/>
        <v>6481288.3723602137</v>
      </c>
      <c r="K930" s="24"/>
      <c r="L930" s="24"/>
    </row>
    <row r="931" spans="2:12" x14ac:dyDescent="0.35">
      <c r="B931" s="1">
        <v>10</v>
      </c>
      <c r="C931" s="22">
        <v>44835</v>
      </c>
      <c r="D931" s="22">
        <v>44865</v>
      </c>
      <c r="E931" s="23">
        <f t="shared" si="149"/>
        <v>31</v>
      </c>
      <c r="F931" s="3">
        <f t="shared" si="154"/>
        <v>6481288.3723602137</v>
      </c>
      <c r="G931" s="3">
        <f t="shared" si="150"/>
        <v>461449.26337516506</v>
      </c>
      <c r="H931" s="3">
        <f t="shared" si="151"/>
        <v>54010.736436335115</v>
      </c>
      <c r="I931" s="3">
        <f t="shared" si="152"/>
        <v>407438.52693882992</v>
      </c>
      <c r="J931" s="3">
        <f t="shared" si="153"/>
        <v>6073849.8454213841</v>
      </c>
      <c r="K931" s="24"/>
      <c r="L931" s="24"/>
    </row>
    <row r="932" spans="2:12" x14ac:dyDescent="0.35">
      <c r="B932" s="1">
        <v>11</v>
      </c>
      <c r="C932" s="22">
        <v>44866</v>
      </c>
      <c r="D932" s="22">
        <v>44895</v>
      </c>
      <c r="E932" s="23">
        <f t="shared" si="149"/>
        <v>30</v>
      </c>
      <c r="F932" s="3">
        <f t="shared" si="154"/>
        <v>6073849.8454213841</v>
      </c>
      <c r="G932" s="3">
        <f t="shared" si="150"/>
        <v>461449.26337516506</v>
      </c>
      <c r="H932" s="3">
        <f t="shared" si="151"/>
        <v>50615.415378511534</v>
      </c>
      <c r="I932" s="3">
        <f t="shared" si="152"/>
        <v>410833.84799665352</v>
      </c>
      <c r="J932" s="3">
        <f t="shared" si="153"/>
        <v>5663015.997424731</v>
      </c>
      <c r="K932" s="24"/>
      <c r="L932" s="26"/>
    </row>
    <row r="933" spans="2:12" x14ac:dyDescent="0.35">
      <c r="B933" s="1">
        <v>12</v>
      </c>
      <c r="C933" s="22">
        <v>44896</v>
      </c>
      <c r="D933" s="22">
        <v>44926</v>
      </c>
      <c r="E933" s="23">
        <f t="shared" si="149"/>
        <v>31</v>
      </c>
      <c r="F933" s="3">
        <f t="shared" si="154"/>
        <v>5663015.997424731</v>
      </c>
      <c r="G933" s="3">
        <f t="shared" si="150"/>
        <v>461449.26337516506</v>
      </c>
      <c r="H933" s="3">
        <f t="shared" si="151"/>
        <v>47191.799978539428</v>
      </c>
      <c r="I933" s="3">
        <f t="shared" si="152"/>
        <v>414257.46339662565</v>
      </c>
      <c r="J933" s="3">
        <f t="shared" si="153"/>
        <v>5248758.5340281054</v>
      </c>
      <c r="K933" s="24"/>
      <c r="L933" s="24">
        <f>G913+SUM(G922:G933)</f>
        <v>5567528.1468033502</v>
      </c>
    </row>
    <row r="934" spans="2:12" x14ac:dyDescent="0.35">
      <c r="B934" s="1">
        <v>13</v>
      </c>
      <c r="C934" s="22">
        <v>44927</v>
      </c>
      <c r="D934" s="22">
        <v>44957</v>
      </c>
      <c r="E934" s="23">
        <f t="shared" si="149"/>
        <v>31</v>
      </c>
      <c r="F934" s="3">
        <f t="shared" si="154"/>
        <v>5248758.5340281054</v>
      </c>
      <c r="G934" s="3">
        <f t="shared" si="150"/>
        <v>461449.26337516506</v>
      </c>
      <c r="H934" s="3">
        <f t="shared" si="151"/>
        <v>43739.654450234215</v>
      </c>
      <c r="I934" s="3">
        <f t="shared" si="152"/>
        <v>417709.60892493086</v>
      </c>
      <c r="J934" s="3">
        <f t="shared" si="153"/>
        <v>4831048.9251031745</v>
      </c>
      <c r="K934" s="24">
        <v>0</v>
      </c>
      <c r="L934" s="24">
        <f t="shared" ref="L934:L940" si="155">L933</f>
        <v>5567528.1468033502</v>
      </c>
    </row>
    <row r="935" spans="2:12" x14ac:dyDescent="0.35">
      <c r="B935" s="1">
        <v>14</v>
      </c>
      <c r="C935" s="22">
        <v>44958</v>
      </c>
      <c r="D935" s="22">
        <v>44985</v>
      </c>
      <c r="E935" s="23">
        <f t="shared" si="149"/>
        <v>28</v>
      </c>
      <c r="F935" s="3">
        <f t="shared" si="154"/>
        <v>4831048.9251031745</v>
      </c>
      <c r="G935" s="3">
        <f t="shared" si="150"/>
        <v>461449.26337516506</v>
      </c>
      <c r="H935" s="3">
        <f t="shared" si="151"/>
        <v>40258.741042526453</v>
      </c>
      <c r="I935" s="3">
        <f t="shared" si="152"/>
        <v>421190.52233263862</v>
      </c>
      <c r="J935" s="3">
        <f t="shared" si="153"/>
        <v>4409858.402770536</v>
      </c>
      <c r="K935" s="24"/>
      <c r="L935" s="24">
        <f t="shared" si="155"/>
        <v>5567528.1468033502</v>
      </c>
    </row>
    <row r="936" spans="2:12" x14ac:dyDescent="0.35">
      <c r="B936" s="1">
        <v>15</v>
      </c>
      <c r="C936" s="22">
        <v>44986</v>
      </c>
      <c r="D936" s="22">
        <v>45016</v>
      </c>
      <c r="E936" s="23">
        <f t="shared" si="149"/>
        <v>31</v>
      </c>
      <c r="F936" s="3">
        <f t="shared" si="154"/>
        <v>4409858.402770536</v>
      </c>
      <c r="G936" s="3">
        <f t="shared" si="150"/>
        <v>461449.26337516506</v>
      </c>
      <c r="H936" s="3">
        <f t="shared" si="151"/>
        <v>36748.820023087799</v>
      </c>
      <c r="I936" s="3">
        <f t="shared" si="152"/>
        <v>424700.44335207727</v>
      </c>
      <c r="J936" s="3">
        <f t="shared" si="153"/>
        <v>3985157.9594184589</v>
      </c>
      <c r="K936" s="24"/>
      <c r="L936" s="24">
        <f t="shared" si="155"/>
        <v>5567528.1468033502</v>
      </c>
    </row>
    <row r="937" spans="2:12" x14ac:dyDescent="0.35">
      <c r="B937" s="1">
        <v>16</v>
      </c>
      <c r="C937" s="22">
        <v>45017</v>
      </c>
      <c r="D937" s="22">
        <v>45046</v>
      </c>
      <c r="E937" s="23">
        <f t="shared" si="149"/>
        <v>30</v>
      </c>
      <c r="F937" s="3">
        <f t="shared" si="154"/>
        <v>3985157.9594184589</v>
      </c>
      <c r="G937" s="3">
        <f t="shared" si="150"/>
        <v>461449.26337516506</v>
      </c>
      <c r="H937" s="3">
        <f t="shared" si="151"/>
        <v>33209.649661820491</v>
      </c>
      <c r="I937" s="3">
        <f t="shared" si="152"/>
        <v>428239.61371334456</v>
      </c>
      <c r="J937" s="3">
        <f t="shared" si="153"/>
        <v>3556918.3457051143</v>
      </c>
      <c r="K937" s="24"/>
      <c r="L937" s="24">
        <f t="shared" si="155"/>
        <v>5567528.1468033502</v>
      </c>
    </row>
    <row r="938" spans="2:12" x14ac:dyDescent="0.35">
      <c r="B938" s="1">
        <v>17</v>
      </c>
      <c r="C938" s="22">
        <v>45047</v>
      </c>
      <c r="D938" s="22">
        <v>45077</v>
      </c>
      <c r="E938" s="23">
        <f t="shared" si="149"/>
        <v>31</v>
      </c>
      <c r="F938" s="3">
        <f t="shared" si="154"/>
        <v>3556918.3457051143</v>
      </c>
      <c r="G938" s="3">
        <f t="shared" si="150"/>
        <v>461449.26337516506</v>
      </c>
      <c r="H938" s="3">
        <f t="shared" si="151"/>
        <v>29640.986214209286</v>
      </c>
      <c r="I938" s="3">
        <f t="shared" si="152"/>
        <v>431808.27716095577</v>
      </c>
      <c r="J938" s="3">
        <f t="shared" si="153"/>
        <v>3125110.0685441587</v>
      </c>
      <c r="K938" s="24"/>
      <c r="L938" s="26">
        <f t="shared" si="155"/>
        <v>5567528.1468033502</v>
      </c>
    </row>
    <row r="939" spans="2:12" x14ac:dyDescent="0.35">
      <c r="B939" s="1">
        <v>18</v>
      </c>
      <c r="C939" s="22">
        <v>45078</v>
      </c>
      <c r="D939" s="22">
        <v>45107</v>
      </c>
      <c r="E939" s="23">
        <f t="shared" si="149"/>
        <v>30</v>
      </c>
      <c r="F939" s="3">
        <f t="shared" si="154"/>
        <v>3125110.0685441587</v>
      </c>
      <c r="G939" s="3">
        <f t="shared" si="150"/>
        <v>461449.26337516506</v>
      </c>
      <c r="H939" s="3">
        <f t="shared" si="151"/>
        <v>26042.583904534655</v>
      </c>
      <c r="I939" s="3">
        <f t="shared" si="152"/>
        <v>435406.67947063042</v>
      </c>
      <c r="J939" s="3">
        <f t="shared" si="153"/>
        <v>2689703.3890735283</v>
      </c>
      <c r="K939" s="24"/>
      <c r="L939" s="26">
        <f t="shared" si="155"/>
        <v>5567528.1468033502</v>
      </c>
    </row>
    <row r="940" spans="2:12" x14ac:dyDescent="0.35">
      <c r="B940" s="1">
        <v>19</v>
      </c>
      <c r="C940" s="22">
        <v>45108</v>
      </c>
      <c r="D940" s="22">
        <v>45138</v>
      </c>
      <c r="E940" s="23">
        <f t="shared" si="149"/>
        <v>31</v>
      </c>
      <c r="F940" s="3">
        <f t="shared" si="154"/>
        <v>2689703.3890735283</v>
      </c>
      <c r="G940" s="3">
        <f t="shared" si="150"/>
        <v>461449.26337516506</v>
      </c>
      <c r="H940" s="3">
        <f t="shared" si="151"/>
        <v>22414.194908946069</v>
      </c>
      <c r="I940" s="3">
        <f t="shared" si="152"/>
        <v>439035.068466219</v>
      </c>
      <c r="J940" s="3">
        <f t="shared" si="153"/>
        <v>2250668.3206073092</v>
      </c>
      <c r="K940" s="24"/>
      <c r="L940" s="204">
        <f t="shared" si="155"/>
        <v>5567528.1468033502</v>
      </c>
    </row>
    <row r="941" spans="2:12" x14ac:dyDescent="0.35">
      <c r="B941" s="1">
        <v>20</v>
      </c>
      <c r="C941" s="22">
        <v>45139</v>
      </c>
      <c r="D941" s="22">
        <v>45169</v>
      </c>
      <c r="E941" s="23">
        <f t="shared" si="149"/>
        <v>31</v>
      </c>
      <c r="F941" s="3">
        <f t="shared" si="154"/>
        <v>2250668.3206073092</v>
      </c>
      <c r="G941" s="3">
        <f t="shared" si="150"/>
        <v>461449.26337516506</v>
      </c>
      <c r="H941" s="3">
        <f t="shared" si="151"/>
        <v>18755.569338394242</v>
      </c>
      <c r="I941" s="3">
        <f t="shared" si="152"/>
        <v>442693.69403677084</v>
      </c>
      <c r="J941" s="3">
        <f t="shared" si="153"/>
        <v>1807974.6265705384</v>
      </c>
      <c r="K941" s="24"/>
      <c r="L941" s="24"/>
    </row>
    <row r="942" spans="2:12" x14ac:dyDescent="0.35">
      <c r="B942" s="1">
        <v>21</v>
      </c>
      <c r="C942" s="22">
        <v>45170</v>
      </c>
      <c r="D942" s="22">
        <v>45199</v>
      </c>
      <c r="E942" s="23">
        <f t="shared" si="149"/>
        <v>30</v>
      </c>
      <c r="F942" s="3">
        <f t="shared" si="154"/>
        <v>1807974.6265705384</v>
      </c>
      <c r="G942" s="3">
        <f t="shared" si="150"/>
        <v>461449.26337516506</v>
      </c>
      <c r="H942" s="3">
        <f t="shared" si="151"/>
        <v>15066.455221421153</v>
      </c>
      <c r="I942" s="3">
        <f t="shared" si="152"/>
        <v>446382.80815374391</v>
      </c>
      <c r="J942" s="3">
        <f t="shared" si="153"/>
        <v>1361591.8184167945</v>
      </c>
      <c r="K942" s="24"/>
      <c r="L942" s="24"/>
    </row>
    <row r="943" spans="2:12" x14ac:dyDescent="0.35">
      <c r="B943" s="1">
        <v>22</v>
      </c>
      <c r="C943" s="22">
        <v>45200</v>
      </c>
      <c r="D943" s="22">
        <v>45230</v>
      </c>
      <c r="E943" s="23">
        <f t="shared" si="149"/>
        <v>31</v>
      </c>
      <c r="F943" s="3">
        <f t="shared" si="154"/>
        <v>1361591.8184167945</v>
      </c>
      <c r="G943" s="3">
        <f t="shared" si="150"/>
        <v>461449.26337516506</v>
      </c>
      <c r="H943" s="3">
        <f t="shared" si="151"/>
        <v>11346.598486806621</v>
      </c>
      <c r="I943" s="3">
        <f t="shared" si="152"/>
        <v>450102.66488835844</v>
      </c>
      <c r="J943" s="3">
        <f t="shared" si="153"/>
        <v>911489.15352843609</v>
      </c>
      <c r="K943" s="24"/>
      <c r="L943" s="24"/>
    </row>
    <row r="944" spans="2:12" x14ac:dyDescent="0.35">
      <c r="B944" s="1">
        <v>23</v>
      </c>
      <c r="C944" s="22">
        <v>45231</v>
      </c>
      <c r="D944" s="22">
        <v>45260</v>
      </c>
      <c r="E944" s="23">
        <f t="shared" si="149"/>
        <v>30</v>
      </c>
      <c r="F944" s="3">
        <f t="shared" si="154"/>
        <v>911489.15352843609</v>
      </c>
      <c r="G944" s="3">
        <f t="shared" si="150"/>
        <v>461449.26337516506</v>
      </c>
      <c r="H944" s="3">
        <f t="shared" si="151"/>
        <v>7595.7429460703006</v>
      </c>
      <c r="I944" s="3">
        <f t="shared" si="152"/>
        <v>453853.52042909473</v>
      </c>
      <c r="J944" s="3">
        <f t="shared" si="153"/>
        <v>457635.63309934136</v>
      </c>
      <c r="K944" s="24"/>
      <c r="L944" s="24"/>
    </row>
    <row r="945" spans="2:19" x14ac:dyDescent="0.35">
      <c r="B945" s="1">
        <v>24</v>
      </c>
      <c r="C945" s="22">
        <v>45261</v>
      </c>
      <c r="D945" s="22">
        <v>45291</v>
      </c>
      <c r="E945" s="23">
        <f t="shared" si="149"/>
        <v>31</v>
      </c>
      <c r="F945" s="3">
        <f t="shared" si="154"/>
        <v>457635.63309934136</v>
      </c>
      <c r="G945" s="3">
        <f t="shared" si="150"/>
        <v>461449.26337516506</v>
      </c>
      <c r="H945" s="3">
        <f t="shared" si="151"/>
        <v>3813.6302758278448</v>
      </c>
      <c r="I945" s="3">
        <f t="shared" si="152"/>
        <v>457635.63309933722</v>
      </c>
      <c r="J945" s="3">
        <f t="shared" si="153"/>
        <v>4.1327439248561859E-9</v>
      </c>
      <c r="K945" s="24" t="s">
        <v>888</v>
      </c>
      <c r="L945" s="204">
        <f>SUM(G922:G945)</f>
        <v>11074782.32100396</v>
      </c>
    </row>
    <row r="946" spans="2:19" ht="14.25" customHeight="1" x14ac:dyDescent="0.35">
      <c r="B946" s="1"/>
      <c r="C946" s="1"/>
      <c r="D946" s="1"/>
      <c r="E946" s="28">
        <f>SUM(E922:E945)</f>
        <v>730</v>
      </c>
      <c r="F946" s="3"/>
      <c r="G946" s="3"/>
      <c r="H946" s="3"/>
      <c r="I946" s="3"/>
      <c r="J946" s="3"/>
      <c r="K946" s="1"/>
      <c r="L946" s="1"/>
    </row>
    <row r="948" spans="2:19" hidden="1" x14ac:dyDescent="0.35"/>
    <row r="949" spans="2:19" hidden="1" x14ac:dyDescent="0.35"/>
    <row r="950" spans="2:19" hidden="1" x14ac:dyDescent="0.35"/>
    <row r="951" spans="2:19" hidden="1" x14ac:dyDescent="0.35">
      <c r="B951" s="1"/>
      <c r="C951" s="8" t="s">
        <v>589</v>
      </c>
      <c r="D951" s="3"/>
      <c r="E951" s="3"/>
      <c r="F951" s="3"/>
      <c r="G951" s="3"/>
      <c r="H951" s="3"/>
      <c r="I951" s="3"/>
      <c r="J951" s="3"/>
      <c r="K951" s="3"/>
      <c r="L951" s="3"/>
      <c r="R951" s="438" t="s">
        <v>832</v>
      </c>
      <c r="S951" s="432" t="str">
        <f>IFERROR(INDEX(Blocks!$I$2:$I$101,MATCH(16,Blocks!$A$2:$A$101,0)),"")</f>
        <v>000104450000016</v>
      </c>
    </row>
    <row r="952" spans="2:19" hidden="1" x14ac:dyDescent="0.35">
      <c r="B952" s="1"/>
      <c r="C952" s="1"/>
      <c r="D952" s="3"/>
      <c r="E952" s="3"/>
      <c r="F952" s="3"/>
      <c r="G952" s="3"/>
      <c r="H952" s="3"/>
      <c r="I952" s="3"/>
      <c r="J952" s="3"/>
      <c r="K952" s="3"/>
      <c r="L952" s="3"/>
      <c r="R952" s="438" t="s">
        <v>834</v>
      </c>
      <c r="S952" s="432" t="str">
        <f>IFERROR(INDEX(Blocks!$H$2:$H$101,MATCH(16,Blocks!$A$2:$A$101,0)),"")</f>
        <v>Beualaland Food Processors</v>
      </c>
    </row>
    <row r="953" spans="2:19" hidden="1" x14ac:dyDescent="0.35">
      <c r="B953" s="1"/>
      <c r="C953" s="9" t="s">
        <v>835</v>
      </c>
      <c r="D953" s="10">
        <v>23616000</v>
      </c>
      <c r="E953" s="3"/>
      <c r="F953" s="3"/>
      <c r="G953" s="3"/>
      <c r="H953" s="3"/>
      <c r="I953" s="3"/>
      <c r="J953" s="3"/>
      <c r="K953" s="3"/>
      <c r="L953" s="3"/>
      <c r="R953" s="438" t="s">
        <v>223</v>
      </c>
      <c r="S953" s="433">
        <f>IFERROR(INDEX('E-Banker master'!$N$2:$N$186,MATCH(S951,'E-Banker master'!$A$2:$A$186,0)),"")</f>
        <v>0</v>
      </c>
    </row>
    <row r="954" spans="2:19" hidden="1" x14ac:dyDescent="0.35">
      <c r="B954" s="1"/>
      <c r="C954" s="11" t="s">
        <v>837</v>
      </c>
      <c r="D954" s="12">
        <v>0.1</v>
      </c>
      <c r="E954" s="13"/>
      <c r="F954" s="3"/>
      <c r="G954" s="3"/>
      <c r="H954" s="3"/>
      <c r="I954" s="3"/>
      <c r="J954" s="3"/>
      <c r="K954" s="3"/>
      <c r="L954" s="3"/>
      <c r="R954" s="438" t="s">
        <v>52</v>
      </c>
      <c r="S954" s="433">
        <f>IFERROR(INDEX('E-Banker master'!$P$2:$P$186,MATCH(S951,'E-Banker master'!$A$2:$A$186,0)),"")</f>
        <v>0</v>
      </c>
    </row>
    <row r="955" spans="2:19" hidden="1" x14ac:dyDescent="0.35">
      <c r="B955" s="1"/>
      <c r="C955" s="11" t="s">
        <v>838</v>
      </c>
      <c r="D955" s="14">
        <v>3</v>
      </c>
      <c r="E955" s="1"/>
      <c r="F955" s="3"/>
      <c r="G955" s="3"/>
      <c r="H955" s="3">
        <f>196800-H962</f>
        <v>69832.258064516136</v>
      </c>
      <c r="I955" s="3"/>
      <c r="J955" s="3"/>
      <c r="K955" s="1"/>
      <c r="L955" s="1"/>
    </row>
    <row r="956" spans="2:19" hidden="1" x14ac:dyDescent="0.35">
      <c r="B956" s="1"/>
      <c r="C956" s="11" t="s">
        <v>839</v>
      </c>
      <c r="D956" s="14">
        <v>12</v>
      </c>
      <c r="E956" s="1"/>
      <c r="F956" s="3"/>
      <c r="G956" s="3"/>
      <c r="H956" s="3"/>
      <c r="I956" s="3"/>
      <c r="J956" s="3"/>
      <c r="K956" s="1"/>
      <c r="L956" s="1"/>
    </row>
    <row r="957" spans="2:19" hidden="1" x14ac:dyDescent="0.35">
      <c r="B957" s="1"/>
      <c r="C957" s="11" t="s">
        <v>843</v>
      </c>
      <c r="D957" s="15">
        <f>D955*D956</f>
        <v>36</v>
      </c>
      <c r="E957" s="1"/>
      <c r="F957" s="3"/>
      <c r="G957" s="3"/>
      <c r="H957" s="3"/>
      <c r="I957" s="3"/>
      <c r="J957" s="3"/>
      <c r="K957" s="1"/>
      <c r="L957" s="1"/>
    </row>
    <row r="958" spans="2:19" hidden="1" x14ac:dyDescent="0.35">
      <c r="B958" s="1"/>
      <c r="C958" s="11" t="s">
        <v>844</v>
      </c>
      <c r="D958" s="16">
        <v>365</v>
      </c>
      <c r="E958" s="1"/>
      <c r="F958" s="3"/>
      <c r="G958" s="3"/>
      <c r="H958" s="3"/>
      <c r="I958" s="3"/>
      <c r="J958" s="3"/>
      <c r="K958" s="1"/>
      <c r="L958" s="1"/>
    </row>
    <row r="959" spans="2:19" hidden="1" x14ac:dyDescent="0.35">
      <c r="B959" s="1"/>
      <c r="C959" s="17" t="s">
        <v>845</v>
      </c>
      <c r="D959" s="18">
        <f>-PMT(D954/D956,D957,D953,0,0)</f>
        <v>762021.89276966604</v>
      </c>
      <c r="E959" s="3"/>
      <c r="F959" s="3"/>
      <c r="G959" s="3"/>
      <c r="H959" s="3"/>
      <c r="I959" s="3"/>
      <c r="J959" s="3"/>
      <c r="K959" s="1"/>
      <c r="L959" s="1"/>
    </row>
    <row r="960" spans="2:19" hidden="1" x14ac:dyDescent="0.35">
      <c r="B960" s="1"/>
      <c r="C960" s="1"/>
      <c r="D960" s="3"/>
      <c r="E960" s="3"/>
      <c r="F960" s="3"/>
      <c r="G960" s="3"/>
      <c r="H960" s="3"/>
      <c r="I960" s="3"/>
      <c r="J960" s="3"/>
      <c r="K960" s="1"/>
      <c r="L960" s="1"/>
    </row>
    <row r="961" spans="2:12" hidden="1" x14ac:dyDescent="0.35">
      <c r="B961" s="1"/>
      <c r="C961" s="19" t="s">
        <v>846</v>
      </c>
      <c r="D961" s="20" t="s">
        <v>847</v>
      </c>
      <c r="E961" s="20" t="s">
        <v>764</v>
      </c>
      <c r="F961" s="270" t="s">
        <v>848</v>
      </c>
      <c r="G961" s="270" t="s">
        <v>849</v>
      </c>
      <c r="H961" s="270" t="s">
        <v>742</v>
      </c>
      <c r="I961" s="270" t="s">
        <v>740</v>
      </c>
      <c r="J961" s="270" t="s">
        <v>850</v>
      </c>
      <c r="K961" s="21" t="s">
        <v>851</v>
      </c>
      <c r="L961" s="21" t="s">
        <v>852</v>
      </c>
    </row>
    <row r="962" spans="2:12" hidden="1" x14ac:dyDescent="0.35">
      <c r="B962" s="1">
        <v>1</v>
      </c>
      <c r="C962" s="22">
        <v>44573</v>
      </c>
      <c r="D962" s="22">
        <v>44592</v>
      </c>
      <c r="E962" s="23">
        <f t="shared" ref="E962:E998" si="156">D962-C962+1</f>
        <v>20</v>
      </c>
      <c r="F962" s="3">
        <f>D953</f>
        <v>23616000</v>
      </c>
      <c r="G962" s="3"/>
      <c r="H962" s="3">
        <f>$D$954/$D$956*F962*E962/31</f>
        <v>126967.74193548386</v>
      </c>
      <c r="I962" s="3">
        <f t="shared" ref="I962:I998" si="157">G962-H962</f>
        <v>-126967.74193548386</v>
      </c>
      <c r="J962" s="3">
        <f t="shared" ref="J962:J998" si="158">F962-I962</f>
        <v>23742967.741935484</v>
      </c>
      <c r="K962" s="24"/>
      <c r="L962" s="24"/>
    </row>
    <row r="963" spans="2:12" hidden="1" x14ac:dyDescent="0.35">
      <c r="B963" s="1">
        <v>2</v>
      </c>
      <c r="C963" s="22">
        <v>44593</v>
      </c>
      <c r="D963" s="22">
        <v>44620</v>
      </c>
      <c r="E963" s="23">
        <f t="shared" si="156"/>
        <v>28</v>
      </c>
      <c r="F963" s="3">
        <f t="shared" ref="F963:F998" si="159">J962</f>
        <v>23742967.741935484</v>
      </c>
      <c r="G963" s="3"/>
      <c r="H963" s="3">
        <f t="shared" ref="H963:H998" si="160">$D$954/$D$956*F963</f>
        <v>197858.06451612903</v>
      </c>
      <c r="I963" s="3">
        <f t="shared" si="157"/>
        <v>-197858.06451612903</v>
      </c>
      <c r="J963" s="3">
        <f t="shared" si="158"/>
        <v>23940825.806451615</v>
      </c>
      <c r="K963" s="24"/>
      <c r="L963" s="24"/>
    </row>
    <row r="964" spans="2:12" hidden="1" x14ac:dyDescent="0.35">
      <c r="B964" s="1">
        <v>3</v>
      </c>
      <c r="C964" s="22">
        <v>44621</v>
      </c>
      <c r="D964" s="22">
        <v>44651</v>
      </c>
      <c r="E964" s="23">
        <f t="shared" si="156"/>
        <v>31</v>
      </c>
      <c r="F964" s="3">
        <f t="shared" si="159"/>
        <v>23940825.806451615</v>
      </c>
      <c r="G964" s="3"/>
      <c r="H964" s="3">
        <f t="shared" si="160"/>
        <v>199506.88172043013</v>
      </c>
      <c r="I964" s="3">
        <f t="shared" si="157"/>
        <v>-199506.88172043013</v>
      </c>
      <c r="J964" s="3">
        <f t="shared" si="158"/>
        <v>24140332.688172046</v>
      </c>
      <c r="K964" s="24"/>
      <c r="L964" s="24"/>
    </row>
    <row r="965" spans="2:12" hidden="1" x14ac:dyDescent="0.35">
      <c r="B965" s="1">
        <v>4</v>
      </c>
      <c r="C965" s="22">
        <v>44652</v>
      </c>
      <c r="D965" s="22">
        <v>44681</v>
      </c>
      <c r="E965" s="23">
        <f t="shared" si="156"/>
        <v>30</v>
      </c>
      <c r="F965" s="3">
        <f t="shared" si="159"/>
        <v>24140332.688172046</v>
      </c>
      <c r="G965" s="3"/>
      <c r="H965" s="3">
        <f t="shared" si="160"/>
        <v>201169.43906810039</v>
      </c>
      <c r="I965" s="3">
        <f t="shared" si="157"/>
        <v>-201169.43906810039</v>
      </c>
      <c r="J965" s="3">
        <f t="shared" si="158"/>
        <v>24341502.127240147</v>
      </c>
      <c r="K965" s="24">
        <v>0</v>
      </c>
      <c r="L965" s="24">
        <f>G965-K965</f>
        <v>0</v>
      </c>
    </row>
    <row r="966" spans="2:12" hidden="1" x14ac:dyDescent="0.35">
      <c r="B966" s="1">
        <v>5</v>
      </c>
      <c r="C966" s="22">
        <v>44682</v>
      </c>
      <c r="D966" s="22">
        <v>44712</v>
      </c>
      <c r="E966" s="23">
        <f t="shared" si="156"/>
        <v>31</v>
      </c>
      <c r="F966" s="3">
        <f t="shared" si="159"/>
        <v>24341502.127240147</v>
      </c>
      <c r="G966" s="3">
        <f t="shared" ref="G966:G998" si="161">-PMT($D$954/$D$956,33,$F$966,,0)</f>
        <v>846736.88561533648</v>
      </c>
      <c r="H966" s="3">
        <f t="shared" si="160"/>
        <v>202845.85106033456</v>
      </c>
      <c r="I966" s="3">
        <f t="shared" si="157"/>
        <v>643891.03455500188</v>
      </c>
      <c r="J966" s="3">
        <f t="shared" si="158"/>
        <v>23697611.092685144</v>
      </c>
      <c r="K966" s="24">
        <v>900000</v>
      </c>
      <c r="L966" s="24">
        <f t="shared" ref="L966:L980" si="162">L965+G966-K966</f>
        <v>-53263.114384663524</v>
      </c>
    </row>
    <row r="967" spans="2:12" hidden="1" x14ac:dyDescent="0.35">
      <c r="B967" s="1">
        <v>6</v>
      </c>
      <c r="C967" s="22">
        <v>44713</v>
      </c>
      <c r="D967" s="22">
        <v>44742</v>
      </c>
      <c r="E967" s="23">
        <f t="shared" si="156"/>
        <v>30</v>
      </c>
      <c r="F967" s="3">
        <f t="shared" si="159"/>
        <v>23697611.092685144</v>
      </c>
      <c r="G967" s="3">
        <f t="shared" si="161"/>
        <v>846736.88561533648</v>
      </c>
      <c r="H967" s="3">
        <f t="shared" si="160"/>
        <v>197480.09243904287</v>
      </c>
      <c r="I967" s="3">
        <f t="shared" si="157"/>
        <v>649256.79317629361</v>
      </c>
      <c r="J967" s="3">
        <f t="shared" si="158"/>
        <v>23048354.299508851</v>
      </c>
      <c r="K967" s="24">
        <v>900000</v>
      </c>
      <c r="L967" s="24">
        <f t="shared" si="162"/>
        <v>-106526.22876932705</v>
      </c>
    </row>
    <row r="968" spans="2:12" hidden="1" x14ac:dyDescent="0.35">
      <c r="B968" s="1">
        <v>7</v>
      </c>
      <c r="C968" s="22">
        <v>44743</v>
      </c>
      <c r="D968" s="22">
        <v>44773</v>
      </c>
      <c r="E968" s="23">
        <f t="shared" si="156"/>
        <v>31</v>
      </c>
      <c r="F968" s="3">
        <f t="shared" si="159"/>
        <v>23048354.299508851</v>
      </c>
      <c r="G968" s="3">
        <f t="shared" si="161"/>
        <v>846736.88561533648</v>
      </c>
      <c r="H968" s="3">
        <f t="shared" si="160"/>
        <v>192069.61916257377</v>
      </c>
      <c r="I968" s="3">
        <f t="shared" si="157"/>
        <v>654667.26645276276</v>
      </c>
      <c r="J968" s="3">
        <f t="shared" si="158"/>
        <v>22393687.033056088</v>
      </c>
      <c r="K968" s="24">
        <v>900000</v>
      </c>
      <c r="L968" s="24">
        <f t="shared" si="162"/>
        <v>-159789.34315399057</v>
      </c>
    </row>
    <row r="969" spans="2:12" hidden="1" x14ac:dyDescent="0.35">
      <c r="B969" s="1">
        <v>8</v>
      </c>
      <c r="C969" s="22">
        <v>44774</v>
      </c>
      <c r="D969" s="22">
        <v>44804</v>
      </c>
      <c r="E969" s="23">
        <f t="shared" si="156"/>
        <v>31</v>
      </c>
      <c r="F969" s="3">
        <f t="shared" si="159"/>
        <v>22393687.033056088</v>
      </c>
      <c r="G969" s="3">
        <f t="shared" si="161"/>
        <v>846736.88561533648</v>
      </c>
      <c r="H969" s="3">
        <f t="shared" si="160"/>
        <v>186614.05860880073</v>
      </c>
      <c r="I969" s="3">
        <f t="shared" si="157"/>
        <v>660122.82700653572</v>
      </c>
      <c r="J969" s="3">
        <f t="shared" si="158"/>
        <v>21733564.20604955</v>
      </c>
      <c r="K969" s="24">
        <v>900000</v>
      </c>
      <c r="L969" s="24">
        <f t="shared" si="162"/>
        <v>-213052.4575386541</v>
      </c>
    </row>
    <row r="970" spans="2:12" hidden="1" x14ac:dyDescent="0.35">
      <c r="B970" s="1">
        <v>9</v>
      </c>
      <c r="C970" s="22">
        <v>44805</v>
      </c>
      <c r="D970" s="22">
        <v>44834</v>
      </c>
      <c r="E970" s="23">
        <f t="shared" si="156"/>
        <v>30</v>
      </c>
      <c r="F970" s="3">
        <f t="shared" si="159"/>
        <v>21733564.20604955</v>
      </c>
      <c r="G970" s="3">
        <f t="shared" si="161"/>
        <v>846736.88561533648</v>
      </c>
      <c r="H970" s="3">
        <f t="shared" si="160"/>
        <v>181113.03505041293</v>
      </c>
      <c r="I970" s="3">
        <f t="shared" si="157"/>
        <v>665623.8505649236</v>
      </c>
      <c r="J970" s="3">
        <f t="shared" si="158"/>
        <v>21067940.355484627</v>
      </c>
      <c r="K970" s="24">
        <v>900000</v>
      </c>
      <c r="L970" s="24">
        <f t="shared" si="162"/>
        <v>-266315.57192331762</v>
      </c>
    </row>
    <row r="971" spans="2:12" hidden="1" x14ac:dyDescent="0.35">
      <c r="B971" s="1">
        <v>10</v>
      </c>
      <c r="C971" s="22">
        <v>44835</v>
      </c>
      <c r="D971" s="22">
        <v>44865</v>
      </c>
      <c r="E971" s="23">
        <f t="shared" si="156"/>
        <v>31</v>
      </c>
      <c r="F971" s="3">
        <f t="shared" si="159"/>
        <v>21067940.355484627</v>
      </c>
      <c r="G971" s="3">
        <f t="shared" si="161"/>
        <v>846736.88561533648</v>
      </c>
      <c r="H971" s="3">
        <f t="shared" si="160"/>
        <v>175566.16962903854</v>
      </c>
      <c r="I971" s="3">
        <f t="shared" si="157"/>
        <v>671170.71598629793</v>
      </c>
      <c r="J971" s="3">
        <f t="shared" si="158"/>
        <v>20396769.639498331</v>
      </c>
      <c r="K971" s="24">
        <v>700000</v>
      </c>
      <c r="L971" s="24">
        <f t="shared" si="162"/>
        <v>-119578.68630798114</v>
      </c>
    </row>
    <row r="972" spans="2:12" hidden="1" x14ac:dyDescent="0.35">
      <c r="B972" s="1">
        <v>11</v>
      </c>
      <c r="C972" s="22">
        <v>44866</v>
      </c>
      <c r="D972" s="22">
        <v>44895</v>
      </c>
      <c r="E972" s="23">
        <f t="shared" si="156"/>
        <v>30</v>
      </c>
      <c r="F972" s="3">
        <f t="shared" si="159"/>
        <v>20396769.639498331</v>
      </c>
      <c r="G972" s="3">
        <f t="shared" si="161"/>
        <v>846736.88561533648</v>
      </c>
      <c r="H972" s="3">
        <f t="shared" si="160"/>
        <v>169973.08032915276</v>
      </c>
      <c r="I972" s="3">
        <f t="shared" si="157"/>
        <v>676763.80528618372</v>
      </c>
      <c r="J972" s="3">
        <f t="shared" si="158"/>
        <v>19720005.834212147</v>
      </c>
      <c r="K972" s="24">
        <v>850000</v>
      </c>
      <c r="L972" s="24">
        <f t="shared" si="162"/>
        <v>-122841.80069264467</v>
      </c>
    </row>
    <row r="973" spans="2:12" hidden="1" x14ac:dyDescent="0.35">
      <c r="B973" s="1">
        <v>12</v>
      </c>
      <c r="C973" s="22">
        <v>44896</v>
      </c>
      <c r="D973" s="22">
        <v>44926</v>
      </c>
      <c r="E973" s="23">
        <f t="shared" si="156"/>
        <v>31</v>
      </c>
      <c r="F973" s="3">
        <f t="shared" si="159"/>
        <v>19720005.834212147</v>
      </c>
      <c r="G973" s="3">
        <f t="shared" si="161"/>
        <v>846736.88561533648</v>
      </c>
      <c r="H973" s="3">
        <f t="shared" si="160"/>
        <v>164333.38195176789</v>
      </c>
      <c r="I973" s="3">
        <f t="shared" si="157"/>
        <v>682403.50366356852</v>
      </c>
      <c r="J973" s="3">
        <f t="shared" si="158"/>
        <v>19037602.330548577</v>
      </c>
      <c r="K973" s="24">
        <v>0</v>
      </c>
      <c r="L973" s="24">
        <f t="shared" si="162"/>
        <v>723895.08492269181</v>
      </c>
    </row>
    <row r="974" spans="2:12" hidden="1" x14ac:dyDescent="0.35">
      <c r="B974" s="1">
        <v>13</v>
      </c>
      <c r="C974" s="22">
        <v>44927</v>
      </c>
      <c r="D974" s="22">
        <v>44957</v>
      </c>
      <c r="E974" s="23">
        <f t="shared" si="156"/>
        <v>31</v>
      </c>
      <c r="F974" s="3">
        <f t="shared" si="159"/>
        <v>19037602.330548577</v>
      </c>
      <c r="G974" s="3">
        <f t="shared" si="161"/>
        <v>846736.88561533648</v>
      </c>
      <c r="H974" s="3">
        <f t="shared" si="160"/>
        <v>158646.68608790482</v>
      </c>
      <c r="I974" s="3">
        <f t="shared" si="157"/>
        <v>688090.19952743163</v>
      </c>
      <c r="J974" s="3">
        <f t="shared" si="158"/>
        <v>18349512.131021146</v>
      </c>
      <c r="K974" s="24">
        <v>1000000</v>
      </c>
      <c r="L974" s="24">
        <f t="shared" si="162"/>
        <v>570631.97053802828</v>
      </c>
    </row>
    <row r="975" spans="2:12" hidden="1" x14ac:dyDescent="0.35">
      <c r="B975" s="1">
        <v>14</v>
      </c>
      <c r="C975" s="22">
        <v>44958</v>
      </c>
      <c r="D975" s="22">
        <v>44985</v>
      </c>
      <c r="E975" s="23">
        <f t="shared" si="156"/>
        <v>28</v>
      </c>
      <c r="F975" s="3">
        <f t="shared" si="159"/>
        <v>18349512.131021146</v>
      </c>
      <c r="G975" s="3">
        <f t="shared" si="161"/>
        <v>846736.88561533648</v>
      </c>
      <c r="H975" s="3">
        <f t="shared" si="160"/>
        <v>152912.60109184287</v>
      </c>
      <c r="I975" s="3">
        <f t="shared" si="157"/>
        <v>693824.28452349361</v>
      </c>
      <c r="J975" s="3">
        <f t="shared" si="158"/>
        <v>17655687.846497651</v>
      </c>
      <c r="K975" s="24">
        <v>2000000</v>
      </c>
      <c r="L975" s="24">
        <f t="shared" si="162"/>
        <v>-582631.14384663524</v>
      </c>
    </row>
    <row r="976" spans="2:12" hidden="1" x14ac:dyDescent="0.35">
      <c r="B976" s="1">
        <v>15</v>
      </c>
      <c r="C976" s="22">
        <v>44986</v>
      </c>
      <c r="D976" s="22">
        <v>45016</v>
      </c>
      <c r="E976" s="23">
        <f t="shared" si="156"/>
        <v>31</v>
      </c>
      <c r="F976" s="3">
        <f t="shared" si="159"/>
        <v>17655687.846497651</v>
      </c>
      <c r="G976" s="3">
        <f t="shared" si="161"/>
        <v>846736.88561533648</v>
      </c>
      <c r="H976" s="3">
        <f t="shared" si="160"/>
        <v>147130.73205414708</v>
      </c>
      <c r="I976" s="3">
        <f t="shared" si="157"/>
        <v>699606.15356118942</v>
      </c>
      <c r="J976" s="3">
        <f t="shared" si="158"/>
        <v>16956081.692936461</v>
      </c>
      <c r="K976" s="24">
        <v>650000</v>
      </c>
      <c r="L976" s="24">
        <f t="shared" si="162"/>
        <v>-385894.25823129877</v>
      </c>
    </row>
    <row r="977" spans="2:12" hidden="1" x14ac:dyDescent="0.35">
      <c r="B977" s="1">
        <v>16</v>
      </c>
      <c r="C977" s="22">
        <v>45017</v>
      </c>
      <c r="D977" s="22">
        <v>45046</v>
      </c>
      <c r="E977" s="23">
        <f t="shared" si="156"/>
        <v>30</v>
      </c>
      <c r="F977" s="3">
        <f t="shared" si="159"/>
        <v>16956081.692936461</v>
      </c>
      <c r="G977" s="3">
        <f t="shared" si="161"/>
        <v>846736.88561533648</v>
      </c>
      <c r="H977" s="3">
        <f t="shared" si="160"/>
        <v>141300.6807744705</v>
      </c>
      <c r="I977" s="3">
        <f t="shared" si="157"/>
        <v>705436.20484086592</v>
      </c>
      <c r="J977" s="3">
        <f t="shared" si="158"/>
        <v>16250645.488095596</v>
      </c>
      <c r="K977" s="24">
        <v>600000</v>
      </c>
      <c r="L977" s="24">
        <f t="shared" si="162"/>
        <v>-139157.37261596229</v>
      </c>
    </row>
    <row r="978" spans="2:12" hidden="1" x14ac:dyDescent="0.35">
      <c r="B978" s="1">
        <v>17</v>
      </c>
      <c r="C978" s="22">
        <v>45047</v>
      </c>
      <c r="D978" s="22">
        <v>45077</v>
      </c>
      <c r="E978" s="23">
        <f t="shared" si="156"/>
        <v>31</v>
      </c>
      <c r="F978" s="3">
        <f t="shared" si="159"/>
        <v>16250645.488095596</v>
      </c>
      <c r="G978" s="3">
        <f t="shared" si="161"/>
        <v>846736.88561533648</v>
      </c>
      <c r="H978" s="3">
        <f t="shared" si="160"/>
        <v>135422.04573412996</v>
      </c>
      <c r="I978" s="3">
        <f t="shared" si="157"/>
        <v>711314.83988120651</v>
      </c>
      <c r="J978" s="3">
        <f t="shared" si="158"/>
        <v>15539330.648214391</v>
      </c>
      <c r="K978" s="24">
        <v>800000</v>
      </c>
      <c r="L978" s="24">
        <f t="shared" si="162"/>
        <v>-92420.487000625813</v>
      </c>
    </row>
    <row r="979" spans="2:12" hidden="1" x14ac:dyDescent="0.35">
      <c r="B979" s="1">
        <v>18</v>
      </c>
      <c r="C979" s="22">
        <v>45078</v>
      </c>
      <c r="D979" s="22">
        <v>45107</v>
      </c>
      <c r="E979" s="23">
        <f t="shared" si="156"/>
        <v>30</v>
      </c>
      <c r="F979" s="3">
        <f t="shared" si="159"/>
        <v>15539330.648214391</v>
      </c>
      <c r="G979" s="3">
        <f t="shared" si="161"/>
        <v>846736.88561533648</v>
      </c>
      <c r="H979" s="3">
        <f t="shared" si="160"/>
        <v>129494.42206845325</v>
      </c>
      <c r="I979" s="3">
        <f t="shared" si="157"/>
        <v>717242.4635468832</v>
      </c>
      <c r="J979" s="3">
        <f t="shared" si="158"/>
        <v>14822088.184667507</v>
      </c>
      <c r="K979" s="24">
        <v>300000</v>
      </c>
      <c r="L979" s="26">
        <f t="shared" si="162"/>
        <v>454316.39861471066</v>
      </c>
    </row>
    <row r="980" spans="2:12" hidden="1" x14ac:dyDescent="0.35">
      <c r="B980" s="1">
        <v>19</v>
      </c>
      <c r="C980" s="22">
        <v>45108</v>
      </c>
      <c r="D980" s="22">
        <v>45138</v>
      </c>
      <c r="E980" s="23">
        <f t="shared" si="156"/>
        <v>31</v>
      </c>
      <c r="F980" s="3">
        <f t="shared" si="159"/>
        <v>14822088.184667507</v>
      </c>
      <c r="G980" s="3">
        <f t="shared" si="161"/>
        <v>846736.88561533648</v>
      </c>
      <c r="H980" s="3">
        <f t="shared" si="160"/>
        <v>123517.40153889589</v>
      </c>
      <c r="I980" s="3">
        <f t="shared" si="157"/>
        <v>723219.48407644057</v>
      </c>
      <c r="J980" s="3">
        <f t="shared" si="158"/>
        <v>14098868.700591067</v>
      </c>
      <c r="K980" s="24">
        <v>1000000</v>
      </c>
      <c r="L980" s="205">
        <f t="shared" si="162"/>
        <v>301053.28423004714</v>
      </c>
    </row>
    <row r="981" spans="2:12" hidden="1" x14ac:dyDescent="0.35">
      <c r="B981" s="1">
        <v>20</v>
      </c>
      <c r="C981" s="22">
        <v>45139</v>
      </c>
      <c r="D981" s="22">
        <v>45169</v>
      </c>
      <c r="E981" s="23">
        <f t="shared" si="156"/>
        <v>31</v>
      </c>
      <c r="F981" s="3">
        <f t="shared" si="159"/>
        <v>14098868.700591067</v>
      </c>
      <c r="G981" s="3">
        <f t="shared" si="161"/>
        <v>846736.88561533648</v>
      </c>
      <c r="H981" s="3">
        <f t="shared" si="160"/>
        <v>117490.57250492556</v>
      </c>
      <c r="I981" s="3">
        <f t="shared" si="157"/>
        <v>729246.31311041093</v>
      </c>
      <c r="J981" s="3">
        <f t="shared" si="158"/>
        <v>13369622.387480656</v>
      </c>
      <c r="K981" s="24">
        <v>14200000</v>
      </c>
      <c r="L981" s="26"/>
    </row>
    <row r="982" spans="2:12" hidden="1" x14ac:dyDescent="0.35">
      <c r="B982" s="1">
        <v>21</v>
      </c>
      <c r="C982" s="22">
        <v>45170</v>
      </c>
      <c r="D982" s="22">
        <v>45199</v>
      </c>
      <c r="E982" s="23">
        <f t="shared" si="156"/>
        <v>30</v>
      </c>
      <c r="F982" s="3">
        <f t="shared" si="159"/>
        <v>13369622.387480656</v>
      </c>
      <c r="G982" s="3">
        <f t="shared" si="161"/>
        <v>846736.88561533648</v>
      </c>
      <c r="H982" s="3">
        <f t="shared" si="160"/>
        <v>111413.51989567213</v>
      </c>
      <c r="I982" s="3">
        <f t="shared" si="157"/>
        <v>735323.36571966438</v>
      </c>
      <c r="J982" s="3">
        <f t="shared" si="158"/>
        <v>12634299.021760991</v>
      </c>
      <c r="K982" s="24"/>
      <c r="L982" s="24"/>
    </row>
    <row r="983" spans="2:12" hidden="1" x14ac:dyDescent="0.35">
      <c r="B983" s="1">
        <v>22</v>
      </c>
      <c r="C983" s="22">
        <v>45200</v>
      </c>
      <c r="D983" s="22">
        <v>45230</v>
      </c>
      <c r="E983" s="23">
        <f t="shared" si="156"/>
        <v>31</v>
      </c>
      <c r="F983" s="3">
        <f t="shared" si="159"/>
        <v>12634299.021760991</v>
      </c>
      <c r="G983" s="3">
        <f t="shared" si="161"/>
        <v>846736.88561533648</v>
      </c>
      <c r="H983" s="3">
        <f t="shared" si="160"/>
        <v>105285.82518134158</v>
      </c>
      <c r="I983" s="3">
        <f t="shared" si="157"/>
        <v>741451.06043399486</v>
      </c>
      <c r="J983" s="3">
        <f t="shared" si="158"/>
        <v>11892847.961326996</v>
      </c>
      <c r="K983" s="24"/>
      <c r="L983" s="24"/>
    </row>
    <row r="984" spans="2:12" hidden="1" x14ac:dyDescent="0.35">
      <c r="B984" s="1">
        <v>23</v>
      </c>
      <c r="C984" s="22">
        <v>45231</v>
      </c>
      <c r="D984" s="22">
        <v>45260</v>
      </c>
      <c r="E984" s="23">
        <f t="shared" si="156"/>
        <v>30</v>
      </c>
      <c r="F984" s="3">
        <f t="shared" si="159"/>
        <v>11892847.961326996</v>
      </c>
      <c r="G984" s="3">
        <f t="shared" si="161"/>
        <v>846736.88561533648</v>
      </c>
      <c r="H984" s="3">
        <f t="shared" si="160"/>
        <v>99107.066344391627</v>
      </c>
      <c r="I984" s="3">
        <f t="shared" si="157"/>
        <v>747629.8192709448</v>
      </c>
      <c r="J984" s="3">
        <f t="shared" si="158"/>
        <v>11145218.142056052</v>
      </c>
      <c r="K984" s="24">
        <v>350000</v>
      </c>
      <c r="L984" s="24"/>
    </row>
    <row r="985" spans="2:12" hidden="1" x14ac:dyDescent="0.35">
      <c r="B985" s="1">
        <v>24</v>
      </c>
      <c r="C985" s="22">
        <v>45261</v>
      </c>
      <c r="D985" s="22">
        <v>45291</v>
      </c>
      <c r="E985" s="23">
        <f t="shared" si="156"/>
        <v>31</v>
      </c>
      <c r="F985" s="3">
        <f t="shared" si="159"/>
        <v>11145218.142056052</v>
      </c>
      <c r="G985" s="3">
        <f t="shared" si="161"/>
        <v>846736.88561533648</v>
      </c>
      <c r="H985" s="3">
        <f t="shared" si="160"/>
        <v>92876.817850467094</v>
      </c>
      <c r="I985" s="3">
        <f t="shared" si="157"/>
        <v>753860.06776486943</v>
      </c>
      <c r="J985" s="3">
        <f t="shared" si="158"/>
        <v>10391358.074291183</v>
      </c>
      <c r="K985" s="24"/>
      <c r="L985" s="24"/>
    </row>
    <row r="986" spans="2:12" hidden="1" x14ac:dyDescent="0.35">
      <c r="B986" s="1">
        <v>25</v>
      </c>
      <c r="C986" s="22">
        <v>45292</v>
      </c>
      <c r="D986" s="22">
        <v>45322</v>
      </c>
      <c r="E986" s="23">
        <f t="shared" si="156"/>
        <v>31</v>
      </c>
      <c r="F986" s="3">
        <f t="shared" si="159"/>
        <v>10391358.074291183</v>
      </c>
      <c r="G986" s="3">
        <f t="shared" si="161"/>
        <v>846736.88561533648</v>
      </c>
      <c r="H986" s="3">
        <f t="shared" si="160"/>
        <v>86594.650619093183</v>
      </c>
      <c r="I986" s="3">
        <f t="shared" si="157"/>
        <v>760142.23499624326</v>
      </c>
      <c r="J986" s="3">
        <f t="shared" si="158"/>
        <v>9631215.8392949402</v>
      </c>
      <c r="K986" s="24"/>
      <c r="L986" s="24"/>
    </row>
    <row r="987" spans="2:12" hidden="1" x14ac:dyDescent="0.35">
      <c r="B987" s="1">
        <v>26</v>
      </c>
      <c r="C987" s="22">
        <v>45323</v>
      </c>
      <c r="D987" s="22">
        <v>45351</v>
      </c>
      <c r="E987" s="23">
        <f t="shared" si="156"/>
        <v>29</v>
      </c>
      <c r="F987" s="3">
        <f t="shared" si="159"/>
        <v>9631215.8392949402</v>
      </c>
      <c r="G987" s="3">
        <f t="shared" si="161"/>
        <v>846736.88561533648</v>
      </c>
      <c r="H987" s="3">
        <f t="shared" si="160"/>
        <v>80260.131994124502</v>
      </c>
      <c r="I987" s="3">
        <f t="shared" si="157"/>
        <v>766476.75362121197</v>
      </c>
      <c r="J987" s="3">
        <f t="shared" si="158"/>
        <v>8864739.085673729</v>
      </c>
      <c r="K987" s="24"/>
      <c r="L987" s="24"/>
    </row>
    <row r="988" spans="2:12" hidden="1" x14ac:dyDescent="0.35">
      <c r="B988" s="1">
        <v>27</v>
      </c>
      <c r="C988" s="22">
        <v>45352</v>
      </c>
      <c r="D988" s="22">
        <v>45382</v>
      </c>
      <c r="E988" s="23">
        <f t="shared" si="156"/>
        <v>31</v>
      </c>
      <c r="F988" s="3">
        <f t="shared" si="159"/>
        <v>8864739.085673729</v>
      </c>
      <c r="G988" s="3">
        <f t="shared" si="161"/>
        <v>846736.88561533648</v>
      </c>
      <c r="H988" s="3">
        <f t="shared" si="160"/>
        <v>73872.825713947735</v>
      </c>
      <c r="I988" s="3">
        <f t="shared" si="157"/>
        <v>772864.05990138871</v>
      </c>
      <c r="J988" s="3">
        <f t="shared" si="158"/>
        <v>8091875.0257723406</v>
      </c>
      <c r="K988" s="24"/>
      <c r="L988" s="24"/>
    </row>
    <row r="989" spans="2:12" hidden="1" x14ac:dyDescent="0.35">
      <c r="B989" s="1">
        <v>28</v>
      </c>
      <c r="C989" s="22">
        <v>45383</v>
      </c>
      <c r="D989" s="22">
        <v>45412</v>
      </c>
      <c r="E989" s="23">
        <f t="shared" si="156"/>
        <v>30</v>
      </c>
      <c r="F989" s="3">
        <f t="shared" si="159"/>
        <v>8091875.0257723406</v>
      </c>
      <c r="G989" s="3">
        <f t="shared" si="161"/>
        <v>846736.88561533648</v>
      </c>
      <c r="H989" s="3">
        <f t="shared" si="160"/>
        <v>67432.291881436176</v>
      </c>
      <c r="I989" s="3">
        <f t="shared" si="157"/>
        <v>779304.59373390034</v>
      </c>
      <c r="J989" s="3">
        <f t="shared" si="158"/>
        <v>7312570.4320384404</v>
      </c>
      <c r="K989" s="24"/>
      <c r="L989" s="24"/>
    </row>
    <row r="990" spans="2:12" hidden="1" x14ac:dyDescent="0.35">
      <c r="B990" s="1">
        <v>29</v>
      </c>
      <c r="C990" s="22">
        <v>45413</v>
      </c>
      <c r="D990" s="22">
        <v>45443</v>
      </c>
      <c r="E990" s="23">
        <f t="shared" si="156"/>
        <v>31</v>
      </c>
      <c r="F990" s="3">
        <f t="shared" si="159"/>
        <v>7312570.4320384404</v>
      </c>
      <c r="G990" s="3">
        <f t="shared" si="161"/>
        <v>846736.88561533648</v>
      </c>
      <c r="H990" s="3">
        <f t="shared" si="160"/>
        <v>60938.086933653671</v>
      </c>
      <c r="I990" s="3">
        <f t="shared" si="157"/>
        <v>785798.79868168279</v>
      </c>
      <c r="J990" s="3">
        <f t="shared" si="158"/>
        <v>6526771.6333567575</v>
      </c>
      <c r="K990" s="24"/>
      <c r="L990" s="24"/>
    </row>
    <row r="991" spans="2:12" hidden="1" x14ac:dyDescent="0.35">
      <c r="B991" s="1">
        <v>30</v>
      </c>
      <c r="C991" s="22">
        <v>45444</v>
      </c>
      <c r="D991" s="22">
        <v>45473</v>
      </c>
      <c r="E991" s="23">
        <f t="shared" si="156"/>
        <v>30</v>
      </c>
      <c r="F991" s="3">
        <f t="shared" si="159"/>
        <v>6526771.6333567575</v>
      </c>
      <c r="G991" s="3">
        <f t="shared" si="161"/>
        <v>846736.88561533648</v>
      </c>
      <c r="H991" s="3">
        <f t="shared" si="160"/>
        <v>54389.763611306313</v>
      </c>
      <c r="I991" s="3">
        <f t="shared" si="157"/>
        <v>792347.12200403016</v>
      </c>
      <c r="J991" s="3">
        <f t="shared" si="158"/>
        <v>5734424.5113527272</v>
      </c>
      <c r="K991" s="24"/>
      <c r="L991" s="24"/>
    </row>
    <row r="992" spans="2:12" hidden="1" x14ac:dyDescent="0.35">
      <c r="B992" s="1">
        <v>31</v>
      </c>
      <c r="C992" s="22">
        <v>45474</v>
      </c>
      <c r="D992" s="22">
        <v>45504</v>
      </c>
      <c r="E992" s="23">
        <f t="shared" si="156"/>
        <v>31</v>
      </c>
      <c r="F992" s="3">
        <f t="shared" si="159"/>
        <v>5734424.5113527272</v>
      </c>
      <c r="G992" s="3">
        <f t="shared" si="161"/>
        <v>846736.88561533648</v>
      </c>
      <c r="H992" s="3">
        <f t="shared" si="160"/>
        <v>47786.870927939395</v>
      </c>
      <c r="I992" s="3">
        <f t="shared" si="157"/>
        <v>798950.01468739705</v>
      </c>
      <c r="J992" s="3">
        <f t="shared" si="158"/>
        <v>4935474.4966653306</v>
      </c>
      <c r="K992" s="24"/>
      <c r="L992" s="24"/>
    </row>
    <row r="993" spans="2:19" hidden="1" x14ac:dyDescent="0.35">
      <c r="B993" s="1">
        <v>32</v>
      </c>
      <c r="C993" s="22">
        <v>45505</v>
      </c>
      <c r="D993" s="22">
        <v>45535</v>
      </c>
      <c r="E993" s="23">
        <f t="shared" si="156"/>
        <v>31</v>
      </c>
      <c r="F993" s="3">
        <f t="shared" si="159"/>
        <v>4935474.4966653306</v>
      </c>
      <c r="G993" s="3">
        <f t="shared" si="161"/>
        <v>846736.88561533648</v>
      </c>
      <c r="H993" s="3">
        <f t="shared" si="160"/>
        <v>41128.954138877758</v>
      </c>
      <c r="I993" s="3">
        <f t="shared" si="157"/>
        <v>805607.93147645867</v>
      </c>
      <c r="J993" s="3">
        <f t="shared" si="158"/>
        <v>4129866.5651888717</v>
      </c>
      <c r="K993" s="24"/>
      <c r="L993" s="24"/>
    </row>
    <row r="994" spans="2:19" hidden="1" x14ac:dyDescent="0.35">
      <c r="B994" s="1">
        <v>33</v>
      </c>
      <c r="C994" s="22">
        <v>45536</v>
      </c>
      <c r="D994" s="22">
        <v>45565</v>
      </c>
      <c r="E994" s="23">
        <f t="shared" si="156"/>
        <v>30</v>
      </c>
      <c r="F994" s="3">
        <f t="shared" si="159"/>
        <v>4129866.5651888717</v>
      </c>
      <c r="G994" s="3">
        <f t="shared" si="161"/>
        <v>846736.88561533648</v>
      </c>
      <c r="H994" s="3">
        <f t="shared" si="160"/>
        <v>34415.554709907265</v>
      </c>
      <c r="I994" s="3">
        <f t="shared" si="157"/>
        <v>812321.3309054292</v>
      </c>
      <c r="J994" s="3">
        <f t="shared" si="158"/>
        <v>3317545.2342834426</v>
      </c>
      <c r="K994" s="24"/>
      <c r="L994" s="24"/>
    </row>
    <row r="995" spans="2:19" hidden="1" x14ac:dyDescent="0.35">
      <c r="B995" s="1">
        <v>34</v>
      </c>
      <c r="C995" s="22">
        <v>45566</v>
      </c>
      <c r="D995" s="22">
        <v>45596</v>
      </c>
      <c r="E995" s="23">
        <f t="shared" si="156"/>
        <v>31</v>
      </c>
      <c r="F995" s="3">
        <f t="shared" si="159"/>
        <v>3317545.2342834426</v>
      </c>
      <c r="G995" s="3">
        <f t="shared" si="161"/>
        <v>846736.88561533648</v>
      </c>
      <c r="H995" s="3">
        <f t="shared" si="160"/>
        <v>27646.210285695353</v>
      </c>
      <c r="I995" s="3">
        <f t="shared" si="157"/>
        <v>819090.67532964109</v>
      </c>
      <c r="J995" s="3">
        <f t="shared" si="158"/>
        <v>2498454.5589538016</v>
      </c>
      <c r="K995" s="24"/>
      <c r="L995" s="24"/>
    </row>
    <row r="996" spans="2:19" hidden="1" x14ac:dyDescent="0.35">
      <c r="B996" s="1">
        <v>35</v>
      </c>
      <c r="C996" s="22">
        <v>45597</v>
      </c>
      <c r="D996" s="22">
        <v>45626</v>
      </c>
      <c r="E996" s="23">
        <f t="shared" si="156"/>
        <v>30</v>
      </c>
      <c r="F996" s="3">
        <f t="shared" si="159"/>
        <v>2498454.5589538016</v>
      </c>
      <c r="G996" s="3">
        <f t="shared" si="161"/>
        <v>846736.88561533648</v>
      </c>
      <c r="H996" s="3">
        <f t="shared" si="160"/>
        <v>20820.454657948347</v>
      </c>
      <c r="I996" s="3">
        <f t="shared" si="157"/>
        <v>825916.43095738813</v>
      </c>
      <c r="J996" s="3">
        <f t="shared" si="158"/>
        <v>1672538.1279964135</v>
      </c>
      <c r="K996" s="24"/>
      <c r="L996" s="24"/>
    </row>
    <row r="997" spans="2:19" hidden="1" x14ac:dyDescent="0.35">
      <c r="B997" s="1">
        <v>36</v>
      </c>
      <c r="C997" s="22">
        <v>45627</v>
      </c>
      <c r="D997" s="22">
        <v>45657</v>
      </c>
      <c r="E997" s="23">
        <f t="shared" si="156"/>
        <v>31</v>
      </c>
      <c r="F997" s="3">
        <f t="shared" si="159"/>
        <v>1672538.1279964135</v>
      </c>
      <c r="G997" s="3">
        <f t="shared" si="161"/>
        <v>846736.88561533648</v>
      </c>
      <c r="H997" s="3">
        <f t="shared" si="160"/>
        <v>13937.817733303445</v>
      </c>
      <c r="I997" s="3">
        <f t="shared" si="157"/>
        <v>832799.06788203306</v>
      </c>
      <c r="J997" s="3">
        <f t="shared" si="158"/>
        <v>839739.06011438044</v>
      </c>
      <c r="K997" s="24"/>
      <c r="L997" s="24"/>
    </row>
    <row r="998" spans="2:19" hidden="1" x14ac:dyDescent="0.35">
      <c r="B998" s="1">
        <v>37</v>
      </c>
      <c r="C998" s="22">
        <v>45658</v>
      </c>
      <c r="D998" s="22">
        <v>45688</v>
      </c>
      <c r="E998" s="23">
        <f t="shared" si="156"/>
        <v>31</v>
      </c>
      <c r="F998" s="3">
        <f t="shared" si="159"/>
        <v>839739.06011438044</v>
      </c>
      <c r="G998" s="3">
        <f t="shared" si="161"/>
        <v>846736.88561533648</v>
      </c>
      <c r="H998" s="3">
        <f t="shared" si="160"/>
        <v>6997.8255009531704</v>
      </c>
      <c r="I998" s="3">
        <f t="shared" si="157"/>
        <v>839739.06011438335</v>
      </c>
      <c r="J998" s="3">
        <f t="shared" si="158"/>
        <v>-2.9103830456733704E-9</v>
      </c>
      <c r="K998" s="24"/>
      <c r="L998" s="24"/>
    </row>
    <row r="999" spans="2:19" ht="14.25" hidden="1" customHeight="1" x14ac:dyDescent="0.35">
      <c r="B999" s="1"/>
      <c r="C999" s="1"/>
      <c r="D999" s="1"/>
      <c r="E999" s="28">
        <f>SUM(E962:E985)</f>
        <v>719</v>
      </c>
      <c r="F999" s="3"/>
      <c r="G999" s="3"/>
      <c r="H999" s="3"/>
      <c r="I999" s="3"/>
      <c r="J999" s="3"/>
      <c r="K999" s="1"/>
      <c r="L999" s="1"/>
    </row>
    <row r="1004" spans="2:19" x14ac:dyDescent="0.35">
      <c r="B1004" s="1"/>
      <c r="C1004" s="8" t="s">
        <v>635</v>
      </c>
      <c r="D1004" s="3"/>
      <c r="E1004" s="3"/>
      <c r="F1004" s="3"/>
      <c r="G1004" s="3"/>
      <c r="H1004" s="3"/>
      <c r="I1004" s="3"/>
      <c r="J1004" s="3"/>
      <c r="K1004" s="3"/>
      <c r="L1004" s="3"/>
      <c r="R1004" s="438" t="s">
        <v>832</v>
      </c>
      <c r="S1004" s="432" t="str">
        <f>IFERROR(INDEX(Blocks!$I$2:$I$101,MATCH(17,Blocks!$A$2:$A$101,0)),"")</f>
        <v>000104460000017</v>
      </c>
    </row>
    <row r="1005" spans="2:19" x14ac:dyDescent="0.35">
      <c r="B1005" s="1"/>
      <c r="C1005" s="1"/>
      <c r="D1005" s="3"/>
      <c r="E1005" s="3"/>
      <c r="F1005" s="3"/>
      <c r="G1005" s="3"/>
      <c r="H1005" s="3"/>
      <c r="I1005" s="3"/>
      <c r="J1005" s="3"/>
      <c r="K1005" s="3"/>
      <c r="L1005" s="3"/>
      <c r="R1005" s="438" t="s">
        <v>834</v>
      </c>
      <c r="S1005" s="432" t="str">
        <f>IFERROR(INDEX(Blocks!$H$2:$H$101,MATCH(17,Blocks!$A$2:$A$101,0)),"")</f>
        <v>Steel Base Furnitures</v>
      </c>
    </row>
    <row r="1006" spans="2:19" x14ac:dyDescent="0.35">
      <c r="B1006" s="1"/>
      <c r="C1006" s="9" t="s">
        <v>835</v>
      </c>
      <c r="D1006" s="10">
        <v>14677500</v>
      </c>
      <c r="E1006" s="3"/>
      <c r="F1006" s="3"/>
      <c r="G1006" s="3"/>
      <c r="H1006" s="3"/>
      <c r="I1006" s="3"/>
      <c r="J1006" s="3"/>
      <c r="K1006" s="3"/>
      <c r="L1006" s="3"/>
      <c r="R1006" s="438" t="s">
        <v>223</v>
      </c>
      <c r="S1006" s="433">
        <f>IFERROR(INDEX('E-Banker master'!$N$2:$N$186,MATCH(S1004,'E-Banker master'!$A$2:$A$186,0)),"")</f>
        <v>14677500</v>
      </c>
    </row>
    <row r="1007" spans="2:19" x14ac:dyDescent="0.35">
      <c r="B1007" s="1"/>
      <c r="C1007" s="11" t="s">
        <v>837</v>
      </c>
      <c r="D1007" s="12">
        <v>0.1</v>
      </c>
      <c r="E1007" s="13"/>
      <c r="F1007" s="3"/>
      <c r="G1007" s="3"/>
      <c r="H1007" s="3"/>
      <c r="I1007" s="3"/>
      <c r="J1007" s="3"/>
      <c r="K1007" s="3"/>
      <c r="L1007" s="3"/>
      <c r="R1007" s="438" t="s">
        <v>52</v>
      </c>
      <c r="S1007" s="433">
        <f>IFERROR(INDEX('E-Banker master'!$P$2:$P$186,MATCH(S1004,'E-Banker master'!$A$2:$A$186,0)),"")</f>
        <v>349021.15</v>
      </c>
    </row>
    <row r="1008" spans="2:19" x14ac:dyDescent="0.35">
      <c r="B1008" s="1"/>
      <c r="C1008" s="11" t="s">
        <v>838</v>
      </c>
      <c r="D1008" s="14">
        <v>2</v>
      </c>
      <c r="E1008" s="1"/>
      <c r="F1008" s="3"/>
      <c r="G1008" s="3"/>
      <c r="H1008" s="3"/>
      <c r="I1008" s="3"/>
      <c r="J1008" s="3"/>
      <c r="K1008" s="1"/>
      <c r="L1008" s="1"/>
    </row>
    <row r="1009" spans="2:13" x14ac:dyDescent="0.35">
      <c r="B1009" s="1"/>
      <c r="C1009" s="11" t="s">
        <v>839</v>
      </c>
      <c r="D1009" s="14">
        <v>12</v>
      </c>
      <c r="E1009" s="1"/>
      <c r="F1009" s="3"/>
      <c r="G1009" s="3"/>
      <c r="H1009" s="3"/>
      <c r="I1009" s="3"/>
      <c r="J1009" s="3"/>
      <c r="K1009" s="1"/>
      <c r="L1009" s="1"/>
    </row>
    <row r="1010" spans="2:13" x14ac:dyDescent="0.35">
      <c r="B1010" s="1"/>
      <c r="C1010" s="11" t="s">
        <v>843</v>
      </c>
      <c r="D1010" s="15">
        <f>D1008*D1009</f>
        <v>24</v>
      </c>
      <c r="E1010" s="1"/>
      <c r="F1010" s="3"/>
      <c r="G1010" s="3"/>
      <c r="H1010" s="3"/>
      <c r="I1010" s="3"/>
      <c r="J1010" s="3"/>
      <c r="K1010" s="1"/>
      <c r="L1010" s="1"/>
    </row>
    <row r="1011" spans="2:13" x14ac:dyDescent="0.35">
      <c r="B1011" s="1"/>
      <c r="C1011" s="11" t="s">
        <v>844</v>
      </c>
      <c r="D1011" s="16">
        <v>365</v>
      </c>
      <c r="E1011" s="1"/>
      <c r="F1011" s="3"/>
      <c r="G1011" s="3"/>
      <c r="H1011" s="3"/>
      <c r="I1011" s="3"/>
      <c r="J1011" s="3"/>
      <c r="K1011" s="1"/>
      <c r="L1011" s="1"/>
    </row>
    <row r="1012" spans="2:13" x14ac:dyDescent="0.35">
      <c r="B1012" s="1"/>
      <c r="C1012" s="17" t="s">
        <v>845</v>
      </c>
      <c r="D1012" s="18">
        <f>-PMT(D1007/D1009,D1010,D1006,0,0)</f>
        <v>677292.15631889855</v>
      </c>
      <c r="E1012" s="3"/>
      <c r="F1012" s="3"/>
      <c r="G1012" s="3"/>
      <c r="H1012" s="3"/>
      <c r="I1012" s="3"/>
      <c r="J1012" s="3"/>
      <c r="K1012" s="1"/>
      <c r="L1012" s="1"/>
    </row>
    <row r="1013" spans="2:13" x14ac:dyDescent="0.35">
      <c r="B1013" s="1"/>
      <c r="C1013" s="1"/>
      <c r="D1013" s="3"/>
      <c r="E1013" s="3"/>
      <c r="F1013" s="3"/>
      <c r="G1013" s="3"/>
      <c r="H1013" s="3"/>
      <c r="I1013" s="3"/>
      <c r="J1013" s="3"/>
      <c r="K1013" s="1"/>
      <c r="L1013" s="1"/>
    </row>
    <row r="1014" spans="2:13" x14ac:dyDescent="0.35">
      <c r="B1014" s="1"/>
      <c r="C1014" s="19" t="s">
        <v>846</v>
      </c>
      <c r="D1014" s="20" t="s">
        <v>847</v>
      </c>
      <c r="E1014" s="20" t="s">
        <v>764</v>
      </c>
      <c r="F1014" s="270" t="s">
        <v>848</v>
      </c>
      <c r="G1014" s="270" t="s">
        <v>849</v>
      </c>
      <c r="H1014" s="270" t="s">
        <v>742</v>
      </c>
      <c r="I1014" s="270" t="s">
        <v>740</v>
      </c>
      <c r="J1014" s="270" t="s">
        <v>850</v>
      </c>
      <c r="K1014" s="21" t="s">
        <v>851</v>
      </c>
      <c r="L1014" s="21" t="s">
        <v>852</v>
      </c>
    </row>
    <row r="1015" spans="2:13" x14ac:dyDescent="0.35">
      <c r="B1015" s="1">
        <v>1</v>
      </c>
      <c r="C1015" s="22">
        <v>44585</v>
      </c>
      <c r="D1015" s="22">
        <v>44592</v>
      </c>
      <c r="E1015" s="23">
        <f t="shared" ref="E1015:E1039" si="163">D1015-C1015+1</f>
        <v>8</v>
      </c>
      <c r="F1015" s="3">
        <f>D1006</f>
        <v>14677500</v>
      </c>
      <c r="G1015" s="3"/>
      <c r="H1015" s="3">
        <f>$D$1007/$D$1009*F1015*E1015/31</f>
        <v>31564.516129032258</v>
      </c>
      <c r="I1015" s="3">
        <f t="shared" ref="I1015:I1039" si="164">G1015-H1015</f>
        <v>-31564.516129032258</v>
      </c>
      <c r="J1015" s="3">
        <f t="shared" ref="J1015:J1039" si="165">F1015-I1015</f>
        <v>14709064.516129032</v>
      </c>
      <c r="K1015" s="24"/>
      <c r="L1015" s="24"/>
    </row>
    <row r="1016" spans="2:13" x14ac:dyDescent="0.35">
      <c r="B1016" s="1">
        <v>2</v>
      </c>
      <c r="C1016" s="22">
        <v>44593</v>
      </c>
      <c r="D1016" s="22">
        <v>44620</v>
      </c>
      <c r="E1016" s="23">
        <f t="shared" si="163"/>
        <v>28</v>
      </c>
      <c r="F1016" s="3">
        <f t="shared" ref="F1016:F1039" si="166">J1015</f>
        <v>14709064.516129032</v>
      </c>
      <c r="G1016" s="3"/>
      <c r="H1016" s="3">
        <f t="shared" ref="H1016:H1039" si="167">$D$1007/$D$1009*F1016</f>
        <v>122575.5376344086</v>
      </c>
      <c r="I1016" s="3">
        <f t="shared" si="164"/>
        <v>-122575.5376344086</v>
      </c>
      <c r="J1016" s="3">
        <f t="shared" si="165"/>
        <v>14831640.05376344</v>
      </c>
      <c r="K1016" s="24"/>
      <c r="L1016" s="24"/>
    </row>
    <row r="1017" spans="2:13" x14ac:dyDescent="0.35">
      <c r="B1017" s="1">
        <v>3</v>
      </c>
      <c r="C1017" s="22">
        <v>44621</v>
      </c>
      <c r="D1017" s="22">
        <v>44651</v>
      </c>
      <c r="E1017" s="23">
        <f t="shared" si="163"/>
        <v>31</v>
      </c>
      <c r="F1017" s="3">
        <f t="shared" si="166"/>
        <v>14831640.05376344</v>
      </c>
      <c r="G1017" s="3"/>
      <c r="H1017" s="3">
        <f t="shared" si="167"/>
        <v>123597.00044802866</v>
      </c>
      <c r="I1017" s="3">
        <f t="shared" si="164"/>
        <v>-123597.00044802866</v>
      </c>
      <c r="J1017" s="3">
        <f t="shared" si="165"/>
        <v>14955237.054211469</v>
      </c>
      <c r="K1017" s="24"/>
      <c r="L1017" s="24"/>
    </row>
    <row r="1018" spans="2:13" x14ac:dyDescent="0.35">
      <c r="B1018" s="1">
        <v>4</v>
      </c>
      <c r="C1018" s="22">
        <v>44652</v>
      </c>
      <c r="D1018" s="22">
        <v>44681</v>
      </c>
      <c r="E1018" s="23">
        <f t="shared" si="163"/>
        <v>30</v>
      </c>
      <c r="F1018" s="3">
        <f t="shared" si="166"/>
        <v>14955237.054211469</v>
      </c>
      <c r="G1018" s="3"/>
      <c r="H1018" s="3">
        <f t="shared" si="167"/>
        <v>124626.97545176225</v>
      </c>
      <c r="I1018" s="3">
        <f t="shared" si="164"/>
        <v>-124626.97545176225</v>
      </c>
      <c r="J1018" s="3">
        <f t="shared" si="165"/>
        <v>15079864.029663231</v>
      </c>
      <c r="K1018" s="24">
        <v>0</v>
      </c>
      <c r="L1018" s="24"/>
    </row>
    <row r="1019" spans="2:13" x14ac:dyDescent="0.35">
      <c r="B1019" s="1">
        <v>5</v>
      </c>
      <c r="C1019" s="22">
        <v>44682</v>
      </c>
      <c r="D1019" s="22">
        <v>44712</v>
      </c>
      <c r="E1019" s="23">
        <f t="shared" si="163"/>
        <v>31</v>
      </c>
      <c r="F1019" s="3">
        <f t="shared" si="166"/>
        <v>15079864.029663231</v>
      </c>
      <c r="G1019" s="3"/>
      <c r="H1019" s="3">
        <f t="shared" si="167"/>
        <v>125665.53358052693</v>
      </c>
      <c r="I1019" s="3">
        <f t="shared" si="164"/>
        <v>-125665.53358052693</v>
      </c>
      <c r="J1019" s="3">
        <f t="shared" si="165"/>
        <v>15205529.563243758</v>
      </c>
      <c r="K1019" s="24"/>
      <c r="L1019" s="24"/>
    </row>
    <row r="1020" spans="2:13" x14ac:dyDescent="0.35">
      <c r="B1020" s="1">
        <v>6</v>
      </c>
      <c r="C1020" s="22">
        <v>44713</v>
      </c>
      <c r="D1020" s="22">
        <v>44742</v>
      </c>
      <c r="E1020" s="23">
        <f t="shared" si="163"/>
        <v>30</v>
      </c>
      <c r="F1020" s="3">
        <f t="shared" si="166"/>
        <v>15205529.563243758</v>
      </c>
      <c r="G1020" s="3"/>
      <c r="H1020" s="3">
        <f t="shared" si="167"/>
        <v>126712.74636036465</v>
      </c>
      <c r="I1020" s="3">
        <f t="shared" si="164"/>
        <v>-126712.74636036465</v>
      </c>
      <c r="J1020" s="3">
        <f t="shared" si="165"/>
        <v>15332242.309604123</v>
      </c>
      <c r="K1020" s="24">
        <f>734000+52000</f>
        <v>786000</v>
      </c>
      <c r="L1020" s="24"/>
    </row>
    <row r="1021" spans="2:13" x14ac:dyDescent="0.35">
      <c r="B1021" s="1">
        <v>7</v>
      </c>
      <c r="C1021" s="22">
        <v>44743</v>
      </c>
      <c r="D1021" s="22">
        <v>44773</v>
      </c>
      <c r="E1021" s="23">
        <f t="shared" si="163"/>
        <v>31</v>
      </c>
      <c r="F1021" s="3">
        <f t="shared" si="166"/>
        <v>15332242.309604123</v>
      </c>
      <c r="G1021" s="3"/>
      <c r="H1021" s="3">
        <f t="shared" si="167"/>
        <v>127768.68591336769</v>
      </c>
      <c r="I1021" s="3">
        <f t="shared" si="164"/>
        <v>-127768.68591336769</v>
      </c>
      <c r="J1021" s="3">
        <f t="shared" si="165"/>
        <v>15460010.99551749</v>
      </c>
      <c r="K1021" s="24">
        <v>0</v>
      </c>
      <c r="L1021" s="24"/>
      <c r="M1021" s="7">
        <f>G1020+G1021-L1021</f>
        <v>0</v>
      </c>
    </row>
    <row r="1022" spans="2:13" x14ac:dyDescent="0.35">
      <c r="B1022" s="1">
        <v>8</v>
      </c>
      <c r="C1022" s="22">
        <v>44774</v>
      </c>
      <c r="D1022" s="22">
        <v>44804</v>
      </c>
      <c r="E1022" s="23">
        <f t="shared" si="163"/>
        <v>31</v>
      </c>
      <c r="F1022" s="3">
        <f t="shared" si="166"/>
        <v>15460010.99551749</v>
      </c>
      <c r="G1022" s="3"/>
      <c r="H1022" s="3">
        <f t="shared" si="167"/>
        <v>128833.42496264575</v>
      </c>
      <c r="I1022" s="3">
        <f t="shared" si="164"/>
        <v>-128833.42496264575</v>
      </c>
      <c r="J1022" s="3">
        <f t="shared" si="165"/>
        <v>15588844.420480136</v>
      </c>
      <c r="K1022" s="24"/>
      <c r="L1022" s="24"/>
    </row>
    <row r="1023" spans="2:13" x14ac:dyDescent="0.35">
      <c r="B1023" s="1">
        <v>9</v>
      </c>
      <c r="C1023" s="22">
        <v>44805</v>
      </c>
      <c r="D1023" s="22">
        <v>44834</v>
      </c>
      <c r="E1023" s="23">
        <f t="shared" si="163"/>
        <v>30</v>
      </c>
      <c r="F1023" s="3">
        <f t="shared" si="166"/>
        <v>15588844.420480136</v>
      </c>
      <c r="G1023" s="3"/>
      <c r="H1023" s="3">
        <f t="shared" si="167"/>
        <v>129907.03683733447</v>
      </c>
      <c r="I1023" s="3">
        <f t="shared" si="164"/>
        <v>-129907.03683733447</v>
      </c>
      <c r="J1023" s="3">
        <f t="shared" si="165"/>
        <v>15718751.45731747</v>
      </c>
      <c r="K1023" s="24"/>
      <c r="L1023" s="24"/>
    </row>
    <row r="1024" spans="2:13" x14ac:dyDescent="0.35">
      <c r="B1024" s="1">
        <v>10</v>
      </c>
      <c r="C1024" s="22">
        <v>44835</v>
      </c>
      <c r="D1024" s="22">
        <v>44865</v>
      </c>
      <c r="E1024" s="23">
        <f t="shared" si="163"/>
        <v>31</v>
      </c>
      <c r="F1024" s="3">
        <f t="shared" si="166"/>
        <v>15718751.45731747</v>
      </c>
      <c r="G1024" s="3"/>
      <c r="H1024" s="3">
        <f t="shared" si="167"/>
        <v>130989.59547764558</v>
      </c>
      <c r="I1024" s="3">
        <f t="shared" si="164"/>
        <v>-130989.59547764558</v>
      </c>
      <c r="J1024" s="3">
        <f t="shared" si="165"/>
        <v>15849741.052795116</v>
      </c>
      <c r="K1024" s="24"/>
      <c r="L1024" s="24"/>
    </row>
    <row r="1025" spans="2:12" x14ac:dyDescent="0.35">
      <c r="B1025" s="1">
        <v>11</v>
      </c>
      <c r="C1025" s="22">
        <v>44866</v>
      </c>
      <c r="D1025" s="22">
        <v>44895</v>
      </c>
      <c r="E1025" s="23">
        <f t="shared" si="163"/>
        <v>30</v>
      </c>
      <c r="F1025" s="3">
        <f t="shared" si="166"/>
        <v>15849741.052795116</v>
      </c>
      <c r="G1025" s="3"/>
      <c r="H1025" s="3">
        <f t="shared" si="167"/>
        <v>132081.1754399593</v>
      </c>
      <c r="I1025" s="3">
        <f t="shared" si="164"/>
        <v>-132081.1754399593</v>
      </c>
      <c r="J1025" s="3">
        <f t="shared" si="165"/>
        <v>15981822.228235075</v>
      </c>
      <c r="K1025" s="24"/>
      <c r="L1025" s="24"/>
    </row>
    <row r="1026" spans="2:12" x14ac:dyDescent="0.35">
      <c r="B1026" s="1">
        <v>12</v>
      </c>
      <c r="C1026" s="22">
        <v>44896</v>
      </c>
      <c r="D1026" s="22">
        <v>44926</v>
      </c>
      <c r="E1026" s="23">
        <f t="shared" si="163"/>
        <v>31</v>
      </c>
      <c r="F1026" s="3">
        <f t="shared" si="166"/>
        <v>15981822.228235075</v>
      </c>
      <c r="G1026" s="3"/>
      <c r="H1026" s="3">
        <f t="shared" si="167"/>
        <v>133181.85190195896</v>
      </c>
      <c r="I1026" s="3">
        <f t="shared" si="164"/>
        <v>-133181.85190195896</v>
      </c>
      <c r="J1026" s="3">
        <f t="shared" si="165"/>
        <v>16115004.080137035</v>
      </c>
      <c r="K1026" s="24"/>
      <c r="L1026" s="24"/>
    </row>
    <row r="1027" spans="2:12" x14ac:dyDescent="0.35">
      <c r="B1027" s="1">
        <v>13</v>
      </c>
      <c r="C1027" s="22">
        <v>44927</v>
      </c>
      <c r="D1027" s="22">
        <v>44957</v>
      </c>
      <c r="E1027" s="23">
        <f t="shared" si="163"/>
        <v>31</v>
      </c>
      <c r="F1027" s="3">
        <f t="shared" si="166"/>
        <v>16115004.080137035</v>
      </c>
      <c r="G1027" s="3"/>
      <c r="H1027" s="3">
        <f t="shared" si="167"/>
        <v>134291.70066780862</v>
      </c>
      <c r="I1027" s="3">
        <f t="shared" si="164"/>
        <v>-134291.70066780862</v>
      </c>
      <c r="J1027" s="3">
        <f t="shared" si="165"/>
        <v>16249295.780804843</v>
      </c>
      <c r="K1027" s="24"/>
    </row>
    <row r="1028" spans="2:12" x14ac:dyDescent="0.35">
      <c r="B1028" s="1">
        <v>14</v>
      </c>
      <c r="C1028" s="22">
        <v>44958</v>
      </c>
      <c r="D1028" s="22">
        <v>44985</v>
      </c>
      <c r="E1028" s="23">
        <f t="shared" si="163"/>
        <v>28</v>
      </c>
      <c r="F1028" s="3">
        <f t="shared" si="166"/>
        <v>16249295.780804843</v>
      </c>
      <c r="G1028" s="3"/>
      <c r="H1028" s="3">
        <f t="shared" si="167"/>
        <v>135410.79817337368</v>
      </c>
      <c r="I1028" s="3">
        <f t="shared" si="164"/>
        <v>-135410.79817337368</v>
      </c>
      <c r="J1028" s="3">
        <f t="shared" si="165"/>
        <v>16384706.578978216</v>
      </c>
      <c r="K1028" s="24"/>
      <c r="L1028" s="24"/>
    </row>
    <row r="1029" spans="2:12" x14ac:dyDescent="0.35">
      <c r="B1029" s="1">
        <v>15</v>
      </c>
      <c r="C1029" s="22">
        <v>44986</v>
      </c>
      <c r="D1029" s="22">
        <v>45016</v>
      </c>
      <c r="E1029" s="23">
        <f t="shared" si="163"/>
        <v>31</v>
      </c>
      <c r="F1029" s="3">
        <f t="shared" si="166"/>
        <v>16384706.578978216</v>
      </c>
      <c r="G1029" s="3">
        <f t="shared" ref="G1029:G1039" si="168">-PMT($D$1007/$D$1009,11,$F$1029,,0)</f>
        <v>1565024.6765667466</v>
      </c>
      <c r="H1029" s="3">
        <f t="shared" si="167"/>
        <v>136539.22149148514</v>
      </c>
      <c r="I1029" s="3">
        <f t="shared" si="164"/>
        <v>1428485.4550752614</v>
      </c>
      <c r="J1029" s="3">
        <f t="shared" si="165"/>
        <v>14956221.123902954</v>
      </c>
      <c r="K1029" s="24"/>
      <c r="L1029" s="24">
        <f>G1029-K1020</f>
        <v>779024.67656674655</v>
      </c>
    </row>
    <row r="1030" spans="2:12" x14ac:dyDescent="0.35">
      <c r="B1030" s="1">
        <v>16</v>
      </c>
      <c r="C1030" s="22">
        <v>45017</v>
      </c>
      <c r="D1030" s="22">
        <v>45046</v>
      </c>
      <c r="E1030" s="23">
        <f t="shared" si="163"/>
        <v>30</v>
      </c>
      <c r="F1030" s="3">
        <f t="shared" si="166"/>
        <v>14956221.123902954</v>
      </c>
      <c r="G1030" s="3">
        <f t="shared" si="168"/>
        <v>1565024.6765667466</v>
      </c>
      <c r="H1030" s="3">
        <f t="shared" si="167"/>
        <v>124635.17603252461</v>
      </c>
      <c r="I1030" s="3">
        <f t="shared" si="164"/>
        <v>1440389.500534222</v>
      </c>
      <c r="J1030" s="3">
        <f t="shared" si="165"/>
        <v>13515831.623368733</v>
      </c>
      <c r="K1030" s="24"/>
      <c r="L1030" s="24">
        <f t="shared" ref="L1030:L1039" si="169">L1029+G1030</f>
        <v>2344049.3531334931</v>
      </c>
    </row>
    <row r="1031" spans="2:12" x14ac:dyDescent="0.35">
      <c r="B1031" s="1">
        <v>17</v>
      </c>
      <c r="C1031" s="22">
        <v>45047</v>
      </c>
      <c r="D1031" s="22">
        <v>45077</v>
      </c>
      <c r="E1031" s="23">
        <f t="shared" si="163"/>
        <v>31</v>
      </c>
      <c r="F1031" s="3">
        <f t="shared" si="166"/>
        <v>13515831.623368733</v>
      </c>
      <c r="G1031" s="3">
        <f t="shared" si="168"/>
        <v>1565024.6765667466</v>
      </c>
      <c r="H1031" s="3">
        <f t="shared" si="167"/>
        <v>112631.93019473944</v>
      </c>
      <c r="I1031" s="3">
        <f t="shared" si="164"/>
        <v>1452392.7463720071</v>
      </c>
      <c r="J1031" s="3">
        <f t="shared" si="165"/>
        <v>12063438.876996726</v>
      </c>
      <c r="K1031" s="24"/>
      <c r="L1031" s="26">
        <f t="shared" si="169"/>
        <v>3909074.0297002397</v>
      </c>
    </row>
    <row r="1032" spans="2:12" x14ac:dyDescent="0.35">
      <c r="B1032" s="1">
        <v>18</v>
      </c>
      <c r="C1032" s="22">
        <v>45078</v>
      </c>
      <c r="D1032" s="22">
        <v>45107</v>
      </c>
      <c r="E1032" s="23">
        <f t="shared" si="163"/>
        <v>30</v>
      </c>
      <c r="F1032" s="3">
        <f t="shared" si="166"/>
        <v>12063438.876996726</v>
      </c>
      <c r="G1032" s="3">
        <f t="shared" si="168"/>
        <v>1565024.6765667466</v>
      </c>
      <c r="H1032" s="3">
        <f t="shared" si="167"/>
        <v>100528.65730830605</v>
      </c>
      <c r="I1032" s="3">
        <f t="shared" si="164"/>
        <v>1464496.0192584405</v>
      </c>
      <c r="J1032" s="3">
        <f t="shared" si="165"/>
        <v>10598942.857738286</v>
      </c>
      <c r="K1032" s="24"/>
      <c r="L1032" s="26">
        <f t="shared" si="169"/>
        <v>5474098.7062669862</v>
      </c>
    </row>
    <row r="1033" spans="2:12" x14ac:dyDescent="0.35">
      <c r="B1033" s="1">
        <v>19</v>
      </c>
      <c r="C1033" s="22">
        <v>45108</v>
      </c>
      <c r="D1033" s="22">
        <v>45138</v>
      </c>
      <c r="E1033" s="23">
        <f t="shared" si="163"/>
        <v>31</v>
      </c>
      <c r="F1033" s="3">
        <f t="shared" si="166"/>
        <v>10598942.857738286</v>
      </c>
      <c r="G1033" s="3">
        <f t="shared" si="168"/>
        <v>1565024.6765667466</v>
      </c>
      <c r="H1033" s="3">
        <f t="shared" si="167"/>
        <v>88324.523814485714</v>
      </c>
      <c r="I1033" s="3">
        <f t="shared" si="164"/>
        <v>1476700.1527522609</v>
      </c>
      <c r="J1033" s="3">
        <f t="shared" si="165"/>
        <v>9122242.7049860246</v>
      </c>
      <c r="K1033" s="24"/>
      <c r="L1033" s="26">
        <f t="shared" si="169"/>
        <v>7039123.3828337323</v>
      </c>
    </row>
    <row r="1034" spans="2:12" x14ac:dyDescent="0.35">
      <c r="B1034" s="1">
        <v>20</v>
      </c>
      <c r="C1034" s="22">
        <v>45139</v>
      </c>
      <c r="D1034" s="22">
        <v>45169</v>
      </c>
      <c r="E1034" s="23">
        <f t="shared" si="163"/>
        <v>31</v>
      </c>
      <c r="F1034" s="3">
        <f t="shared" si="166"/>
        <v>9122242.7049860246</v>
      </c>
      <c r="G1034" s="3">
        <f t="shared" si="168"/>
        <v>1565024.6765667466</v>
      </c>
      <c r="H1034" s="3">
        <f t="shared" si="167"/>
        <v>76018.689208216878</v>
      </c>
      <c r="I1034" s="3">
        <f t="shared" si="164"/>
        <v>1489005.9873585296</v>
      </c>
      <c r="J1034" s="3">
        <f t="shared" si="165"/>
        <v>7633236.7176274955</v>
      </c>
      <c r="K1034" s="24"/>
      <c r="L1034" s="24">
        <f t="shared" si="169"/>
        <v>8604148.0594004784</v>
      </c>
    </row>
    <row r="1035" spans="2:12" x14ac:dyDescent="0.35">
      <c r="B1035" s="1">
        <v>21</v>
      </c>
      <c r="C1035" s="22">
        <v>45170</v>
      </c>
      <c r="D1035" s="22">
        <v>45199</v>
      </c>
      <c r="E1035" s="23">
        <f t="shared" si="163"/>
        <v>30</v>
      </c>
      <c r="F1035" s="3">
        <f t="shared" si="166"/>
        <v>7633236.7176274955</v>
      </c>
      <c r="G1035" s="3">
        <f t="shared" si="168"/>
        <v>1565024.6765667466</v>
      </c>
      <c r="H1035" s="3">
        <f t="shared" si="167"/>
        <v>63610.305980229132</v>
      </c>
      <c r="I1035" s="3">
        <f t="shared" si="164"/>
        <v>1501414.3705865175</v>
      </c>
      <c r="J1035" s="3">
        <f t="shared" si="165"/>
        <v>6131822.3470409783</v>
      </c>
      <c r="K1035" s="24"/>
      <c r="L1035" s="24">
        <f t="shared" si="169"/>
        <v>10169172.735967224</v>
      </c>
    </row>
    <row r="1036" spans="2:12" x14ac:dyDescent="0.35">
      <c r="B1036" s="1">
        <v>22</v>
      </c>
      <c r="C1036" s="22">
        <v>45200</v>
      </c>
      <c r="D1036" s="22">
        <v>45230</v>
      </c>
      <c r="E1036" s="23">
        <f t="shared" si="163"/>
        <v>31</v>
      </c>
      <c r="F1036" s="3">
        <f t="shared" si="166"/>
        <v>6131822.3470409783</v>
      </c>
      <c r="G1036" s="3">
        <f t="shared" si="168"/>
        <v>1565024.6765667466</v>
      </c>
      <c r="H1036" s="3">
        <f t="shared" si="167"/>
        <v>51098.519558674816</v>
      </c>
      <c r="I1036" s="3">
        <f t="shared" si="164"/>
        <v>1513926.1570080717</v>
      </c>
      <c r="J1036" s="3">
        <f t="shared" si="165"/>
        <v>4617896.1900329068</v>
      </c>
      <c r="K1036" s="24"/>
      <c r="L1036" s="24">
        <f t="shared" si="169"/>
        <v>11734197.412533971</v>
      </c>
    </row>
    <row r="1037" spans="2:12" x14ac:dyDescent="0.35">
      <c r="B1037" s="1">
        <v>23</v>
      </c>
      <c r="C1037" s="22">
        <v>45231</v>
      </c>
      <c r="D1037" s="22">
        <v>45260</v>
      </c>
      <c r="E1037" s="23">
        <f t="shared" si="163"/>
        <v>30</v>
      </c>
      <c r="F1037" s="3">
        <f t="shared" si="166"/>
        <v>4617896.1900329068</v>
      </c>
      <c r="G1037" s="3">
        <f t="shared" si="168"/>
        <v>1565024.6765667466</v>
      </c>
      <c r="H1037" s="3">
        <f t="shared" si="167"/>
        <v>38482.468250274222</v>
      </c>
      <c r="I1037" s="3">
        <f t="shared" si="164"/>
        <v>1526542.2083164724</v>
      </c>
      <c r="J1037" s="3">
        <f t="shared" si="165"/>
        <v>3091353.9817164345</v>
      </c>
      <c r="K1037" s="24"/>
      <c r="L1037" s="24">
        <f t="shared" si="169"/>
        <v>13299222.089100717</v>
      </c>
    </row>
    <row r="1038" spans="2:12" x14ac:dyDescent="0.35">
      <c r="B1038" s="1">
        <v>24</v>
      </c>
      <c r="C1038" s="22">
        <v>45261</v>
      </c>
      <c r="D1038" s="22">
        <v>45291</v>
      </c>
      <c r="E1038" s="23">
        <f t="shared" si="163"/>
        <v>31</v>
      </c>
      <c r="F1038" s="3">
        <f t="shared" si="166"/>
        <v>3091353.9817164345</v>
      </c>
      <c r="G1038" s="3">
        <f t="shared" si="168"/>
        <v>1565024.6765667466</v>
      </c>
      <c r="H1038" s="3">
        <f t="shared" si="167"/>
        <v>25761.283180970288</v>
      </c>
      <c r="I1038" s="3">
        <f t="shared" si="164"/>
        <v>1539263.3933857763</v>
      </c>
      <c r="J1038" s="3">
        <f t="shared" si="165"/>
        <v>1552090.5883306582</v>
      </c>
      <c r="K1038" s="24"/>
      <c r="L1038" s="24">
        <f t="shared" si="169"/>
        <v>14864246.765667463</v>
      </c>
    </row>
    <row r="1039" spans="2:12" x14ac:dyDescent="0.35">
      <c r="B1039" s="1">
        <v>25</v>
      </c>
      <c r="C1039" s="22">
        <v>45292</v>
      </c>
      <c r="D1039" s="22">
        <v>45322</v>
      </c>
      <c r="E1039" s="23">
        <f t="shared" si="163"/>
        <v>31</v>
      </c>
      <c r="F1039" s="3">
        <f t="shared" si="166"/>
        <v>1552090.5883306582</v>
      </c>
      <c r="G1039" s="3">
        <f t="shared" si="168"/>
        <v>1565024.6765667466</v>
      </c>
      <c r="H1039" s="3">
        <f t="shared" si="167"/>
        <v>12934.088236088817</v>
      </c>
      <c r="I1039" s="3">
        <f t="shared" si="164"/>
        <v>1552090.5883306577</v>
      </c>
      <c r="J1039" s="3">
        <f t="shared" si="165"/>
        <v>0</v>
      </c>
      <c r="K1039" s="205">
        <v>16429271.442234211</v>
      </c>
      <c r="L1039" s="27">
        <f t="shared" si="169"/>
        <v>16429271.442234209</v>
      </c>
    </row>
    <row r="1040" spans="2:12" ht="14.25" customHeight="1" x14ac:dyDescent="0.35">
      <c r="B1040" s="1"/>
      <c r="C1040" s="1"/>
      <c r="D1040" s="1"/>
      <c r="E1040" s="28">
        <f>SUM(E1015:E1039)</f>
        <v>738</v>
      </c>
      <c r="F1040" s="3"/>
      <c r="G1040" s="3"/>
      <c r="H1040" s="3"/>
      <c r="I1040" s="3"/>
      <c r="J1040" s="3"/>
      <c r="K1040" s="1"/>
      <c r="L1040" s="1"/>
    </row>
    <row r="1044" spans="2:19" x14ac:dyDescent="0.35">
      <c r="B1044" s="1"/>
      <c r="C1044" s="8" t="s">
        <v>585</v>
      </c>
      <c r="D1044" s="3"/>
      <c r="E1044" s="3"/>
      <c r="F1044" s="3"/>
      <c r="G1044" s="3"/>
      <c r="H1044" s="3"/>
      <c r="I1044" s="3"/>
      <c r="J1044" s="3"/>
      <c r="K1044" s="3"/>
      <c r="L1044" s="3"/>
      <c r="R1044" s="438" t="s">
        <v>832</v>
      </c>
      <c r="S1044" s="432" t="str">
        <f>IFERROR(INDEX(Blocks!$I$2:$I$101,MATCH(18,Blocks!$A$2:$A$101,0)),"")</f>
        <v>000104450000012</v>
      </c>
    </row>
    <row r="1045" spans="2:19" x14ac:dyDescent="0.35">
      <c r="B1045" s="1"/>
      <c r="C1045" s="1"/>
      <c r="D1045" s="3"/>
      <c r="E1045" s="3"/>
      <c r="F1045" s="3"/>
      <c r="G1045" s="3"/>
      <c r="H1045" s="3"/>
      <c r="I1045" s="3"/>
      <c r="J1045" s="3"/>
      <c r="K1045" s="3"/>
      <c r="L1045" s="3"/>
      <c r="R1045" s="438" t="s">
        <v>834</v>
      </c>
      <c r="S1045" s="432" t="str">
        <f>IFERROR(INDEX(Blocks!$H$2:$H$101,MATCH(18,Blocks!$A$2:$A$101,0)),"")</f>
        <v>Maluso Cooperative Union (MCU)</v>
      </c>
    </row>
    <row r="1046" spans="2:19" x14ac:dyDescent="0.35">
      <c r="B1046" s="1"/>
      <c r="C1046" s="9" t="s">
        <v>835</v>
      </c>
      <c r="D1046" s="10">
        <v>11511500</v>
      </c>
      <c r="E1046" s="3"/>
      <c r="F1046" s="3"/>
      <c r="G1046" s="3"/>
      <c r="H1046" s="3">
        <f>D1046*D1047*9/D1051</f>
        <v>28384.520547945205</v>
      </c>
      <c r="I1046" s="3" t="s">
        <v>862</v>
      </c>
      <c r="J1046" s="3"/>
      <c r="K1046" s="3"/>
      <c r="L1046" s="3"/>
      <c r="R1046" s="438" t="s">
        <v>223</v>
      </c>
      <c r="S1046" s="433">
        <f>IFERROR(INDEX('E-Banker master'!$N$2:$N$186,MATCH(S1044,'E-Banker master'!$A$2:$A$186,0)),"")</f>
        <v>11511500</v>
      </c>
    </row>
    <row r="1047" spans="2:19" x14ac:dyDescent="0.35">
      <c r="B1047" s="1"/>
      <c r="C1047" s="11" t="s">
        <v>837</v>
      </c>
      <c r="D1047" s="12">
        <v>0.1</v>
      </c>
      <c r="E1047" s="13"/>
      <c r="F1047" s="3"/>
      <c r="G1047" s="3"/>
      <c r="H1047" s="3"/>
      <c r="I1047" s="3"/>
      <c r="J1047" s="3"/>
      <c r="K1047" s="3"/>
      <c r="L1047" s="3"/>
      <c r="R1047" s="438" t="s">
        <v>52</v>
      </c>
      <c r="S1047" s="433">
        <f>IFERROR(INDEX('E-Banker master'!$P$2:$P$186,MATCH(S1044,'E-Banker master'!$A$2:$A$186,0)),"")</f>
        <v>0</v>
      </c>
    </row>
    <row r="1048" spans="2:19" x14ac:dyDescent="0.35">
      <c r="B1048" s="1"/>
      <c r="C1048" s="11" t="s">
        <v>838</v>
      </c>
      <c r="D1048" s="14">
        <v>2</v>
      </c>
      <c r="E1048" s="1"/>
      <c r="F1048" s="3"/>
      <c r="G1048" s="3"/>
      <c r="H1048" s="3"/>
      <c r="I1048" s="3"/>
      <c r="J1048" s="3"/>
      <c r="K1048" s="1"/>
      <c r="L1048" s="1"/>
    </row>
    <row r="1049" spans="2:19" x14ac:dyDescent="0.35">
      <c r="B1049" s="1"/>
      <c r="C1049" s="11" t="s">
        <v>839</v>
      </c>
      <c r="D1049" s="14">
        <v>12</v>
      </c>
      <c r="E1049" s="1"/>
      <c r="F1049" s="3"/>
      <c r="G1049" s="3"/>
      <c r="H1049" s="3"/>
      <c r="I1049" s="3"/>
      <c r="J1049" s="3"/>
      <c r="K1049" s="1"/>
      <c r="L1049" s="1"/>
    </row>
    <row r="1050" spans="2:19" x14ac:dyDescent="0.35">
      <c r="B1050" s="1"/>
      <c r="C1050" s="11" t="s">
        <v>843</v>
      </c>
      <c r="D1050" s="15">
        <f>D1048*D1049</f>
        <v>24</v>
      </c>
      <c r="E1050" s="1"/>
      <c r="F1050" s="3"/>
      <c r="G1050" s="3"/>
      <c r="H1050" s="3"/>
      <c r="I1050" s="3"/>
      <c r="J1050" s="3"/>
      <c r="K1050" s="1"/>
      <c r="L1050" s="1"/>
    </row>
    <row r="1051" spans="2:19" x14ac:dyDescent="0.35">
      <c r="B1051" s="1"/>
      <c r="C1051" s="11" t="s">
        <v>844</v>
      </c>
      <c r="D1051" s="16">
        <v>365</v>
      </c>
      <c r="E1051" s="1"/>
      <c r="F1051" s="3"/>
      <c r="G1051" s="3"/>
      <c r="H1051" s="3"/>
      <c r="I1051" s="3"/>
      <c r="J1051" s="3"/>
      <c r="K1051" s="1"/>
      <c r="L1051" s="1"/>
    </row>
    <row r="1052" spans="2:19" x14ac:dyDescent="0.35">
      <c r="B1052" s="1"/>
      <c r="C1052" s="17" t="s">
        <v>845</v>
      </c>
      <c r="D1052" s="18">
        <f>-PMT(D1047/D1049,D1050,D1046,0,0)</f>
        <v>531197.3195343212</v>
      </c>
      <c r="E1052" s="3"/>
      <c r="F1052" s="3"/>
      <c r="G1052" s="3"/>
      <c r="H1052" s="3"/>
      <c r="I1052" s="3"/>
      <c r="J1052" s="3"/>
      <c r="K1052" s="1"/>
      <c r="L1052" s="1"/>
    </row>
    <row r="1053" spans="2:19" x14ac:dyDescent="0.35">
      <c r="B1053" s="1"/>
      <c r="C1053" s="1"/>
      <c r="D1053" s="3"/>
      <c r="E1053" s="3"/>
      <c r="F1053" s="3"/>
      <c r="G1053" s="3"/>
      <c r="H1053" s="3"/>
      <c r="I1053" s="3"/>
      <c r="J1053" s="3"/>
      <c r="K1053" s="1"/>
      <c r="L1053" s="1"/>
    </row>
    <row r="1054" spans="2:19" x14ac:dyDescent="0.35">
      <c r="B1054" s="1"/>
      <c r="C1054" s="19" t="s">
        <v>846</v>
      </c>
      <c r="D1054" s="20" t="s">
        <v>847</v>
      </c>
      <c r="E1054" s="20" t="s">
        <v>764</v>
      </c>
      <c r="F1054" s="270" t="s">
        <v>848</v>
      </c>
      <c r="G1054" s="270" t="s">
        <v>849</v>
      </c>
      <c r="H1054" s="270" t="s">
        <v>742</v>
      </c>
      <c r="I1054" s="270" t="s">
        <v>740</v>
      </c>
      <c r="J1054" s="270" t="s">
        <v>850</v>
      </c>
      <c r="K1054" s="21" t="s">
        <v>851</v>
      </c>
      <c r="L1054" s="21" t="s">
        <v>852</v>
      </c>
    </row>
    <row r="1055" spans="2:19" x14ac:dyDescent="0.35">
      <c r="B1055" s="1">
        <v>1</v>
      </c>
      <c r="C1055" s="22">
        <v>44562</v>
      </c>
      <c r="D1055" s="22">
        <v>44592</v>
      </c>
      <c r="E1055" s="23">
        <f t="shared" ref="E1055:E1078" si="170">D1055-C1055+1</f>
        <v>31</v>
      </c>
      <c r="F1055" s="3">
        <f>D1046</f>
        <v>11511500</v>
      </c>
      <c r="G1055" s="3"/>
      <c r="H1055" s="3">
        <f>$D$1086/$D$1088*F1055</f>
        <v>95929.166666666672</v>
      </c>
      <c r="I1055" s="3">
        <f t="shared" ref="I1055:I1078" si="171">G1055-H1055</f>
        <v>-95929.166666666672</v>
      </c>
      <c r="J1055" s="3">
        <f t="shared" ref="J1055:J1078" si="172">F1055-I1055</f>
        <v>11607429.166666666</v>
      </c>
      <c r="K1055" s="24"/>
      <c r="L1055" s="24">
        <f>G1056</f>
        <v>0</v>
      </c>
    </row>
    <row r="1056" spans="2:19" x14ac:dyDescent="0.35">
      <c r="B1056" s="1">
        <v>2</v>
      </c>
      <c r="C1056" s="22">
        <v>44593</v>
      </c>
      <c r="D1056" s="22">
        <v>44620</v>
      </c>
      <c r="E1056" s="23">
        <f t="shared" si="170"/>
        <v>28</v>
      </c>
      <c r="F1056" s="3">
        <f t="shared" ref="F1056:F1078" si="173">J1055</f>
        <v>11607429.166666666</v>
      </c>
      <c r="G1056" s="3"/>
      <c r="H1056" s="3">
        <f t="shared" ref="H1056:H1078" si="174">$D$1047/$D$1049*F1056</f>
        <v>96728.576388888876</v>
      </c>
      <c r="I1056" s="3">
        <f t="shared" si="171"/>
        <v>-96728.576388888876</v>
      </c>
      <c r="J1056" s="3">
        <f t="shared" si="172"/>
        <v>11704157.743055554</v>
      </c>
      <c r="K1056" s="24"/>
      <c r="L1056" s="24"/>
    </row>
    <row r="1057" spans="2:12" x14ac:dyDescent="0.35">
      <c r="B1057" s="1">
        <v>3</v>
      </c>
      <c r="C1057" s="22">
        <v>44621</v>
      </c>
      <c r="D1057" s="22">
        <v>44651</v>
      </c>
      <c r="E1057" s="23">
        <f t="shared" si="170"/>
        <v>31</v>
      </c>
      <c r="F1057" s="3">
        <f t="shared" si="173"/>
        <v>11704157.743055554</v>
      </c>
      <c r="G1057" s="3"/>
      <c r="H1057" s="3">
        <f t="shared" si="174"/>
        <v>97534.647858796277</v>
      </c>
      <c r="I1057" s="3">
        <f t="shared" si="171"/>
        <v>-97534.647858796277</v>
      </c>
      <c r="J1057" s="3">
        <f t="shared" si="172"/>
        <v>11801692.390914351</v>
      </c>
      <c r="K1057" s="24"/>
      <c r="L1057" s="24"/>
    </row>
    <row r="1058" spans="2:12" x14ac:dyDescent="0.35">
      <c r="B1058" s="1">
        <v>4</v>
      </c>
      <c r="C1058" s="22">
        <v>44652</v>
      </c>
      <c r="D1058" s="22">
        <v>44681</v>
      </c>
      <c r="E1058" s="23">
        <f t="shared" si="170"/>
        <v>30</v>
      </c>
      <c r="F1058" s="3">
        <f t="shared" si="173"/>
        <v>11801692.390914351</v>
      </c>
      <c r="G1058" s="3">
        <f t="shared" ref="G1058:G1078" si="175">-PMT($D$1047/$D$1049,21,$F$1058,,0)</f>
        <v>614925.00512630993</v>
      </c>
      <c r="H1058" s="3">
        <f t="shared" si="174"/>
        <v>98347.436590952915</v>
      </c>
      <c r="I1058" s="3">
        <f t="shared" si="171"/>
        <v>516577.56853535702</v>
      </c>
      <c r="J1058" s="3">
        <f t="shared" si="172"/>
        <v>11285114.822378993</v>
      </c>
      <c r="K1058" s="24"/>
      <c r="L1058" s="24">
        <f>H1046+G1058-K1058</f>
        <v>643309.5256742551</v>
      </c>
    </row>
    <row r="1059" spans="2:12" x14ac:dyDescent="0.35">
      <c r="B1059" s="1">
        <v>5</v>
      </c>
      <c r="C1059" s="22">
        <v>44682</v>
      </c>
      <c r="D1059" s="22">
        <v>44712</v>
      </c>
      <c r="E1059" s="23">
        <f t="shared" si="170"/>
        <v>31</v>
      </c>
      <c r="F1059" s="3">
        <f t="shared" si="173"/>
        <v>11285114.822378993</v>
      </c>
      <c r="G1059" s="3">
        <f t="shared" si="175"/>
        <v>614925.00512630993</v>
      </c>
      <c r="H1059" s="3">
        <f t="shared" si="174"/>
        <v>94042.623519824934</v>
      </c>
      <c r="I1059" s="3">
        <f t="shared" si="171"/>
        <v>520882.381606485</v>
      </c>
      <c r="J1059" s="3">
        <f t="shared" si="172"/>
        <v>10764232.440772507</v>
      </c>
      <c r="K1059" s="24"/>
      <c r="L1059" s="24">
        <f t="shared" ref="L1059:L1078" si="176">L1058+G1059-K1059</f>
        <v>1258234.5308005651</v>
      </c>
    </row>
    <row r="1060" spans="2:12" x14ac:dyDescent="0.35">
      <c r="B1060" s="1">
        <v>6</v>
      </c>
      <c r="C1060" s="22">
        <v>44713</v>
      </c>
      <c r="D1060" s="22">
        <v>44742</v>
      </c>
      <c r="E1060" s="23">
        <f t="shared" si="170"/>
        <v>30</v>
      </c>
      <c r="F1060" s="3">
        <f t="shared" si="173"/>
        <v>10764232.440772507</v>
      </c>
      <c r="G1060" s="3">
        <f t="shared" si="175"/>
        <v>614925.00512630993</v>
      </c>
      <c r="H1060" s="3">
        <f t="shared" si="174"/>
        <v>89701.937006437554</v>
      </c>
      <c r="I1060" s="3">
        <f t="shared" si="171"/>
        <v>525223.06811987236</v>
      </c>
      <c r="J1060" s="3">
        <f t="shared" si="172"/>
        <v>10239009.372652635</v>
      </c>
      <c r="K1060" s="24"/>
      <c r="L1060" s="24">
        <f t="shared" si="176"/>
        <v>1873159.5359268752</v>
      </c>
    </row>
    <row r="1061" spans="2:12" x14ac:dyDescent="0.35">
      <c r="B1061" s="1">
        <v>7</v>
      </c>
      <c r="C1061" s="22">
        <v>44743</v>
      </c>
      <c r="D1061" s="22">
        <v>44773</v>
      </c>
      <c r="E1061" s="23">
        <f t="shared" si="170"/>
        <v>31</v>
      </c>
      <c r="F1061" s="3">
        <f t="shared" si="173"/>
        <v>10239009.372652635</v>
      </c>
      <c r="G1061" s="3">
        <f t="shared" si="175"/>
        <v>614925.00512630993</v>
      </c>
      <c r="H1061" s="3">
        <f t="shared" si="174"/>
        <v>85325.078105438617</v>
      </c>
      <c r="I1061" s="3">
        <f t="shared" si="171"/>
        <v>529599.92702087131</v>
      </c>
      <c r="J1061" s="3">
        <f t="shared" si="172"/>
        <v>9709409.445631763</v>
      </c>
      <c r="K1061" s="24"/>
      <c r="L1061" s="24">
        <f t="shared" si="176"/>
        <v>2488084.5410531852</v>
      </c>
    </row>
    <row r="1062" spans="2:12" x14ac:dyDescent="0.35">
      <c r="B1062" s="1">
        <v>8</v>
      </c>
      <c r="C1062" s="22">
        <v>44774</v>
      </c>
      <c r="D1062" s="22">
        <v>44804</v>
      </c>
      <c r="E1062" s="23">
        <f t="shared" si="170"/>
        <v>31</v>
      </c>
      <c r="F1062" s="3">
        <f t="shared" si="173"/>
        <v>9709409.445631763</v>
      </c>
      <c r="G1062" s="3">
        <f t="shared" si="175"/>
        <v>614925.00512630993</v>
      </c>
      <c r="H1062" s="3">
        <f t="shared" si="174"/>
        <v>80911.745380264692</v>
      </c>
      <c r="I1062" s="3">
        <f t="shared" si="171"/>
        <v>534013.25974604522</v>
      </c>
      <c r="J1062" s="3">
        <f t="shared" si="172"/>
        <v>9175396.1858857181</v>
      </c>
      <c r="K1062" s="24">
        <v>200000</v>
      </c>
      <c r="L1062" s="24">
        <f t="shared" si="176"/>
        <v>2903009.5461794953</v>
      </c>
    </row>
    <row r="1063" spans="2:12" x14ac:dyDescent="0.35">
      <c r="B1063" s="1">
        <v>9</v>
      </c>
      <c r="C1063" s="22">
        <v>44805</v>
      </c>
      <c r="D1063" s="22">
        <v>44834</v>
      </c>
      <c r="E1063" s="23">
        <f t="shared" si="170"/>
        <v>30</v>
      </c>
      <c r="F1063" s="3">
        <f t="shared" si="173"/>
        <v>9175396.1858857181</v>
      </c>
      <c r="G1063" s="3">
        <f t="shared" si="175"/>
        <v>614925.00512630993</v>
      </c>
      <c r="H1063" s="3">
        <f t="shared" si="174"/>
        <v>76461.634882380982</v>
      </c>
      <c r="I1063" s="3">
        <f t="shared" si="171"/>
        <v>538463.37024392898</v>
      </c>
      <c r="J1063" s="3">
        <f t="shared" si="172"/>
        <v>8636932.8156417888</v>
      </c>
      <c r="K1063" s="24">
        <v>700000</v>
      </c>
      <c r="L1063" s="24">
        <f t="shared" si="176"/>
        <v>2817934.5513058053</v>
      </c>
    </row>
    <row r="1064" spans="2:12" x14ac:dyDescent="0.35">
      <c r="B1064" s="1">
        <v>10</v>
      </c>
      <c r="C1064" s="22">
        <v>44835</v>
      </c>
      <c r="D1064" s="22">
        <v>44865</v>
      </c>
      <c r="E1064" s="23">
        <f t="shared" si="170"/>
        <v>31</v>
      </c>
      <c r="F1064" s="3">
        <f t="shared" si="173"/>
        <v>8636932.8156417888</v>
      </c>
      <c r="G1064" s="3">
        <f t="shared" si="175"/>
        <v>614925.00512630993</v>
      </c>
      <c r="H1064" s="3">
        <f t="shared" si="174"/>
        <v>71974.440130348245</v>
      </c>
      <c r="I1064" s="3">
        <f t="shared" si="171"/>
        <v>542950.56499596173</v>
      </c>
      <c r="J1064" s="3">
        <f t="shared" si="172"/>
        <v>8093982.2506458275</v>
      </c>
      <c r="K1064" s="24"/>
      <c r="L1064" s="24">
        <f t="shared" si="176"/>
        <v>3432859.5564321154</v>
      </c>
    </row>
    <row r="1065" spans="2:12" x14ac:dyDescent="0.35">
      <c r="B1065" s="1">
        <v>11</v>
      </c>
      <c r="C1065" s="22">
        <v>44866</v>
      </c>
      <c r="D1065" s="22">
        <v>44895</v>
      </c>
      <c r="E1065" s="23">
        <f t="shared" si="170"/>
        <v>30</v>
      </c>
      <c r="F1065" s="3">
        <f t="shared" si="173"/>
        <v>8093982.2506458275</v>
      </c>
      <c r="G1065" s="3">
        <f t="shared" si="175"/>
        <v>614925.00512630993</v>
      </c>
      <c r="H1065" s="3">
        <f t="shared" si="174"/>
        <v>67449.852088715226</v>
      </c>
      <c r="I1065" s="3">
        <f t="shared" si="171"/>
        <v>547475.15303759475</v>
      </c>
      <c r="J1065" s="3">
        <f t="shared" si="172"/>
        <v>7546507.0976082329</v>
      </c>
      <c r="K1065" s="24"/>
      <c r="L1065" s="24">
        <f t="shared" si="176"/>
        <v>4047784.5615584254</v>
      </c>
    </row>
    <row r="1066" spans="2:12" x14ac:dyDescent="0.35">
      <c r="B1066" s="1">
        <v>12</v>
      </c>
      <c r="C1066" s="22">
        <v>44896</v>
      </c>
      <c r="D1066" s="22">
        <v>44926</v>
      </c>
      <c r="E1066" s="23">
        <f t="shared" si="170"/>
        <v>31</v>
      </c>
      <c r="F1066" s="3">
        <f t="shared" si="173"/>
        <v>7546507.0976082329</v>
      </c>
      <c r="G1066" s="3">
        <f t="shared" si="175"/>
        <v>614925.00512630993</v>
      </c>
      <c r="H1066" s="3">
        <f t="shared" si="174"/>
        <v>62887.559146735271</v>
      </c>
      <c r="I1066" s="3">
        <f t="shared" si="171"/>
        <v>552037.4459795747</v>
      </c>
      <c r="J1066" s="3">
        <f t="shared" si="172"/>
        <v>6994469.6516286582</v>
      </c>
      <c r="K1066" s="24"/>
      <c r="L1066" s="24">
        <f t="shared" si="176"/>
        <v>4662709.566684735</v>
      </c>
    </row>
    <row r="1067" spans="2:12" x14ac:dyDescent="0.35">
      <c r="B1067" s="1">
        <v>13</v>
      </c>
      <c r="C1067" s="22">
        <v>44927</v>
      </c>
      <c r="D1067" s="22">
        <v>44957</v>
      </c>
      <c r="E1067" s="23">
        <f t="shared" si="170"/>
        <v>31</v>
      </c>
      <c r="F1067" s="3">
        <f t="shared" si="173"/>
        <v>6994469.6516286582</v>
      </c>
      <c r="G1067" s="3">
        <f t="shared" si="175"/>
        <v>614925.00512630993</v>
      </c>
      <c r="H1067" s="3">
        <f t="shared" si="174"/>
        <v>58287.247096905485</v>
      </c>
      <c r="I1067" s="3">
        <f t="shared" si="171"/>
        <v>556637.75802940445</v>
      </c>
      <c r="J1067" s="3">
        <f t="shared" si="172"/>
        <v>6437831.8935992541</v>
      </c>
      <c r="K1067" s="24"/>
      <c r="L1067" s="24">
        <f t="shared" si="176"/>
        <v>5277634.5718110446</v>
      </c>
    </row>
    <row r="1068" spans="2:12" x14ac:dyDescent="0.35">
      <c r="B1068" s="1">
        <v>14</v>
      </c>
      <c r="C1068" s="22">
        <v>44958</v>
      </c>
      <c r="D1068" s="22">
        <v>44985</v>
      </c>
      <c r="E1068" s="23">
        <f t="shared" si="170"/>
        <v>28</v>
      </c>
      <c r="F1068" s="3">
        <f t="shared" si="173"/>
        <v>6437831.8935992541</v>
      </c>
      <c r="G1068" s="3">
        <f t="shared" si="175"/>
        <v>614925.00512630993</v>
      </c>
      <c r="H1068" s="3">
        <f t="shared" si="174"/>
        <v>53648.599113327116</v>
      </c>
      <c r="I1068" s="3">
        <f t="shared" si="171"/>
        <v>561276.40601298283</v>
      </c>
      <c r="J1068" s="3">
        <f t="shared" si="172"/>
        <v>5876555.487586271</v>
      </c>
      <c r="K1068" s="24"/>
      <c r="L1068" s="24">
        <f t="shared" si="176"/>
        <v>5892559.5769373542</v>
      </c>
    </row>
    <row r="1069" spans="2:12" x14ac:dyDescent="0.35">
      <c r="B1069" s="1">
        <v>15</v>
      </c>
      <c r="C1069" s="22">
        <v>44986</v>
      </c>
      <c r="D1069" s="22">
        <v>45016</v>
      </c>
      <c r="E1069" s="23">
        <f t="shared" si="170"/>
        <v>31</v>
      </c>
      <c r="F1069" s="3">
        <f t="shared" si="173"/>
        <v>5876555.487586271</v>
      </c>
      <c r="G1069" s="3">
        <f t="shared" si="175"/>
        <v>614925.00512630993</v>
      </c>
      <c r="H1069" s="3">
        <f t="shared" si="174"/>
        <v>48971.295729885591</v>
      </c>
      <c r="I1069" s="3">
        <f t="shared" si="171"/>
        <v>565953.70939642435</v>
      </c>
      <c r="J1069" s="3">
        <f t="shared" si="172"/>
        <v>5310601.7781898463</v>
      </c>
      <c r="K1069" s="24"/>
      <c r="L1069" s="24">
        <f t="shared" si="176"/>
        <v>6507484.5820636638</v>
      </c>
    </row>
    <row r="1070" spans="2:12" x14ac:dyDescent="0.35">
      <c r="B1070" s="1">
        <v>16</v>
      </c>
      <c r="C1070" s="22">
        <v>45017</v>
      </c>
      <c r="D1070" s="22">
        <v>45046</v>
      </c>
      <c r="E1070" s="23">
        <f t="shared" si="170"/>
        <v>30</v>
      </c>
      <c r="F1070" s="3">
        <f t="shared" si="173"/>
        <v>5310601.7781898463</v>
      </c>
      <c r="G1070" s="3">
        <f t="shared" si="175"/>
        <v>614925.00512630993</v>
      </c>
      <c r="H1070" s="3">
        <f t="shared" si="174"/>
        <v>44255.014818248717</v>
      </c>
      <c r="I1070" s="3">
        <f t="shared" si="171"/>
        <v>570669.99030806124</v>
      </c>
      <c r="J1070" s="3">
        <f t="shared" si="172"/>
        <v>4739931.7878817851</v>
      </c>
      <c r="K1070" s="24"/>
      <c r="L1070" s="24">
        <f t="shared" si="176"/>
        <v>7122409.5871899733</v>
      </c>
    </row>
    <row r="1071" spans="2:12" x14ac:dyDescent="0.35">
      <c r="B1071" s="1">
        <v>17</v>
      </c>
      <c r="C1071" s="22">
        <v>45047</v>
      </c>
      <c r="D1071" s="22">
        <v>45077</v>
      </c>
      <c r="E1071" s="23">
        <f t="shared" si="170"/>
        <v>31</v>
      </c>
      <c r="F1071" s="3">
        <f t="shared" si="173"/>
        <v>4739931.7878817851</v>
      </c>
      <c r="G1071" s="3">
        <f t="shared" si="175"/>
        <v>614925.00512630993</v>
      </c>
      <c r="H1071" s="3">
        <f t="shared" si="174"/>
        <v>39499.431565681545</v>
      </c>
      <c r="I1071" s="3">
        <f t="shared" si="171"/>
        <v>575425.57356062834</v>
      </c>
      <c r="J1071" s="3">
        <f t="shared" si="172"/>
        <v>4164506.214321157</v>
      </c>
      <c r="K1071" s="24"/>
      <c r="L1071" s="24">
        <f t="shared" si="176"/>
        <v>7737334.5923162829</v>
      </c>
    </row>
    <row r="1072" spans="2:12" x14ac:dyDescent="0.35">
      <c r="B1072" s="1">
        <v>18</v>
      </c>
      <c r="C1072" s="22">
        <v>45078</v>
      </c>
      <c r="D1072" s="22">
        <v>45107</v>
      </c>
      <c r="E1072" s="23">
        <f t="shared" si="170"/>
        <v>30</v>
      </c>
      <c r="F1072" s="3">
        <f t="shared" si="173"/>
        <v>4164506.214321157</v>
      </c>
      <c r="G1072" s="3">
        <f t="shared" si="175"/>
        <v>614925.00512630993</v>
      </c>
      <c r="H1072" s="3">
        <f t="shared" si="174"/>
        <v>34704.218452676309</v>
      </c>
      <c r="I1072" s="3">
        <f t="shared" si="171"/>
        <v>580220.78667363361</v>
      </c>
      <c r="J1072" s="3">
        <f t="shared" si="172"/>
        <v>3584285.4276475236</v>
      </c>
      <c r="K1072" s="24"/>
      <c r="L1072" s="26">
        <f t="shared" si="176"/>
        <v>8352259.5974425925</v>
      </c>
    </row>
    <row r="1073" spans="2:19" x14ac:dyDescent="0.35">
      <c r="B1073" s="1">
        <v>19</v>
      </c>
      <c r="C1073" s="22">
        <v>45108</v>
      </c>
      <c r="D1073" s="22">
        <v>45138</v>
      </c>
      <c r="E1073" s="23">
        <f t="shared" si="170"/>
        <v>31</v>
      </c>
      <c r="F1073" s="3">
        <f t="shared" si="173"/>
        <v>3584285.4276475236</v>
      </c>
      <c r="G1073" s="3">
        <f t="shared" si="175"/>
        <v>614925.00512630993</v>
      </c>
      <c r="H1073" s="3">
        <f t="shared" si="174"/>
        <v>29869.04523039603</v>
      </c>
      <c r="I1073" s="3">
        <f t="shared" si="171"/>
        <v>585055.95989591395</v>
      </c>
      <c r="J1073" s="3">
        <f t="shared" si="172"/>
        <v>2999229.4677516096</v>
      </c>
      <c r="K1073" s="24"/>
      <c r="L1073" s="26">
        <f t="shared" si="176"/>
        <v>8967184.6025689021</v>
      </c>
    </row>
    <row r="1074" spans="2:19" x14ac:dyDescent="0.35">
      <c r="B1074" s="1">
        <v>20</v>
      </c>
      <c r="C1074" s="22">
        <v>45139</v>
      </c>
      <c r="D1074" s="22">
        <v>45169</v>
      </c>
      <c r="E1074" s="23">
        <f t="shared" si="170"/>
        <v>31</v>
      </c>
      <c r="F1074" s="3">
        <f t="shared" si="173"/>
        <v>2999229.4677516096</v>
      </c>
      <c r="G1074" s="3">
        <f t="shared" si="175"/>
        <v>614925.00512630993</v>
      </c>
      <c r="H1074" s="3">
        <f t="shared" si="174"/>
        <v>24993.578897930081</v>
      </c>
      <c r="I1074" s="3">
        <f t="shared" si="171"/>
        <v>589931.42622837983</v>
      </c>
      <c r="J1074" s="3">
        <f t="shared" si="172"/>
        <v>2409298.0415232298</v>
      </c>
      <c r="K1074" s="24"/>
      <c r="L1074" s="24">
        <f t="shared" si="176"/>
        <v>9582109.6076952126</v>
      </c>
    </row>
    <row r="1075" spans="2:19" x14ac:dyDescent="0.35">
      <c r="B1075" s="1">
        <v>21</v>
      </c>
      <c r="C1075" s="22">
        <v>45170</v>
      </c>
      <c r="D1075" s="22">
        <v>45199</v>
      </c>
      <c r="E1075" s="23">
        <f t="shared" si="170"/>
        <v>30</v>
      </c>
      <c r="F1075" s="3">
        <f t="shared" si="173"/>
        <v>2409298.0415232298</v>
      </c>
      <c r="G1075" s="3">
        <f t="shared" si="175"/>
        <v>614925.00512630993</v>
      </c>
      <c r="H1075" s="3">
        <f t="shared" si="174"/>
        <v>20077.483679360248</v>
      </c>
      <c r="I1075" s="3">
        <f t="shared" si="171"/>
        <v>594847.52144694969</v>
      </c>
      <c r="J1075" s="3">
        <f t="shared" si="172"/>
        <v>1814450.52007628</v>
      </c>
      <c r="K1075" s="24"/>
      <c r="L1075" s="24">
        <f t="shared" si="176"/>
        <v>10197034.612821523</v>
      </c>
    </row>
    <row r="1076" spans="2:19" x14ac:dyDescent="0.35">
      <c r="B1076" s="1">
        <v>22</v>
      </c>
      <c r="C1076" s="22">
        <v>45200</v>
      </c>
      <c r="D1076" s="22">
        <v>45230</v>
      </c>
      <c r="E1076" s="23">
        <f t="shared" si="170"/>
        <v>31</v>
      </c>
      <c r="F1076" s="3">
        <f t="shared" si="173"/>
        <v>1814450.52007628</v>
      </c>
      <c r="G1076" s="3">
        <f t="shared" si="175"/>
        <v>614925.00512630993</v>
      </c>
      <c r="H1076" s="3">
        <f t="shared" si="174"/>
        <v>15120.421000635666</v>
      </c>
      <c r="I1076" s="3">
        <f t="shared" si="171"/>
        <v>599804.58412567421</v>
      </c>
      <c r="J1076" s="3">
        <f t="shared" si="172"/>
        <v>1214645.9359506057</v>
      </c>
      <c r="K1076" s="24"/>
      <c r="L1076" s="24">
        <f t="shared" si="176"/>
        <v>10811959.617947834</v>
      </c>
    </row>
    <row r="1077" spans="2:19" x14ac:dyDescent="0.35">
      <c r="B1077" s="1">
        <v>23</v>
      </c>
      <c r="C1077" s="22">
        <v>45231</v>
      </c>
      <c r="D1077" s="22">
        <v>45260</v>
      </c>
      <c r="E1077" s="23">
        <f t="shared" si="170"/>
        <v>30</v>
      </c>
      <c r="F1077" s="3">
        <f t="shared" si="173"/>
        <v>1214645.9359506057</v>
      </c>
      <c r="G1077" s="3">
        <f t="shared" si="175"/>
        <v>614925.00512630993</v>
      </c>
      <c r="H1077" s="3">
        <f t="shared" si="174"/>
        <v>10122.049466255046</v>
      </c>
      <c r="I1077" s="3">
        <f t="shared" si="171"/>
        <v>604802.95566005493</v>
      </c>
      <c r="J1077" s="3">
        <f t="shared" si="172"/>
        <v>609842.98029055074</v>
      </c>
      <c r="K1077" s="24"/>
      <c r="L1077" s="24">
        <f t="shared" si="176"/>
        <v>11426884.623074144</v>
      </c>
    </row>
    <row r="1078" spans="2:19" x14ac:dyDescent="0.35">
      <c r="B1078" s="1">
        <v>24</v>
      </c>
      <c r="C1078" s="22">
        <v>45261</v>
      </c>
      <c r="D1078" s="22">
        <v>45291</v>
      </c>
      <c r="E1078" s="23">
        <f t="shared" si="170"/>
        <v>31</v>
      </c>
      <c r="F1078" s="3">
        <f t="shared" si="173"/>
        <v>609842.98029055074</v>
      </c>
      <c r="G1078" s="3">
        <f t="shared" si="175"/>
        <v>614925.00512630993</v>
      </c>
      <c r="H1078" s="3">
        <f t="shared" si="174"/>
        <v>5082.0248357545897</v>
      </c>
      <c r="I1078" s="3">
        <f t="shared" si="171"/>
        <v>609842.9802905554</v>
      </c>
      <c r="J1078" s="3">
        <f t="shared" si="172"/>
        <v>-4.6566128730773926E-9</v>
      </c>
      <c r="K1078" s="24"/>
      <c r="L1078" s="27">
        <f t="shared" si="176"/>
        <v>12041809.628200455</v>
      </c>
    </row>
    <row r="1079" spans="2:19" x14ac:dyDescent="0.35">
      <c r="B1079" s="1"/>
      <c r="C1079" s="22"/>
      <c r="D1079" s="22"/>
      <c r="E1079" s="23"/>
      <c r="F1079" s="3"/>
      <c r="G1079" s="3"/>
      <c r="H1079" s="3"/>
      <c r="I1079" s="3"/>
      <c r="J1079" s="3"/>
      <c r="K1079" s="24"/>
      <c r="L1079" s="24"/>
    </row>
    <row r="1080" spans="2:19" ht="14.25" customHeight="1" x14ac:dyDescent="0.35">
      <c r="B1080" s="1"/>
      <c r="C1080" s="1"/>
      <c r="D1080" s="1"/>
      <c r="E1080" s="28">
        <f>SUM(E1055:E1078)</f>
        <v>730</v>
      </c>
      <c r="F1080" s="3"/>
      <c r="G1080" s="3"/>
      <c r="H1080" s="3"/>
      <c r="I1080" s="3"/>
      <c r="J1080" s="3"/>
      <c r="K1080" s="1"/>
      <c r="L1080" s="1"/>
    </row>
    <row r="1083" spans="2:19" x14ac:dyDescent="0.35">
      <c r="B1083" s="1"/>
      <c r="C1083" s="8" t="s">
        <v>590</v>
      </c>
      <c r="D1083" s="3"/>
      <c r="E1083" s="3"/>
      <c r="F1083" s="3"/>
      <c r="G1083" s="3"/>
      <c r="H1083" s="3"/>
      <c r="I1083" s="3"/>
      <c r="J1083" s="3"/>
      <c r="K1083" s="3"/>
      <c r="L1083" s="3"/>
      <c r="R1083" s="438" t="s">
        <v>832</v>
      </c>
      <c r="S1083" s="432" t="str">
        <f>IFERROR(INDEX(Blocks!$I$2:$I$101,MATCH(19,Blocks!$A$2:$A$101,0)),"")</f>
        <v>000104450000018</v>
      </c>
    </row>
    <row r="1084" spans="2:19" x14ac:dyDescent="0.35">
      <c r="B1084" s="1"/>
      <c r="C1084" s="1"/>
      <c r="D1084" s="3"/>
      <c r="E1084" s="3"/>
      <c r="F1084" s="3"/>
      <c r="G1084" s="3"/>
      <c r="H1084" s="3"/>
      <c r="I1084" s="3"/>
      <c r="J1084" s="3"/>
      <c r="K1084" s="3"/>
      <c r="L1084" s="3"/>
      <c r="R1084" s="438" t="s">
        <v>834</v>
      </c>
      <c r="S1084" s="432" t="str">
        <f>IFERROR(INDEX(Blocks!$H$2:$H$101,MATCH(19,Blocks!$A$2:$A$101,0)),"")</f>
        <v>Muddy Boots</v>
      </c>
    </row>
    <row r="1085" spans="2:19" x14ac:dyDescent="0.35">
      <c r="B1085" s="1"/>
      <c r="C1085" s="9" t="s">
        <v>835</v>
      </c>
      <c r="D1085" s="10">
        <v>13000000</v>
      </c>
      <c r="E1085" s="3"/>
      <c r="F1085" s="3"/>
      <c r="G1085" s="3"/>
      <c r="H1085" s="3"/>
      <c r="I1085" s="3"/>
      <c r="J1085" s="3"/>
      <c r="K1085" s="3"/>
      <c r="L1085" s="3"/>
      <c r="R1085" s="438" t="s">
        <v>223</v>
      </c>
      <c r="S1085" s="433">
        <f>IFERROR(INDEX('E-Banker master'!$N$2:$N$186,MATCH(S1083,'E-Banker master'!$A$2:$A$186,0)),"")</f>
        <v>0</v>
      </c>
    </row>
    <row r="1086" spans="2:19" x14ac:dyDescent="0.35">
      <c r="B1086" s="1"/>
      <c r="C1086" s="11" t="s">
        <v>837</v>
      </c>
      <c r="D1086" s="12">
        <v>0.1</v>
      </c>
      <c r="E1086" s="13"/>
      <c r="F1086" s="3"/>
      <c r="G1086" s="3"/>
      <c r="H1086" s="3"/>
      <c r="I1086" s="3"/>
      <c r="J1086" s="3"/>
      <c r="K1086" s="3"/>
      <c r="L1086" s="3"/>
      <c r="R1086" s="438" t="s">
        <v>52</v>
      </c>
      <c r="S1086" s="433">
        <f>IFERROR(INDEX('E-Banker master'!$P$2:$P$186,MATCH(S1083,'E-Banker master'!$A$2:$A$186,0)),"")</f>
        <v>0</v>
      </c>
    </row>
    <row r="1087" spans="2:19" x14ac:dyDescent="0.35">
      <c r="B1087" s="1"/>
      <c r="C1087" s="11" t="s">
        <v>838</v>
      </c>
      <c r="D1087" s="14">
        <v>2</v>
      </c>
      <c r="E1087" s="1"/>
      <c r="F1087" s="3"/>
      <c r="G1087" s="3"/>
      <c r="H1087" s="3"/>
      <c r="I1087" s="3"/>
      <c r="J1087" s="3"/>
      <c r="K1087" s="1"/>
      <c r="L1087" s="1"/>
    </row>
    <row r="1088" spans="2:19" x14ac:dyDescent="0.35">
      <c r="B1088" s="1"/>
      <c r="C1088" s="11" t="s">
        <v>839</v>
      </c>
      <c r="D1088" s="14">
        <v>12</v>
      </c>
      <c r="E1088" s="1"/>
      <c r="F1088" s="3"/>
      <c r="G1088" s="3"/>
      <c r="H1088" s="3"/>
      <c r="I1088" s="3"/>
      <c r="J1088" s="3"/>
      <c r="K1088" s="1"/>
      <c r="L1088" s="1"/>
    </row>
    <row r="1089" spans="2:12" x14ac:dyDescent="0.35">
      <c r="B1089" s="1"/>
      <c r="C1089" s="11" t="s">
        <v>843</v>
      </c>
      <c r="D1089" s="15">
        <f>D1087*D1088</f>
        <v>24</v>
      </c>
      <c r="E1089" s="1"/>
      <c r="F1089" s="3"/>
      <c r="G1089" s="3"/>
      <c r="H1089" s="3"/>
      <c r="I1089" s="3"/>
      <c r="J1089" s="3"/>
      <c r="K1089" s="1"/>
      <c r="L1089" s="1"/>
    </row>
    <row r="1090" spans="2:12" x14ac:dyDescent="0.35">
      <c r="B1090" s="1"/>
      <c r="C1090" s="11" t="s">
        <v>844</v>
      </c>
      <c r="D1090" s="16">
        <v>365</v>
      </c>
      <c r="E1090" s="1"/>
      <c r="F1090" s="3"/>
      <c r="G1090" s="3"/>
      <c r="H1090" s="3"/>
      <c r="I1090" s="3"/>
      <c r="J1090" s="3"/>
      <c r="K1090" s="1"/>
      <c r="L1090" s="1"/>
    </row>
    <row r="1091" spans="2:12" x14ac:dyDescent="0.35">
      <c r="B1091" s="1"/>
      <c r="C1091" s="17" t="s">
        <v>845</v>
      </c>
      <c r="D1091" s="18">
        <f>-PMT(D1086/D1088,D1089,D1085,0,0)</f>
        <v>599884.04238771461</v>
      </c>
      <c r="E1091" s="3"/>
      <c r="F1091" s="3"/>
      <c r="G1091" s="3"/>
      <c r="H1091" s="3"/>
      <c r="I1091" s="3"/>
      <c r="J1091" s="3"/>
      <c r="K1091" s="1"/>
      <c r="L1091" s="1"/>
    </row>
    <row r="1092" spans="2:12" x14ac:dyDescent="0.35">
      <c r="B1092" s="1"/>
      <c r="C1092" s="1"/>
      <c r="D1092" s="3"/>
      <c r="E1092" s="3"/>
      <c r="F1092" s="3"/>
      <c r="G1092" s="3"/>
      <c r="H1092" s="3"/>
      <c r="I1092" s="3"/>
      <c r="J1092" s="3"/>
      <c r="K1092" s="1"/>
      <c r="L1092" s="1"/>
    </row>
    <row r="1093" spans="2:12" x14ac:dyDescent="0.35">
      <c r="B1093" s="1"/>
      <c r="C1093" s="19" t="s">
        <v>846</v>
      </c>
      <c r="D1093" s="20" t="s">
        <v>847</v>
      </c>
      <c r="E1093" s="20" t="s">
        <v>764</v>
      </c>
      <c r="F1093" s="270" t="s">
        <v>848</v>
      </c>
      <c r="G1093" s="270" t="s">
        <v>849</v>
      </c>
      <c r="H1093" s="270" t="s">
        <v>742</v>
      </c>
      <c r="I1093" s="270" t="s">
        <v>740</v>
      </c>
      <c r="J1093" s="270" t="s">
        <v>850</v>
      </c>
      <c r="K1093" s="21" t="s">
        <v>851</v>
      </c>
      <c r="L1093" s="21" t="s">
        <v>852</v>
      </c>
    </row>
    <row r="1094" spans="2:12" x14ac:dyDescent="0.35">
      <c r="B1094" s="1">
        <v>1</v>
      </c>
      <c r="C1094" s="22">
        <v>44593</v>
      </c>
      <c r="D1094" s="22">
        <v>44620</v>
      </c>
      <c r="E1094" s="23">
        <f t="shared" ref="E1094:E1117" si="177">D1094-C1094+1</f>
        <v>28</v>
      </c>
      <c r="F1094" s="3">
        <f>D1085</f>
        <v>13000000</v>
      </c>
      <c r="G1094" s="3">
        <f t="shared" ref="G1094:G1117" si="178">-PMT($D$1086/$D$1088,24,$F$1094,,0)</f>
        <v>599884.04238771461</v>
      </c>
      <c r="H1094" s="3">
        <f t="shared" ref="H1094:H1117" si="179">$D$1086/$D$1088*F1094</f>
        <v>108333.33333333333</v>
      </c>
      <c r="I1094" s="3">
        <f t="shared" ref="I1094:I1117" si="180">G1094-H1094</f>
        <v>491550.7090543813</v>
      </c>
      <c r="J1094" s="3">
        <f t="shared" ref="J1094:J1117" si="181">F1094-I1094</f>
        <v>12508449.290945619</v>
      </c>
      <c r="K1094" s="24"/>
      <c r="L1094" s="24"/>
    </row>
    <row r="1095" spans="2:12" x14ac:dyDescent="0.35">
      <c r="B1095" s="1">
        <v>2</v>
      </c>
      <c r="C1095" s="22">
        <v>44621</v>
      </c>
      <c r="D1095" s="22">
        <v>44651</v>
      </c>
      <c r="E1095" s="23">
        <f t="shared" si="177"/>
        <v>31</v>
      </c>
      <c r="F1095" s="3">
        <f t="shared" ref="F1095:F1117" si="182">J1094</f>
        <v>12508449.290945619</v>
      </c>
      <c r="G1095" s="3">
        <f t="shared" si="178"/>
        <v>599884.04238771461</v>
      </c>
      <c r="H1095" s="3">
        <f t="shared" si="179"/>
        <v>104237.07742454682</v>
      </c>
      <c r="I1095" s="3">
        <f t="shared" si="180"/>
        <v>495646.96496316779</v>
      </c>
      <c r="J1095" s="3">
        <f t="shared" si="181"/>
        <v>12012802.325982451</v>
      </c>
      <c r="K1095" s="24"/>
      <c r="L1095" s="24"/>
    </row>
    <row r="1096" spans="2:12" x14ac:dyDescent="0.35">
      <c r="B1096" s="1">
        <v>3</v>
      </c>
      <c r="C1096" s="22">
        <v>44652</v>
      </c>
      <c r="D1096" s="22">
        <v>44681</v>
      </c>
      <c r="E1096" s="23">
        <f t="shared" si="177"/>
        <v>30</v>
      </c>
      <c r="F1096" s="3">
        <f t="shared" si="182"/>
        <v>12012802.325982451</v>
      </c>
      <c r="G1096" s="3">
        <f t="shared" si="178"/>
        <v>599884.04238771461</v>
      </c>
      <c r="H1096" s="3">
        <f t="shared" si="179"/>
        <v>100106.68604985376</v>
      </c>
      <c r="I1096" s="3">
        <f t="shared" si="180"/>
        <v>499777.35633786087</v>
      </c>
      <c r="J1096" s="3">
        <f t="shared" si="181"/>
        <v>11513024.969644591</v>
      </c>
      <c r="K1096" s="24"/>
      <c r="L1096" s="24"/>
    </row>
    <row r="1097" spans="2:12" x14ac:dyDescent="0.35">
      <c r="B1097" s="1">
        <v>4</v>
      </c>
      <c r="C1097" s="22">
        <v>44682</v>
      </c>
      <c r="D1097" s="22">
        <v>44712</v>
      </c>
      <c r="E1097" s="23">
        <f t="shared" si="177"/>
        <v>31</v>
      </c>
      <c r="F1097" s="3">
        <f t="shared" si="182"/>
        <v>11513024.969644591</v>
      </c>
      <c r="G1097" s="3">
        <f t="shared" si="178"/>
        <v>599884.04238771461</v>
      </c>
      <c r="H1097" s="3">
        <f t="shared" si="179"/>
        <v>95941.874747038266</v>
      </c>
      <c r="I1097" s="3">
        <f t="shared" si="180"/>
        <v>503942.16764067637</v>
      </c>
      <c r="J1097" s="3">
        <f t="shared" si="181"/>
        <v>11009082.802003914</v>
      </c>
      <c r="K1097" s="24"/>
      <c r="L1097" s="24"/>
    </row>
    <row r="1098" spans="2:12" x14ac:dyDescent="0.35">
      <c r="B1098" s="1">
        <v>5</v>
      </c>
      <c r="C1098" s="22">
        <v>44713</v>
      </c>
      <c r="D1098" s="22">
        <v>44742</v>
      </c>
      <c r="E1098" s="23">
        <f t="shared" si="177"/>
        <v>30</v>
      </c>
      <c r="F1098" s="3">
        <f t="shared" si="182"/>
        <v>11009082.802003914</v>
      </c>
      <c r="G1098" s="3">
        <f t="shared" si="178"/>
        <v>599884.04238771461</v>
      </c>
      <c r="H1098" s="3">
        <f t="shared" si="179"/>
        <v>91742.356683365957</v>
      </c>
      <c r="I1098" s="3">
        <f t="shared" si="180"/>
        <v>508141.68570434867</v>
      </c>
      <c r="J1098" s="3">
        <f t="shared" si="181"/>
        <v>10500941.116299566</v>
      </c>
      <c r="K1098" s="24"/>
      <c r="L1098" s="24"/>
    </row>
    <row r="1099" spans="2:12" x14ac:dyDescent="0.35">
      <c r="B1099" s="1">
        <v>6</v>
      </c>
      <c r="C1099" s="22">
        <v>44743</v>
      </c>
      <c r="D1099" s="22">
        <v>44773</v>
      </c>
      <c r="E1099" s="23">
        <f t="shared" si="177"/>
        <v>31</v>
      </c>
      <c r="F1099" s="3">
        <f t="shared" si="182"/>
        <v>10500941.116299566</v>
      </c>
      <c r="G1099" s="3">
        <f t="shared" si="178"/>
        <v>599884.04238771461</v>
      </c>
      <c r="H1099" s="3">
        <f t="shared" si="179"/>
        <v>87507.842635829715</v>
      </c>
      <c r="I1099" s="3">
        <f t="shared" si="180"/>
        <v>512376.19975188491</v>
      </c>
      <c r="J1099" s="3">
        <f t="shared" si="181"/>
        <v>9988564.9165476803</v>
      </c>
      <c r="K1099" s="24"/>
      <c r="L1099" s="24"/>
    </row>
    <row r="1100" spans="2:12" x14ac:dyDescent="0.35">
      <c r="B1100" s="1">
        <v>7</v>
      </c>
      <c r="C1100" s="22">
        <v>44774</v>
      </c>
      <c r="D1100" s="22">
        <v>44804</v>
      </c>
      <c r="E1100" s="23">
        <f t="shared" si="177"/>
        <v>31</v>
      </c>
      <c r="F1100" s="3">
        <f t="shared" si="182"/>
        <v>9988564.9165476803</v>
      </c>
      <c r="G1100" s="3">
        <f t="shared" si="178"/>
        <v>599884.04238771461</v>
      </c>
      <c r="H1100" s="3">
        <f t="shared" si="179"/>
        <v>83238.040971230672</v>
      </c>
      <c r="I1100" s="3">
        <f t="shared" si="180"/>
        <v>516646.00141648395</v>
      </c>
      <c r="J1100" s="3">
        <f t="shared" si="181"/>
        <v>9471918.9151311964</v>
      </c>
      <c r="K1100" s="24"/>
      <c r="L1100" s="24"/>
    </row>
    <row r="1101" spans="2:12" x14ac:dyDescent="0.35">
      <c r="B1101" s="1">
        <v>8</v>
      </c>
      <c r="C1101" s="22">
        <v>44805</v>
      </c>
      <c r="D1101" s="22">
        <v>44834</v>
      </c>
      <c r="E1101" s="23">
        <f t="shared" si="177"/>
        <v>30</v>
      </c>
      <c r="F1101" s="3">
        <f t="shared" si="182"/>
        <v>9471918.9151311964</v>
      </c>
      <c r="G1101" s="3">
        <f t="shared" si="178"/>
        <v>599884.04238771461</v>
      </c>
      <c r="H1101" s="3">
        <f t="shared" si="179"/>
        <v>78932.657626093307</v>
      </c>
      <c r="I1101" s="3">
        <f t="shared" si="180"/>
        <v>520951.3847616213</v>
      </c>
      <c r="J1101" s="3">
        <f t="shared" si="181"/>
        <v>8950967.5303695742</v>
      </c>
      <c r="K1101" s="24"/>
      <c r="L1101" s="26"/>
    </row>
    <row r="1102" spans="2:12" x14ac:dyDescent="0.35">
      <c r="B1102" s="1">
        <v>9</v>
      </c>
      <c r="C1102" s="22">
        <v>44835</v>
      </c>
      <c r="D1102" s="22">
        <v>44865</v>
      </c>
      <c r="E1102" s="23">
        <f t="shared" si="177"/>
        <v>31</v>
      </c>
      <c r="F1102" s="3">
        <f t="shared" si="182"/>
        <v>8950967.5303695742</v>
      </c>
      <c r="G1102" s="3">
        <f t="shared" si="178"/>
        <v>599884.04238771461</v>
      </c>
      <c r="H1102" s="3">
        <f t="shared" si="179"/>
        <v>74591.396086413122</v>
      </c>
      <c r="I1102" s="3">
        <f t="shared" si="180"/>
        <v>525292.64630130143</v>
      </c>
      <c r="J1102" s="3">
        <f t="shared" si="181"/>
        <v>8425674.884068273</v>
      </c>
      <c r="K1102" s="24"/>
      <c r="L1102" s="24"/>
    </row>
    <row r="1103" spans="2:12" x14ac:dyDescent="0.35">
      <c r="B1103" s="1">
        <v>10</v>
      </c>
      <c r="C1103" s="22">
        <v>44866</v>
      </c>
      <c r="D1103" s="22">
        <v>44895</v>
      </c>
      <c r="E1103" s="23">
        <f t="shared" si="177"/>
        <v>30</v>
      </c>
      <c r="F1103" s="3">
        <f t="shared" si="182"/>
        <v>8425674.884068273</v>
      </c>
      <c r="G1103" s="3">
        <f t="shared" si="178"/>
        <v>599884.04238771461</v>
      </c>
      <c r="H1103" s="3">
        <f t="shared" si="179"/>
        <v>70213.957367235605</v>
      </c>
      <c r="I1103" s="3">
        <f t="shared" si="180"/>
        <v>529670.08502047905</v>
      </c>
      <c r="J1103" s="3">
        <f t="shared" si="181"/>
        <v>7896004.7990477942</v>
      </c>
      <c r="K1103" s="24"/>
      <c r="L1103" s="24"/>
    </row>
    <row r="1104" spans="2:12" x14ac:dyDescent="0.35">
      <c r="B1104" s="1">
        <v>11</v>
      </c>
      <c r="C1104" s="22">
        <v>44896</v>
      </c>
      <c r="D1104" s="22">
        <v>44926</v>
      </c>
      <c r="E1104" s="23">
        <f t="shared" si="177"/>
        <v>31</v>
      </c>
      <c r="F1104" s="3">
        <f t="shared" si="182"/>
        <v>7896004.7990477942</v>
      </c>
      <c r="G1104" s="3">
        <f t="shared" si="178"/>
        <v>599884.04238771461</v>
      </c>
      <c r="H1104" s="3">
        <f t="shared" si="179"/>
        <v>65800.039992064951</v>
      </c>
      <c r="I1104" s="3">
        <f t="shared" si="180"/>
        <v>534084.00239564967</v>
      </c>
      <c r="J1104" s="3">
        <f t="shared" si="181"/>
        <v>7361920.7966521448</v>
      </c>
      <c r="K1104" s="24"/>
      <c r="L1104" s="26"/>
    </row>
    <row r="1105" spans="2:12" x14ac:dyDescent="0.35">
      <c r="B1105" s="1">
        <v>12</v>
      </c>
      <c r="C1105" s="22">
        <v>44927</v>
      </c>
      <c r="D1105" s="22">
        <v>44957</v>
      </c>
      <c r="E1105" s="23">
        <f t="shared" si="177"/>
        <v>31</v>
      </c>
      <c r="F1105" s="3">
        <f t="shared" si="182"/>
        <v>7361920.7966521448</v>
      </c>
      <c r="G1105" s="3">
        <f t="shared" si="178"/>
        <v>599884.04238771461</v>
      </c>
      <c r="H1105" s="3">
        <f t="shared" si="179"/>
        <v>61349.339972101203</v>
      </c>
      <c r="I1105" s="3">
        <f t="shared" si="180"/>
        <v>538534.70241561346</v>
      </c>
      <c r="J1105" s="3">
        <f t="shared" si="181"/>
        <v>6823386.0942365313</v>
      </c>
      <c r="K1105" s="24">
        <v>7200000</v>
      </c>
      <c r="L1105" s="24">
        <f>SUM(G1094:G1105)-K1105</f>
        <v>-1391.491347424686</v>
      </c>
    </row>
    <row r="1106" spans="2:12" x14ac:dyDescent="0.35">
      <c r="B1106" s="1">
        <v>13</v>
      </c>
      <c r="C1106" s="22">
        <v>44958</v>
      </c>
      <c r="D1106" s="22">
        <v>44985</v>
      </c>
      <c r="E1106" s="23">
        <f t="shared" si="177"/>
        <v>28</v>
      </c>
      <c r="F1106" s="3">
        <f t="shared" si="182"/>
        <v>6823386.0942365313</v>
      </c>
      <c r="G1106" s="3">
        <f t="shared" si="178"/>
        <v>599884.04238771461</v>
      </c>
      <c r="H1106" s="3">
        <f t="shared" si="179"/>
        <v>56861.550785304426</v>
      </c>
      <c r="I1106" s="3">
        <f t="shared" si="180"/>
        <v>543022.49160241021</v>
      </c>
      <c r="J1106" s="3">
        <f t="shared" si="181"/>
        <v>6280363.6026341207</v>
      </c>
      <c r="K1106" s="24"/>
      <c r="L1106" s="24"/>
    </row>
    <row r="1107" spans="2:12" x14ac:dyDescent="0.35">
      <c r="B1107" s="1">
        <v>14</v>
      </c>
      <c r="C1107" s="22">
        <v>44986</v>
      </c>
      <c r="D1107" s="22">
        <v>45016</v>
      </c>
      <c r="E1107" s="23">
        <f t="shared" si="177"/>
        <v>31</v>
      </c>
      <c r="F1107" s="3">
        <f t="shared" si="182"/>
        <v>6280363.6026341207</v>
      </c>
      <c r="G1107" s="3">
        <f t="shared" si="178"/>
        <v>599884.04238771461</v>
      </c>
      <c r="H1107" s="3">
        <f t="shared" si="179"/>
        <v>52336.363355284338</v>
      </c>
      <c r="I1107" s="3">
        <f t="shared" si="180"/>
        <v>547547.67903243029</v>
      </c>
      <c r="J1107" s="3">
        <f t="shared" si="181"/>
        <v>5732815.9236016907</v>
      </c>
      <c r="K1107" s="24"/>
      <c r="L1107" s="24"/>
    </row>
    <row r="1108" spans="2:12" x14ac:dyDescent="0.35">
      <c r="B1108" s="1">
        <v>15</v>
      </c>
      <c r="C1108" s="22">
        <v>45017</v>
      </c>
      <c r="D1108" s="22">
        <v>45046</v>
      </c>
      <c r="E1108" s="23">
        <f t="shared" si="177"/>
        <v>30</v>
      </c>
      <c r="F1108" s="3">
        <f t="shared" si="182"/>
        <v>5732815.9236016907</v>
      </c>
      <c r="G1108" s="3">
        <f t="shared" si="178"/>
        <v>599884.04238771461</v>
      </c>
      <c r="H1108" s="3">
        <f t="shared" si="179"/>
        <v>47773.466030014089</v>
      </c>
      <c r="I1108" s="3">
        <f t="shared" si="180"/>
        <v>552110.57635770051</v>
      </c>
      <c r="J1108" s="3">
        <f t="shared" si="181"/>
        <v>5180705.3472439898</v>
      </c>
      <c r="K1108" s="24"/>
      <c r="L1108" s="24"/>
    </row>
    <row r="1109" spans="2:12" x14ac:dyDescent="0.35">
      <c r="B1109" s="1">
        <v>16</v>
      </c>
      <c r="C1109" s="22">
        <v>45047</v>
      </c>
      <c r="D1109" s="22">
        <v>45077</v>
      </c>
      <c r="E1109" s="23">
        <f t="shared" si="177"/>
        <v>31</v>
      </c>
      <c r="F1109" s="3">
        <f t="shared" si="182"/>
        <v>5180705.3472439898</v>
      </c>
      <c r="G1109" s="3">
        <f t="shared" si="178"/>
        <v>599884.04238771461</v>
      </c>
      <c r="H1109" s="3">
        <f t="shared" si="179"/>
        <v>43172.544560366579</v>
      </c>
      <c r="I1109" s="3">
        <f t="shared" si="180"/>
        <v>556711.49782734807</v>
      </c>
      <c r="J1109" s="3">
        <f t="shared" si="181"/>
        <v>4623993.8494166415</v>
      </c>
      <c r="K1109" s="24"/>
      <c r="L1109" s="24"/>
    </row>
    <row r="1110" spans="2:12" x14ac:dyDescent="0.35">
      <c r="B1110" s="1">
        <v>17</v>
      </c>
      <c r="C1110" s="22">
        <v>45078</v>
      </c>
      <c r="D1110" s="22">
        <v>45107</v>
      </c>
      <c r="E1110" s="23">
        <f t="shared" si="177"/>
        <v>30</v>
      </c>
      <c r="F1110" s="3">
        <f t="shared" si="182"/>
        <v>4623993.8494166415</v>
      </c>
      <c r="G1110" s="3">
        <f t="shared" si="178"/>
        <v>599884.04238771461</v>
      </c>
      <c r="H1110" s="3">
        <f t="shared" si="179"/>
        <v>38533.28207847201</v>
      </c>
      <c r="I1110" s="3">
        <f t="shared" si="180"/>
        <v>561350.76030924264</v>
      </c>
      <c r="J1110" s="3">
        <f t="shared" si="181"/>
        <v>4062643.0891073989</v>
      </c>
      <c r="K1110" s="24"/>
      <c r="L1110" s="24"/>
    </row>
    <row r="1111" spans="2:12" x14ac:dyDescent="0.35">
      <c r="B1111" s="1">
        <v>18</v>
      </c>
      <c r="C1111" s="22">
        <v>45108</v>
      </c>
      <c r="D1111" s="22">
        <v>45138</v>
      </c>
      <c r="E1111" s="23">
        <f t="shared" si="177"/>
        <v>31</v>
      </c>
      <c r="F1111" s="3">
        <f t="shared" si="182"/>
        <v>4062643.0891073989</v>
      </c>
      <c r="G1111" s="3">
        <f t="shared" si="178"/>
        <v>599884.04238771461</v>
      </c>
      <c r="H1111" s="3">
        <f t="shared" si="179"/>
        <v>33855.359075894987</v>
      </c>
      <c r="I1111" s="3">
        <f t="shared" si="180"/>
        <v>566028.68331181956</v>
      </c>
      <c r="J1111" s="3">
        <f t="shared" si="181"/>
        <v>3496614.4057955793</v>
      </c>
      <c r="K1111" s="24"/>
      <c r="L1111" s="24"/>
    </row>
    <row r="1112" spans="2:12" x14ac:dyDescent="0.35">
      <c r="B1112" s="1">
        <v>19</v>
      </c>
      <c r="C1112" s="22">
        <v>45139</v>
      </c>
      <c r="D1112" s="22">
        <v>45169</v>
      </c>
      <c r="E1112" s="23">
        <f t="shared" si="177"/>
        <v>31</v>
      </c>
      <c r="F1112" s="3">
        <f t="shared" si="182"/>
        <v>3496614.4057955793</v>
      </c>
      <c r="G1112" s="3">
        <f t="shared" si="178"/>
        <v>599884.04238771461</v>
      </c>
      <c r="H1112" s="3">
        <f t="shared" si="179"/>
        <v>29138.453381629828</v>
      </c>
      <c r="I1112" s="3">
        <f t="shared" si="180"/>
        <v>570745.58900608483</v>
      </c>
      <c r="J1112" s="3">
        <f t="shared" si="181"/>
        <v>2925868.8167894944</v>
      </c>
      <c r="K1112" s="24">
        <v>7094527.1699999999</v>
      </c>
      <c r="L1112" s="24"/>
    </row>
    <row r="1113" spans="2:12" x14ac:dyDescent="0.35">
      <c r="B1113" s="1">
        <v>20</v>
      </c>
      <c r="C1113" s="22">
        <v>45170</v>
      </c>
      <c r="D1113" s="22">
        <v>45199</v>
      </c>
      <c r="E1113" s="23">
        <f t="shared" si="177"/>
        <v>30</v>
      </c>
      <c r="F1113" s="3">
        <f t="shared" si="182"/>
        <v>2925868.8167894944</v>
      </c>
      <c r="G1113" s="3">
        <f t="shared" si="178"/>
        <v>599884.04238771461</v>
      </c>
      <c r="H1113" s="3">
        <f t="shared" si="179"/>
        <v>24382.240139912454</v>
      </c>
      <c r="I1113" s="3">
        <f t="shared" si="180"/>
        <v>575501.80224780214</v>
      </c>
      <c r="J1113" s="3">
        <f t="shared" si="181"/>
        <v>2350367.0145416921</v>
      </c>
      <c r="K1113" s="24"/>
      <c r="L1113" s="24"/>
    </row>
    <row r="1114" spans="2:12" x14ac:dyDescent="0.35">
      <c r="B1114" s="1">
        <v>21</v>
      </c>
      <c r="C1114" s="22">
        <v>45200</v>
      </c>
      <c r="D1114" s="22">
        <v>45230</v>
      </c>
      <c r="E1114" s="23">
        <f t="shared" si="177"/>
        <v>31</v>
      </c>
      <c r="F1114" s="3">
        <f t="shared" si="182"/>
        <v>2350367.0145416921</v>
      </c>
      <c r="G1114" s="3">
        <f t="shared" si="178"/>
        <v>599884.04238771461</v>
      </c>
      <c r="H1114" s="3">
        <f t="shared" si="179"/>
        <v>19586.391787847435</v>
      </c>
      <c r="I1114" s="3">
        <f t="shared" si="180"/>
        <v>580297.65059986722</v>
      </c>
      <c r="J1114" s="3">
        <f t="shared" si="181"/>
        <v>1770069.363941825</v>
      </c>
      <c r="K1114" s="24"/>
      <c r="L1114" s="24"/>
    </row>
    <row r="1115" spans="2:12" x14ac:dyDescent="0.35">
      <c r="B1115" s="1">
        <v>22</v>
      </c>
      <c r="C1115" s="22">
        <v>45231</v>
      </c>
      <c r="D1115" s="22">
        <v>45260</v>
      </c>
      <c r="E1115" s="23">
        <f t="shared" si="177"/>
        <v>30</v>
      </c>
      <c r="F1115" s="3">
        <f t="shared" si="182"/>
        <v>1770069.363941825</v>
      </c>
      <c r="G1115" s="3">
        <f t="shared" si="178"/>
        <v>599884.04238771461</v>
      </c>
      <c r="H1115" s="3">
        <f t="shared" si="179"/>
        <v>14750.578032848542</v>
      </c>
      <c r="I1115" s="3">
        <f t="shared" si="180"/>
        <v>585133.46435486607</v>
      </c>
      <c r="J1115" s="3">
        <f t="shared" si="181"/>
        <v>1184935.8995869588</v>
      </c>
      <c r="K1115" s="24"/>
      <c r="L1115" s="24"/>
    </row>
    <row r="1116" spans="2:12" x14ac:dyDescent="0.35">
      <c r="B1116" s="1">
        <v>23</v>
      </c>
      <c r="C1116" s="22">
        <v>45261</v>
      </c>
      <c r="D1116" s="22">
        <v>45291</v>
      </c>
      <c r="E1116" s="23">
        <f t="shared" si="177"/>
        <v>31</v>
      </c>
      <c r="F1116" s="3">
        <f t="shared" si="182"/>
        <v>1184935.8995869588</v>
      </c>
      <c r="G1116" s="3">
        <f t="shared" si="178"/>
        <v>599884.04238771461</v>
      </c>
      <c r="H1116" s="3">
        <f t="shared" si="179"/>
        <v>9874.4658298913237</v>
      </c>
      <c r="I1116" s="3">
        <f t="shared" si="180"/>
        <v>590009.57655782334</v>
      </c>
      <c r="J1116" s="3">
        <f t="shared" si="181"/>
        <v>594926.32302913547</v>
      </c>
      <c r="K1116" s="24"/>
      <c r="L1116" s="24"/>
    </row>
    <row r="1117" spans="2:12" x14ac:dyDescent="0.35">
      <c r="B1117" s="1">
        <v>24</v>
      </c>
      <c r="C1117" s="22">
        <v>45292</v>
      </c>
      <c r="D1117" s="22">
        <v>45322</v>
      </c>
      <c r="E1117" s="23">
        <f t="shared" si="177"/>
        <v>31</v>
      </c>
      <c r="F1117" s="3">
        <f t="shared" si="182"/>
        <v>594926.32302913547</v>
      </c>
      <c r="G1117" s="3">
        <f t="shared" si="178"/>
        <v>599884.04238771461</v>
      </c>
      <c r="H1117" s="3">
        <f t="shared" si="179"/>
        <v>4957.7193585761288</v>
      </c>
      <c r="I1117" s="3">
        <f t="shared" si="180"/>
        <v>594926.3230291385</v>
      </c>
      <c r="J1117" s="3">
        <f t="shared" si="181"/>
        <v>-3.0267983675003052E-9</v>
      </c>
      <c r="K1117" s="205" t="s">
        <v>889</v>
      </c>
      <c r="L1117" s="24" t="s">
        <v>853</v>
      </c>
    </row>
    <row r="1118" spans="2:12" x14ac:dyDescent="0.35">
      <c r="B1118" s="1"/>
      <c r="C1118" s="22"/>
      <c r="D1118" s="22"/>
      <c r="E1118" s="23"/>
      <c r="F1118" s="3"/>
      <c r="G1118" s="3"/>
      <c r="H1118" s="3"/>
      <c r="I1118" s="3"/>
      <c r="J1118" s="3"/>
      <c r="K1118" s="24"/>
      <c r="L1118" s="24"/>
    </row>
    <row r="1119" spans="2:12" ht="14.25" customHeight="1" x14ac:dyDescent="0.35">
      <c r="B1119" s="1"/>
      <c r="C1119" s="1"/>
      <c r="D1119" s="1"/>
      <c r="E1119" s="28">
        <f>SUM(E1094:E1118)</f>
        <v>730</v>
      </c>
      <c r="F1119" s="3"/>
      <c r="G1119" s="3"/>
      <c r="H1119" s="3"/>
      <c r="I1119" s="3"/>
      <c r="J1119" s="3"/>
      <c r="K1119" s="1"/>
      <c r="L1119" s="1"/>
    </row>
    <row r="1124" spans="2:19" x14ac:dyDescent="0.35">
      <c r="B1124" s="1"/>
      <c r="C1124" s="8" t="s">
        <v>890</v>
      </c>
      <c r="D1124" s="3"/>
      <c r="E1124" s="3"/>
      <c r="F1124" s="3"/>
      <c r="G1124" s="3"/>
      <c r="H1124" s="3"/>
      <c r="I1124" s="3"/>
      <c r="J1124" s="3"/>
      <c r="K1124" s="3"/>
      <c r="L1124" s="3"/>
      <c r="R1124" s="438" t="s">
        <v>832</v>
      </c>
      <c r="S1124" s="432" t="str">
        <f>IFERROR(INDEX(Blocks!$I$2:$I$101,MATCH(20,Blocks!$A$2:$A$101,0)),"")</f>
        <v>000104460000019</v>
      </c>
    </row>
    <row r="1125" spans="2:19" x14ac:dyDescent="0.35">
      <c r="B1125" s="1"/>
      <c r="C1125" s="1"/>
      <c r="D1125" s="3"/>
      <c r="E1125" s="3"/>
      <c r="F1125" s="3"/>
      <c r="G1125" s="3"/>
      <c r="H1125" s="3"/>
      <c r="I1125" s="3"/>
      <c r="J1125" s="3"/>
      <c r="K1125" s="3"/>
      <c r="L1125" s="3"/>
      <c r="R1125" s="438" t="s">
        <v>834</v>
      </c>
      <c r="S1125" s="432" t="str">
        <f>IFERROR(INDEX(Blocks!$H$2:$H$101,MATCH(20,Blocks!$A$2:$A$101,0)),"")</f>
        <v>Zanzi Entertainment Ltd</v>
      </c>
    </row>
    <row r="1126" spans="2:19" x14ac:dyDescent="0.35">
      <c r="B1126" s="1"/>
      <c r="C1126" s="9" t="s">
        <v>835</v>
      </c>
      <c r="D1126" s="10">
        <v>24000000</v>
      </c>
      <c r="E1126" s="3"/>
      <c r="F1126" s="3"/>
      <c r="G1126" s="3"/>
      <c r="H1126" s="3"/>
      <c r="I1126" s="3"/>
      <c r="J1126" s="3"/>
      <c r="K1126" s="3"/>
      <c r="L1126" s="3"/>
      <c r="R1126" s="438" t="s">
        <v>223</v>
      </c>
      <c r="S1126" s="433">
        <f>IFERROR(INDEX('E-Banker master'!$N$2:$N$186,MATCH(S1124,'E-Banker master'!$A$2:$A$186,0)),"")</f>
        <v>0</v>
      </c>
    </row>
    <row r="1127" spans="2:19" x14ac:dyDescent="0.35">
      <c r="B1127" s="1"/>
      <c r="C1127" s="11" t="s">
        <v>837</v>
      </c>
      <c r="D1127" s="12">
        <v>0.1</v>
      </c>
      <c r="E1127" s="13"/>
      <c r="F1127" s="3"/>
      <c r="G1127" s="3"/>
      <c r="H1127" s="3"/>
      <c r="I1127" s="3"/>
      <c r="J1127" s="3"/>
      <c r="K1127" s="3"/>
      <c r="L1127" s="3"/>
      <c r="R1127" s="438" t="s">
        <v>52</v>
      </c>
      <c r="S1127" s="433">
        <f>IFERROR(INDEX('E-Banker master'!$P$2:$P$186,MATCH(S1124,'E-Banker master'!$A$2:$A$186,0)),"")</f>
        <v>0</v>
      </c>
    </row>
    <row r="1128" spans="2:19" x14ac:dyDescent="0.35">
      <c r="B1128" s="1"/>
      <c r="C1128" s="11" t="s">
        <v>838</v>
      </c>
      <c r="D1128" s="14">
        <v>2</v>
      </c>
      <c r="E1128" s="1"/>
      <c r="F1128" s="3"/>
      <c r="G1128" s="3"/>
      <c r="H1128" s="3"/>
      <c r="I1128" s="3"/>
      <c r="J1128" s="3"/>
      <c r="K1128" s="1"/>
      <c r="L1128" s="1"/>
    </row>
    <row r="1129" spans="2:19" x14ac:dyDescent="0.35">
      <c r="B1129" s="1"/>
      <c r="C1129" s="11" t="s">
        <v>839</v>
      </c>
      <c r="D1129" s="14">
        <v>12</v>
      </c>
      <c r="E1129" s="1"/>
      <c r="F1129" s="3"/>
      <c r="G1129" s="3"/>
      <c r="H1129" s="3"/>
      <c r="I1129" s="3"/>
      <c r="J1129" s="3"/>
      <c r="K1129" s="1"/>
      <c r="L1129" s="1"/>
    </row>
    <row r="1130" spans="2:19" x14ac:dyDescent="0.35">
      <c r="B1130" s="1"/>
      <c r="C1130" s="11" t="s">
        <v>843</v>
      </c>
      <c r="D1130" s="15">
        <f>D1128*D1129</f>
        <v>24</v>
      </c>
      <c r="E1130" s="1"/>
      <c r="F1130" s="3"/>
      <c r="G1130" s="3"/>
      <c r="H1130" s="3"/>
      <c r="I1130" s="3"/>
      <c r="J1130" s="3"/>
      <c r="K1130" s="1"/>
      <c r="L1130" s="1"/>
    </row>
    <row r="1131" spans="2:19" x14ac:dyDescent="0.35">
      <c r="B1131" s="1"/>
      <c r="C1131" s="11" t="s">
        <v>844</v>
      </c>
      <c r="D1131" s="16">
        <v>365</v>
      </c>
      <c r="E1131" s="1"/>
      <c r="F1131" s="3"/>
      <c r="G1131" s="3"/>
      <c r="H1131" s="3"/>
      <c r="I1131" s="3"/>
      <c r="J1131" s="3"/>
      <c r="K1131" s="1"/>
      <c r="L1131" s="1"/>
    </row>
    <row r="1132" spans="2:19" x14ac:dyDescent="0.35">
      <c r="B1132" s="1"/>
      <c r="C1132" s="17" t="s">
        <v>845</v>
      </c>
      <c r="D1132" s="18">
        <f>-PMT(D1127/D1129,D1130,D1126,0,0)</f>
        <v>1107478.2321003962</v>
      </c>
      <c r="E1132" s="3"/>
      <c r="F1132" s="3"/>
      <c r="G1132" s="3"/>
      <c r="H1132" s="3"/>
      <c r="I1132" s="3"/>
      <c r="J1132" s="3"/>
      <c r="K1132" s="1"/>
      <c r="L1132" s="1"/>
    </row>
    <row r="1133" spans="2:19" x14ac:dyDescent="0.35">
      <c r="B1133" s="1"/>
      <c r="C1133" s="1"/>
      <c r="D1133" s="3"/>
      <c r="E1133" s="3"/>
      <c r="F1133" s="3"/>
      <c r="G1133" s="3"/>
      <c r="H1133" s="3"/>
      <c r="I1133" s="3"/>
      <c r="J1133" s="3"/>
      <c r="K1133" s="1"/>
      <c r="L1133" s="1"/>
    </row>
    <row r="1134" spans="2:19" x14ac:dyDescent="0.35">
      <c r="B1134" s="1"/>
      <c r="C1134" s="19" t="s">
        <v>846</v>
      </c>
      <c r="D1134" s="20" t="s">
        <v>847</v>
      </c>
      <c r="E1134" s="20" t="s">
        <v>764</v>
      </c>
      <c r="F1134" s="270" t="s">
        <v>848</v>
      </c>
      <c r="G1134" s="270" t="s">
        <v>849</v>
      </c>
      <c r="H1134" s="270" t="s">
        <v>742</v>
      </c>
      <c r="I1134" s="270" t="s">
        <v>740</v>
      </c>
      <c r="J1134" s="270" t="s">
        <v>850</v>
      </c>
      <c r="K1134" s="21" t="s">
        <v>851</v>
      </c>
      <c r="L1134" s="21" t="s">
        <v>852</v>
      </c>
    </row>
    <row r="1135" spans="2:19" x14ac:dyDescent="0.35">
      <c r="B1135" s="1">
        <v>0</v>
      </c>
      <c r="C1135" s="22">
        <v>44603</v>
      </c>
      <c r="D1135" s="22">
        <v>44620</v>
      </c>
      <c r="E1135" s="23">
        <f t="shared" ref="E1135:E1159" si="183">D1135-C1135+1</f>
        <v>18</v>
      </c>
      <c r="F1135" s="3">
        <f>D1126</f>
        <v>24000000</v>
      </c>
      <c r="G1135" s="3"/>
      <c r="H1135" s="3">
        <f>D1126*D1127*E1135/D1131</f>
        <v>118356.16438356164</v>
      </c>
      <c r="I1135" s="3">
        <f t="shared" ref="I1135:I1159" si="184">G1135-H1135</f>
        <v>-118356.16438356164</v>
      </c>
      <c r="J1135" s="3">
        <f t="shared" ref="J1135:J1159" si="185">F1135-I1135</f>
        <v>24118356.16438356</v>
      </c>
      <c r="K1135" s="24"/>
      <c r="L1135" s="24"/>
    </row>
    <row r="1136" spans="2:19" x14ac:dyDescent="0.35">
      <c r="B1136" s="1">
        <v>1</v>
      </c>
      <c r="C1136" s="22">
        <v>44621</v>
      </c>
      <c r="D1136" s="22">
        <v>44651</v>
      </c>
      <c r="E1136" s="23">
        <f t="shared" si="183"/>
        <v>31</v>
      </c>
      <c r="F1136" s="3">
        <f t="shared" ref="F1136:F1159" si="186">J1135</f>
        <v>24118356.16438356</v>
      </c>
      <c r="G1136" s="3"/>
      <c r="H1136" s="3">
        <f t="shared" ref="H1136:H1159" si="187">$D$1127/$D$1129*F1136</f>
        <v>200986.30136986301</v>
      </c>
      <c r="I1136" s="3">
        <f t="shared" si="184"/>
        <v>-200986.30136986301</v>
      </c>
      <c r="J1136" s="3">
        <f t="shared" si="185"/>
        <v>24319342.465753425</v>
      </c>
      <c r="K1136" s="24"/>
      <c r="L1136" s="24"/>
    </row>
    <row r="1137" spans="2:12" x14ac:dyDescent="0.35">
      <c r="B1137" s="1">
        <v>2</v>
      </c>
      <c r="C1137" s="22">
        <v>44652</v>
      </c>
      <c r="D1137" s="22">
        <v>44681</v>
      </c>
      <c r="E1137" s="23">
        <f t="shared" si="183"/>
        <v>30</v>
      </c>
      <c r="F1137" s="3">
        <f t="shared" si="186"/>
        <v>24319342.465753425</v>
      </c>
      <c r="G1137" s="3"/>
      <c r="H1137" s="3">
        <f t="shared" si="187"/>
        <v>202661.18721461188</v>
      </c>
      <c r="I1137" s="3">
        <f t="shared" si="184"/>
        <v>-202661.18721461188</v>
      </c>
      <c r="J1137" s="3">
        <f t="shared" si="185"/>
        <v>24522003.652968038</v>
      </c>
      <c r="K1137" s="24"/>
      <c r="L1137" s="24"/>
    </row>
    <row r="1138" spans="2:12" x14ac:dyDescent="0.35">
      <c r="B1138" s="1">
        <v>3</v>
      </c>
      <c r="C1138" s="22">
        <v>44682</v>
      </c>
      <c r="D1138" s="22">
        <v>44712</v>
      </c>
      <c r="E1138" s="23">
        <f t="shared" si="183"/>
        <v>31</v>
      </c>
      <c r="F1138" s="3">
        <f t="shared" si="186"/>
        <v>24522003.652968038</v>
      </c>
      <c r="G1138" s="3"/>
      <c r="H1138" s="3">
        <f t="shared" si="187"/>
        <v>204350.0304414003</v>
      </c>
      <c r="I1138" s="3">
        <f t="shared" si="184"/>
        <v>-204350.0304414003</v>
      </c>
      <c r="J1138" s="3">
        <f t="shared" si="185"/>
        <v>24726353.683409438</v>
      </c>
    </row>
    <row r="1139" spans="2:12" x14ac:dyDescent="0.35">
      <c r="B1139" s="1">
        <v>4</v>
      </c>
      <c r="C1139" s="22">
        <v>44713</v>
      </c>
      <c r="D1139" s="22">
        <v>44742</v>
      </c>
      <c r="E1139" s="23">
        <f t="shared" si="183"/>
        <v>30</v>
      </c>
      <c r="F1139" s="3">
        <f t="shared" si="186"/>
        <v>24726353.683409438</v>
      </c>
      <c r="G1139" s="3">
        <f t="shared" ref="G1139:G1159" si="188">-PMT($D$1127/$D$1129,21,$F$1139,,0)</f>
        <v>1288362.0977302464</v>
      </c>
      <c r="H1139" s="3">
        <f t="shared" si="187"/>
        <v>206052.94736174532</v>
      </c>
      <c r="I1139" s="3">
        <f t="shared" si="184"/>
        <v>1082309.150368501</v>
      </c>
      <c r="J1139" s="3">
        <f t="shared" si="185"/>
        <v>23644044.533040937</v>
      </c>
      <c r="K1139" s="24">
        <v>1288362.98</v>
      </c>
      <c r="L1139" s="24">
        <f>G1139-K1139</f>
        <v>-0.88226975360885262</v>
      </c>
    </row>
    <row r="1140" spans="2:12" x14ac:dyDescent="0.35">
      <c r="B1140" s="1">
        <v>5</v>
      </c>
      <c r="C1140" s="22">
        <v>44743</v>
      </c>
      <c r="D1140" s="22">
        <v>44773</v>
      </c>
      <c r="E1140" s="23">
        <f t="shared" si="183"/>
        <v>31</v>
      </c>
      <c r="F1140" s="3">
        <f t="shared" si="186"/>
        <v>23644044.533040937</v>
      </c>
      <c r="G1140" s="3">
        <f t="shared" si="188"/>
        <v>1288362.0977302464</v>
      </c>
      <c r="H1140" s="3">
        <f t="shared" si="187"/>
        <v>197033.70444200782</v>
      </c>
      <c r="I1140" s="3">
        <f t="shared" si="184"/>
        <v>1091328.3932882384</v>
      </c>
      <c r="J1140" s="3">
        <f t="shared" si="185"/>
        <v>22552716.139752697</v>
      </c>
      <c r="K1140" s="24">
        <v>1288362.98</v>
      </c>
      <c r="L1140" s="24">
        <f>G1140-K1140</f>
        <v>-0.88226975360885262</v>
      </c>
    </row>
    <row r="1141" spans="2:12" x14ac:dyDescent="0.35">
      <c r="B1141" s="1">
        <v>6</v>
      </c>
      <c r="C1141" s="22">
        <v>44774</v>
      </c>
      <c r="D1141" s="22">
        <v>44804</v>
      </c>
      <c r="E1141" s="23">
        <f t="shared" si="183"/>
        <v>31</v>
      </c>
      <c r="F1141" s="3">
        <f t="shared" si="186"/>
        <v>22552716.139752697</v>
      </c>
      <c r="G1141" s="3">
        <f t="shared" si="188"/>
        <v>1288362.0977302464</v>
      </c>
      <c r="H1141" s="3">
        <f t="shared" si="187"/>
        <v>187939.3011646058</v>
      </c>
      <c r="I1141" s="3">
        <f t="shared" si="184"/>
        <v>1100422.7965656405</v>
      </c>
      <c r="J1141" s="3">
        <f t="shared" si="185"/>
        <v>21452293.343187056</v>
      </c>
      <c r="K1141" s="24">
        <v>1288364.98</v>
      </c>
      <c r="L1141" s="24">
        <f>G1141-K1141</f>
        <v>-2.8822697536088526</v>
      </c>
    </row>
    <row r="1142" spans="2:12" x14ac:dyDescent="0.35">
      <c r="B1142" s="1">
        <v>7</v>
      </c>
      <c r="C1142" s="22">
        <v>44805</v>
      </c>
      <c r="D1142" s="22">
        <v>44834</v>
      </c>
      <c r="E1142" s="23">
        <f t="shared" si="183"/>
        <v>30</v>
      </c>
      <c r="F1142" s="3">
        <f t="shared" si="186"/>
        <v>21452293.343187056</v>
      </c>
      <c r="G1142" s="3">
        <f t="shared" si="188"/>
        <v>1288362.0977302464</v>
      </c>
      <c r="H1142" s="3">
        <f t="shared" si="187"/>
        <v>178769.11119322546</v>
      </c>
      <c r="I1142" s="3">
        <f t="shared" si="184"/>
        <v>1109592.9865370209</v>
      </c>
      <c r="J1142" s="3">
        <f t="shared" si="185"/>
        <v>20342700.356650036</v>
      </c>
      <c r="K1142" s="24">
        <v>1289000</v>
      </c>
      <c r="L1142" s="24">
        <f>G1142-K1142</f>
        <v>-637.90226975362748</v>
      </c>
    </row>
    <row r="1143" spans="2:12" x14ac:dyDescent="0.35">
      <c r="B1143" s="1">
        <v>8</v>
      </c>
      <c r="C1143" s="22">
        <v>44835</v>
      </c>
      <c r="D1143" s="22">
        <v>44865</v>
      </c>
      <c r="E1143" s="23">
        <f t="shared" si="183"/>
        <v>31</v>
      </c>
      <c r="F1143" s="3">
        <f t="shared" si="186"/>
        <v>20342700.356650036</v>
      </c>
      <c r="G1143" s="3">
        <f t="shared" si="188"/>
        <v>1288362.0977302464</v>
      </c>
      <c r="H1143" s="3">
        <f t="shared" si="187"/>
        <v>169522.50297208363</v>
      </c>
      <c r="I1143" s="3">
        <f t="shared" si="184"/>
        <v>1118839.5947581627</v>
      </c>
      <c r="J1143" s="3">
        <f t="shared" si="185"/>
        <v>19223860.761891872</v>
      </c>
      <c r="K1143" s="24">
        <v>1289000</v>
      </c>
      <c r="L1143" s="24">
        <f>G1143-K1143</f>
        <v>-637.90226975362748</v>
      </c>
    </row>
    <row r="1144" spans="2:12" x14ac:dyDescent="0.35">
      <c r="B1144" s="1">
        <v>9</v>
      </c>
      <c r="C1144" s="22">
        <v>44866</v>
      </c>
      <c r="D1144" s="22">
        <v>44895</v>
      </c>
      <c r="E1144" s="23">
        <f t="shared" si="183"/>
        <v>30</v>
      </c>
      <c r="F1144" s="3">
        <f t="shared" si="186"/>
        <v>19223860.761891872</v>
      </c>
      <c r="G1144" s="3">
        <f t="shared" si="188"/>
        <v>1288362.0977302464</v>
      </c>
      <c r="H1144" s="3">
        <f t="shared" si="187"/>
        <v>160198.83968243227</v>
      </c>
      <c r="I1144" s="3">
        <f t="shared" si="184"/>
        <v>1128163.258047814</v>
      </c>
      <c r="J1144" s="3">
        <f t="shared" si="185"/>
        <v>18095697.503844056</v>
      </c>
      <c r="K1144" s="24">
        <v>1289000</v>
      </c>
      <c r="L1144" s="24">
        <f>L1143+G1144-K1144</f>
        <v>-1275.804539507255</v>
      </c>
    </row>
    <row r="1145" spans="2:12" x14ac:dyDescent="0.35">
      <c r="B1145" s="1">
        <v>10</v>
      </c>
      <c r="C1145" s="22">
        <v>44896</v>
      </c>
      <c r="D1145" s="22">
        <v>44926</v>
      </c>
      <c r="E1145" s="23">
        <f t="shared" si="183"/>
        <v>31</v>
      </c>
      <c r="F1145" s="3">
        <f t="shared" si="186"/>
        <v>18095697.503844056</v>
      </c>
      <c r="G1145" s="3">
        <f t="shared" si="188"/>
        <v>1288362.0977302464</v>
      </c>
      <c r="H1145" s="3">
        <f t="shared" si="187"/>
        <v>150797.47919870046</v>
      </c>
      <c r="I1145" s="3">
        <f t="shared" si="184"/>
        <v>1137564.6185315459</v>
      </c>
      <c r="J1145" s="3">
        <f t="shared" si="185"/>
        <v>16958132.885312509</v>
      </c>
      <c r="K1145" s="24"/>
      <c r="L1145" s="24">
        <f>L1144+G1145-K1145</f>
        <v>1287086.2931907391</v>
      </c>
    </row>
    <row r="1146" spans="2:12" x14ac:dyDescent="0.35">
      <c r="B1146" s="1">
        <v>11</v>
      </c>
      <c r="C1146" s="22">
        <v>44927</v>
      </c>
      <c r="D1146" s="22">
        <v>44957</v>
      </c>
      <c r="E1146" s="23">
        <f t="shared" si="183"/>
        <v>31</v>
      </c>
      <c r="F1146" s="3">
        <f t="shared" si="186"/>
        <v>16958132.885312509</v>
      </c>
      <c r="G1146" s="3">
        <f t="shared" si="188"/>
        <v>1288362.0977302464</v>
      </c>
      <c r="H1146" s="3">
        <f t="shared" si="187"/>
        <v>141317.77404427092</v>
      </c>
      <c r="I1146" s="3">
        <f t="shared" si="184"/>
        <v>1147044.3236859755</v>
      </c>
      <c r="J1146" s="3">
        <f t="shared" si="185"/>
        <v>15811088.561626533</v>
      </c>
      <c r="K1146" s="24">
        <v>1300000</v>
      </c>
      <c r="L1146" s="24">
        <f>L1145+G1146-K1146</f>
        <v>1275448.3909209855</v>
      </c>
    </row>
    <row r="1147" spans="2:12" x14ac:dyDescent="0.35">
      <c r="B1147" s="1">
        <v>12</v>
      </c>
      <c r="C1147" s="22">
        <v>44958</v>
      </c>
      <c r="D1147" s="22">
        <v>44985</v>
      </c>
      <c r="E1147" s="23">
        <f t="shared" si="183"/>
        <v>28</v>
      </c>
      <c r="F1147" s="3">
        <f t="shared" si="186"/>
        <v>15811088.561626533</v>
      </c>
      <c r="G1147" s="3">
        <f t="shared" si="188"/>
        <v>1288362.0977302464</v>
      </c>
      <c r="H1147" s="3">
        <f t="shared" si="187"/>
        <v>131759.07134688777</v>
      </c>
      <c r="I1147" s="3">
        <f t="shared" si="184"/>
        <v>1156603.0263833585</v>
      </c>
      <c r="J1147" s="3">
        <f t="shared" si="185"/>
        <v>14654485.535243174</v>
      </c>
      <c r="K1147" s="24">
        <f>17032000+185653.47</f>
        <v>17217653.469999999</v>
      </c>
      <c r="L1147" s="24" t="s">
        <v>853</v>
      </c>
    </row>
    <row r="1148" spans="2:12" x14ac:dyDescent="0.35">
      <c r="B1148" s="1">
        <v>13</v>
      </c>
      <c r="C1148" s="22">
        <v>44986</v>
      </c>
      <c r="D1148" s="22">
        <v>45016</v>
      </c>
      <c r="E1148" s="23">
        <f t="shared" si="183"/>
        <v>31</v>
      </c>
      <c r="F1148" s="3">
        <f t="shared" si="186"/>
        <v>14654485.535243174</v>
      </c>
      <c r="G1148" s="3">
        <f t="shared" si="188"/>
        <v>1288362.0977302464</v>
      </c>
      <c r="H1148" s="3">
        <f t="shared" si="187"/>
        <v>122120.71279369312</v>
      </c>
      <c r="I1148" s="3">
        <f t="shared" si="184"/>
        <v>1166241.3849365532</v>
      </c>
      <c r="J1148" s="3">
        <f t="shared" si="185"/>
        <v>13488244.150306622</v>
      </c>
      <c r="K1148" s="24"/>
      <c r="L1148" s="24"/>
    </row>
    <row r="1149" spans="2:12" x14ac:dyDescent="0.35">
      <c r="B1149" s="1">
        <v>14</v>
      </c>
      <c r="C1149" s="22">
        <v>45017</v>
      </c>
      <c r="D1149" s="22">
        <v>45046</v>
      </c>
      <c r="E1149" s="23">
        <f t="shared" si="183"/>
        <v>30</v>
      </c>
      <c r="F1149" s="3">
        <f t="shared" si="186"/>
        <v>13488244.150306622</v>
      </c>
      <c r="G1149" s="3">
        <f t="shared" si="188"/>
        <v>1288362.0977302464</v>
      </c>
      <c r="H1149" s="3">
        <f t="shared" si="187"/>
        <v>112402.03458588851</v>
      </c>
      <c r="I1149" s="3">
        <f t="shared" si="184"/>
        <v>1175960.0631443579</v>
      </c>
      <c r="J1149" s="3">
        <f t="shared" si="185"/>
        <v>12312284.087162264</v>
      </c>
      <c r="K1149" s="24"/>
      <c r="L1149" s="24"/>
    </row>
    <row r="1150" spans="2:12" x14ac:dyDescent="0.35">
      <c r="B1150" s="1">
        <v>15</v>
      </c>
      <c r="C1150" s="22">
        <v>45047</v>
      </c>
      <c r="D1150" s="22">
        <v>45077</v>
      </c>
      <c r="E1150" s="23">
        <f t="shared" si="183"/>
        <v>31</v>
      </c>
      <c r="F1150" s="3">
        <f t="shared" si="186"/>
        <v>12312284.087162264</v>
      </c>
      <c r="G1150" s="3">
        <f t="shared" si="188"/>
        <v>1288362.0977302464</v>
      </c>
      <c r="H1150" s="3">
        <f t="shared" si="187"/>
        <v>102602.36739301887</v>
      </c>
      <c r="I1150" s="3">
        <f t="shared" si="184"/>
        <v>1185759.7303372275</v>
      </c>
      <c r="J1150" s="3">
        <f t="shared" si="185"/>
        <v>11126524.356825037</v>
      </c>
      <c r="K1150" s="24"/>
      <c r="L1150" s="24"/>
    </row>
    <row r="1151" spans="2:12" x14ac:dyDescent="0.35">
      <c r="B1151" s="1">
        <v>16</v>
      </c>
      <c r="C1151" s="22">
        <v>45078</v>
      </c>
      <c r="D1151" s="22">
        <v>45107</v>
      </c>
      <c r="E1151" s="23">
        <f t="shared" si="183"/>
        <v>30</v>
      </c>
      <c r="F1151" s="3">
        <f t="shared" si="186"/>
        <v>11126524.356825037</v>
      </c>
      <c r="G1151" s="3">
        <f t="shared" si="188"/>
        <v>1288362.0977302464</v>
      </c>
      <c r="H1151" s="3">
        <f t="shared" si="187"/>
        <v>92721.036306875307</v>
      </c>
      <c r="I1151" s="3">
        <f t="shared" si="184"/>
        <v>1195641.0614233711</v>
      </c>
      <c r="J1151" s="3">
        <f t="shared" si="185"/>
        <v>9930883.2954016663</v>
      </c>
      <c r="K1151" s="24"/>
      <c r="L1151" s="24"/>
    </row>
    <row r="1152" spans="2:12" x14ac:dyDescent="0.35">
      <c r="B1152" s="1">
        <v>17</v>
      </c>
      <c r="C1152" s="22">
        <v>45108</v>
      </c>
      <c r="D1152" s="22">
        <v>45138</v>
      </c>
      <c r="E1152" s="23">
        <f t="shared" si="183"/>
        <v>31</v>
      </c>
      <c r="F1152" s="3">
        <f t="shared" si="186"/>
        <v>9930883.2954016663</v>
      </c>
      <c r="G1152" s="3">
        <f t="shared" si="188"/>
        <v>1288362.0977302464</v>
      </c>
      <c r="H1152" s="3">
        <f t="shared" si="187"/>
        <v>82757.360795013883</v>
      </c>
      <c r="I1152" s="3">
        <f t="shared" si="184"/>
        <v>1205604.7369352325</v>
      </c>
      <c r="J1152" s="3">
        <f t="shared" si="185"/>
        <v>8725278.5584664345</v>
      </c>
      <c r="K1152" s="24"/>
      <c r="L1152" s="24"/>
    </row>
    <row r="1153" spans="2:19" x14ac:dyDescent="0.35">
      <c r="B1153" s="1">
        <v>18</v>
      </c>
      <c r="C1153" s="22">
        <v>45139</v>
      </c>
      <c r="D1153" s="22">
        <v>45169</v>
      </c>
      <c r="E1153" s="23">
        <f t="shared" si="183"/>
        <v>31</v>
      </c>
      <c r="F1153" s="3">
        <f t="shared" si="186"/>
        <v>8725278.5584664345</v>
      </c>
      <c r="G1153" s="3">
        <f t="shared" si="188"/>
        <v>1288362.0977302464</v>
      </c>
      <c r="H1153" s="3">
        <f t="shared" si="187"/>
        <v>72710.654653886959</v>
      </c>
      <c r="I1153" s="3">
        <f t="shared" si="184"/>
        <v>1215651.4430763593</v>
      </c>
      <c r="J1153" s="3">
        <f t="shared" si="185"/>
        <v>7509627.1153900754</v>
      </c>
      <c r="K1153" s="24"/>
      <c r="L1153" s="24"/>
    </row>
    <row r="1154" spans="2:19" x14ac:dyDescent="0.35">
      <c r="B1154" s="1">
        <v>19</v>
      </c>
      <c r="C1154" s="22">
        <v>45170</v>
      </c>
      <c r="D1154" s="22">
        <v>45199</v>
      </c>
      <c r="E1154" s="23">
        <f t="shared" si="183"/>
        <v>30</v>
      </c>
      <c r="F1154" s="3">
        <f t="shared" si="186"/>
        <v>7509627.1153900754</v>
      </c>
      <c r="G1154" s="3">
        <f t="shared" si="188"/>
        <v>1288362.0977302464</v>
      </c>
      <c r="H1154" s="3">
        <f t="shared" si="187"/>
        <v>62580.225961583958</v>
      </c>
      <c r="I1154" s="3">
        <f t="shared" si="184"/>
        <v>1225781.8717686625</v>
      </c>
      <c r="J1154" s="3">
        <f t="shared" si="185"/>
        <v>6283845.2436214127</v>
      </c>
      <c r="K1154" s="24"/>
      <c r="L1154" s="24"/>
    </row>
    <row r="1155" spans="2:19" x14ac:dyDescent="0.35">
      <c r="B1155" s="1">
        <v>20</v>
      </c>
      <c r="C1155" s="22">
        <v>45200</v>
      </c>
      <c r="D1155" s="22">
        <v>45230</v>
      </c>
      <c r="E1155" s="23">
        <f t="shared" si="183"/>
        <v>31</v>
      </c>
      <c r="F1155" s="3">
        <f t="shared" si="186"/>
        <v>6283845.2436214127</v>
      </c>
      <c r="G1155" s="3">
        <f t="shared" si="188"/>
        <v>1288362.0977302464</v>
      </c>
      <c r="H1155" s="3">
        <f t="shared" si="187"/>
        <v>52365.377030178439</v>
      </c>
      <c r="I1155" s="3">
        <f t="shared" si="184"/>
        <v>1235996.7207000679</v>
      </c>
      <c r="J1155" s="3">
        <f t="shared" si="185"/>
        <v>5047848.5229213443</v>
      </c>
      <c r="K1155" s="24"/>
      <c r="L1155" s="24"/>
    </row>
    <row r="1156" spans="2:19" x14ac:dyDescent="0.35">
      <c r="B1156" s="1">
        <v>21</v>
      </c>
      <c r="C1156" s="22">
        <v>45231</v>
      </c>
      <c r="D1156" s="22">
        <v>45260</v>
      </c>
      <c r="E1156" s="23">
        <f t="shared" si="183"/>
        <v>30</v>
      </c>
      <c r="F1156" s="3">
        <f t="shared" si="186"/>
        <v>5047848.5229213443</v>
      </c>
      <c r="G1156" s="3">
        <f t="shared" si="188"/>
        <v>1288362.0977302464</v>
      </c>
      <c r="H1156" s="3">
        <f t="shared" si="187"/>
        <v>42065.404357677871</v>
      </c>
      <c r="I1156" s="3">
        <f t="shared" si="184"/>
        <v>1246296.6933725686</v>
      </c>
      <c r="J1156" s="3">
        <f t="shared" si="185"/>
        <v>3801551.8295487757</v>
      </c>
      <c r="K1156" s="24"/>
      <c r="L1156" s="24"/>
    </row>
    <row r="1157" spans="2:19" x14ac:dyDescent="0.35">
      <c r="B1157" s="1">
        <v>22</v>
      </c>
      <c r="C1157" s="22">
        <v>45261</v>
      </c>
      <c r="D1157" s="22">
        <v>45291</v>
      </c>
      <c r="E1157" s="23">
        <f t="shared" si="183"/>
        <v>31</v>
      </c>
      <c r="F1157" s="3">
        <f t="shared" si="186"/>
        <v>3801551.8295487757</v>
      </c>
      <c r="G1157" s="3">
        <f t="shared" si="188"/>
        <v>1288362.0977302464</v>
      </c>
      <c r="H1157" s="3">
        <f t="shared" si="187"/>
        <v>31679.598579573129</v>
      </c>
      <c r="I1157" s="3">
        <f t="shared" si="184"/>
        <v>1256682.4991506732</v>
      </c>
      <c r="J1157" s="3">
        <f t="shared" si="185"/>
        <v>2544869.3303981023</v>
      </c>
      <c r="K1157" s="24"/>
      <c r="L1157" s="24"/>
    </row>
    <row r="1158" spans="2:19" x14ac:dyDescent="0.35">
      <c r="B1158" s="1">
        <v>23</v>
      </c>
      <c r="C1158" s="22">
        <v>45292</v>
      </c>
      <c r="D1158" s="22">
        <v>45322</v>
      </c>
      <c r="E1158" s="23">
        <f t="shared" si="183"/>
        <v>31</v>
      </c>
      <c r="F1158" s="3">
        <f t="shared" si="186"/>
        <v>2544869.3303981023</v>
      </c>
      <c r="G1158" s="3">
        <f t="shared" si="188"/>
        <v>1288362.0977302464</v>
      </c>
      <c r="H1158" s="3">
        <f t="shared" si="187"/>
        <v>21207.244419984185</v>
      </c>
      <c r="I1158" s="3">
        <f t="shared" si="184"/>
        <v>1267154.8533102621</v>
      </c>
      <c r="J1158" s="3">
        <f t="shared" si="185"/>
        <v>1277714.4770878402</v>
      </c>
      <c r="K1158" s="24"/>
      <c r="L1158" s="24"/>
    </row>
    <row r="1159" spans="2:19" x14ac:dyDescent="0.35">
      <c r="B1159" s="1">
        <v>24</v>
      </c>
      <c r="C1159" s="22">
        <v>45323</v>
      </c>
      <c r="D1159" s="22">
        <v>45350</v>
      </c>
      <c r="E1159" s="23">
        <f t="shared" si="183"/>
        <v>28</v>
      </c>
      <c r="F1159" s="3">
        <f t="shared" si="186"/>
        <v>1277714.4770878402</v>
      </c>
      <c r="G1159" s="3">
        <f t="shared" si="188"/>
        <v>1288362.0977302464</v>
      </c>
      <c r="H1159" s="3">
        <f t="shared" si="187"/>
        <v>10647.620642398668</v>
      </c>
      <c r="I1159" s="3">
        <f t="shared" si="184"/>
        <v>1277714.4770878477</v>
      </c>
      <c r="J1159" s="3">
        <f t="shared" si="185"/>
        <v>-7.4505805969238281E-9</v>
      </c>
      <c r="K1159" s="24"/>
      <c r="L1159" s="24"/>
    </row>
    <row r="1160" spans="2:19" ht="14.25" customHeight="1" x14ac:dyDescent="0.35">
      <c r="B1160" s="1"/>
      <c r="C1160" s="1"/>
      <c r="D1160" s="1"/>
      <c r="E1160" s="28">
        <f>SUM(E1135:E1159)</f>
        <v>748</v>
      </c>
      <c r="F1160" s="3"/>
      <c r="G1160" s="3"/>
      <c r="H1160" s="3"/>
      <c r="I1160" s="3"/>
      <c r="J1160" s="3"/>
      <c r="K1160" s="1"/>
      <c r="L1160" s="1"/>
    </row>
    <row r="1164" spans="2:19" x14ac:dyDescent="0.35">
      <c r="B1164" s="1"/>
      <c r="C1164" s="8" t="s">
        <v>591</v>
      </c>
      <c r="D1164" s="3"/>
      <c r="E1164" s="3"/>
      <c r="F1164" s="3"/>
      <c r="G1164" s="3"/>
      <c r="H1164" s="3"/>
      <c r="I1164" s="3"/>
      <c r="J1164" s="3"/>
      <c r="K1164" s="3"/>
      <c r="L1164" s="3"/>
      <c r="R1164" s="438" t="s">
        <v>832</v>
      </c>
      <c r="S1164" s="432" t="str">
        <f>IFERROR(INDEX(Blocks!$I$2:$I$101,MATCH(21,Blocks!$A$2:$A$101,0)),"")</f>
        <v>000104450000020</v>
      </c>
    </row>
    <row r="1165" spans="2:19" x14ac:dyDescent="0.35">
      <c r="B1165" s="1"/>
      <c r="C1165" s="1"/>
      <c r="D1165" s="3"/>
      <c r="E1165" s="3"/>
      <c r="F1165" s="3"/>
      <c r="G1165" s="3"/>
      <c r="H1165" s="3"/>
      <c r="I1165" s="3"/>
      <c r="J1165" s="3"/>
      <c r="K1165" s="3"/>
      <c r="L1165" s="3"/>
      <c r="R1165" s="438" t="s">
        <v>834</v>
      </c>
      <c r="S1165" s="432" t="str">
        <f>IFERROR(INDEX(Blocks!$H$2:$H$101,MATCH(21,Blocks!$A$2:$A$101,0)),"")</f>
        <v>Kayola Processors</v>
      </c>
    </row>
    <row r="1166" spans="2:19" x14ac:dyDescent="0.35">
      <c r="B1166" s="1"/>
      <c r="C1166" s="9" t="s">
        <v>835</v>
      </c>
      <c r="D1166" s="10">
        <v>20400000</v>
      </c>
      <c r="E1166" s="3"/>
      <c r="F1166" s="3"/>
      <c r="G1166" s="3"/>
      <c r="H1166" s="3"/>
      <c r="I1166" s="3"/>
      <c r="J1166" s="3"/>
      <c r="K1166" s="3"/>
      <c r="L1166" s="3"/>
      <c r="R1166" s="438" t="s">
        <v>223</v>
      </c>
      <c r="S1166" s="433">
        <f>IFERROR(INDEX('E-Banker master'!$N$2:$N$186,MATCH(S1164,'E-Banker master'!$A$2:$A$186,0)),"")</f>
        <v>12543065</v>
      </c>
    </row>
    <row r="1167" spans="2:19" x14ac:dyDescent="0.35">
      <c r="B1167" s="1"/>
      <c r="C1167" s="11" t="s">
        <v>837</v>
      </c>
      <c r="D1167" s="12">
        <v>0.1</v>
      </c>
      <c r="E1167" s="13"/>
      <c r="F1167" s="3"/>
      <c r="G1167" s="3"/>
      <c r="H1167" s="3"/>
      <c r="I1167" s="3"/>
      <c r="J1167" s="3"/>
      <c r="K1167" s="3"/>
      <c r="L1167" s="3"/>
      <c r="R1167" s="438" t="s">
        <v>52</v>
      </c>
      <c r="S1167" s="433">
        <f>IFERROR(INDEX('E-Banker master'!$P$2:$P$186,MATCH(S1164,'E-Banker master'!$A$2:$A$186,0)),"")</f>
        <v>6954076.1699999999</v>
      </c>
    </row>
    <row r="1168" spans="2:19" x14ac:dyDescent="0.35">
      <c r="B1168" s="1"/>
      <c r="C1168" s="11" t="s">
        <v>838</v>
      </c>
      <c r="D1168" s="14">
        <v>2</v>
      </c>
      <c r="E1168" s="1"/>
      <c r="F1168" s="3"/>
      <c r="G1168" s="3"/>
      <c r="H1168" s="3"/>
      <c r="I1168" s="3"/>
      <c r="J1168" s="3"/>
      <c r="K1168" s="1"/>
      <c r="L1168" s="1"/>
    </row>
    <row r="1169" spans="2:12" x14ac:dyDescent="0.35">
      <c r="B1169" s="1"/>
      <c r="C1169" s="11" t="s">
        <v>839</v>
      </c>
      <c r="D1169" s="14">
        <v>12</v>
      </c>
      <c r="E1169" s="1"/>
      <c r="F1169" s="3"/>
      <c r="G1169" s="3"/>
      <c r="H1169" s="3"/>
      <c r="I1169" s="3"/>
      <c r="J1169" s="3"/>
      <c r="K1169" s="1"/>
      <c r="L1169" s="1"/>
    </row>
    <row r="1170" spans="2:12" x14ac:dyDescent="0.35">
      <c r="B1170" s="1"/>
      <c r="C1170" s="11" t="s">
        <v>843</v>
      </c>
      <c r="D1170" s="15">
        <f>D1168*D1169</f>
        <v>24</v>
      </c>
      <c r="E1170" s="1"/>
      <c r="F1170" s="3"/>
      <c r="G1170" s="3"/>
      <c r="H1170" s="3"/>
      <c r="I1170" s="3"/>
      <c r="J1170" s="3"/>
      <c r="K1170" s="1"/>
      <c r="L1170" s="1"/>
    </row>
    <row r="1171" spans="2:12" x14ac:dyDescent="0.35">
      <c r="B1171" s="1"/>
      <c r="C1171" s="11" t="s">
        <v>844</v>
      </c>
      <c r="D1171" s="16">
        <v>365</v>
      </c>
      <c r="E1171" s="1"/>
      <c r="F1171" s="3"/>
      <c r="G1171" s="3"/>
      <c r="H1171" s="3"/>
      <c r="I1171" s="3"/>
      <c r="J1171" s="3"/>
      <c r="K1171" s="1"/>
      <c r="L1171" s="1"/>
    </row>
    <row r="1172" spans="2:12" x14ac:dyDescent="0.35">
      <c r="B1172" s="1"/>
      <c r="C1172" s="17" t="s">
        <v>845</v>
      </c>
      <c r="D1172" s="18">
        <f>-PMT(D1167/D1169,D1170,D1166,0,0)</f>
        <v>941356.49728533672</v>
      </c>
      <c r="E1172" s="3"/>
      <c r="F1172" s="3"/>
      <c r="G1172" s="3"/>
      <c r="H1172" s="3"/>
      <c r="I1172" s="3"/>
      <c r="J1172" s="3"/>
      <c r="K1172" s="1"/>
      <c r="L1172" s="1"/>
    </row>
    <row r="1173" spans="2:12" x14ac:dyDescent="0.35">
      <c r="B1173" s="1"/>
      <c r="C1173" s="1"/>
      <c r="D1173" s="3"/>
      <c r="E1173" s="3"/>
      <c r="F1173" s="3"/>
      <c r="G1173" s="3"/>
      <c r="H1173" s="3"/>
      <c r="I1173" s="3"/>
      <c r="J1173" s="3"/>
      <c r="K1173" s="1"/>
      <c r="L1173" s="1"/>
    </row>
    <row r="1174" spans="2:12" x14ac:dyDescent="0.35">
      <c r="B1174" s="1"/>
      <c r="C1174" s="19" t="s">
        <v>846</v>
      </c>
      <c r="D1174" s="20" t="s">
        <v>847</v>
      </c>
      <c r="E1174" s="20" t="s">
        <v>764</v>
      </c>
      <c r="F1174" s="270" t="s">
        <v>848</v>
      </c>
      <c r="G1174" s="270" t="s">
        <v>849</v>
      </c>
      <c r="H1174" s="270" t="s">
        <v>742</v>
      </c>
      <c r="I1174" s="270" t="s">
        <v>740</v>
      </c>
      <c r="J1174" s="270" t="s">
        <v>850</v>
      </c>
      <c r="K1174" s="21" t="s">
        <v>851</v>
      </c>
      <c r="L1174" s="21" t="s">
        <v>852</v>
      </c>
    </row>
    <row r="1175" spans="2:12" x14ac:dyDescent="0.35">
      <c r="B1175" s="1">
        <v>0</v>
      </c>
      <c r="C1175" s="22">
        <v>44609</v>
      </c>
      <c r="D1175" s="22">
        <v>44620</v>
      </c>
      <c r="E1175" s="23">
        <f t="shared" ref="E1175:E1211" si="189">D1175-C1175+1</f>
        <v>12</v>
      </c>
      <c r="F1175" s="3">
        <f>D1166</f>
        <v>20400000</v>
      </c>
      <c r="G1175" s="3"/>
      <c r="H1175" s="3">
        <f>F1175*E1175*D1167/D1171</f>
        <v>67068.493150684924</v>
      </c>
      <c r="I1175" s="3">
        <f t="shared" ref="I1175:I1211" si="190">G1175-H1175</f>
        <v>-67068.493150684924</v>
      </c>
      <c r="J1175" s="3">
        <f t="shared" ref="J1175:J1211" si="191">F1175-I1175</f>
        <v>20467068.493150685</v>
      </c>
      <c r="K1175" s="24"/>
      <c r="L1175" s="24"/>
    </row>
    <row r="1176" spans="2:12" x14ac:dyDescent="0.35">
      <c r="B1176" s="1">
        <v>1</v>
      </c>
      <c r="C1176" s="22">
        <v>44621</v>
      </c>
      <c r="D1176" s="22">
        <v>44651</v>
      </c>
      <c r="E1176" s="23">
        <f t="shared" si="189"/>
        <v>31</v>
      </c>
      <c r="F1176" s="3">
        <f t="shared" ref="F1176:F1199" si="192">J1175</f>
        <v>20467068.493150685</v>
      </c>
      <c r="G1176" s="3"/>
      <c r="H1176" s="3">
        <f t="shared" ref="H1176:H1211" si="193">$D$1167/$D$1169*F1176</f>
        <v>170558.90410958903</v>
      </c>
      <c r="I1176" s="3">
        <f t="shared" si="190"/>
        <v>-170558.90410958903</v>
      </c>
      <c r="J1176" s="3">
        <f t="shared" si="191"/>
        <v>20637627.397260275</v>
      </c>
      <c r="K1176" s="24"/>
      <c r="L1176" s="24"/>
    </row>
    <row r="1177" spans="2:12" x14ac:dyDescent="0.35">
      <c r="B1177" s="1">
        <v>2</v>
      </c>
      <c r="C1177" s="22">
        <v>44652</v>
      </c>
      <c r="D1177" s="22">
        <v>44681</v>
      </c>
      <c r="E1177" s="23">
        <f t="shared" si="189"/>
        <v>30</v>
      </c>
      <c r="F1177" s="3">
        <f t="shared" si="192"/>
        <v>20637627.397260275</v>
      </c>
      <c r="G1177" s="3"/>
      <c r="H1177" s="3">
        <f t="shared" si="193"/>
        <v>171980.22831050228</v>
      </c>
      <c r="I1177" s="3">
        <f t="shared" si="190"/>
        <v>-171980.22831050228</v>
      </c>
      <c r="J1177" s="3">
        <f t="shared" si="191"/>
        <v>20809607.625570778</v>
      </c>
      <c r="K1177" s="24"/>
      <c r="L1177" s="24"/>
    </row>
    <row r="1178" spans="2:12" x14ac:dyDescent="0.35">
      <c r="B1178" s="1">
        <v>3</v>
      </c>
      <c r="C1178" s="22">
        <v>44682</v>
      </c>
      <c r="D1178" s="22">
        <v>44712</v>
      </c>
      <c r="E1178" s="23">
        <f t="shared" si="189"/>
        <v>31</v>
      </c>
      <c r="F1178" s="3">
        <f t="shared" si="192"/>
        <v>20809607.625570778</v>
      </c>
      <c r="G1178" s="3"/>
      <c r="H1178" s="3">
        <f t="shared" si="193"/>
        <v>173413.39687975647</v>
      </c>
      <c r="I1178" s="3">
        <f t="shared" si="190"/>
        <v>-173413.39687975647</v>
      </c>
      <c r="J1178" s="3">
        <f t="shared" si="191"/>
        <v>20983021.022450533</v>
      </c>
      <c r="K1178" s="24">
        <v>1093316.44</v>
      </c>
      <c r="L1178" s="6">
        <v>0</v>
      </c>
    </row>
    <row r="1179" spans="2:12" x14ac:dyDescent="0.35">
      <c r="B1179" s="1">
        <v>4</v>
      </c>
      <c r="C1179" s="22">
        <v>44713</v>
      </c>
      <c r="D1179" s="22">
        <v>44742</v>
      </c>
      <c r="E1179" s="23">
        <f t="shared" si="189"/>
        <v>30</v>
      </c>
      <c r="F1179" s="3">
        <f t="shared" si="192"/>
        <v>20983021.022450533</v>
      </c>
      <c r="G1179" s="3">
        <f t="shared" ref="G1179:G1199" si="194">-PMT($D$1167/$D$1169,21,$F$1179,,0)</f>
        <v>1093316.439914105</v>
      </c>
      <c r="H1179" s="3">
        <f t="shared" si="193"/>
        <v>174858.50852042111</v>
      </c>
      <c r="I1179" s="3">
        <f t="shared" si="190"/>
        <v>918457.93139368389</v>
      </c>
      <c r="J1179" s="3">
        <f t="shared" si="191"/>
        <v>20064563.09105685</v>
      </c>
      <c r="K1179" s="24">
        <v>1093316.44</v>
      </c>
      <c r="L1179" s="24">
        <f>G1179-K1178</f>
        <v>-8.5894949734210968E-5</v>
      </c>
    </row>
    <row r="1180" spans="2:12" x14ac:dyDescent="0.35">
      <c r="B1180" s="1">
        <v>5</v>
      </c>
      <c r="C1180" s="22">
        <v>44743</v>
      </c>
      <c r="D1180" s="22">
        <v>44773</v>
      </c>
      <c r="E1180" s="23">
        <f t="shared" si="189"/>
        <v>31</v>
      </c>
      <c r="F1180" s="3">
        <f t="shared" si="192"/>
        <v>20064563.09105685</v>
      </c>
      <c r="G1180" s="3">
        <f t="shared" si="194"/>
        <v>1093316.439914105</v>
      </c>
      <c r="H1180" s="3">
        <f t="shared" si="193"/>
        <v>167204.69242547374</v>
      </c>
      <c r="I1180" s="3">
        <f t="shared" si="190"/>
        <v>926111.74748863128</v>
      </c>
      <c r="J1180" s="3">
        <f t="shared" si="191"/>
        <v>19138451.343568217</v>
      </c>
      <c r="K1180" s="24">
        <v>1093316</v>
      </c>
      <c r="L1180" s="24">
        <f>G1180-K1179</f>
        <v>-8.5894949734210968E-5</v>
      </c>
    </row>
    <row r="1181" spans="2:12" x14ac:dyDescent="0.35">
      <c r="B1181" s="1">
        <v>6</v>
      </c>
      <c r="C1181" s="22">
        <v>44774</v>
      </c>
      <c r="D1181" s="22">
        <v>44804</v>
      </c>
      <c r="E1181" s="23">
        <f t="shared" si="189"/>
        <v>31</v>
      </c>
      <c r="F1181" s="3">
        <f t="shared" si="192"/>
        <v>19138451.343568217</v>
      </c>
      <c r="G1181" s="3">
        <f t="shared" si="194"/>
        <v>1093316.439914105</v>
      </c>
      <c r="H1181" s="3">
        <f t="shared" si="193"/>
        <v>159487.09452973513</v>
      </c>
      <c r="I1181" s="3">
        <f t="shared" si="190"/>
        <v>933829.34538436984</v>
      </c>
      <c r="J1181" s="3">
        <f t="shared" si="191"/>
        <v>18204621.998183846</v>
      </c>
      <c r="K1181" s="24">
        <v>1093316</v>
      </c>
      <c r="L1181" s="24">
        <f>G1181-K1180</f>
        <v>0.43991410499438643</v>
      </c>
    </row>
    <row r="1182" spans="2:12" x14ac:dyDescent="0.35">
      <c r="B1182" s="1">
        <v>7</v>
      </c>
      <c r="C1182" s="22">
        <v>44805</v>
      </c>
      <c r="D1182" s="22">
        <v>44834</v>
      </c>
      <c r="E1182" s="23">
        <f t="shared" si="189"/>
        <v>30</v>
      </c>
      <c r="F1182" s="3">
        <f t="shared" si="192"/>
        <v>18204621.998183846</v>
      </c>
      <c r="G1182" s="3">
        <f t="shared" si="194"/>
        <v>1093316.439914105</v>
      </c>
      <c r="H1182" s="3">
        <f t="shared" si="193"/>
        <v>151705.18331819872</v>
      </c>
      <c r="I1182" s="3">
        <f t="shared" si="190"/>
        <v>941611.25659590634</v>
      </c>
      <c r="J1182" s="3">
        <f t="shared" si="191"/>
        <v>17263010.741587941</v>
      </c>
      <c r="K1182" s="24">
        <v>1093317</v>
      </c>
      <c r="L1182" s="26">
        <f>G1182-K1181</f>
        <v>0.43991410499438643</v>
      </c>
    </row>
    <row r="1183" spans="2:12" x14ac:dyDescent="0.35">
      <c r="B1183" s="1">
        <v>8</v>
      </c>
      <c r="C1183" s="22">
        <v>44835</v>
      </c>
      <c r="D1183" s="22">
        <v>44865</v>
      </c>
      <c r="E1183" s="23">
        <f t="shared" si="189"/>
        <v>31</v>
      </c>
      <c r="F1183" s="3">
        <f t="shared" si="192"/>
        <v>17263010.741587941</v>
      </c>
      <c r="G1183" s="3">
        <f t="shared" si="194"/>
        <v>1093316.439914105</v>
      </c>
      <c r="H1183" s="3">
        <f t="shared" si="193"/>
        <v>143858.42284656616</v>
      </c>
      <c r="I1183" s="3">
        <f t="shared" si="190"/>
        <v>949458.01706753881</v>
      </c>
      <c r="J1183" s="3">
        <f t="shared" si="191"/>
        <v>16313552.724520402</v>
      </c>
      <c r="K1183" s="24"/>
      <c r="L1183" s="24">
        <f>G1183-K1182</f>
        <v>-0.56008589500561357</v>
      </c>
    </row>
    <row r="1184" spans="2:12" x14ac:dyDescent="0.35">
      <c r="B1184" s="1">
        <v>9</v>
      </c>
      <c r="C1184" s="22">
        <v>44866</v>
      </c>
      <c r="D1184" s="22">
        <v>44895</v>
      </c>
      <c r="E1184" s="23">
        <f t="shared" si="189"/>
        <v>30</v>
      </c>
      <c r="F1184" s="3">
        <f t="shared" si="192"/>
        <v>16313552.724520402</v>
      </c>
      <c r="G1184" s="3">
        <f t="shared" si="194"/>
        <v>1093316.439914105</v>
      </c>
      <c r="H1184" s="3">
        <f t="shared" si="193"/>
        <v>135946.27270433668</v>
      </c>
      <c r="I1184" s="3">
        <f t="shared" si="190"/>
        <v>957370.16720976832</v>
      </c>
      <c r="J1184" s="3">
        <f t="shared" si="191"/>
        <v>15356182.557310633</v>
      </c>
      <c r="K1184" s="24">
        <f>500000+200000+200000</f>
        <v>900000</v>
      </c>
      <c r="L1184" s="24">
        <f>G1184-K1184</f>
        <v>193316.43991410499</v>
      </c>
    </row>
    <row r="1185" spans="2:12" x14ac:dyDescent="0.35">
      <c r="B1185" s="1">
        <v>10</v>
      </c>
      <c r="C1185" s="22">
        <v>44896</v>
      </c>
      <c r="D1185" s="22">
        <v>44926</v>
      </c>
      <c r="E1185" s="23">
        <f t="shared" si="189"/>
        <v>31</v>
      </c>
      <c r="F1185" s="3">
        <f t="shared" si="192"/>
        <v>15356182.557310633</v>
      </c>
      <c r="G1185" s="3">
        <f t="shared" si="194"/>
        <v>1093316.439914105</v>
      </c>
      <c r="H1185" s="3">
        <f t="shared" si="193"/>
        <v>127968.1879775886</v>
      </c>
      <c r="I1185" s="3">
        <f t="shared" si="190"/>
        <v>965348.25193651638</v>
      </c>
      <c r="J1185" s="3">
        <f t="shared" si="191"/>
        <v>14390834.305374118</v>
      </c>
      <c r="K1185" s="24"/>
      <c r="L1185" s="24">
        <f t="shared" ref="L1185:L1199" si="195">L1184+G1185-K1185</f>
        <v>1286632.87982821</v>
      </c>
    </row>
    <row r="1186" spans="2:12" x14ac:dyDescent="0.35">
      <c r="B1186" s="1">
        <v>11</v>
      </c>
      <c r="C1186" s="22">
        <v>44927</v>
      </c>
      <c r="D1186" s="22">
        <v>44957</v>
      </c>
      <c r="E1186" s="23">
        <f t="shared" si="189"/>
        <v>31</v>
      </c>
      <c r="F1186" s="3">
        <f t="shared" si="192"/>
        <v>14390834.305374118</v>
      </c>
      <c r="G1186" s="3">
        <f t="shared" si="194"/>
        <v>1093316.439914105</v>
      </c>
      <c r="H1186" s="3">
        <f t="shared" si="193"/>
        <v>119923.61921145098</v>
      </c>
      <c r="I1186" s="3">
        <f t="shared" si="190"/>
        <v>973392.82070265408</v>
      </c>
      <c r="J1186" s="3">
        <f t="shared" si="191"/>
        <v>13417441.484671464</v>
      </c>
      <c r="K1186" s="24">
        <f>500000+200000+200000</f>
        <v>900000</v>
      </c>
      <c r="L1186" s="24">
        <f t="shared" si="195"/>
        <v>1479949.319742315</v>
      </c>
    </row>
    <row r="1187" spans="2:12" x14ac:dyDescent="0.35">
      <c r="B1187" s="1">
        <v>12</v>
      </c>
      <c r="C1187" s="22">
        <v>44958</v>
      </c>
      <c r="D1187" s="22">
        <v>44985</v>
      </c>
      <c r="E1187" s="23">
        <f t="shared" si="189"/>
        <v>28</v>
      </c>
      <c r="F1187" s="3">
        <f t="shared" si="192"/>
        <v>13417441.484671464</v>
      </c>
      <c r="G1187" s="3">
        <f t="shared" si="194"/>
        <v>1093316.439914105</v>
      </c>
      <c r="H1187" s="3">
        <f t="shared" si="193"/>
        <v>111812.01237226219</v>
      </c>
      <c r="I1187" s="3">
        <f t="shared" si="190"/>
        <v>981504.4275418428</v>
      </c>
      <c r="J1187" s="3">
        <f t="shared" si="191"/>
        <v>12435937.057129622</v>
      </c>
      <c r="K1187" s="24">
        <v>200000</v>
      </c>
      <c r="L1187" s="24">
        <f t="shared" si="195"/>
        <v>2373265.75965642</v>
      </c>
    </row>
    <row r="1188" spans="2:12" x14ac:dyDescent="0.35">
      <c r="B1188" s="1">
        <v>13</v>
      </c>
      <c r="C1188" s="22">
        <v>44986</v>
      </c>
      <c r="D1188" s="22">
        <v>45016</v>
      </c>
      <c r="E1188" s="23">
        <f t="shared" si="189"/>
        <v>31</v>
      </c>
      <c r="F1188" s="3">
        <f t="shared" si="192"/>
        <v>12435937.057129622</v>
      </c>
      <c r="G1188" s="3">
        <f t="shared" si="194"/>
        <v>1093316.439914105</v>
      </c>
      <c r="H1188" s="3">
        <f t="shared" si="193"/>
        <v>103632.80880941352</v>
      </c>
      <c r="I1188" s="3">
        <f t="shared" si="190"/>
        <v>989683.63110469142</v>
      </c>
      <c r="J1188" s="3">
        <f t="shared" si="191"/>
        <v>11446253.426024931</v>
      </c>
      <c r="K1188" s="24">
        <v>0</v>
      </c>
      <c r="L1188" s="24">
        <f t="shared" si="195"/>
        <v>3466582.199570525</v>
      </c>
    </row>
    <row r="1189" spans="2:12" x14ac:dyDescent="0.35">
      <c r="B1189" s="1">
        <v>14</v>
      </c>
      <c r="C1189" s="22">
        <v>45017</v>
      </c>
      <c r="D1189" s="22">
        <v>45046</v>
      </c>
      <c r="E1189" s="23">
        <f t="shared" si="189"/>
        <v>30</v>
      </c>
      <c r="F1189" s="3">
        <f t="shared" si="192"/>
        <v>11446253.426024931</v>
      </c>
      <c r="G1189" s="3">
        <f t="shared" si="194"/>
        <v>1093316.439914105</v>
      </c>
      <c r="H1189" s="3">
        <f t="shared" si="193"/>
        <v>95385.445216874417</v>
      </c>
      <c r="I1189" s="3">
        <f t="shared" si="190"/>
        <v>997930.99469723064</v>
      </c>
      <c r="J1189" s="3">
        <f t="shared" si="191"/>
        <v>10448322.431327701</v>
      </c>
      <c r="K1189" s="24"/>
      <c r="L1189" s="24">
        <f t="shared" si="195"/>
        <v>4559898.63948463</v>
      </c>
    </row>
    <row r="1190" spans="2:12" x14ac:dyDescent="0.35">
      <c r="B1190" s="1">
        <v>15</v>
      </c>
      <c r="C1190" s="22">
        <v>45047</v>
      </c>
      <c r="D1190" s="22">
        <v>45077</v>
      </c>
      <c r="E1190" s="23">
        <f t="shared" si="189"/>
        <v>31</v>
      </c>
      <c r="F1190" s="3">
        <f t="shared" si="192"/>
        <v>10448322.431327701</v>
      </c>
      <c r="G1190" s="3">
        <f t="shared" si="194"/>
        <v>1093316.439914105</v>
      </c>
      <c r="H1190" s="3">
        <f t="shared" si="193"/>
        <v>87069.3535943975</v>
      </c>
      <c r="I1190" s="3">
        <f t="shared" si="190"/>
        <v>1006247.0863197075</v>
      </c>
      <c r="J1190" s="3">
        <f t="shared" si="191"/>
        <v>9442075.3450079933</v>
      </c>
      <c r="K1190" s="24"/>
      <c r="L1190" s="24">
        <f t="shared" si="195"/>
        <v>5653215.0793987345</v>
      </c>
    </row>
    <row r="1191" spans="2:12" x14ac:dyDescent="0.35">
      <c r="B1191" s="1">
        <v>16</v>
      </c>
      <c r="C1191" s="22">
        <v>45078</v>
      </c>
      <c r="D1191" s="22">
        <v>45107</v>
      </c>
      <c r="E1191" s="23">
        <f t="shared" si="189"/>
        <v>30</v>
      </c>
      <c r="F1191" s="3">
        <f t="shared" si="192"/>
        <v>9442075.3450079933</v>
      </c>
      <c r="G1191" s="3">
        <f t="shared" si="194"/>
        <v>1093316.439914105</v>
      </c>
      <c r="H1191" s="3">
        <f t="shared" si="193"/>
        <v>78683.961208399938</v>
      </c>
      <c r="I1191" s="3">
        <f t="shared" si="190"/>
        <v>1014632.478705705</v>
      </c>
      <c r="J1191" s="3">
        <f t="shared" si="191"/>
        <v>8427442.8663022891</v>
      </c>
      <c r="K1191" s="24"/>
      <c r="L1191" s="26">
        <f t="shared" si="195"/>
        <v>6746531.51931284</v>
      </c>
    </row>
    <row r="1192" spans="2:12" x14ac:dyDescent="0.35">
      <c r="B1192" s="1">
        <v>17</v>
      </c>
      <c r="C1192" s="22">
        <v>45108</v>
      </c>
      <c r="D1192" s="22">
        <v>45138</v>
      </c>
      <c r="E1192" s="23">
        <f t="shared" si="189"/>
        <v>31</v>
      </c>
      <c r="F1192" s="3">
        <f t="shared" si="192"/>
        <v>8427442.8663022891</v>
      </c>
      <c r="G1192" s="3">
        <f t="shared" si="194"/>
        <v>1093316.439914105</v>
      </c>
      <c r="H1192" s="3">
        <f t="shared" si="193"/>
        <v>70228.690552519081</v>
      </c>
      <c r="I1192" s="3">
        <f t="shared" si="190"/>
        <v>1023087.7493615859</v>
      </c>
      <c r="J1192" s="3">
        <f t="shared" si="191"/>
        <v>7404355.1169407032</v>
      </c>
      <c r="K1192" s="24"/>
      <c r="L1192" s="26">
        <f t="shared" si="195"/>
        <v>7839847.9592269454</v>
      </c>
    </row>
    <row r="1193" spans="2:12" x14ac:dyDescent="0.35">
      <c r="B1193" s="1">
        <v>18</v>
      </c>
      <c r="C1193" s="22">
        <v>45139</v>
      </c>
      <c r="D1193" s="22">
        <v>45169</v>
      </c>
      <c r="E1193" s="23">
        <f t="shared" si="189"/>
        <v>31</v>
      </c>
      <c r="F1193" s="3">
        <f t="shared" si="192"/>
        <v>7404355.1169407032</v>
      </c>
      <c r="G1193" s="3">
        <f t="shared" si="194"/>
        <v>1093316.439914105</v>
      </c>
      <c r="H1193" s="3">
        <f t="shared" si="193"/>
        <v>61702.959307839192</v>
      </c>
      <c r="I1193" s="3">
        <f t="shared" si="190"/>
        <v>1031613.4806062658</v>
      </c>
      <c r="J1193" s="3">
        <f t="shared" si="191"/>
        <v>6372741.6363344379</v>
      </c>
      <c r="K1193" s="24"/>
      <c r="L1193" s="24">
        <f t="shared" si="195"/>
        <v>8933164.3991410509</v>
      </c>
    </row>
    <row r="1194" spans="2:12" x14ac:dyDescent="0.35">
      <c r="B1194" s="1">
        <v>19</v>
      </c>
      <c r="C1194" s="22">
        <v>45170</v>
      </c>
      <c r="D1194" s="22">
        <v>45199</v>
      </c>
      <c r="E1194" s="23">
        <f t="shared" si="189"/>
        <v>30</v>
      </c>
      <c r="F1194" s="3">
        <f t="shared" si="192"/>
        <v>6372741.6363344379</v>
      </c>
      <c r="G1194" s="3">
        <f t="shared" si="194"/>
        <v>1093316.439914105</v>
      </c>
      <c r="H1194" s="3">
        <f t="shared" si="193"/>
        <v>53106.180302786983</v>
      </c>
      <c r="I1194" s="3">
        <f t="shared" si="190"/>
        <v>1040210.259611318</v>
      </c>
      <c r="J1194" s="3">
        <f t="shared" si="191"/>
        <v>5332531.37672312</v>
      </c>
      <c r="K1194" s="24">
        <v>150000</v>
      </c>
      <c r="L1194" s="24">
        <f t="shared" si="195"/>
        <v>9876480.8390551563</v>
      </c>
    </row>
    <row r="1195" spans="2:12" x14ac:dyDescent="0.35">
      <c r="B1195" s="1">
        <v>20</v>
      </c>
      <c r="C1195" s="22">
        <v>45200</v>
      </c>
      <c r="D1195" s="22">
        <v>45230</v>
      </c>
      <c r="E1195" s="23">
        <f t="shared" si="189"/>
        <v>31</v>
      </c>
      <c r="F1195" s="3">
        <f t="shared" si="192"/>
        <v>5332531.37672312</v>
      </c>
      <c r="G1195" s="3">
        <f t="shared" si="194"/>
        <v>1093316.439914105</v>
      </c>
      <c r="H1195" s="3">
        <f t="shared" si="193"/>
        <v>44437.761472692669</v>
      </c>
      <c r="I1195" s="3">
        <f t="shared" si="190"/>
        <v>1048878.6784414123</v>
      </c>
      <c r="J1195" s="3">
        <f t="shared" si="191"/>
        <v>4283652.6982817072</v>
      </c>
      <c r="K1195" s="24"/>
      <c r="L1195" s="24">
        <f t="shared" si="195"/>
        <v>10969797.278969262</v>
      </c>
    </row>
    <row r="1196" spans="2:12" x14ac:dyDescent="0.35">
      <c r="B1196" s="1">
        <v>21</v>
      </c>
      <c r="C1196" s="22">
        <v>45231</v>
      </c>
      <c r="D1196" s="22">
        <v>45260</v>
      </c>
      <c r="E1196" s="23">
        <f t="shared" si="189"/>
        <v>30</v>
      </c>
      <c r="F1196" s="3">
        <f t="shared" si="192"/>
        <v>4283652.6982817072</v>
      </c>
      <c r="G1196" s="3">
        <f t="shared" si="194"/>
        <v>1093316.439914105</v>
      </c>
      <c r="H1196" s="3">
        <f t="shared" si="193"/>
        <v>35697.105819014228</v>
      </c>
      <c r="I1196" s="3">
        <f t="shared" si="190"/>
        <v>1057619.3340950909</v>
      </c>
      <c r="J1196" s="3">
        <f t="shared" si="191"/>
        <v>3226033.3641866166</v>
      </c>
      <c r="K1196" s="24"/>
      <c r="L1196" s="24">
        <f t="shared" si="195"/>
        <v>12063113.718883367</v>
      </c>
    </row>
    <row r="1197" spans="2:12" x14ac:dyDescent="0.35">
      <c r="B1197" s="1">
        <v>22</v>
      </c>
      <c r="C1197" s="22">
        <v>45261</v>
      </c>
      <c r="D1197" s="22">
        <v>45291</v>
      </c>
      <c r="E1197" s="23">
        <f t="shared" si="189"/>
        <v>31</v>
      </c>
      <c r="F1197" s="3">
        <f t="shared" si="192"/>
        <v>3226033.3641866166</v>
      </c>
      <c r="G1197" s="3">
        <f t="shared" si="194"/>
        <v>1093316.439914105</v>
      </c>
      <c r="H1197" s="3">
        <f t="shared" si="193"/>
        <v>26883.611368221806</v>
      </c>
      <c r="I1197" s="3">
        <f t="shared" si="190"/>
        <v>1066432.8285458833</v>
      </c>
      <c r="J1197" s="3">
        <f t="shared" si="191"/>
        <v>2159600.5356407333</v>
      </c>
      <c r="K1197" s="24">
        <v>800000</v>
      </c>
      <c r="L1197" s="24">
        <f t="shared" si="195"/>
        <v>12356430.158797473</v>
      </c>
    </row>
    <row r="1198" spans="2:12" x14ac:dyDescent="0.35">
      <c r="B1198" s="1">
        <v>23</v>
      </c>
      <c r="C1198" s="22">
        <v>45292</v>
      </c>
      <c r="D1198" s="22">
        <v>45322</v>
      </c>
      <c r="E1198" s="23">
        <f t="shared" si="189"/>
        <v>31</v>
      </c>
      <c r="F1198" s="3">
        <f t="shared" si="192"/>
        <v>2159600.5356407333</v>
      </c>
      <c r="G1198" s="3">
        <f t="shared" si="194"/>
        <v>1093316.439914105</v>
      </c>
      <c r="H1198" s="3">
        <f t="shared" si="193"/>
        <v>17996.671130339444</v>
      </c>
      <c r="I1198" s="3">
        <f t="shared" si="190"/>
        <v>1075319.7687837656</v>
      </c>
      <c r="J1198" s="3">
        <f t="shared" si="191"/>
        <v>1084280.7668569677</v>
      </c>
      <c r="K1198" s="24"/>
      <c r="L1198" s="24">
        <f t="shared" si="195"/>
        <v>13449746.598711578</v>
      </c>
    </row>
    <row r="1199" spans="2:12" x14ac:dyDescent="0.35">
      <c r="B1199" s="1">
        <v>24</v>
      </c>
      <c r="C1199" s="22">
        <v>45323</v>
      </c>
      <c r="D1199" s="22">
        <v>45350</v>
      </c>
      <c r="E1199" s="23">
        <f t="shared" si="189"/>
        <v>28</v>
      </c>
      <c r="F1199" s="3">
        <f t="shared" si="192"/>
        <v>1084280.7668569677</v>
      </c>
      <c r="G1199" s="3">
        <f t="shared" si="194"/>
        <v>1093316.439914105</v>
      </c>
      <c r="H1199" s="3">
        <f t="shared" si="193"/>
        <v>9035.6730571413973</v>
      </c>
      <c r="I1199" s="3">
        <f t="shared" si="190"/>
        <v>1084280.7668569635</v>
      </c>
      <c r="J1199" s="3">
        <f t="shared" si="191"/>
        <v>4.1909515857696533E-9</v>
      </c>
      <c r="K1199" s="24">
        <v>2000000</v>
      </c>
      <c r="L1199" s="24">
        <f t="shared" si="195"/>
        <v>12543063.038625684</v>
      </c>
    </row>
    <row r="1200" spans="2:12" ht="14.25" customHeight="1" x14ac:dyDescent="0.35">
      <c r="B1200" s="1">
        <v>25</v>
      </c>
      <c r="C1200" s="22">
        <v>45352</v>
      </c>
      <c r="D1200" s="22">
        <v>45382</v>
      </c>
      <c r="E1200" s="23">
        <f t="shared" si="189"/>
        <v>31</v>
      </c>
      <c r="F1200" s="3">
        <f>L1199</f>
        <v>12543063.038625684</v>
      </c>
      <c r="G1200" s="3"/>
      <c r="H1200" s="3">
        <f t="shared" si="193"/>
        <v>104525.52532188069</v>
      </c>
      <c r="I1200" s="3">
        <f t="shared" si="190"/>
        <v>-104525.52532188069</v>
      </c>
      <c r="J1200" s="3">
        <f t="shared" si="191"/>
        <v>12647588.563947564</v>
      </c>
      <c r="K1200" s="1"/>
      <c r="L1200" s="1"/>
    </row>
    <row r="1201" spans="2:12" ht="14.25" customHeight="1" x14ac:dyDescent="0.35">
      <c r="B1201" s="1">
        <v>26</v>
      </c>
      <c r="C1201" s="22">
        <v>45383</v>
      </c>
      <c r="D1201" s="22">
        <v>45412</v>
      </c>
      <c r="E1201" s="23">
        <f t="shared" si="189"/>
        <v>30</v>
      </c>
      <c r="F1201" s="3">
        <f t="shared" ref="F1201:F1211" si="196">J1200</f>
        <v>12647588.563947564</v>
      </c>
      <c r="G1201" s="3">
        <f t="shared" ref="G1201:G1211" si="197">-PMT($D$1167/$D$1169,11,$F$1201,,0)</f>
        <v>1208064.8564703013</v>
      </c>
      <c r="H1201" s="3">
        <f t="shared" si="193"/>
        <v>105396.57136622969</v>
      </c>
      <c r="I1201" s="298">
        <f t="shared" si="190"/>
        <v>1102668.2851040715</v>
      </c>
      <c r="J1201" s="3">
        <f t="shared" si="191"/>
        <v>11544920.278843492</v>
      </c>
      <c r="K1201" s="1"/>
      <c r="L1201" s="25">
        <f>G1201</f>
        <v>1208064.8564703013</v>
      </c>
    </row>
    <row r="1202" spans="2:12" ht="14.25" customHeight="1" x14ac:dyDescent="0.35">
      <c r="B1202" s="1">
        <v>27</v>
      </c>
      <c r="C1202" s="22">
        <v>45413</v>
      </c>
      <c r="D1202" s="22">
        <v>45443</v>
      </c>
      <c r="E1202" s="23">
        <f t="shared" si="189"/>
        <v>31</v>
      </c>
      <c r="F1202" s="3">
        <f t="shared" si="196"/>
        <v>11544920.278843492</v>
      </c>
      <c r="G1202" s="3">
        <f t="shared" si="197"/>
        <v>1208064.8564703013</v>
      </c>
      <c r="H1202" s="3">
        <f t="shared" si="193"/>
        <v>96207.668990362436</v>
      </c>
      <c r="I1202" s="3">
        <f t="shared" si="190"/>
        <v>1111857.1874799388</v>
      </c>
      <c r="J1202" s="3">
        <f t="shared" si="191"/>
        <v>10433063.091363553</v>
      </c>
      <c r="K1202" s="1"/>
      <c r="L1202" s="24">
        <f t="shared" ref="L1202:L1207" si="198">L1201+G1202-K1202</f>
        <v>2416129.7129406026</v>
      </c>
    </row>
    <row r="1203" spans="2:12" ht="14.25" customHeight="1" x14ac:dyDescent="0.35">
      <c r="B1203" s="1">
        <v>28</v>
      </c>
      <c r="C1203" s="22">
        <v>45444</v>
      </c>
      <c r="D1203" s="22">
        <v>45473</v>
      </c>
      <c r="E1203" s="23">
        <f t="shared" si="189"/>
        <v>30</v>
      </c>
      <c r="F1203" s="3">
        <f t="shared" si="196"/>
        <v>10433063.091363553</v>
      </c>
      <c r="G1203" s="3">
        <f t="shared" si="197"/>
        <v>1208064.8564703013</v>
      </c>
      <c r="H1203" s="3">
        <f t="shared" si="193"/>
        <v>86942.192428029608</v>
      </c>
      <c r="I1203" s="3">
        <f t="shared" si="190"/>
        <v>1121122.6640422717</v>
      </c>
      <c r="J1203" s="3">
        <f t="shared" si="191"/>
        <v>9311940.4273212813</v>
      </c>
      <c r="K1203" s="1"/>
      <c r="L1203" s="24">
        <f t="shared" si="198"/>
        <v>3624194.5694109038</v>
      </c>
    </row>
    <row r="1204" spans="2:12" ht="14.25" customHeight="1" x14ac:dyDescent="0.35">
      <c r="B1204" s="1">
        <v>29</v>
      </c>
      <c r="C1204" s="22">
        <v>45474</v>
      </c>
      <c r="D1204" s="22">
        <v>45504</v>
      </c>
      <c r="E1204" s="23">
        <f t="shared" si="189"/>
        <v>31</v>
      </c>
      <c r="F1204" s="3">
        <f t="shared" si="196"/>
        <v>9311940.4273212813</v>
      </c>
      <c r="G1204" s="3">
        <f t="shared" si="197"/>
        <v>1208064.8564703013</v>
      </c>
      <c r="H1204" s="3">
        <f t="shared" si="193"/>
        <v>77599.503561010672</v>
      </c>
      <c r="I1204" s="3">
        <f t="shared" si="190"/>
        <v>1130465.3529092907</v>
      </c>
      <c r="J1204" s="3">
        <f t="shared" si="191"/>
        <v>8181475.0744119901</v>
      </c>
      <c r="K1204" s="3">
        <v>3000000</v>
      </c>
      <c r="L1204" s="24">
        <f t="shared" si="198"/>
        <v>1832259.4258812051</v>
      </c>
    </row>
    <row r="1205" spans="2:12" ht="14.25" customHeight="1" x14ac:dyDescent="0.35">
      <c r="B1205" s="1">
        <v>30</v>
      </c>
      <c r="C1205" s="22">
        <v>45505</v>
      </c>
      <c r="D1205" s="22">
        <v>45535</v>
      </c>
      <c r="E1205" s="23">
        <f t="shared" si="189"/>
        <v>31</v>
      </c>
      <c r="F1205" s="3">
        <f t="shared" si="196"/>
        <v>8181475.0744119901</v>
      </c>
      <c r="G1205" s="3">
        <f t="shared" si="197"/>
        <v>1208064.8564703013</v>
      </c>
      <c r="H1205" s="3">
        <f t="shared" si="193"/>
        <v>68178.958953433248</v>
      </c>
      <c r="I1205" s="3">
        <f t="shared" si="190"/>
        <v>1139885.8975168681</v>
      </c>
      <c r="J1205" s="3">
        <f t="shared" si="191"/>
        <v>7041589.176895122</v>
      </c>
      <c r="K1205" s="1"/>
      <c r="L1205" s="24">
        <f t="shared" si="198"/>
        <v>3040324.2823515064</v>
      </c>
    </row>
    <row r="1206" spans="2:12" ht="14.25" customHeight="1" x14ac:dyDescent="0.35">
      <c r="B1206" s="1">
        <v>31</v>
      </c>
      <c r="C1206" s="22">
        <v>45536</v>
      </c>
      <c r="D1206" s="22">
        <v>45565</v>
      </c>
      <c r="E1206" s="23">
        <f t="shared" si="189"/>
        <v>30</v>
      </c>
      <c r="F1206" s="3">
        <f t="shared" si="196"/>
        <v>7041589.176895122</v>
      </c>
      <c r="G1206" s="3">
        <f t="shared" si="197"/>
        <v>1208064.8564703013</v>
      </c>
      <c r="H1206" s="3">
        <f t="shared" si="193"/>
        <v>58679.909807459349</v>
      </c>
      <c r="I1206" s="3">
        <f t="shared" si="190"/>
        <v>1149384.9466628418</v>
      </c>
      <c r="J1206" s="3">
        <f t="shared" si="191"/>
        <v>5892204.2302322797</v>
      </c>
      <c r="K1206" s="1"/>
      <c r="L1206" s="24">
        <f t="shared" si="198"/>
        <v>4248389.1388218077</v>
      </c>
    </row>
    <row r="1207" spans="2:12" ht="14.25" customHeight="1" x14ac:dyDescent="0.35">
      <c r="B1207" s="1">
        <v>32</v>
      </c>
      <c r="C1207" s="22">
        <v>45566</v>
      </c>
      <c r="D1207" s="22">
        <v>45596</v>
      </c>
      <c r="E1207" s="23">
        <f t="shared" si="189"/>
        <v>31</v>
      </c>
      <c r="F1207" s="3">
        <f t="shared" si="196"/>
        <v>5892204.2302322797</v>
      </c>
      <c r="G1207" s="3">
        <f t="shared" si="197"/>
        <v>1208064.8564703013</v>
      </c>
      <c r="H1207" s="3">
        <f t="shared" si="193"/>
        <v>49101.701918602332</v>
      </c>
      <c r="I1207" s="3">
        <f t="shared" si="190"/>
        <v>1158963.1545516991</v>
      </c>
      <c r="J1207" s="3">
        <f t="shared" si="191"/>
        <v>4733241.0756805809</v>
      </c>
      <c r="K1207" s="272">
        <v>3296125</v>
      </c>
      <c r="L1207" s="204">
        <f t="shared" si="198"/>
        <v>2160328.9952921085</v>
      </c>
    </row>
    <row r="1208" spans="2:12" ht="14.25" customHeight="1" x14ac:dyDescent="0.35">
      <c r="B1208" s="1">
        <v>33</v>
      </c>
      <c r="C1208" s="22">
        <v>45597</v>
      </c>
      <c r="D1208" s="22">
        <v>45626</v>
      </c>
      <c r="E1208" s="23">
        <f t="shared" si="189"/>
        <v>30</v>
      </c>
      <c r="F1208" s="3">
        <f t="shared" si="196"/>
        <v>4733241.0756805809</v>
      </c>
      <c r="G1208" s="3">
        <f t="shared" si="197"/>
        <v>1208064.8564703013</v>
      </c>
      <c r="H1208" s="3">
        <f t="shared" si="193"/>
        <v>39443.675630671511</v>
      </c>
      <c r="I1208" s="3">
        <f t="shared" si="190"/>
        <v>1168621.1808396298</v>
      </c>
      <c r="J1208" s="3">
        <f t="shared" si="191"/>
        <v>3564619.8948409511</v>
      </c>
      <c r="K1208" s="1"/>
      <c r="L1208" s="1"/>
    </row>
    <row r="1209" spans="2:12" ht="14.25" customHeight="1" x14ac:dyDescent="0.35">
      <c r="B1209" s="1">
        <v>34</v>
      </c>
      <c r="C1209" s="22">
        <v>45627</v>
      </c>
      <c r="D1209" s="22">
        <v>45657</v>
      </c>
      <c r="E1209" s="23">
        <f t="shared" si="189"/>
        <v>31</v>
      </c>
      <c r="F1209" s="3">
        <f t="shared" si="196"/>
        <v>3564619.8948409511</v>
      </c>
      <c r="G1209" s="3">
        <f t="shared" si="197"/>
        <v>1208064.8564703013</v>
      </c>
      <c r="H1209" s="3">
        <f t="shared" si="193"/>
        <v>29705.16579034126</v>
      </c>
      <c r="I1209" s="3">
        <f t="shared" si="190"/>
        <v>1178359.69067996</v>
      </c>
      <c r="J1209" s="3">
        <f t="shared" si="191"/>
        <v>2386260.2041609911</v>
      </c>
      <c r="K1209" s="1"/>
      <c r="L1209" s="1"/>
    </row>
    <row r="1210" spans="2:12" ht="14.25" customHeight="1" x14ac:dyDescent="0.35">
      <c r="B1210" s="1">
        <v>35</v>
      </c>
      <c r="C1210" s="22">
        <v>45658</v>
      </c>
      <c r="D1210" s="22">
        <v>45688</v>
      </c>
      <c r="E1210" s="23">
        <f t="shared" si="189"/>
        <v>31</v>
      </c>
      <c r="F1210" s="3">
        <f t="shared" si="196"/>
        <v>2386260.2041609911</v>
      </c>
      <c r="G1210" s="3">
        <f t="shared" si="197"/>
        <v>1208064.8564703013</v>
      </c>
      <c r="H1210" s="3">
        <f t="shared" si="193"/>
        <v>19885.501701341593</v>
      </c>
      <c r="I1210" s="3">
        <f t="shared" si="190"/>
        <v>1188179.3547689598</v>
      </c>
      <c r="J1210" s="3">
        <f t="shared" si="191"/>
        <v>1198080.8493920313</v>
      </c>
      <c r="K1210" s="1"/>
      <c r="L1210" s="1"/>
    </row>
    <row r="1211" spans="2:12" ht="14.25" customHeight="1" x14ac:dyDescent="0.35">
      <c r="B1211" s="1">
        <v>36</v>
      </c>
      <c r="C1211" s="22">
        <v>45689</v>
      </c>
      <c r="D1211" s="22">
        <v>45716</v>
      </c>
      <c r="E1211" s="23">
        <f t="shared" si="189"/>
        <v>28</v>
      </c>
      <c r="F1211" s="3">
        <f t="shared" si="196"/>
        <v>1198080.8493920313</v>
      </c>
      <c r="G1211" s="3">
        <f t="shared" si="197"/>
        <v>1208064.8564703013</v>
      </c>
      <c r="H1211" s="3">
        <f t="shared" si="193"/>
        <v>9984.0070782669281</v>
      </c>
      <c r="I1211" s="3">
        <f t="shared" si="190"/>
        <v>1198080.8493920343</v>
      </c>
      <c r="J1211" s="3">
        <f t="shared" si="191"/>
        <v>-3.0267983675003052E-9</v>
      </c>
      <c r="K1211" s="1"/>
      <c r="L1211" s="1"/>
    </row>
    <row r="1212" spans="2:12" ht="14.25" customHeight="1" x14ac:dyDescent="0.35">
      <c r="B1212" s="1"/>
      <c r="C1212" s="22"/>
      <c r="D1212" s="22"/>
      <c r="E1212" s="23"/>
      <c r="F1212" s="3"/>
      <c r="G1212" s="3"/>
      <c r="H1212" s="3"/>
      <c r="I1212" s="3"/>
      <c r="J1212" s="3"/>
      <c r="K1212" s="1"/>
      <c r="L1212" s="1"/>
    </row>
    <row r="1213" spans="2:12" ht="14.25" customHeight="1" x14ac:dyDescent="0.35">
      <c r="B1213" s="1"/>
      <c r="C1213" s="1"/>
      <c r="D1213" s="1"/>
      <c r="E1213" s="2"/>
      <c r="F1213" s="3"/>
      <c r="G1213" s="3"/>
      <c r="H1213" s="3"/>
      <c r="I1213" s="3"/>
      <c r="J1213" s="3"/>
      <c r="K1213" s="1"/>
      <c r="L1213" s="1"/>
    </row>
    <row r="1214" spans="2:12" ht="14.25" customHeight="1" x14ac:dyDescent="0.35">
      <c r="B1214" s="1"/>
      <c r="C1214" s="1"/>
      <c r="D1214" s="1"/>
      <c r="E1214" s="2"/>
      <c r="F1214" s="3"/>
      <c r="G1214" s="3"/>
      <c r="H1214" s="3"/>
      <c r="I1214" s="3"/>
      <c r="J1214" s="3"/>
      <c r="K1214" s="1"/>
      <c r="L1214" s="1"/>
    </row>
    <row r="1215" spans="2:12" ht="14.25" customHeight="1" x14ac:dyDescent="0.35">
      <c r="B1215" s="1"/>
      <c r="C1215" s="1"/>
      <c r="D1215" s="1"/>
      <c r="E1215" s="2"/>
      <c r="F1215" s="3"/>
      <c r="G1215" s="3"/>
      <c r="H1215" s="3"/>
      <c r="I1215" s="3"/>
      <c r="J1215" s="3"/>
      <c r="K1215" s="1"/>
      <c r="L1215" s="1"/>
    </row>
    <row r="1216" spans="2:12" ht="14.25" customHeight="1" x14ac:dyDescent="0.35">
      <c r="B1216" s="1"/>
      <c r="C1216" s="1"/>
      <c r="D1216" s="1"/>
      <c r="E1216" s="2"/>
      <c r="F1216" s="3"/>
      <c r="G1216" s="3"/>
      <c r="H1216" s="3"/>
      <c r="I1216" s="3"/>
      <c r="J1216" s="3"/>
      <c r="K1216" s="1"/>
      <c r="L1216" s="1"/>
    </row>
    <row r="1217" spans="2:12" ht="14.25" customHeight="1" x14ac:dyDescent="0.35">
      <c r="B1217" s="1"/>
      <c r="C1217" s="1"/>
      <c r="D1217" s="1"/>
      <c r="E1217" s="2"/>
      <c r="F1217" s="3"/>
      <c r="G1217" s="3"/>
      <c r="H1217" s="3"/>
      <c r="I1217" s="3"/>
      <c r="J1217" s="3"/>
      <c r="K1217" s="1"/>
      <c r="L1217" s="1"/>
    </row>
    <row r="1218" spans="2:12" ht="14.25" customHeight="1" x14ac:dyDescent="0.35">
      <c r="B1218" s="1"/>
      <c r="C1218" s="1"/>
      <c r="D1218" s="1"/>
      <c r="E1218" s="2"/>
      <c r="F1218" s="3"/>
      <c r="G1218" s="3"/>
      <c r="H1218" s="3"/>
      <c r="I1218" s="3"/>
      <c r="J1218" s="3"/>
      <c r="K1218" s="1"/>
      <c r="L1218" s="1"/>
    </row>
    <row r="1219" spans="2:12" ht="14.25" customHeight="1" x14ac:dyDescent="0.35">
      <c r="B1219" s="1"/>
      <c r="C1219" s="1"/>
      <c r="D1219" s="1"/>
      <c r="E1219" s="2"/>
      <c r="F1219" s="3"/>
      <c r="G1219" s="3"/>
      <c r="H1219" s="3"/>
      <c r="I1219" s="3"/>
      <c r="J1219" s="3"/>
      <c r="K1219" s="1"/>
      <c r="L1219" s="1"/>
    </row>
    <row r="1220" spans="2:12" ht="14.25" customHeight="1" x14ac:dyDescent="0.35">
      <c r="B1220" s="1"/>
      <c r="C1220" s="1"/>
      <c r="D1220" s="1"/>
      <c r="E1220" s="2"/>
      <c r="F1220" s="3"/>
      <c r="G1220" s="3"/>
      <c r="H1220" s="3"/>
      <c r="I1220" s="3"/>
      <c r="J1220" s="3"/>
      <c r="K1220" s="1"/>
      <c r="L1220" s="1"/>
    </row>
    <row r="1221" spans="2:12" ht="14.25" customHeight="1" x14ac:dyDescent="0.35">
      <c r="B1221" s="1"/>
      <c r="C1221" s="1"/>
      <c r="D1221" s="1"/>
      <c r="E1221" s="2"/>
      <c r="F1221" s="3"/>
      <c r="G1221" s="3"/>
      <c r="H1221" s="3"/>
      <c r="I1221" s="3"/>
      <c r="J1221" s="3"/>
      <c r="K1221" s="1"/>
      <c r="L1221" s="1"/>
    </row>
    <row r="1222" spans="2:12" ht="14.25" customHeight="1" x14ac:dyDescent="0.35">
      <c r="B1222" s="1"/>
      <c r="C1222" s="1"/>
      <c r="D1222" s="1"/>
      <c r="E1222" s="2"/>
      <c r="F1222" s="3"/>
      <c r="G1222" s="3"/>
      <c r="H1222" s="3"/>
      <c r="I1222" s="3"/>
      <c r="J1222" s="3"/>
      <c r="K1222" s="1"/>
      <c r="L1222" s="1"/>
    </row>
    <row r="1223" spans="2:12" ht="14.25" customHeight="1" x14ac:dyDescent="0.35">
      <c r="B1223" s="1"/>
      <c r="C1223" s="1"/>
      <c r="D1223" s="1"/>
      <c r="E1223" s="2"/>
      <c r="F1223" s="3"/>
      <c r="G1223" s="3"/>
      <c r="H1223" s="3"/>
      <c r="I1223" s="3"/>
      <c r="J1223" s="3"/>
      <c r="K1223" s="1"/>
      <c r="L1223" s="1"/>
    </row>
    <row r="1224" spans="2:12" ht="14.25" customHeight="1" x14ac:dyDescent="0.35">
      <c r="B1224" s="1"/>
      <c r="C1224" s="1"/>
      <c r="D1224" s="1"/>
      <c r="E1224" s="2"/>
      <c r="F1224" s="3"/>
      <c r="G1224" s="3"/>
      <c r="H1224" s="3"/>
      <c r="I1224" s="3"/>
      <c r="J1224" s="3"/>
      <c r="K1224" s="1"/>
      <c r="L1224" s="1"/>
    </row>
    <row r="1225" spans="2:12" ht="14.25" customHeight="1" x14ac:dyDescent="0.35">
      <c r="B1225" s="1"/>
      <c r="C1225" s="1"/>
      <c r="D1225" s="1"/>
      <c r="E1225" s="2"/>
      <c r="F1225" s="3"/>
      <c r="G1225" s="3"/>
      <c r="H1225" s="3"/>
      <c r="I1225" s="3"/>
      <c r="J1225" s="3"/>
      <c r="K1225" s="1"/>
      <c r="L1225" s="1"/>
    </row>
    <row r="1226" spans="2:12" ht="14.25" customHeight="1" x14ac:dyDescent="0.35">
      <c r="B1226" s="1"/>
      <c r="C1226" s="1"/>
      <c r="D1226" s="1"/>
      <c r="E1226" s="2"/>
      <c r="F1226" s="3"/>
      <c r="G1226" s="3"/>
      <c r="H1226" s="3"/>
      <c r="I1226" s="3"/>
      <c r="J1226" s="3"/>
      <c r="K1226" s="1"/>
      <c r="L1226" s="1"/>
    </row>
    <row r="1227" spans="2:12" ht="14.25" customHeight="1" x14ac:dyDescent="0.35">
      <c r="B1227" s="1"/>
      <c r="C1227" s="1"/>
      <c r="D1227" s="1"/>
      <c r="E1227" s="2"/>
      <c r="F1227" s="3"/>
      <c r="G1227" s="3"/>
      <c r="H1227" s="3"/>
      <c r="I1227" s="3"/>
      <c r="J1227" s="3"/>
      <c r="K1227" s="1"/>
      <c r="L1227" s="1"/>
    </row>
    <row r="1228" spans="2:12" ht="14.25" customHeight="1" x14ac:dyDescent="0.35">
      <c r="B1228" s="1"/>
      <c r="C1228" s="1"/>
      <c r="D1228" s="1"/>
      <c r="E1228" s="2"/>
      <c r="F1228" s="3"/>
      <c r="G1228" s="3"/>
      <c r="H1228" s="3"/>
      <c r="I1228" s="3"/>
      <c r="J1228" s="3"/>
      <c r="K1228" s="1"/>
      <c r="L1228" s="1"/>
    </row>
    <row r="1229" spans="2:12" ht="14.25" customHeight="1" x14ac:dyDescent="0.35">
      <c r="B1229" s="1"/>
      <c r="C1229" s="1"/>
      <c r="D1229" s="1"/>
      <c r="E1229" s="2"/>
      <c r="F1229" s="3"/>
      <c r="G1229" s="3"/>
      <c r="H1229" s="3"/>
      <c r="I1229" s="3"/>
      <c r="J1229" s="3"/>
      <c r="K1229" s="1"/>
      <c r="L1229" s="1"/>
    </row>
    <row r="1230" spans="2:12" ht="14.25" customHeight="1" x14ac:dyDescent="0.35">
      <c r="B1230" s="1"/>
      <c r="C1230" s="1"/>
      <c r="D1230" s="1"/>
      <c r="E1230" s="2"/>
      <c r="F1230" s="3"/>
      <c r="G1230" s="3"/>
      <c r="H1230" s="3"/>
      <c r="I1230" s="3"/>
      <c r="J1230" s="3"/>
      <c r="K1230" s="1"/>
      <c r="L1230" s="1"/>
    </row>
    <row r="1231" spans="2:12" ht="14.25" customHeight="1" x14ac:dyDescent="0.35">
      <c r="B1231" s="1"/>
      <c r="C1231" s="1"/>
      <c r="D1231" s="1"/>
      <c r="E1231" s="2"/>
      <c r="F1231" s="3"/>
      <c r="G1231" s="3"/>
      <c r="H1231" s="3"/>
      <c r="I1231" s="3"/>
      <c r="J1231" s="3"/>
      <c r="K1231" s="1"/>
      <c r="L1231" s="1"/>
    </row>
    <row r="1232" spans="2:12" ht="14.25" customHeight="1" x14ac:dyDescent="0.35">
      <c r="B1232" s="1"/>
      <c r="C1232" s="1"/>
      <c r="D1232" s="1"/>
      <c r="E1232" s="2"/>
      <c r="F1232" s="3"/>
      <c r="G1232" s="3"/>
      <c r="H1232" s="3"/>
      <c r="I1232" s="3"/>
      <c r="J1232" s="3"/>
      <c r="K1232" s="1"/>
      <c r="L1232" s="1"/>
    </row>
    <row r="1233" spans="2:19" ht="14.25" customHeight="1" x14ac:dyDescent="0.35">
      <c r="B1233" s="1"/>
      <c r="C1233" s="1"/>
      <c r="D1233" s="1"/>
      <c r="E1233" s="2"/>
      <c r="F1233" s="3"/>
      <c r="G1233" s="3"/>
      <c r="H1233" s="3"/>
      <c r="I1233" s="3"/>
      <c r="J1233" s="3"/>
      <c r="K1233" s="1"/>
      <c r="L1233" s="1"/>
    </row>
    <row r="1237" spans="2:19" x14ac:dyDescent="0.35">
      <c r="B1237" s="1"/>
      <c r="C1237" s="8" t="s">
        <v>891</v>
      </c>
      <c r="D1237" s="3"/>
      <c r="E1237" s="3"/>
      <c r="F1237" s="3"/>
      <c r="G1237" s="3"/>
      <c r="H1237" s="3"/>
      <c r="I1237" s="3"/>
      <c r="J1237" s="3"/>
      <c r="K1237" s="3"/>
      <c r="L1237" s="3"/>
      <c r="R1237" s="438" t="s">
        <v>832</v>
      </c>
      <c r="S1237" s="432" t="str">
        <f>IFERROR(INDEX(Blocks!$I$2:$I$101,MATCH(22,Blocks!$A$2:$A$101,0)),"")</f>
        <v>000104450000022</v>
      </c>
    </row>
    <row r="1238" spans="2:19" x14ac:dyDescent="0.35">
      <c r="B1238" s="1"/>
      <c r="C1238" s="1"/>
      <c r="D1238" s="3"/>
      <c r="E1238" s="3"/>
      <c r="F1238" s="3"/>
      <c r="G1238" s="3"/>
      <c r="H1238" s="3"/>
      <c r="I1238" s="3"/>
      <c r="J1238" s="3"/>
      <c r="K1238" s="3"/>
      <c r="L1238" s="3"/>
      <c r="R1238" s="438" t="s">
        <v>834</v>
      </c>
      <c r="S1238" s="432" t="str">
        <f>IFERROR(INDEX(Blocks!$H$2:$H$101,MATCH(22,Blocks!$A$2:$A$101,0)),"")</f>
        <v>Mwachisosa Women Producers &amp; Marketing Co</v>
      </c>
    </row>
    <row r="1239" spans="2:19" x14ac:dyDescent="0.35">
      <c r="B1239" s="1"/>
      <c r="C1239" s="9" t="s">
        <v>835</v>
      </c>
      <c r="D1239" s="10">
        <v>12500000</v>
      </c>
      <c r="E1239" s="3"/>
      <c r="F1239" s="3"/>
      <c r="G1239" s="3"/>
      <c r="H1239" s="3"/>
      <c r="I1239" s="3"/>
      <c r="J1239" s="3"/>
      <c r="K1239" s="3"/>
      <c r="L1239" s="3"/>
      <c r="R1239" s="438" t="s">
        <v>223</v>
      </c>
      <c r="S1239" s="433">
        <f>IFERROR(INDEX('E-Banker master'!$N$2:$N$186,MATCH(S1237,'E-Banker master'!$A$2:$A$186,0)),"")</f>
        <v>12500000</v>
      </c>
    </row>
    <row r="1240" spans="2:19" x14ac:dyDescent="0.35">
      <c r="B1240" s="1"/>
      <c r="C1240" s="11" t="s">
        <v>837</v>
      </c>
      <c r="D1240" s="12">
        <v>0.1</v>
      </c>
      <c r="E1240" s="13"/>
      <c r="F1240" s="3"/>
      <c r="G1240" s="3"/>
      <c r="H1240" s="3"/>
      <c r="I1240" s="3"/>
      <c r="J1240" s="3"/>
      <c r="K1240" s="3"/>
      <c r="L1240" s="3"/>
      <c r="R1240" s="438" t="s">
        <v>52</v>
      </c>
      <c r="S1240" s="433">
        <f>IFERROR(INDEX('E-Banker master'!$P$2:$P$186,MATCH(S1237,'E-Banker master'!$A$2:$A$186,0)),"")</f>
        <v>10117945.74</v>
      </c>
    </row>
    <row r="1241" spans="2:19" x14ac:dyDescent="0.35">
      <c r="B1241" s="1"/>
      <c r="C1241" s="11" t="s">
        <v>838</v>
      </c>
      <c r="D1241" s="14">
        <v>2</v>
      </c>
      <c r="E1241" s="1"/>
      <c r="F1241" s="3"/>
      <c r="G1241" s="3"/>
      <c r="H1241" s="3"/>
      <c r="I1241" s="3"/>
      <c r="J1241" s="3"/>
      <c r="K1241" s="1"/>
      <c r="L1241" s="1"/>
    </row>
    <row r="1242" spans="2:19" x14ac:dyDescent="0.35">
      <c r="B1242" s="1"/>
      <c r="C1242" s="11" t="s">
        <v>839</v>
      </c>
      <c r="D1242" s="14">
        <v>12</v>
      </c>
      <c r="E1242" s="1"/>
      <c r="F1242" s="3"/>
      <c r="G1242" s="3"/>
      <c r="H1242" s="3"/>
      <c r="I1242" s="3"/>
      <c r="J1242" s="3"/>
      <c r="K1242" s="1"/>
      <c r="L1242" s="1"/>
    </row>
    <row r="1243" spans="2:19" x14ac:dyDescent="0.35">
      <c r="B1243" s="1"/>
      <c r="C1243" s="11" t="s">
        <v>843</v>
      </c>
      <c r="D1243" s="15">
        <f>D1241*D1242</f>
        <v>24</v>
      </c>
      <c r="E1243" s="1"/>
      <c r="F1243" s="3"/>
      <c r="G1243" s="3"/>
      <c r="H1243" s="3"/>
      <c r="I1243" s="3"/>
      <c r="J1243" s="3"/>
      <c r="K1243" s="1"/>
      <c r="L1243" s="1"/>
    </row>
    <row r="1244" spans="2:19" x14ac:dyDescent="0.35">
      <c r="B1244" s="1"/>
      <c r="C1244" s="11" t="s">
        <v>844</v>
      </c>
      <c r="D1244" s="16">
        <v>365</v>
      </c>
      <c r="E1244" s="1"/>
      <c r="F1244" s="3"/>
      <c r="G1244" s="3"/>
      <c r="H1244" s="3"/>
      <c r="I1244" s="3"/>
      <c r="J1244" s="3"/>
      <c r="K1244" s="1"/>
      <c r="L1244" s="1"/>
    </row>
    <row r="1245" spans="2:19" x14ac:dyDescent="0.35">
      <c r="B1245" s="1"/>
      <c r="C1245" s="17" t="s">
        <v>845</v>
      </c>
      <c r="D1245" s="18">
        <f>-PMT(D1240/D1242,D1243,D1239,0,0)</f>
        <v>576811.57921895629</v>
      </c>
      <c r="E1245" s="3"/>
      <c r="F1245" s="3"/>
      <c r="G1245" s="3"/>
      <c r="H1245" s="3"/>
      <c r="I1245" s="3"/>
      <c r="J1245" s="3"/>
      <c r="K1245" s="1"/>
      <c r="L1245" s="1"/>
    </row>
    <row r="1246" spans="2:19" x14ac:dyDescent="0.35">
      <c r="B1246" s="1"/>
      <c r="C1246" s="1"/>
      <c r="D1246" s="3"/>
      <c r="E1246" s="3"/>
      <c r="F1246" s="3"/>
      <c r="G1246" s="3"/>
      <c r="H1246" s="3"/>
      <c r="I1246" s="3"/>
      <c r="J1246" s="3"/>
      <c r="K1246" s="1"/>
      <c r="L1246" s="1"/>
    </row>
    <row r="1247" spans="2:19" x14ac:dyDescent="0.35">
      <c r="B1247" s="1"/>
      <c r="C1247" s="19" t="s">
        <v>846</v>
      </c>
      <c r="D1247" s="20" t="s">
        <v>847</v>
      </c>
      <c r="E1247" s="20" t="s">
        <v>764</v>
      </c>
      <c r="F1247" s="270" t="s">
        <v>848</v>
      </c>
      <c r="G1247" s="270" t="s">
        <v>849</v>
      </c>
      <c r="H1247" s="270" t="s">
        <v>742</v>
      </c>
      <c r="I1247" s="270" t="s">
        <v>740</v>
      </c>
      <c r="J1247" s="270" t="s">
        <v>850</v>
      </c>
      <c r="K1247" s="21" t="s">
        <v>851</v>
      </c>
      <c r="L1247" s="21" t="s">
        <v>852</v>
      </c>
    </row>
    <row r="1248" spans="2:19" x14ac:dyDescent="0.35">
      <c r="B1248" s="1">
        <v>0</v>
      </c>
      <c r="C1248" s="22">
        <v>44644</v>
      </c>
      <c r="D1248" s="22">
        <v>44651</v>
      </c>
      <c r="E1248" s="23">
        <f t="shared" ref="E1248:E1273" si="199">D1248-C1248+1</f>
        <v>8</v>
      </c>
      <c r="F1248" s="3">
        <f>D1239</f>
        <v>12500000</v>
      </c>
      <c r="G1248" s="3"/>
      <c r="H1248" s="3">
        <f>F1248*E1248*D1240/D1244</f>
        <v>27397.260273972603</v>
      </c>
      <c r="I1248" s="3">
        <f t="shared" ref="I1248:I1284" si="200">G1248-H1248</f>
        <v>-27397.260273972603</v>
      </c>
      <c r="J1248" s="3">
        <f t="shared" ref="J1248:J1266" si="201">F1248-I1248</f>
        <v>12527397.260273973</v>
      </c>
      <c r="K1248" s="24"/>
      <c r="L1248" s="24"/>
    </row>
    <row r="1249" spans="2:12" x14ac:dyDescent="0.35">
      <c r="B1249" s="1">
        <v>1</v>
      </c>
      <c r="C1249" s="22">
        <v>44652</v>
      </c>
      <c r="D1249" s="22">
        <v>44681</v>
      </c>
      <c r="E1249" s="23">
        <f t="shared" si="199"/>
        <v>30</v>
      </c>
      <c r="F1249" s="3">
        <f t="shared" ref="F1249:F1284" si="202">J1248</f>
        <v>12527397.260273973</v>
      </c>
      <c r="G1249" s="3"/>
      <c r="H1249" s="3">
        <f>$D$1240/$D$1242*F1249</f>
        <v>104394.97716894977</v>
      </c>
      <c r="I1249" s="3">
        <f t="shared" si="200"/>
        <v>-104394.97716894977</v>
      </c>
      <c r="J1249" s="3">
        <f t="shared" si="201"/>
        <v>12631792.237442922</v>
      </c>
      <c r="K1249" s="24"/>
      <c r="L1249" s="24"/>
    </row>
    <row r="1250" spans="2:12" x14ac:dyDescent="0.35">
      <c r="B1250" s="1">
        <v>2</v>
      </c>
      <c r="C1250" s="22">
        <v>44682</v>
      </c>
      <c r="D1250" s="22">
        <v>44712</v>
      </c>
      <c r="E1250" s="23">
        <f t="shared" si="199"/>
        <v>31</v>
      </c>
      <c r="F1250" s="3">
        <f t="shared" si="202"/>
        <v>12631792.237442922</v>
      </c>
      <c r="G1250" s="3"/>
      <c r="H1250" s="3">
        <f t="shared" ref="H1250:H1284" si="203">$D$1167/$D$1169*F1250</f>
        <v>105264.93531202435</v>
      </c>
      <c r="I1250" s="3">
        <f t="shared" si="200"/>
        <v>-105264.93531202435</v>
      </c>
      <c r="J1250" s="3">
        <f t="shared" si="201"/>
        <v>12737057.172754947</v>
      </c>
      <c r="K1250" s="24"/>
      <c r="L1250" s="24"/>
    </row>
    <row r="1251" spans="2:12" x14ac:dyDescent="0.35">
      <c r="B1251" s="1">
        <v>3</v>
      </c>
      <c r="C1251" s="22">
        <v>44713</v>
      </c>
      <c r="D1251" s="22">
        <v>44742</v>
      </c>
      <c r="E1251" s="23">
        <f t="shared" si="199"/>
        <v>30</v>
      </c>
      <c r="F1251" s="3">
        <f t="shared" si="202"/>
        <v>12737057.172754947</v>
      </c>
      <c r="G1251" s="3"/>
      <c r="H1251" s="3">
        <f t="shared" si="203"/>
        <v>106142.14310629123</v>
      </c>
      <c r="I1251" s="3">
        <f t="shared" si="200"/>
        <v>-106142.14310629123</v>
      </c>
      <c r="J1251" s="3">
        <f t="shared" si="201"/>
        <v>12843199.315861238</v>
      </c>
      <c r="K1251" s="7"/>
    </row>
    <row r="1252" spans="2:12" x14ac:dyDescent="0.35">
      <c r="B1252" s="1">
        <v>4</v>
      </c>
      <c r="C1252" s="22">
        <v>44743</v>
      </c>
      <c r="D1252" s="22">
        <v>44773</v>
      </c>
      <c r="E1252" s="23">
        <f t="shared" si="199"/>
        <v>31</v>
      </c>
      <c r="F1252" s="3">
        <f t="shared" si="202"/>
        <v>12843199.315861238</v>
      </c>
      <c r="G1252" s="3">
        <f t="shared" ref="G1252:G1267" si="204">-PMT($D$1240/$D$1242,21,$F$1252,,0)</f>
        <v>669192.53133764444</v>
      </c>
      <c r="H1252" s="3">
        <f t="shared" si="203"/>
        <v>107026.66096551031</v>
      </c>
      <c r="I1252" s="3">
        <f t="shared" si="200"/>
        <v>562165.87037213414</v>
      </c>
      <c r="J1252" s="3">
        <f t="shared" si="201"/>
        <v>12281033.445489105</v>
      </c>
      <c r="K1252" s="24">
        <v>700000</v>
      </c>
      <c r="L1252" s="24">
        <f>G1252-K1252</f>
        <v>-30807.468662355561</v>
      </c>
    </row>
    <row r="1253" spans="2:12" x14ac:dyDescent="0.35">
      <c r="B1253" s="1">
        <v>5</v>
      </c>
      <c r="C1253" s="22">
        <v>44774</v>
      </c>
      <c r="D1253" s="22">
        <v>44804</v>
      </c>
      <c r="E1253" s="23">
        <f t="shared" si="199"/>
        <v>31</v>
      </c>
      <c r="F1253" s="3">
        <f t="shared" si="202"/>
        <v>12281033.445489105</v>
      </c>
      <c r="G1253" s="3">
        <f t="shared" si="204"/>
        <v>669192.53133764444</v>
      </c>
      <c r="H1253" s="3">
        <f t="shared" si="203"/>
        <v>102341.94537907587</v>
      </c>
      <c r="I1253" s="3">
        <f t="shared" si="200"/>
        <v>566850.58595856861</v>
      </c>
      <c r="J1253" s="3">
        <f t="shared" si="201"/>
        <v>11714182.859530536</v>
      </c>
      <c r="K1253" s="24">
        <v>0</v>
      </c>
      <c r="L1253" s="24">
        <f t="shared" ref="L1253:L1268" si="205">L1252+G1253</f>
        <v>638385.06267528888</v>
      </c>
    </row>
    <row r="1254" spans="2:12" x14ac:dyDescent="0.35">
      <c r="B1254" s="1">
        <v>6</v>
      </c>
      <c r="C1254" s="22">
        <v>44805</v>
      </c>
      <c r="D1254" s="22">
        <v>44834</v>
      </c>
      <c r="E1254" s="23">
        <f t="shared" si="199"/>
        <v>30</v>
      </c>
      <c r="F1254" s="3">
        <f t="shared" si="202"/>
        <v>11714182.859530536</v>
      </c>
      <c r="G1254" s="3">
        <f t="shared" si="204"/>
        <v>669192.53133764444</v>
      </c>
      <c r="H1254" s="3">
        <f t="shared" si="203"/>
        <v>97618.190496087802</v>
      </c>
      <c r="I1254" s="3">
        <f t="shared" si="200"/>
        <v>571574.34084155667</v>
      </c>
      <c r="J1254" s="3">
        <f t="shared" si="201"/>
        <v>11142608.51868898</v>
      </c>
      <c r="K1254" s="24">
        <v>0</v>
      </c>
      <c r="L1254" s="24">
        <f t="shared" si="205"/>
        <v>1307577.5940129333</v>
      </c>
    </row>
    <row r="1255" spans="2:12" x14ac:dyDescent="0.35">
      <c r="B1255" s="1">
        <v>7</v>
      </c>
      <c r="C1255" s="22">
        <v>44835</v>
      </c>
      <c r="D1255" s="22">
        <v>44865</v>
      </c>
      <c r="E1255" s="23">
        <f t="shared" si="199"/>
        <v>31</v>
      </c>
      <c r="F1255" s="3">
        <f t="shared" si="202"/>
        <v>11142608.51868898</v>
      </c>
      <c r="G1255" s="3">
        <f t="shared" si="204"/>
        <v>669192.53133764444</v>
      </c>
      <c r="H1255" s="3">
        <f t="shared" si="203"/>
        <v>92855.07098907484</v>
      </c>
      <c r="I1255" s="3">
        <f t="shared" si="200"/>
        <v>576337.46034856956</v>
      </c>
      <c r="J1255" s="3">
        <f t="shared" si="201"/>
        <v>10566271.058340412</v>
      </c>
      <c r="K1255" s="24"/>
      <c r="L1255" s="24">
        <f t="shared" si="205"/>
        <v>1976770.1253505778</v>
      </c>
    </row>
    <row r="1256" spans="2:12" x14ac:dyDescent="0.35">
      <c r="B1256" s="1">
        <v>8</v>
      </c>
      <c r="C1256" s="22">
        <v>44866</v>
      </c>
      <c r="D1256" s="22">
        <v>44895</v>
      </c>
      <c r="E1256" s="23">
        <f t="shared" si="199"/>
        <v>30</v>
      </c>
      <c r="F1256" s="3">
        <f t="shared" si="202"/>
        <v>10566271.058340412</v>
      </c>
      <c r="G1256" s="3">
        <f t="shared" si="204"/>
        <v>669192.53133764444</v>
      </c>
      <c r="H1256" s="3">
        <f t="shared" si="203"/>
        <v>88052.258819503433</v>
      </c>
      <c r="I1256" s="3">
        <f t="shared" si="200"/>
        <v>581140.27251814096</v>
      </c>
      <c r="J1256" s="3">
        <f t="shared" si="201"/>
        <v>9985130.7858222704</v>
      </c>
      <c r="K1256" s="24"/>
      <c r="L1256" s="24">
        <f t="shared" si="205"/>
        <v>2645962.6566882222</v>
      </c>
    </row>
    <row r="1257" spans="2:12" x14ac:dyDescent="0.35">
      <c r="B1257" s="1">
        <v>9</v>
      </c>
      <c r="C1257" s="22">
        <v>44896</v>
      </c>
      <c r="D1257" s="22">
        <v>44926</v>
      </c>
      <c r="E1257" s="23">
        <f t="shared" si="199"/>
        <v>31</v>
      </c>
      <c r="F1257" s="3">
        <f t="shared" si="202"/>
        <v>9985130.7858222704</v>
      </c>
      <c r="G1257" s="3">
        <f t="shared" si="204"/>
        <v>669192.53133764444</v>
      </c>
      <c r="H1257" s="3">
        <f t="shared" si="203"/>
        <v>83209.423215185583</v>
      </c>
      <c r="I1257" s="3">
        <f t="shared" si="200"/>
        <v>585983.10812245891</v>
      </c>
      <c r="J1257" s="3">
        <f t="shared" si="201"/>
        <v>9399147.6776998118</v>
      </c>
      <c r="K1257" s="24"/>
      <c r="L1257" s="24">
        <f t="shared" si="205"/>
        <v>3315155.1880258666</v>
      </c>
    </row>
    <row r="1258" spans="2:12" x14ac:dyDescent="0.35">
      <c r="B1258" s="1">
        <v>10</v>
      </c>
      <c r="C1258" s="22">
        <v>44927</v>
      </c>
      <c r="D1258" s="22">
        <v>44957</v>
      </c>
      <c r="E1258" s="23">
        <f t="shared" si="199"/>
        <v>31</v>
      </c>
      <c r="F1258" s="3">
        <f t="shared" si="202"/>
        <v>9399147.6776998118</v>
      </c>
      <c r="G1258" s="3">
        <f t="shared" si="204"/>
        <v>669192.53133764444</v>
      </c>
      <c r="H1258" s="3">
        <f t="shared" si="203"/>
        <v>78326.230647498436</v>
      </c>
      <c r="I1258" s="3">
        <f t="shared" si="200"/>
        <v>590866.30069014605</v>
      </c>
      <c r="J1258" s="3">
        <f t="shared" si="201"/>
        <v>8808281.3770096656</v>
      </c>
      <c r="K1258" s="24"/>
      <c r="L1258" s="24">
        <f t="shared" si="205"/>
        <v>3984347.7193635111</v>
      </c>
    </row>
    <row r="1259" spans="2:12" x14ac:dyDescent="0.35">
      <c r="B1259" s="1">
        <v>11</v>
      </c>
      <c r="C1259" s="22">
        <v>44958</v>
      </c>
      <c r="D1259" s="22">
        <v>44985</v>
      </c>
      <c r="E1259" s="23">
        <f t="shared" si="199"/>
        <v>28</v>
      </c>
      <c r="F1259" s="3">
        <f t="shared" si="202"/>
        <v>8808281.3770096656</v>
      </c>
      <c r="G1259" s="3">
        <f t="shared" si="204"/>
        <v>669192.53133764444</v>
      </c>
      <c r="H1259" s="3">
        <f t="shared" si="203"/>
        <v>73402.34480841388</v>
      </c>
      <c r="I1259" s="3">
        <f t="shared" si="200"/>
        <v>595790.18652923056</v>
      </c>
      <c r="J1259" s="3">
        <f t="shared" si="201"/>
        <v>8212491.1904804353</v>
      </c>
      <c r="K1259" s="24"/>
      <c r="L1259" s="24">
        <f t="shared" si="205"/>
        <v>4653540.2507011555</v>
      </c>
    </row>
    <row r="1260" spans="2:12" x14ac:dyDescent="0.35">
      <c r="B1260" s="1">
        <v>12</v>
      </c>
      <c r="C1260" s="22">
        <v>44986</v>
      </c>
      <c r="D1260" s="22">
        <v>45016</v>
      </c>
      <c r="E1260" s="23">
        <f t="shared" si="199"/>
        <v>31</v>
      </c>
      <c r="F1260" s="3">
        <f t="shared" si="202"/>
        <v>8212491.1904804353</v>
      </c>
      <c r="G1260" s="3">
        <f t="shared" si="204"/>
        <v>669192.53133764444</v>
      </c>
      <c r="H1260" s="3">
        <f t="shared" si="203"/>
        <v>68437.426587336959</v>
      </c>
      <c r="I1260" s="3">
        <f t="shared" si="200"/>
        <v>600755.10475030751</v>
      </c>
      <c r="J1260" s="3">
        <f t="shared" si="201"/>
        <v>7611736.085730128</v>
      </c>
      <c r="K1260" s="24"/>
      <c r="L1260" s="24">
        <f t="shared" si="205"/>
        <v>5322732.7820388004</v>
      </c>
    </row>
    <row r="1261" spans="2:12" x14ac:dyDescent="0.35">
      <c r="B1261" s="1">
        <v>13</v>
      </c>
      <c r="C1261" s="22">
        <v>45017</v>
      </c>
      <c r="D1261" s="22">
        <v>45046</v>
      </c>
      <c r="E1261" s="23">
        <f t="shared" si="199"/>
        <v>30</v>
      </c>
      <c r="F1261" s="3">
        <f t="shared" si="202"/>
        <v>7611736.085730128</v>
      </c>
      <c r="G1261" s="3">
        <f t="shared" si="204"/>
        <v>669192.53133764444</v>
      </c>
      <c r="H1261" s="3">
        <f t="shared" si="203"/>
        <v>63431.134047751068</v>
      </c>
      <c r="I1261" s="3">
        <f t="shared" si="200"/>
        <v>605761.39728989336</v>
      </c>
      <c r="J1261" s="3">
        <f t="shared" si="201"/>
        <v>7005974.6884402344</v>
      </c>
      <c r="K1261" s="24"/>
      <c r="L1261" s="24">
        <f t="shared" si="205"/>
        <v>5991925.3133764453</v>
      </c>
    </row>
    <row r="1262" spans="2:12" x14ac:dyDescent="0.35">
      <c r="B1262" s="1">
        <v>14</v>
      </c>
      <c r="C1262" s="22">
        <v>45047</v>
      </c>
      <c r="D1262" s="22">
        <v>45077</v>
      </c>
      <c r="E1262" s="23">
        <f t="shared" si="199"/>
        <v>31</v>
      </c>
      <c r="F1262" s="3">
        <f t="shared" si="202"/>
        <v>7005974.6884402344</v>
      </c>
      <c r="G1262" s="3">
        <f t="shared" si="204"/>
        <v>669192.53133764444</v>
      </c>
      <c r="H1262" s="3">
        <f t="shared" si="203"/>
        <v>58383.122403668618</v>
      </c>
      <c r="I1262" s="3">
        <f t="shared" si="200"/>
        <v>610809.40893397585</v>
      </c>
      <c r="J1262" s="3">
        <f t="shared" si="201"/>
        <v>6395165.2795062587</v>
      </c>
      <c r="K1262" s="24"/>
      <c r="L1262" s="24">
        <f t="shared" si="205"/>
        <v>6661117.8447140902</v>
      </c>
    </row>
    <row r="1263" spans="2:12" x14ac:dyDescent="0.35">
      <c r="B1263" s="1">
        <v>15</v>
      </c>
      <c r="C1263" s="22">
        <v>45078</v>
      </c>
      <c r="D1263" s="22">
        <v>45107</v>
      </c>
      <c r="E1263" s="23">
        <f t="shared" si="199"/>
        <v>30</v>
      </c>
      <c r="F1263" s="3">
        <f t="shared" si="202"/>
        <v>6395165.2795062587</v>
      </c>
      <c r="G1263" s="3">
        <f t="shared" si="204"/>
        <v>669192.53133764444</v>
      </c>
      <c r="H1263" s="3">
        <f t="shared" si="203"/>
        <v>53293.043995885491</v>
      </c>
      <c r="I1263" s="3">
        <f t="shared" si="200"/>
        <v>615899.48734175891</v>
      </c>
      <c r="J1263" s="3">
        <f t="shared" si="201"/>
        <v>5779265.7921644999</v>
      </c>
      <c r="K1263" s="24"/>
      <c r="L1263" s="26">
        <f t="shared" si="205"/>
        <v>7330310.3760517351</v>
      </c>
    </row>
    <row r="1264" spans="2:12" x14ac:dyDescent="0.35">
      <c r="B1264" s="1">
        <v>16</v>
      </c>
      <c r="C1264" s="22">
        <v>45108</v>
      </c>
      <c r="D1264" s="22">
        <v>45138</v>
      </c>
      <c r="E1264" s="23">
        <f t="shared" si="199"/>
        <v>31</v>
      </c>
      <c r="F1264" s="3">
        <f t="shared" si="202"/>
        <v>5779265.7921644999</v>
      </c>
      <c r="G1264" s="3">
        <f t="shared" si="204"/>
        <v>669192.53133764444</v>
      </c>
      <c r="H1264" s="3">
        <f t="shared" si="203"/>
        <v>48160.548268037499</v>
      </c>
      <c r="I1264" s="3">
        <f t="shared" si="200"/>
        <v>621031.98306960694</v>
      </c>
      <c r="J1264" s="3">
        <f t="shared" si="201"/>
        <v>5158233.8090948928</v>
      </c>
      <c r="K1264" s="24"/>
      <c r="L1264" s="26">
        <f t="shared" si="205"/>
        <v>7999502.90738938</v>
      </c>
    </row>
    <row r="1265" spans="2:12" x14ac:dyDescent="0.35">
      <c r="B1265" s="1">
        <v>17</v>
      </c>
      <c r="C1265" s="22">
        <v>45139</v>
      </c>
      <c r="D1265" s="22">
        <v>45169</v>
      </c>
      <c r="E1265" s="23">
        <f t="shared" si="199"/>
        <v>31</v>
      </c>
      <c r="F1265" s="3">
        <f t="shared" si="202"/>
        <v>5158233.8090948928</v>
      </c>
      <c r="G1265" s="3">
        <f t="shared" si="204"/>
        <v>669192.53133764444</v>
      </c>
      <c r="H1265" s="3">
        <f t="shared" si="203"/>
        <v>42985.281742457439</v>
      </c>
      <c r="I1265" s="3">
        <f t="shared" si="200"/>
        <v>626207.24959518702</v>
      </c>
      <c r="J1265" s="3">
        <f t="shared" si="201"/>
        <v>4532026.5594997061</v>
      </c>
      <c r="K1265" s="24">
        <v>280000</v>
      </c>
      <c r="L1265" s="24">
        <f t="shared" si="205"/>
        <v>8668695.4387270249</v>
      </c>
    </row>
    <row r="1266" spans="2:12" x14ac:dyDescent="0.35">
      <c r="B1266" s="1">
        <v>18</v>
      </c>
      <c r="C1266" s="22">
        <v>45170</v>
      </c>
      <c r="D1266" s="22">
        <v>45199</v>
      </c>
      <c r="E1266" s="23">
        <f t="shared" si="199"/>
        <v>30</v>
      </c>
      <c r="F1266" s="3">
        <f t="shared" si="202"/>
        <v>4532026.5594997061</v>
      </c>
      <c r="G1266" s="3">
        <f t="shared" si="204"/>
        <v>669192.53133764444</v>
      </c>
      <c r="H1266" s="3">
        <f t="shared" si="203"/>
        <v>37766.887995830883</v>
      </c>
      <c r="I1266" s="3">
        <f t="shared" si="200"/>
        <v>631425.64334181359</v>
      </c>
      <c r="J1266" s="3">
        <f t="shared" si="201"/>
        <v>3900600.9161578924</v>
      </c>
      <c r="K1266" s="24"/>
      <c r="L1266" s="24">
        <f t="shared" si="205"/>
        <v>9337887.9700646698</v>
      </c>
    </row>
    <row r="1267" spans="2:12" x14ac:dyDescent="0.35">
      <c r="B1267" s="1">
        <v>19</v>
      </c>
      <c r="C1267" s="22">
        <v>45200</v>
      </c>
      <c r="D1267" s="22">
        <v>45230</v>
      </c>
      <c r="E1267" s="23">
        <f t="shared" si="199"/>
        <v>31</v>
      </c>
      <c r="F1267" s="3">
        <f t="shared" si="202"/>
        <v>3900600.9161578924</v>
      </c>
      <c r="G1267" s="3">
        <f t="shared" si="204"/>
        <v>669192.53133764444</v>
      </c>
      <c r="H1267" s="3">
        <f t="shared" si="203"/>
        <v>32505.007634649104</v>
      </c>
      <c r="I1267" s="3">
        <f t="shared" si="200"/>
        <v>636687.52370299539</v>
      </c>
      <c r="J1267" s="3">
        <f>F1267-I1267+L1267</f>
        <v>13270993.893857211</v>
      </c>
      <c r="K1267" s="24"/>
      <c r="L1267" s="24">
        <f t="shared" si="205"/>
        <v>10007080.501402315</v>
      </c>
    </row>
    <row r="1268" spans="2:12" x14ac:dyDescent="0.35">
      <c r="B1268" s="1">
        <v>20</v>
      </c>
      <c r="C1268" s="22">
        <v>45231</v>
      </c>
      <c r="D1268" s="22">
        <v>45260</v>
      </c>
      <c r="E1268" s="23">
        <f t="shared" si="199"/>
        <v>30</v>
      </c>
      <c r="F1268" s="3">
        <f t="shared" si="202"/>
        <v>13270993.893857211</v>
      </c>
      <c r="G1268" s="3">
        <f t="shared" ref="G1268:G1284" si="206">-PMT($D$1240/$D$1242,17,$F$1268,,0)</f>
        <v>840490.45762333483</v>
      </c>
      <c r="H1268" s="3">
        <f t="shared" si="203"/>
        <v>110591.61578214342</v>
      </c>
      <c r="I1268" s="3">
        <f t="shared" si="200"/>
        <v>729898.8418411914</v>
      </c>
      <c r="J1268" s="3">
        <f t="shared" ref="J1268:J1284" si="207">F1268-I1268</f>
        <v>12541095.05201602</v>
      </c>
      <c r="K1268" s="24"/>
      <c r="L1268" s="24">
        <f t="shared" si="205"/>
        <v>10847570.959025649</v>
      </c>
    </row>
    <row r="1269" spans="2:12" x14ac:dyDescent="0.35">
      <c r="B1269" s="1">
        <v>21</v>
      </c>
      <c r="C1269" s="22">
        <v>45261</v>
      </c>
      <c r="D1269" s="22">
        <v>45291</v>
      </c>
      <c r="E1269" s="23">
        <f t="shared" si="199"/>
        <v>31</v>
      </c>
      <c r="F1269" s="3">
        <f t="shared" si="202"/>
        <v>12541095.05201602</v>
      </c>
      <c r="G1269" s="3">
        <f t="shared" si="206"/>
        <v>840490.45762333483</v>
      </c>
      <c r="H1269" s="3">
        <f t="shared" si="203"/>
        <v>104509.12543346683</v>
      </c>
      <c r="I1269" s="3">
        <f t="shared" si="200"/>
        <v>735981.33218986797</v>
      </c>
      <c r="J1269" s="3">
        <f t="shared" si="207"/>
        <v>11805113.719826153</v>
      </c>
      <c r="K1269" s="24">
        <v>2000000</v>
      </c>
      <c r="L1269" s="24">
        <f>G1269-K1269</f>
        <v>-1159509.5423766652</v>
      </c>
    </row>
    <row r="1270" spans="2:12" x14ac:dyDescent="0.35">
      <c r="B1270" s="1">
        <v>22</v>
      </c>
      <c r="C1270" s="22">
        <v>45292</v>
      </c>
      <c r="D1270" s="22">
        <v>45322</v>
      </c>
      <c r="E1270" s="23">
        <f t="shared" si="199"/>
        <v>31</v>
      </c>
      <c r="F1270" s="3">
        <f t="shared" si="202"/>
        <v>11805113.719826153</v>
      </c>
      <c r="G1270" s="3">
        <f t="shared" si="206"/>
        <v>840490.45762333483</v>
      </c>
      <c r="H1270" s="3">
        <f t="shared" si="203"/>
        <v>98375.947665217944</v>
      </c>
      <c r="I1270" s="3">
        <f t="shared" si="200"/>
        <v>742114.50995811692</v>
      </c>
      <c r="J1270" s="3">
        <f t="shared" si="207"/>
        <v>11062999.209868036</v>
      </c>
      <c r="K1270" s="24">
        <v>700000</v>
      </c>
      <c r="L1270" s="24">
        <f t="shared" ref="L1270:L1279" si="208">L1269+G1270-K1270</f>
        <v>-1019019.0847533303</v>
      </c>
    </row>
    <row r="1271" spans="2:12" x14ac:dyDescent="0.35">
      <c r="B1271" s="1">
        <v>23</v>
      </c>
      <c r="C1271" s="22">
        <v>45323</v>
      </c>
      <c r="D1271" s="22">
        <v>45350</v>
      </c>
      <c r="E1271" s="23">
        <f t="shared" si="199"/>
        <v>28</v>
      </c>
      <c r="F1271" s="3">
        <f t="shared" si="202"/>
        <v>11062999.209868036</v>
      </c>
      <c r="G1271" s="3">
        <f t="shared" si="206"/>
        <v>840490.45762333483</v>
      </c>
      <c r="H1271" s="3">
        <f t="shared" si="203"/>
        <v>92191.660082233633</v>
      </c>
      <c r="I1271" s="3">
        <f t="shared" si="200"/>
        <v>748298.79754110123</v>
      </c>
      <c r="J1271" s="3">
        <f t="shared" si="207"/>
        <v>10314700.412326936</v>
      </c>
      <c r="K1271" s="24"/>
      <c r="L1271" s="24">
        <f t="shared" si="208"/>
        <v>-178528.6271299955</v>
      </c>
    </row>
    <row r="1272" spans="2:12" x14ac:dyDescent="0.35">
      <c r="B1272" s="1">
        <v>24</v>
      </c>
      <c r="C1272" s="22">
        <v>45352</v>
      </c>
      <c r="D1272" s="22">
        <v>45382</v>
      </c>
      <c r="E1272" s="23">
        <f t="shared" si="199"/>
        <v>31</v>
      </c>
      <c r="F1272" s="3">
        <f t="shared" si="202"/>
        <v>10314700.412326936</v>
      </c>
      <c r="G1272" s="3">
        <f t="shared" si="206"/>
        <v>840490.45762333483</v>
      </c>
      <c r="H1272" s="3">
        <f t="shared" si="203"/>
        <v>85955.836769391128</v>
      </c>
      <c r="I1272" s="3">
        <f t="shared" si="200"/>
        <v>754534.62085394375</v>
      </c>
      <c r="J1272" s="3">
        <f t="shared" si="207"/>
        <v>9560165.7914729919</v>
      </c>
      <c r="K1272" s="24"/>
      <c r="L1272" s="24">
        <f t="shared" si="208"/>
        <v>661961.83049333934</v>
      </c>
    </row>
    <row r="1273" spans="2:12" x14ac:dyDescent="0.35">
      <c r="B1273" s="1">
        <v>25</v>
      </c>
      <c r="C1273" s="22">
        <v>45383</v>
      </c>
      <c r="D1273" s="22">
        <v>45412</v>
      </c>
      <c r="E1273" s="23">
        <f t="shared" si="199"/>
        <v>30</v>
      </c>
      <c r="F1273" s="3">
        <f t="shared" si="202"/>
        <v>9560165.7914729919</v>
      </c>
      <c r="G1273" s="3">
        <f t="shared" si="206"/>
        <v>840490.45762333483</v>
      </c>
      <c r="H1273" s="3">
        <f t="shared" si="203"/>
        <v>79668.048262274926</v>
      </c>
      <c r="I1273" s="3">
        <f t="shared" si="200"/>
        <v>760822.40936105989</v>
      </c>
      <c r="J1273" s="3">
        <f t="shared" si="207"/>
        <v>8799343.3821119312</v>
      </c>
      <c r="K1273" s="24"/>
      <c r="L1273" s="24">
        <f t="shared" si="208"/>
        <v>1502452.2881166742</v>
      </c>
    </row>
    <row r="1274" spans="2:12" x14ac:dyDescent="0.35">
      <c r="B1274" s="1">
        <v>26</v>
      </c>
      <c r="C1274" s="22">
        <v>45413</v>
      </c>
      <c r="D1274" s="22">
        <v>45443</v>
      </c>
      <c r="E1274" s="23">
        <f t="shared" ref="E1274:E1284" si="209">D1273-C1274+1</f>
        <v>0</v>
      </c>
      <c r="F1274" s="3">
        <f t="shared" si="202"/>
        <v>8799343.3821119312</v>
      </c>
      <c r="G1274" s="3">
        <f t="shared" si="206"/>
        <v>840490.45762333483</v>
      </c>
      <c r="H1274" s="3">
        <f t="shared" si="203"/>
        <v>73327.86151759942</v>
      </c>
      <c r="I1274" s="3">
        <f t="shared" si="200"/>
        <v>767162.5961057354</v>
      </c>
      <c r="J1274" s="3">
        <f t="shared" si="207"/>
        <v>8032180.7860061955</v>
      </c>
      <c r="K1274" s="24"/>
      <c r="L1274" s="24">
        <f t="shared" si="208"/>
        <v>2342942.745740009</v>
      </c>
    </row>
    <row r="1275" spans="2:12" x14ac:dyDescent="0.35">
      <c r="B1275" s="1">
        <v>27</v>
      </c>
      <c r="C1275" s="22">
        <v>45444</v>
      </c>
      <c r="D1275" s="22">
        <v>45473</v>
      </c>
      <c r="E1275" s="23">
        <f t="shared" si="209"/>
        <v>0</v>
      </c>
      <c r="F1275" s="3">
        <f t="shared" si="202"/>
        <v>8032180.7860061955</v>
      </c>
      <c r="G1275" s="3">
        <f t="shared" si="206"/>
        <v>840490.45762333483</v>
      </c>
      <c r="H1275" s="3">
        <f t="shared" si="203"/>
        <v>66934.839883384964</v>
      </c>
      <c r="I1275" s="3">
        <f t="shared" si="200"/>
        <v>773555.61773994984</v>
      </c>
      <c r="J1275" s="3">
        <f t="shared" si="207"/>
        <v>7258625.1682662461</v>
      </c>
      <c r="K1275" s="24"/>
      <c r="L1275" s="24">
        <f t="shared" si="208"/>
        <v>3183433.2033633441</v>
      </c>
    </row>
    <row r="1276" spans="2:12" x14ac:dyDescent="0.35">
      <c r="B1276" s="1">
        <v>28</v>
      </c>
      <c r="C1276" s="22">
        <v>45474</v>
      </c>
      <c r="D1276" s="22">
        <v>45504</v>
      </c>
      <c r="E1276" s="23">
        <f t="shared" si="209"/>
        <v>0</v>
      </c>
      <c r="F1276" s="3">
        <f t="shared" si="202"/>
        <v>7258625.1682662461</v>
      </c>
      <c r="G1276" s="3">
        <f t="shared" si="206"/>
        <v>840490.45762333483</v>
      </c>
      <c r="H1276" s="3">
        <f t="shared" si="203"/>
        <v>60488.543068885381</v>
      </c>
      <c r="I1276" s="3">
        <f t="shared" si="200"/>
        <v>780001.9145544495</v>
      </c>
      <c r="J1276" s="3">
        <f t="shared" si="207"/>
        <v>6478623.2537117964</v>
      </c>
      <c r="K1276" s="24"/>
      <c r="L1276" s="24">
        <f t="shared" si="208"/>
        <v>4023923.6609866787</v>
      </c>
    </row>
    <row r="1277" spans="2:12" x14ac:dyDescent="0.35">
      <c r="B1277" s="1">
        <v>29</v>
      </c>
      <c r="C1277" s="22">
        <v>45505</v>
      </c>
      <c r="D1277" s="22">
        <v>45535</v>
      </c>
      <c r="E1277" s="23">
        <f t="shared" si="209"/>
        <v>0</v>
      </c>
      <c r="F1277" s="3">
        <f t="shared" si="202"/>
        <v>6478623.2537117964</v>
      </c>
      <c r="G1277" s="3">
        <f t="shared" si="206"/>
        <v>840490.45762333483</v>
      </c>
      <c r="H1277" s="3">
        <f t="shared" si="203"/>
        <v>53988.527114264965</v>
      </c>
      <c r="I1277" s="3">
        <f t="shared" si="200"/>
        <v>786501.93050906982</v>
      </c>
      <c r="J1277" s="3">
        <f t="shared" si="207"/>
        <v>5692121.3232027264</v>
      </c>
      <c r="K1277" s="24">
        <v>1000000</v>
      </c>
      <c r="L1277" s="24">
        <f t="shared" si="208"/>
        <v>3864414.1186100133</v>
      </c>
    </row>
    <row r="1278" spans="2:12" x14ac:dyDescent="0.35">
      <c r="B1278" s="1">
        <v>30</v>
      </c>
      <c r="C1278" s="22">
        <v>45536</v>
      </c>
      <c r="D1278" s="22">
        <v>45565</v>
      </c>
      <c r="E1278" s="23">
        <f t="shared" si="209"/>
        <v>0</v>
      </c>
      <c r="F1278" s="3">
        <f t="shared" si="202"/>
        <v>5692121.3232027264</v>
      </c>
      <c r="G1278" s="3">
        <f t="shared" si="206"/>
        <v>840490.45762333483</v>
      </c>
      <c r="H1278" s="3">
        <f t="shared" si="203"/>
        <v>47434.344360022718</v>
      </c>
      <c r="I1278" s="3">
        <f t="shared" si="200"/>
        <v>793056.11326331215</v>
      </c>
      <c r="J1278" s="3">
        <f t="shared" si="207"/>
        <v>4899065.2099394146</v>
      </c>
      <c r="K1278" s="24"/>
      <c r="L1278" s="24">
        <f t="shared" si="208"/>
        <v>4704904.5762333479</v>
      </c>
    </row>
    <row r="1279" spans="2:12" x14ac:dyDescent="0.35">
      <c r="B1279" s="1">
        <v>31</v>
      </c>
      <c r="C1279" s="22">
        <v>45566</v>
      </c>
      <c r="D1279" s="22">
        <v>45596</v>
      </c>
      <c r="E1279" s="23">
        <f t="shared" si="209"/>
        <v>0</v>
      </c>
      <c r="F1279" s="3">
        <f t="shared" si="202"/>
        <v>4899065.2099394146</v>
      </c>
      <c r="G1279" s="3">
        <f t="shared" si="206"/>
        <v>840490.45762333483</v>
      </c>
      <c r="H1279" s="3">
        <f t="shared" si="203"/>
        <v>40825.543416161789</v>
      </c>
      <c r="I1279" s="3">
        <f t="shared" si="200"/>
        <v>799664.91420717305</v>
      </c>
      <c r="J1279" s="3">
        <f t="shared" si="207"/>
        <v>4099400.2957322416</v>
      </c>
      <c r="K1279" s="24">
        <v>200000</v>
      </c>
      <c r="L1279" s="204">
        <f t="shared" si="208"/>
        <v>5345395.0338566825</v>
      </c>
    </row>
    <row r="1280" spans="2:12" x14ac:dyDescent="0.35">
      <c r="B1280" s="1">
        <v>32</v>
      </c>
      <c r="C1280" s="22">
        <v>45597</v>
      </c>
      <c r="D1280" s="22">
        <v>45626</v>
      </c>
      <c r="E1280" s="23">
        <f t="shared" si="209"/>
        <v>0</v>
      </c>
      <c r="F1280" s="3">
        <f t="shared" si="202"/>
        <v>4099400.2957322416</v>
      </c>
      <c r="G1280" s="3">
        <f t="shared" si="206"/>
        <v>840490.45762333483</v>
      </c>
      <c r="H1280" s="3">
        <f t="shared" si="203"/>
        <v>34161.669131102011</v>
      </c>
      <c r="I1280" s="3">
        <f t="shared" si="200"/>
        <v>806328.78849223279</v>
      </c>
      <c r="J1280" s="3">
        <f t="shared" si="207"/>
        <v>3293071.5072400086</v>
      </c>
      <c r="K1280" s="24"/>
      <c r="L1280" s="24"/>
    </row>
    <row r="1281" spans="2:12" x14ac:dyDescent="0.35">
      <c r="B1281" s="1">
        <v>33</v>
      </c>
      <c r="C1281" s="22">
        <v>45627</v>
      </c>
      <c r="D1281" s="22">
        <v>45657</v>
      </c>
      <c r="E1281" s="23">
        <f t="shared" si="209"/>
        <v>0</v>
      </c>
      <c r="F1281" s="3">
        <f t="shared" si="202"/>
        <v>3293071.5072400086</v>
      </c>
      <c r="G1281" s="3">
        <f t="shared" si="206"/>
        <v>840490.45762333483</v>
      </c>
      <c r="H1281" s="3">
        <f t="shared" si="203"/>
        <v>27442.262560333405</v>
      </c>
      <c r="I1281" s="3">
        <f t="shared" si="200"/>
        <v>813048.19506300148</v>
      </c>
      <c r="J1281" s="3">
        <f t="shared" si="207"/>
        <v>2480023.3121770071</v>
      </c>
      <c r="K1281" s="24"/>
      <c r="L1281" s="24"/>
    </row>
    <row r="1282" spans="2:12" x14ac:dyDescent="0.35">
      <c r="B1282" s="1">
        <v>34</v>
      </c>
      <c r="C1282" s="22">
        <v>45658</v>
      </c>
      <c r="D1282" s="22">
        <v>45688</v>
      </c>
      <c r="E1282" s="23">
        <f t="shared" si="209"/>
        <v>0</v>
      </c>
      <c r="F1282" s="3">
        <f t="shared" si="202"/>
        <v>2480023.3121770071</v>
      </c>
      <c r="G1282" s="3">
        <f t="shared" si="206"/>
        <v>840490.45762333483</v>
      </c>
      <c r="H1282" s="3">
        <f t="shared" si="203"/>
        <v>20666.860934808392</v>
      </c>
      <c r="I1282" s="3">
        <f t="shared" si="200"/>
        <v>819823.59668852645</v>
      </c>
      <c r="J1282" s="3">
        <f t="shared" si="207"/>
        <v>1660199.7154884806</v>
      </c>
      <c r="K1282" s="24"/>
      <c r="L1282" s="24"/>
    </row>
    <row r="1283" spans="2:12" x14ac:dyDescent="0.35">
      <c r="B1283" s="1">
        <v>35</v>
      </c>
      <c r="C1283" s="22">
        <v>45689</v>
      </c>
      <c r="D1283" s="22">
        <v>45716</v>
      </c>
      <c r="E1283" s="23">
        <f t="shared" si="209"/>
        <v>0</v>
      </c>
      <c r="F1283" s="3">
        <f t="shared" si="202"/>
        <v>1660199.7154884806</v>
      </c>
      <c r="G1283" s="3">
        <f t="shared" si="206"/>
        <v>840490.45762333483</v>
      </c>
      <c r="H1283" s="3">
        <f t="shared" si="203"/>
        <v>13834.997629070671</v>
      </c>
      <c r="I1283" s="3">
        <f t="shared" si="200"/>
        <v>826655.45999426418</v>
      </c>
      <c r="J1283" s="3">
        <f t="shared" si="207"/>
        <v>833544.25549421646</v>
      </c>
      <c r="K1283" s="24"/>
      <c r="L1283" s="24"/>
    </row>
    <row r="1284" spans="2:12" x14ac:dyDescent="0.35">
      <c r="B1284" s="1">
        <v>36</v>
      </c>
      <c r="C1284" s="22">
        <v>45717</v>
      </c>
      <c r="D1284" s="22">
        <v>45747</v>
      </c>
      <c r="E1284" s="23">
        <f t="shared" si="209"/>
        <v>0</v>
      </c>
      <c r="F1284" s="3">
        <f t="shared" si="202"/>
        <v>833544.25549421646</v>
      </c>
      <c r="G1284" s="3">
        <f t="shared" si="206"/>
        <v>840490.45762333483</v>
      </c>
      <c r="H1284" s="3">
        <f t="shared" si="203"/>
        <v>6946.2021291184701</v>
      </c>
      <c r="I1284" s="3">
        <f t="shared" si="200"/>
        <v>833544.25549421634</v>
      </c>
      <c r="J1284" s="3">
        <f t="shared" si="207"/>
        <v>0</v>
      </c>
      <c r="K1284" s="24"/>
      <c r="L1284" s="24"/>
    </row>
    <row r="1286" spans="2:12" ht="14.25" customHeight="1" x14ac:dyDescent="0.35">
      <c r="B1286" s="1"/>
      <c r="C1286" s="1"/>
      <c r="D1286" s="1"/>
      <c r="E1286" s="28">
        <f>SUM(E1248:E1272)</f>
        <v>738</v>
      </c>
      <c r="F1286" s="3"/>
      <c r="G1286" s="3"/>
      <c r="H1286" s="3"/>
      <c r="I1286" s="3"/>
      <c r="J1286" s="3"/>
      <c r="K1286" s="1"/>
      <c r="L1286" s="1"/>
    </row>
    <row r="1289" spans="2:12" hidden="1" x14ac:dyDescent="0.35"/>
    <row r="1290" spans="2:12" ht="15.75" hidden="1" customHeight="1" x14ac:dyDescent="0.35"/>
    <row r="1291" spans="2:12" hidden="1" x14ac:dyDescent="0.35">
      <c r="B1291" s="1"/>
      <c r="C1291" s="8" t="s">
        <v>783</v>
      </c>
      <c r="D1291" s="3"/>
      <c r="E1291" s="3"/>
      <c r="F1291" s="3"/>
      <c r="G1291" s="3"/>
      <c r="H1291" s="3"/>
      <c r="I1291" s="3"/>
      <c r="J1291" s="3"/>
      <c r="K1291" s="3"/>
      <c r="L1291" s="3"/>
    </row>
    <row r="1292" spans="2:12" hidden="1" x14ac:dyDescent="0.35">
      <c r="B1292" s="1"/>
      <c r="C1292" s="1"/>
      <c r="D1292" s="3" t="s">
        <v>892</v>
      </c>
      <c r="E1292" s="3"/>
      <c r="F1292" s="3" t="s">
        <v>881</v>
      </c>
      <c r="G1292" s="3">
        <v>44866</v>
      </c>
      <c r="H1292" s="3">
        <v>45017</v>
      </c>
      <c r="I1292" s="3"/>
      <c r="J1292" s="3"/>
      <c r="K1292" s="3"/>
      <c r="L1292" s="3"/>
    </row>
    <row r="1293" spans="2:12" hidden="1" x14ac:dyDescent="0.35">
      <c r="B1293" s="1"/>
      <c r="C1293" s="9" t="s">
        <v>893</v>
      </c>
      <c r="D1293" s="10">
        <v>419543.1</v>
      </c>
      <c r="E1293" s="3"/>
      <c r="F1293" s="3">
        <v>123979.07</v>
      </c>
      <c r="G1293" s="3">
        <f>3.8%+8%</f>
        <v>0.11799999999999999</v>
      </c>
      <c r="H1293" s="3">
        <f>5.4%+8%</f>
        <v>0.13400000000000001</v>
      </c>
      <c r="I1293" s="3"/>
      <c r="J1293" s="3"/>
      <c r="K1293" s="3"/>
      <c r="L1293" s="3"/>
    </row>
    <row r="1294" spans="2:12" hidden="1" x14ac:dyDescent="0.35">
      <c r="B1294" s="1"/>
      <c r="C1294" s="11" t="s">
        <v>837</v>
      </c>
      <c r="D1294" s="12">
        <v>9.3600000000000003E-2</v>
      </c>
      <c r="E1294" s="13"/>
      <c r="F1294" s="3"/>
      <c r="G1294" s="3"/>
      <c r="H1294" s="3"/>
      <c r="I1294" s="3"/>
      <c r="J1294" s="3"/>
      <c r="K1294" s="3"/>
      <c r="L1294" s="3"/>
    </row>
    <row r="1295" spans="2:12" hidden="1" x14ac:dyDescent="0.35">
      <c r="B1295" s="1"/>
      <c r="C1295" s="11" t="s">
        <v>838</v>
      </c>
      <c r="D1295" s="14">
        <v>6</v>
      </c>
      <c r="E1295" s="1"/>
      <c r="F1295" s="3"/>
      <c r="G1295" s="3"/>
      <c r="H1295" s="3"/>
      <c r="I1295" s="3"/>
      <c r="J1295" s="3"/>
      <c r="K1295" s="1"/>
      <c r="L1295" s="1"/>
    </row>
    <row r="1296" spans="2:12" hidden="1" x14ac:dyDescent="0.35">
      <c r="B1296" s="1"/>
      <c r="C1296" s="11" t="s">
        <v>839</v>
      </c>
      <c r="D1296" s="14">
        <v>12</v>
      </c>
      <c r="E1296" s="1"/>
      <c r="F1296" s="3"/>
      <c r="G1296" s="3"/>
      <c r="H1296" s="3"/>
      <c r="I1296" s="3"/>
      <c r="J1296" s="3"/>
      <c r="K1296" s="1"/>
      <c r="L1296" s="1"/>
    </row>
    <row r="1297" spans="2:12" hidden="1" x14ac:dyDescent="0.35">
      <c r="B1297" s="1"/>
      <c r="C1297" s="11" t="s">
        <v>843</v>
      </c>
      <c r="D1297" s="15">
        <f>D1295*D1296</f>
        <v>72</v>
      </c>
      <c r="E1297" s="1"/>
      <c r="F1297" s="3"/>
      <c r="G1297" s="3"/>
      <c r="H1297" s="3"/>
      <c r="I1297" s="3"/>
      <c r="J1297" s="3"/>
      <c r="K1297" s="1"/>
      <c r="L1297" s="1"/>
    </row>
    <row r="1298" spans="2:12" hidden="1" x14ac:dyDescent="0.35">
      <c r="B1298" s="1"/>
      <c r="C1298" s="11" t="s">
        <v>844</v>
      </c>
      <c r="D1298" s="16">
        <v>365</v>
      </c>
      <c r="E1298" s="1"/>
      <c r="F1298" s="3"/>
      <c r="G1298" s="3"/>
      <c r="H1298" s="3"/>
      <c r="I1298" s="3"/>
      <c r="J1298" s="3"/>
      <c r="K1298" s="1"/>
      <c r="L1298" s="1"/>
    </row>
    <row r="1299" spans="2:12" hidden="1" x14ac:dyDescent="0.35">
      <c r="B1299" s="1"/>
      <c r="C1299" s="17" t="s">
        <v>845</v>
      </c>
      <c r="D1299" s="18">
        <f>-PMT(D1294/D1296,D1297,D1293,0,0)</f>
        <v>7637.6674014134842</v>
      </c>
      <c r="E1299" s="3"/>
      <c r="F1299" s="3"/>
      <c r="G1299" s="3"/>
      <c r="H1299" s="3"/>
      <c r="I1299" s="3"/>
      <c r="J1299" s="3"/>
      <c r="K1299" s="1"/>
      <c r="L1299" s="1"/>
    </row>
    <row r="1300" spans="2:12" hidden="1" x14ac:dyDescent="0.35">
      <c r="B1300" s="1"/>
      <c r="C1300" s="1"/>
      <c r="D1300" s="3"/>
      <c r="E1300" s="3"/>
      <c r="F1300" s="3"/>
      <c r="G1300" s="3"/>
      <c r="H1300" s="3"/>
      <c r="I1300" s="3"/>
      <c r="J1300" s="3"/>
      <c r="K1300" s="1"/>
      <c r="L1300" s="1"/>
    </row>
    <row r="1301" spans="2:12" hidden="1" x14ac:dyDescent="0.35">
      <c r="B1301" s="1"/>
      <c r="C1301" s="19" t="s">
        <v>846</v>
      </c>
      <c r="D1301" s="20" t="s">
        <v>847</v>
      </c>
      <c r="E1301" s="20" t="s">
        <v>764</v>
      </c>
      <c r="F1301" s="270" t="s">
        <v>848</v>
      </c>
      <c r="G1301" s="270" t="s">
        <v>849</v>
      </c>
      <c r="H1301" s="270" t="s">
        <v>742</v>
      </c>
      <c r="I1301" s="270" t="s">
        <v>740</v>
      </c>
      <c r="J1301" s="270" t="s">
        <v>850</v>
      </c>
      <c r="K1301" s="21" t="s">
        <v>851</v>
      </c>
      <c r="L1301" s="21" t="s">
        <v>852</v>
      </c>
    </row>
    <row r="1302" spans="2:12" hidden="1" x14ac:dyDescent="0.35">
      <c r="B1302" s="1">
        <v>0</v>
      </c>
      <c r="C1302" s="22">
        <v>44631</v>
      </c>
      <c r="D1302" s="22">
        <v>44651</v>
      </c>
      <c r="E1302" s="23">
        <f t="shared" ref="E1302:E1333" si="210">D1302-C1302+1</f>
        <v>21</v>
      </c>
      <c r="F1302" s="3">
        <f>D1293</f>
        <v>419543.1</v>
      </c>
      <c r="G1302" s="3"/>
      <c r="H1302" s="3">
        <f>F1302*E1302*D1294/D1298</f>
        <v>2259.3258009863011</v>
      </c>
      <c r="I1302" s="3">
        <f t="shared" ref="I1302:I1333" si="211">G1302-H1302</f>
        <v>-2259.3258009863011</v>
      </c>
      <c r="J1302" s="3">
        <f t="shared" ref="J1302:J1333" si="212">F1302-I1302</f>
        <v>421802.4258009863</v>
      </c>
      <c r="K1302" s="24"/>
      <c r="L1302" s="24"/>
    </row>
    <row r="1303" spans="2:12" hidden="1" x14ac:dyDescent="0.35">
      <c r="B1303" s="1">
        <v>1</v>
      </c>
      <c r="C1303" s="22">
        <v>44652</v>
      </c>
      <c r="D1303" s="22">
        <v>44681</v>
      </c>
      <c r="E1303" s="23">
        <f t="shared" si="210"/>
        <v>30</v>
      </c>
      <c r="F1303" s="3">
        <f>J1302</f>
        <v>421802.4258009863</v>
      </c>
      <c r="G1303" s="3"/>
      <c r="H1303" s="3">
        <f t="shared" ref="H1303:H1309" si="213">$D$1294/$D$1296*F1303</f>
        <v>3290.0589212476934</v>
      </c>
      <c r="I1303" s="3">
        <f t="shared" si="211"/>
        <v>-3290.0589212476934</v>
      </c>
      <c r="J1303" s="3">
        <f t="shared" si="212"/>
        <v>425092.48472223402</v>
      </c>
      <c r="K1303" s="24"/>
      <c r="L1303" s="24"/>
    </row>
    <row r="1304" spans="2:12" hidden="1" x14ac:dyDescent="0.35">
      <c r="B1304" s="1">
        <v>2</v>
      </c>
      <c r="C1304" s="22">
        <v>44682</v>
      </c>
      <c r="D1304" s="22">
        <v>44712</v>
      </c>
      <c r="E1304" s="23">
        <f t="shared" si="210"/>
        <v>31</v>
      </c>
      <c r="F1304" s="3">
        <f>J1303</f>
        <v>425092.48472223402</v>
      </c>
      <c r="G1304" s="3"/>
      <c r="H1304" s="3">
        <f t="shared" si="213"/>
        <v>3315.7213808334254</v>
      </c>
      <c r="I1304" s="3">
        <f t="shared" si="211"/>
        <v>-3315.7213808334254</v>
      </c>
      <c r="J1304" s="3">
        <f t="shared" si="212"/>
        <v>428408.20610306744</v>
      </c>
      <c r="K1304" s="24"/>
      <c r="L1304" s="24"/>
    </row>
    <row r="1305" spans="2:12" hidden="1" x14ac:dyDescent="0.35">
      <c r="B1305" s="1">
        <v>3</v>
      </c>
      <c r="C1305" s="22">
        <v>44713</v>
      </c>
      <c r="D1305" s="22">
        <v>44742</v>
      </c>
      <c r="E1305" s="23">
        <f t="shared" si="210"/>
        <v>30</v>
      </c>
      <c r="F1305" s="3">
        <f>J1304</f>
        <v>428408.20610306744</v>
      </c>
      <c r="G1305" s="3"/>
      <c r="H1305" s="3">
        <f t="shared" si="213"/>
        <v>3341.5840076039262</v>
      </c>
      <c r="I1305" s="3">
        <f t="shared" si="211"/>
        <v>-3341.5840076039262</v>
      </c>
      <c r="J1305" s="3">
        <f t="shared" si="212"/>
        <v>431749.79011067137</v>
      </c>
    </row>
    <row r="1306" spans="2:12" hidden="1" x14ac:dyDescent="0.35">
      <c r="B1306" s="1">
        <v>4</v>
      </c>
      <c r="C1306" s="22">
        <v>44743</v>
      </c>
      <c r="D1306" s="22">
        <v>44773</v>
      </c>
      <c r="E1306" s="23">
        <f t="shared" si="210"/>
        <v>31</v>
      </c>
      <c r="F1306" s="3">
        <f>J1305+F1293</f>
        <v>555728.86011067138</v>
      </c>
      <c r="G1306" s="3"/>
      <c r="H1306" s="3">
        <f t="shared" si="213"/>
        <v>4334.6851088632366</v>
      </c>
      <c r="I1306" s="3">
        <f t="shared" si="211"/>
        <v>-4334.6851088632366</v>
      </c>
      <c r="J1306" s="3">
        <f t="shared" si="212"/>
        <v>560063.54521953466</v>
      </c>
      <c r="K1306" s="24"/>
      <c r="L1306" s="24"/>
    </row>
    <row r="1307" spans="2:12" hidden="1" x14ac:dyDescent="0.35">
      <c r="B1307" s="1">
        <v>5</v>
      </c>
      <c r="C1307" s="22">
        <v>44774</v>
      </c>
      <c r="D1307" s="22">
        <v>44804</v>
      </c>
      <c r="E1307" s="23">
        <f t="shared" si="210"/>
        <v>31</v>
      </c>
      <c r="F1307" s="3">
        <f t="shared" ref="F1307:F1338" si="214">J1306</f>
        <v>560063.54521953466</v>
      </c>
      <c r="G1307" s="3"/>
      <c r="H1307" s="3">
        <f t="shared" si="213"/>
        <v>4368.4956527123704</v>
      </c>
      <c r="I1307" s="3">
        <f t="shared" si="211"/>
        <v>-4368.4956527123704</v>
      </c>
      <c r="J1307" s="3">
        <f t="shared" si="212"/>
        <v>564432.04087224707</v>
      </c>
      <c r="K1307" s="24"/>
      <c r="L1307" s="24"/>
    </row>
    <row r="1308" spans="2:12" hidden="1" x14ac:dyDescent="0.35">
      <c r="B1308" s="1">
        <v>6</v>
      </c>
      <c r="C1308" s="22">
        <v>44805</v>
      </c>
      <c r="D1308" s="22">
        <v>44834</v>
      </c>
      <c r="E1308" s="23">
        <f t="shared" si="210"/>
        <v>30</v>
      </c>
      <c r="F1308" s="3">
        <f t="shared" si="214"/>
        <v>564432.04087224707</v>
      </c>
      <c r="G1308" s="3"/>
      <c r="H1308" s="3">
        <f t="shared" si="213"/>
        <v>4402.5699188035278</v>
      </c>
      <c r="I1308" s="3">
        <f t="shared" si="211"/>
        <v>-4402.5699188035278</v>
      </c>
      <c r="J1308" s="3">
        <f t="shared" si="212"/>
        <v>568834.6107910506</v>
      </c>
      <c r="K1308" s="24"/>
      <c r="L1308" s="24"/>
    </row>
    <row r="1309" spans="2:12" hidden="1" x14ac:dyDescent="0.35">
      <c r="B1309" s="1">
        <v>7</v>
      </c>
      <c r="C1309" s="22">
        <v>44835</v>
      </c>
      <c r="D1309" s="22">
        <v>44865</v>
      </c>
      <c r="E1309" s="23">
        <f t="shared" si="210"/>
        <v>31</v>
      </c>
      <c r="F1309" s="3">
        <f t="shared" si="214"/>
        <v>568834.6107910506</v>
      </c>
      <c r="G1309" s="3"/>
      <c r="H1309" s="3">
        <f t="shared" si="213"/>
        <v>4436.9099641701951</v>
      </c>
      <c r="I1309" s="3">
        <f t="shared" si="211"/>
        <v>-4436.9099641701951</v>
      </c>
      <c r="J1309" s="3">
        <f t="shared" si="212"/>
        <v>573271.52075522079</v>
      </c>
      <c r="K1309" s="24"/>
      <c r="L1309" s="26"/>
    </row>
    <row r="1310" spans="2:12" hidden="1" x14ac:dyDescent="0.35">
      <c r="B1310" s="1">
        <v>8</v>
      </c>
      <c r="C1310" s="22">
        <v>44866</v>
      </c>
      <c r="D1310" s="22">
        <v>44895</v>
      </c>
      <c r="E1310" s="23">
        <f t="shared" si="210"/>
        <v>30</v>
      </c>
      <c r="F1310" s="3">
        <f t="shared" si="214"/>
        <v>573271.52075522079</v>
      </c>
      <c r="G1310" s="3"/>
      <c r="H1310" s="3">
        <f>$G$1293/$D$1296*F1310</f>
        <v>5637.169954093004</v>
      </c>
      <c r="I1310" s="3">
        <f t="shared" si="211"/>
        <v>-5637.169954093004</v>
      </c>
      <c r="J1310" s="3">
        <f t="shared" si="212"/>
        <v>578908.69070931384</v>
      </c>
      <c r="K1310" s="24"/>
      <c r="L1310" s="24"/>
    </row>
    <row r="1311" spans="2:12" hidden="1" x14ac:dyDescent="0.35">
      <c r="B1311" s="1">
        <v>9</v>
      </c>
      <c r="C1311" s="22">
        <v>44896</v>
      </c>
      <c r="D1311" s="22">
        <v>44926</v>
      </c>
      <c r="E1311" s="23">
        <f t="shared" si="210"/>
        <v>31</v>
      </c>
      <c r="F1311" s="3">
        <f t="shared" si="214"/>
        <v>578908.69070931384</v>
      </c>
      <c r="G1311" s="3"/>
      <c r="H1311" s="3">
        <f>$G$1293/$D$1296*F1311</f>
        <v>5692.6021253082527</v>
      </c>
      <c r="I1311" s="3">
        <f t="shared" si="211"/>
        <v>-5692.6021253082527</v>
      </c>
      <c r="J1311" s="3">
        <f t="shared" si="212"/>
        <v>584601.29283462209</v>
      </c>
      <c r="K1311" s="24"/>
      <c r="L1311" s="24"/>
    </row>
    <row r="1312" spans="2:12" hidden="1" x14ac:dyDescent="0.35">
      <c r="B1312" s="1">
        <v>10</v>
      </c>
      <c r="C1312" s="22">
        <v>44927</v>
      </c>
      <c r="D1312" s="22">
        <v>44957</v>
      </c>
      <c r="E1312" s="23">
        <f t="shared" si="210"/>
        <v>31</v>
      </c>
      <c r="F1312" s="3">
        <f t="shared" si="214"/>
        <v>584601.29283462209</v>
      </c>
      <c r="G1312" s="3"/>
      <c r="H1312" s="3">
        <f>$G$1293/$D$1296*F1312</f>
        <v>5748.5793795404506</v>
      </c>
      <c r="I1312" s="3">
        <f t="shared" si="211"/>
        <v>-5748.5793795404506</v>
      </c>
      <c r="J1312" s="3">
        <f t="shared" si="212"/>
        <v>590349.87221416249</v>
      </c>
      <c r="K1312" s="24"/>
      <c r="L1312" s="24">
        <f>G1312</f>
        <v>0</v>
      </c>
    </row>
    <row r="1313" spans="2:13" hidden="1" x14ac:dyDescent="0.35">
      <c r="B1313" s="1">
        <v>11</v>
      </c>
      <c r="C1313" s="22">
        <v>44958</v>
      </c>
      <c r="D1313" s="22">
        <v>44985</v>
      </c>
      <c r="E1313" s="23">
        <f t="shared" si="210"/>
        <v>28</v>
      </c>
      <c r="F1313" s="3">
        <f t="shared" si="214"/>
        <v>590349.87221416249</v>
      </c>
      <c r="G1313" s="3"/>
      <c r="H1313" s="3">
        <f>$G$1293/$D$1296*F1313</f>
        <v>5805.1070767725978</v>
      </c>
      <c r="I1313" s="3">
        <f t="shared" si="211"/>
        <v>-5805.1070767725978</v>
      </c>
      <c r="J1313" s="3">
        <f t="shared" si="212"/>
        <v>596154.97929093509</v>
      </c>
      <c r="K1313" s="24"/>
      <c r="L1313" s="24">
        <f>G1313+G1312</f>
        <v>0</v>
      </c>
    </row>
    <row r="1314" spans="2:13" hidden="1" x14ac:dyDescent="0.35">
      <c r="B1314" s="1">
        <v>12</v>
      </c>
      <c r="C1314" s="22">
        <v>44986</v>
      </c>
      <c r="D1314" s="22">
        <v>45016</v>
      </c>
      <c r="E1314" s="23">
        <f t="shared" si="210"/>
        <v>31</v>
      </c>
      <c r="F1314" s="3">
        <f t="shared" si="214"/>
        <v>596154.97929093509</v>
      </c>
      <c r="G1314" s="3"/>
      <c r="H1314" s="3">
        <f>$G$1293/$D$1296*F1314</f>
        <v>5862.1906296941952</v>
      </c>
      <c r="I1314" s="3">
        <f t="shared" si="211"/>
        <v>-5862.1906296941952</v>
      </c>
      <c r="J1314" s="3">
        <f t="shared" si="212"/>
        <v>602017.16992062924</v>
      </c>
      <c r="K1314" s="24"/>
      <c r="L1314" s="24">
        <f>G1314+L1313</f>
        <v>0</v>
      </c>
    </row>
    <row r="1315" spans="2:13" hidden="1" x14ac:dyDescent="0.35">
      <c r="B1315" s="1">
        <v>13</v>
      </c>
      <c r="C1315" s="22">
        <v>45017</v>
      </c>
      <c r="D1315" s="22">
        <v>45046</v>
      </c>
      <c r="E1315" s="23">
        <f t="shared" si="210"/>
        <v>30</v>
      </c>
      <c r="F1315" s="3">
        <f t="shared" si="214"/>
        <v>602017.16992062924</v>
      </c>
      <c r="G1315" s="3"/>
      <c r="H1315" s="3">
        <f>$H$1293/$D$1296*F1315</f>
        <v>6722.5250641136936</v>
      </c>
      <c r="I1315" s="3">
        <f t="shared" si="211"/>
        <v>-6722.5250641136936</v>
      </c>
      <c r="J1315" s="3">
        <f t="shared" si="212"/>
        <v>608739.69498474291</v>
      </c>
      <c r="K1315" s="24"/>
      <c r="L1315" s="24">
        <f>G1315+L1314</f>
        <v>0</v>
      </c>
    </row>
    <row r="1316" spans="2:13" hidden="1" x14ac:dyDescent="0.35">
      <c r="B1316" s="1">
        <v>14</v>
      </c>
      <c r="C1316" s="22">
        <v>45047</v>
      </c>
      <c r="D1316" s="22">
        <v>45077</v>
      </c>
      <c r="E1316" s="23">
        <f t="shared" si="210"/>
        <v>31</v>
      </c>
      <c r="F1316" s="3">
        <f t="shared" si="214"/>
        <v>608739.69498474291</v>
      </c>
      <c r="G1316" s="3"/>
      <c r="H1316" s="3">
        <f>$H$1293/$D$1296*F1316</f>
        <v>6797.5932606629622</v>
      </c>
      <c r="I1316" s="3">
        <f t="shared" si="211"/>
        <v>-6797.5932606629622</v>
      </c>
      <c r="J1316" s="3">
        <f t="shared" si="212"/>
        <v>615537.28824540589</v>
      </c>
      <c r="K1316" s="24"/>
      <c r="L1316" s="24">
        <f>G1316+L1315</f>
        <v>0</v>
      </c>
    </row>
    <row r="1317" spans="2:13" hidden="1" x14ac:dyDescent="0.35">
      <c r="B1317" s="1">
        <v>15</v>
      </c>
      <c r="C1317" s="22">
        <v>45078</v>
      </c>
      <c r="D1317" s="22">
        <v>45107</v>
      </c>
      <c r="E1317" s="23">
        <f t="shared" si="210"/>
        <v>30</v>
      </c>
      <c r="F1317" s="3">
        <f t="shared" si="214"/>
        <v>615537.28824540589</v>
      </c>
      <c r="G1317" s="3"/>
      <c r="H1317" s="3">
        <f>$H$1293/$D$1296*F1317</f>
        <v>6873.499718740366</v>
      </c>
      <c r="I1317" s="3">
        <f t="shared" si="211"/>
        <v>-6873.499718740366</v>
      </c>
      <c r="J1317" s="3">
        <f t="shared" si="212"/>
        <v>622410.78796414624</v>
      </c>
      <c r="K1317" s="24"/>
      <c r="L1317" s="24">
        <f>G1317+L1316</f>
        <v>0</v>
      </c>
      <c r="M1317" s="263">
        <f>J1317+L1317</f>
        <v>622410.78796414624</v>
      </c>
    </row>
    <row r="1318" spans="2:13" hidden="1" x14ac:dyDescent="0.35">
      <c r="B1318" s="1">
        <v>16</v>
      </c>
      <c r="C1318" s="22">
        <v>45108</v>
      </c>
      <c r="D1318" s="22">
        <v>45138</v>
      </c>
      <c r="E1318" s="23">
        <f t="shared" si="210"/>
        <v>31</v>
      </c>
      <c r="F1318" s="3">
        <f t="shared" si="214"/>
        <v>622410.78796414624</v>
      </c>
      <c r="G1318" s="3">
        <f t="shared" ref="G1318:G1349" si="215">-PMT($G$1293/$D$1296,63,$F$1312,,0)</f>
        <v>12492.691518265397</v>
      </c>
      <c r="H1318" s="3">
        <f t="shared" ref="H1318:H1349" si="216">$G$1293/$D$1296*F1318</f>
        <v>6120.3727483141047</v>
      </c>
      <c r="I1318" s="3">
        <f t="shared" si="211"/>
        <v>6372.3187699512928</v>
      </c>
      <c r="J1318" s="3">
        <f t="shared" si="212"/>
        <v>616038.469194195</v>
      </c>
      <c r="K1318" s="24"/>
      <c r="L1318" s="24"/>
    </row>
    <row r="1319" spans="2:13" hidden="1" x14ac:dyDescent="0.35">
      <c r="B1319" s="1">
        <v>17</v>
      </c>
      <c r="C1319" s="22">
        <v>45139</v>
      </c>
      <c r="D1319" s="22">
        <v>45169</v>
      </c>
      <c r="E1319" s="23">
        <f t="shared" si="210"/>
        <v>31</v>
      </c>
      <c r="F1319" s="3">
        <f t="shared" si="214"/>
        <v>616038.469194195</v>
      </c>
      <c r="G1319" s="3">
        <f t="shared" si="215"/>
        <v>12492.691518265397</v>
      </c>
      <c r="H1319" s="3">
        <f t="shared" si="216"/>
        <v>6057.7116137429175</v>
      </c>
      <c r="I1319" s="3">
        <f t="shared" si="211"/>
        <v>6434.97990452248</v>
      </c>
      <c r="J1319" s="3">
        <f t="shared" si="212"/>
        <v>609603.48928967246</v>
      </c>
      <c r="K1319" s="24"/>
      <c r="L1319" s="24"/>
    </row>
    <row r="1320" spans="2:13" hidden="1" x14ac:dyDescent="0.35">
      <c r="B1320" s="1">
        <v>18</v>
      </c>
      <c r="C1320" s="22">
        <v>45170</v>
      </c>
      <c r="D1320" s="22">
        <v>45199</v>
      </c>
      <c r="E1320" s="23">
        <f t="shared" si="210"/>
        <v>30</v>
      </c>
      <c r="F1320" s="3">
        <f t="shared" si="214"/>
        <v>609603.48928967246</v>
      </c>
      <c r="G1320" s="3">
        <f t="shared" si="215"/>
        <v>12492.691518265397</v>
      </c>
      <c r="H1320" s="3">
        <f t="shared" si="216"/>
        <v>5994.4343113484456</v>
      </c>
      <c r="I1320" s="3">
        <f t="shared" si="211"/>
        <v>6498.2572069169519</v>
      </c>
      <c r="J1320" s="3">
        <f t="shared" si="212"/>
        <v>603105.23208275554</v>
      </c>
      <c r="K1320" s="24"/>
      <c r="L1320" s="24"/>
    </row>
    <row r="1321" spans="2:13" hidden="1" x14ac:dyDescent="0.35">
      <c r="B1321" s="1">
        <v>19</v>
      </c>
      <c r="C1321" s="22">
        <v>45200</v>
      </c>
      <c r="D1321" s="22">
        <v>45230</v>
      </c>
      <c r="E1321" s="23">
        <f t="shared" si="210"/>
        <v>31</v>
      </c>
      <c r="F1321" s="3">
        <f t="shared" si="214"/>
        <v>603105.23208275554</v>
      </c>
      <c r="G1321" s="3">
        <f t="shared" si="215"/>
        <v>12492.691518265397</v>
      </c>
      <c r="H1321" s="3">
        <f t="shared" si="216"/>
        <v>5930.5347821470959</v>
      </c>
      <c r="I1321" s="3">
        <f t="shared" si="211"/>
        <v>6562.1567361183015</v>
      </c>
      <c r="J1321" s="3">
        <f t="shared" si="212"/>
        <v>596543.07534663728</v>
      </c>
      <c r="K1321" s="24"/>
      <c r="L1321" s="24"/>
    </row>
    <row r="1322" spans="2:13" hidden="1" x14ac:dyDescent="0.35">
      <c r="B1322" s="1">
        <v>20</v>
      </c>
      <c r="C1322" s="22">
        <v>45231</v>
      </c>
      <c r="D1322" s="22">
        <v>45260</v>
      </c>
      <c r="E1322" s="23">
        <f t="shared" si="210"/>
        <v>30</v>
      </c>
      <c r="F1322" s="3">
        <f t="shared" si="214"/>
        <v>596543.07534663728</v>
      </c>
      <c r="G1322" s="3">
        <f t="shared" si="215"/>
        <v>12492.691518265397</v>
      </c>
      <c r="H1322" s="3">
        <f t="shared" si="216"/>
        <v>5866.0069075752663</v>
      </c>
      <c r="I1322" s="3">
        <f t="shared" si="211"/>
        <v>6626.6846106901312</v>
      </c>
      <c r="J1322" s="3">
        <f t="shared" si="212"/>
        <v>589916.39073594718</v>
      </c>
      <c r="K1322" s="24"/>
      <c r="L1322" s="24"/>
    </row>
    <row r="1323" spans="2:13" hidden="1" x14ac:dyDescent="0.35">
      <c r="B1323" s="1">
        <v>21</v>
      </c>
      <c r="C1323" s="22">
        <v>45261</v>
      </c>
      <c r="D1323" s="22">
        <v>45291</v>
      </c>
      <c r="E1323" s="23">
        <f t="shared" si="210"/>
        <v>31</v>
      </c>
      <c r="F1323" s="3">
        <f t="shared" si="214"/>
        <v>589916.39073594718</v>
      </c>
      <c r="G1323" s="3">
        <f t="shared" si="215"/>
        <v>12492.691518265397</v>
      </c>
      <c r="H1323" s="3">
        <f t="shared" si="216"/>
        <v>5800.8445089034803</v>
      </c>
      <c r="I1323" s="3">
        <f t="shared" si="211"/>
        <v>6691.8470093619171</v>
      </c>
      <c r="J1323" s="3">
        <f t="shared" si="212"/>
        <v>583224.54372658522</v>
      </c>
      <c r="K1323" s="24"/>
      <c r="L1323" s="24"/>
    </row>
    <row r="1324" spans="2:13" hidden="1" x14ac:dyDescent="0.35">
      <c r="B1324" s="1">
        <v>22</v>
      </c>
      <c r="C1324" s="22">
        <v>45292</v>
      </c>
      <c r="D1324" s="22">
        <v>45322</v>
      </c>
      <c r="E1324" s="23">
        <f t="shared" si="210"/>
        <v>31</v>
      </c>
      <c r="F1324" s="3">
        <f t="shared" si="214"/>
        <v>583224.54372658522</v>
      </c>
      <c r="G1324" s="3">
        <f t="shared" si="215"/>
        <v>12492.691518265397</v>
      </c>
      <c r="H1324" s="3">
        <f t="shared" si="216"/>
        <v>5735.0413466447544</v>
      </c>
      <c r="I1324" s="3">
        <f t="shared" si="211"/>
        <v>6757.6501716206431</v>
      </c>
      <c r="J1324" s="3">
        <f t="shared" si="212"/>
        <v>576466.89355496457</v>
      </c>
      <c r="K1324" s="24"/>
      <c r="L1324" s="24"/>
    </row>
    <row r="1325" spans="2:13" hidden="1" x14ac:dyDescent="0.35">
      <c r="B1325" s="1">
        <v>23</v>
      </c>
      <c r="C1325" s="22">
        <v>45323</v>
      </c>
      <c r="D1325" s="22">
        <v>45350</v>
      </c>
      <c r="E1325" s="23">
        <f t="shared" si="210"/>
        <v>28</v>
      </c>
      <c r="F1325" s="3">
        <f t="shared" si="214"/>
        <v>576466.89355496457</v>
      </c>
      <c r="G1325" s="3">
        <f t="shared" si="215"/>
        <v>12492.691518265397</v>
      </c>
      <c r="H1325" s="3">
        <f t="shared" si="216"/>
        <v>5668.591119957151</v>
      </c>
      <c r="I1325" s="3">
        <f t="shared" si="211"/>
        <v>6824.1003983082464</v>
      </c>
      <c r="J1325" s="3">
        <f t="shared" si="212"/>
        <v>569642.79315665632</v>
      </c>
      <c r="K1325" s="24"/>
      <c r="L1325" s="24"/>
    </row>
    <row r="1326" spans="2:13" hidden="1" x14ac:dyDescent="0.35">
      <c r="B1326" s="1">
        <v>24</v>
      </c>
      <c r="C1326" s="22">
        <v>45352</v>
      </c>
      <c r="D1326" s="22">
        <v>45382</v>
      </c>
      <c r="E1326" s="23">
        <f t="shared" si="210"/>
        <v>31</v>
      </c>
      <c r="F1326" s="3">
        <f t="shared" si="214"/>
        <v>569642.79315665632</v>
      </c>
      <c r="G1326" s="3">
        <f t="shared" si="215"/>
        <v>12492.691518265397</v>
      </c>
      <c r="H1326" s="3">
        <f t="shared" si="216"/>
        <v>5601.4874660404539</v>
      </c>
      <c r="I1326" s="3">
        <f t="shared" si="211"/>
        <v>6891.2040522249436</v>
      </c>
      <c r="J1326" s="3">
        <f t="shared" si="212"/>
        <v>562751.58910443133</v>
      </c>
      <c r="K1326" s="24"/>
      <c r="L1326" s="24"/>
    </row>
    <row r="1327" spans="2:13" hidden="1" x14ac:dyDescent="0.35">
      <c r="B1327" s="1">
        <v>25</v>
      </c>
      <c r="C1327" s="22">
        <v>45383</v>
      </c>
      <c r="D1327" s="22">
        <v>45412</v>
      </c>
      <c r="E1327" s="23">
        <f t="shared" si="210"/>
        <v>30</v>
      </c>
      <c r="F1327" s="3">
        <f t="shared" si="214"/>
        <v>562751.58910443133</v>
      </c>
      <c r="G1327" s="3">
        <f t="shared" si="215"/>
        <v>12492.691518265397</v>
      </c>
      <c r="H1327" s="3">
        <f t="shared" si="216"/>
        <v>5533.7239595269075</v>
      </c>
      <c r="I1327" s="3">
        <f t="shared" si="211"/>
        <v>6958.96755873849</v>
      </c>
      <c r="J1327" s="3">
        <f t="shared" si="212"/>
        <v>555792.62154569279</v>
      </c>
      <c r="K1327" s="24"/>
      <c r="L1327" s="24"/>
    </row>
    <row r="1328" spans="2:13" hidden="1" x14ac:dyDescent="0.35">
      <c r="B1328" s="1">
        <v>26</v>
      </c>
      <c r="C1328" s="22">
        <v>45413</v>
      </c>
      <c r="D1328" s="22">
        <v>45443</v>
      </c>
      <c r="E1328" s="23">
        <f t="shared" si="210"/>
        <v>31</v>
      </c>
      <c r="F1328" s="3">
        <f t="shared" si="214"/>
        <v>555792.62154569279</v>
      </c>
      <c r="G1328" s="3">
        <f t="shared" si="215"/>
        <v>12492.691518265397</v>
      </c>
      <c r="H1328" s="3">
        <f t="shared" si="216"/>
        <v>5465.2941118659792</v>
      </c>
      <c r="I1328" s="3">
        <f t="shared" si="211"/>
        <v>7027.3974063994183</v>
      </c>
      <c r="J1328" s="3">
        <f t="shared" si="212"/>
        <v>548765.22413929342</v>
      </c>
      <c r="K1328" s="24"/>
      <c r="L1328" s="24"/>
    </row>
    <row r="1329" spans="2:12" hidden="1" x14ac:dyDescent="0.35">
      <c r="B1329" s="1">
        <v>27</v>
      </c>
      <c r="C1329" s="22">
        <v>45444</v>
      </c>
      <c r="D1329" s="22">
        <v>45473</v>
      </c>
      <c r="E1329" s="23">
        <f t="shared" si="210"/>
        <v>30</v>
      </c>
      <c r="F1329" s="3">
        <f t="shared" si="214"/>
        <v>548765.22413929342</v>
      </c>
      <c r="G1329" s="3">
        <f t="shared" si="215"/>
        <v>12492.691518265397</v>
      </c>
      <c r="H1329" s="3">
        <f t="shared" si="216"/>
        <v>5396.1913707030517</v>
      </c>
      <c r="I1329" s="3">
        <f t="shared" si="211"/>
        <v>7096.5001475623458</v>
      </c>
      <c r="J1329" s="3">
        <f t="shared" si="212"/>
        <v>541668.72399173107</v>
      </c>
      <c r="K1329" s="24"/>
      <c r="L1329" s="24"/>
    </row>
    <row r="1330" spans="2:12" hidden="1" x14ac:dyDescent="0.35">
      <c r="B1330" s="1">
        <v>28</v>
      </c>
      <c r="C1330" s="22">
        <v>45474</v>
      </c>
      <c r="D1330" s="22">
        <v>45504</v>
      </c>
      <c r="E1330" s="23">
        <f t="shared" si="210"/>
        <v>31</v>
      </c>
      <c r="F1330" s="3">
        <f t="shared" si="214"/>
        <v>541668.72399173107</v>
      </c>
      <c r="G1330" s="3">
        <f t="shared" si="215"/>
        <v>12492.691518265397</v>
      </c>
      <c r="H1330" s="3">
        <f t="shared" si="216"/>
        <v>5326.4091192520218</v>
      </c>
      <c r="I1330" s="3">
        <f t="shared" si="211"/>
        <v>7166.2823990133757</v>
      </c>
      <c r="J1330" s="3">
        <f t="shared" si="212"/>
        <v>534502.44159271766</v>
      </c>
      <c r="K1330" s="24"/>
      <c r="L1330" s="24"/>
    </row>
    <row r="1331" spans="2:12" hidden="1" x14ac:dyDescent="0.35">
      <c r="B1331" s="1">
        <v>29</v>
      </c>
      <c r="C1331" s="22">
        <v>45505</v>
      </c>
      <c r="D1331" s="22">
        <v>45535</v>
      </c>
      <c r="E1331" s="23">
        <f t="shared" si="210"/>
        <v>31</v>
      </c>
      <c r="F1331" s="3">
        <f t="shared" si="214"/>
        <v>534502.44159271766</v>
      </c>
      <c r="G1331" s="3">
        <f t="shared" si="215"/>
        <v>12492.691518265397</v>
      </c>
      <c r="H1331" s="3">
        <f t="shared" si="216"/>
        <v>5255.9406756617236</v>
      </c>
      <c r="I1331" s="3">
        <f t="shared" si="211"/>
        <v>7236.7508426036738</v>
      </c>
      <c r="J1331" s="3">
        <f t="shared" si="212"/>
        <v>527265.69075011404</v>
      </c>
      <c r="K1331" s="24"/>
      <c r="L1331" s="24"/>
    </row>
    <row r="1332" spans="2:12" hidden="1" x14ac:dyDescent="0.35">
      <c r="B1332" s="1">
        <v>30</v>
      </c>
      <c r="C1332" s="22">
        <v>45536</v>
      </c>
      <c r="D1332" s="22">
        <v>45565</v>
      </c>
      <c r="E1332" s="23">
        <f t="shared" si="210"/>
        <v>30</v>
      </c>
      <c r="F1332" s="3">
        <f t="shared" si="214"/>
        <v>527265.69075011404</v>
      </c>
      <c r="G1332" s="3">
        <f t="shared" si="215"/>
        <v>12492.691518265397</v>
      </c>
      <c r="H1332" s="3">
        <f t="shared" si="216"/>
        <v>5184.7792923761208</v>
      </c>
      <c r="I1332" s="3">
        <f t="shared" si="211"/>
        <v>7307.9122258892767</v>
      </c>
      <c r="J1332" s="3">
        <f t="shared" si="212"/>
        <v>519957.77852422476</v>
      </c>
      <c r="K1332" s="24"/>
      <c r="L1332" s="24"/>
    </row>
    <row r="1333" spans="2:12" hidden="1" x14ac:dyDescent="0.35">
      <c r="B1333" s="1">
        <v>31</v>
      </c>
      <c r="C1333" s="22">
        <v>45566</v>
      </c>
      <c r="D1333" s="22">
        <v>45596</v>
      </c>
      <c r="E1333" s="23">
        <f t="shared" si="210"/>
        <v>31</v>
      </c>
      <c r="F1333" s="3">
        <f t="shared" si="214"/>
        <v>519957.77852422476</v>
      </c>
      <c r="G1333" s="3">
        <f t="shared" si="215"/>
        <v>12492.691518265397</v>
      </c>
      <c r="H1333" s="3">
        <f t="shared" si="216"/>
        <v>5112.9181554882098</v>
      </c>
      <c r="I1333" s="3">
        <f t="shared" si="211"/>
        <v>7379.7733627771877</v>
      </c>
      <c r="J1333" s="3">
        <f t="shared" si="212"/>
        <v>512578.00516144757</v>
      </c>
      <c r="K1333" s="24"/>
      <c r="L1333" s="24"/>
    </row>
    <row r="1334" spans="2:12" hidden="1" x14ac:dyDescent="0.35">
      <c r="B1334" s="1">
        <v>32</v>
      </c>
      <c r="C1334" s="22">
        <v>45597</v>
      </c>
      <c r="D1334" s="22">
        <v>45626</v>
      </c>
      <c r="E1334" s="23">
        <f t="shared" ref="E1334:E1365" si="217">D1334-C1334+1</f>
        <v>30</v>
      </c>
      <c r="F1334" s="3">
        <f t="shared" si="214"/>
        <v>512578.00516144757</v>
      </c>
      <c r="G1334" s="3">
        <f t="shared" si="215"/>
        <v>12492.691518265397</v>
      </c>
      <c r="H1334" s="3">
        <f t="shared" si="216"/>
        <v>5040.3503840875674</v>
      </c>
      <c r="I1334" s="3">
        <f t="shared" ref="I1334:I1365" si="218">G1334-H1334</f>
        <v>7452.3411341778301</v>
      </c>
      <c r="J1334" s="3">
        <f t="shared" ref="J1334:J1365" si="219">F1334-I1334</f>
        <v>505125.66402726976</v>
      </c>
      <c r="K1334" s="24"/>
      <c r="L1334" s="24"/>
    </row>
    <row r="1335" spans="2:12" hidden="1" x14ac:dyDescent="0.35">
      <c r="B1335" s="1">
        <v>33</v>
      </c>
      <c r="C1335" s="22">
        <v>45627</v>
      </c>
      <c r="D1335" s="22">
        <v>45657</v>
      </c>
      <c r="E1335" s="23">
        <f t="shared" si="217"/>
        <v>31</v>
      </c>
      <c r="F1335" s="3">
        <f t="shared" si="214"/>
        <v>505125.66402726976</v>
      </c>
      <c r="G1335" s="3">
        <f t="shared" si="215"/>
        <v>12492.691518265397</v>
      </c>
      <c r="H1335" s="3">
        <f t="shared" si="216"/>
        <v>4967.0690296014855</v>
      </c>
      <c r="I1335" s="3">
        <f t="shared" si="218"/>
        <v>7525.622488663912</v>
      </c>
      <c r="J1335" s="3">
        <f t="shared" si="219"/>
        <v>497600.04153860582</v>
      </c>
      <c r="K1335" s="24"/>
      <c r="L1335" s="24"/>
    </row>
    <row r="1336" spans="2:12" hidden="1" x14ac:dyDescent="0.35">
      <c r="B1336" s="1">
        <v>34</v>
      </c>
      <c r="C1336" s="22">
        <v>45658</v>
      </c>
      <c r="D1336" s="22">
        <v>45688</v>
      </c>
      <c r="E1336" s="23">
        <f t="shared" si="217"/>
        <v>31</v>
      </c>
      <c r="F1336" s="3">
        <f t="shared" si="214"/>
        <v>497600.04153860582</v>
      </c>
      <c r="G1336" s="3">
        <f t="shared" si="215"/>
        <v>12492.691518265397</v>
      </c>
      <c r="H1336" s="3">
        <f t="shared" si="216"/>
        <v>4893.0670751296238</v>
      </c>
      <c r="I1336" s="3">
        <f t="shared" si="218"/>
        <v>7599.6244431357736</v>
      </c>
      <c r="J1336" s="3">
        <f t="shared" si="219"/>
        <v>490000.41709547007</v>
      </c>
      <c r="K1336" s="24"/>
      <c r="L1336" s="24"/>
    </row>
    <row r="1337" spans="2:12" hidden="1" x14ac:dyDescent="0.35">
      <c r="B1337" s="1">
        <v>35</v>
      </c>
      <c r="C1337" s="22">
        <v>45689</v>
      </c>
      <c r="D1337" s="22">
        <v>45716</v>
      </c>
      <c r="E1337" s="23">
        <f t="shared" si="217"/>
        <v>28</v>
      </c>
      <c r="F1337" s="3">
        <f t="shared" si="214"/>
        <v>490000.41709547007</v>
      </c>
      <c r="G1337" s="3">
        <f t="shared" si="215"/>
        <v>12492.691518265397</v>
      </c>
      <c r="H1337" s="3">
        <f t="shared" si="216"/>
        <v>4818.3374347721219</v>
      </c>
      <c r="I1337" s="3">
        <f t="shared" si="218"/>
        <v>7674.3540834932755</v>
      </c>
      <c r="J1337" s="3">
        <f t="shared" si="219"/>
        <v>482326.06301197677</v>
      </c>
      <c r="K1337" s="24"/>
      <c r="L1337" s="24"/>
    </row>
    <row r="1338" spans="2:12" hidden="1" x14ac:dyDescent="0.35">
      <c r="B1338" s="1">
        <v>36</v>
      </c>
      <c r="C1338" s="22">
        <v>45717</v>
      </c>
      <c r="D1338" s="22">
        <v>45747</v>
      </c>
      <c r="E1338" s="23">
        <f t="shared" si="217"/>
        <v>31</v>
      </c>
      <c r="F1338" s="3">
        <f t="shared" si="214"/>
        <v>482326.06301197677</v>
      </c>
      <c r="G1338" s="3">
        <f t="shared" si="215"/>
        <v>12492.691518265397</v>
      </c>
      <c r="H1338" s="3">
        <f t="shared" si="216"/>
        <v>4742.8729529511047</v>
      </c>
      <c r="I1338" s="3">
        <f t="shared" si="218"/>
        <v>7749.8185653142928</v>
      </c>
      <c r="J1338" s="3">
        <f t="shared" si="219"/>
        <v>474576.24444666249</v>
      </c>
      <c r="K1338" s="24"/>
      <c r="L1338" s="24"/>
    </row>
    <row r="1339" spans="2:12" hidden="1" x14ac:dyDescent="0.35">
      <c r="B1339" s="1">
        <v>37</v>
      </c>
      <c r="C1339" s="22">
        <v>45748</v>
      </c>
      <c r="D1339" s="22">
        <v>45777</v>
      </c>
      <c r="E1339" s="23">
        <f t="shared" si="217"/>
        <v>30</v>
      </c>
      <c r="F1339" s="3">
        <f t="shared" ref="F1339:F1374" si="220">J1338</f>
        <v>474576.24444666249</v>
      </c>
      <c r="G1339" s="3">
        <f t="shared" si="215"/>
        <v>12492.691518265397</v>
      </c>
      <c r="H1339" s="3">
        <f t="shared" si="216"/>
        <v>4666.6664037255141</v>
      </c>
      <c r="I1339" s="3">
        <f t="shared" si="218"/>
        <v>7826.0251145398834</v>
      </c>
      <c r="J1339" s="3">
        <f t="shared" si="219"/>
        <v>466750.21933212259</v>
      </c>
      <c r="K1339" s="24"/>
      <c r="L1339" s="24"/>
    </row>
    <row r="1340" spans="2:12" hidden="1" x14ac:dyDescent="0.35">
      <c r="B1340" s="1">
        <v>38</v>
      </c>
      <c r="C1340" s="22">
        <v>45778</v>
      </c>
      <c r="D1340" s="22">
        <v>45808</v>
      </c>
      <c r="E1340" s="23">
        <f t="shared" si="217"/>
        <v>31</v>
      </c>
      <c r="F1340" s="3">
        <f t="shared" si="220"/>
        <v>466750.21933212259</v>
      </c>
      <c r="G1340" s="3">
        <f t="shared" si="215"/>
        <v>12492.691518265397</v>
      </c>
      <c r="H1340" s="3">
        <f t="shared" si="216"/>
        <v>4589.7104900992053</v>
      </c>
      <c r="I1340" s="3">
        <f t="shared" si="218"/>
        <v>7902.9810281661921</v>
      </c>
      <c r="J1340" s="3">
        <f t="shared" si="219"/>
        <v>458847.2383039564</v>
      </c>
      <c r="K1340" s="24"/>
      <c r="L1340" s="24"/>
    </row>
    <row r="1341" spans="2:12" hidden="1" x14ac:dyDescent="0.35">
      <c r="B1341" s="1">
        <v>39</v>
      </c>
      <c r="C1341" s="22">
        <v>45809</v>
      </c>
      <c r="D1341" s="22">
        <v>45838</v>
      </c>
      <c r="E1341" s="23">
        <f t="shared" si="217"/>
        <v>30</v>
      </c>
      <c r="F1341" s="3">
        <f t="shared" si="220"/>
        <v>458847.2383039564</v>
      </c>
      <c r="G1341" s="3">
        <f t="shared" si="215"/>
        <v>12492.691518265397</v>
      </c>
      <c r="H1341" s="3">
        <f t="shared" si="216"/>
        <v>4511.9978433222377</v>
      </c>
      <c r="I1341" s="3">
        <f t="shared" si="218"/>
        <v>7980.6936749431597</v>
      </c>
      <c r="J1341" s="3">
        <f t="shared" si="219"/>
        <v>450866.54462901322</v>
      </c>
      <c r="K1341" s="24"/>
      <c r="L1341" s="24"/>
    </row>
    <row r="1342" spans="2:12" hidden="1" x14ac:dyDescent="0.35">
      <c r="B1342" s="1">
        <v>40</v>
      </c>
      <c r="C1342" s="22">
        <v>45839</v>
      </c>
      <c r="D1342" s="22">
        <v>45869</v>
      </c>
      <c r="E1342" s="23">
        <f t="shared" si="217"/>
        <v>31</v>
      </c>
      <c r="F1342" s="3">
        <f t="shared" si="220"/>
        <v>450866.54462901322</v>
      </c>
      <c r="G1342" s="3">
        <f t="shared" si="215"/>
        <v>12492.691518265397</v>
      </c>
      <c r="H1342" s="3">
        <f t="shared" si="216"/>
        <v>4433.5210221852967</v>
      </c>
      <c r="I1342" s="3">
        <f t="shared" si="218"/>
        <v>8059.1704960801007</v>
      </c>
      <c r="J1342" s="3">
        <f t="shared" si="219"/>
        <v>442807.3741329331</v>
      </c>
      <c r="K1342" s="24"/>
      <c r="L1342" s="24"/>
    </row>
    <row r="1343" spans="2:12" hidden="1" x14ac:dyDescent="0.35">
      <c r="B1343" s="1">
        <v>41</v>
      </c>
      <c r="C1343" s="22">
        <v>45870</v>
      </c>
      <c r="D1343" s="22">
        <v>45900</v>
      </c>
      <c r="E1343" s="23">
        <f t="shared" si="217"/>
        <v>31</v>
      </c>
      <c r="F1343" s="3">
        <f t="shared" si="220"/>
        <v>442807.3741329331</v>
      </c>
      <c r="G1343" s="3">
        <f t="shared" si="215"/>
        <v>12492.691518265397</v>
      </c>
      <c r="H1343" s="3">
        <f t="shared" si="216"/>
        <v>4354.272512307175</v>
      </c>
      <c r="I1343" s="3">
        <f t="shared" si="218"/>
        <v>8138.4190059582224</v>
      </c>
      <c r="J1343" s="3">
        <f t="shared" si="219"/>
        <v>434668.95512697485</v>
      </c>
      <c r="K1343" s="24"/>
      <c r="L1343" s="24"/>
    </row>
    <row r="1344" spans="2:12" hidden="1" x14ac:dyDescent="0.35">
      <c r="B1344" s="1">
        <v>42</v>
      </c>
      <c r="C1344" s="22">
        <v>45901</v>
      </c>
      <c r="D1344" s="22">
        <v>45930</v>
      </c>
      <c r="E1344" s="23">
        <f t="shared" si="217"/>
        <v>30</v>
      </c>
      <c r="F1344" s="3">
        <f t="shared" si="220"/>
        <v>434668.95512697485</v>
      </c>
      <c r="G1344" s="3">
        <f t="shared" si="215"/>
        <v>12492.691518265397</v>
      </c>
      <c r="H1344" s="3">
        <f t="shared" si="216"/>
        <v>4274.2447254152521</v>
      </c>
      <c r="I1344" s="3">
        <f t="shared" si="218"/>
        <v>8218.4467928501454</v>
      </c>
      <c r="J1344" s="3">
        <f t="shared" si="219"/>
        <v>426450.50833412469</v>
      </c>
      <c r="K1344" s="24"/>
      <c r="L1344" s="24"/>
    </row>
    <row r="1345" spans="2:12" hidden="1" x14ac:dyDescent="0.35">
      <c r="B1345" s="1">
        <v>43</v>
      </c>
      <c r="C1345" s="22">
        <v>45931</v>
      </c>
      <c r="D1345" s="22">
        <v>45961</v>
      </c>
      <c r="E1345" s="23">
        <f t="shared" si="217"/>
        <v>31</v>
      </c>
      <c r="F1345" s="3">
        <f t="shared" si="220"/>
        <v>426450.50833412469</v>
      </c>
      <c r="G1345" s="3">
        <f t="shared" si="215"/>
        <v>12492.691518265397</v>
      </c>
      <c r="H1345" s="3">
        <f t="shared" si="216"/>
        <v>4193.4299986188926</v>
      </c>
      <c r="I1345" s="3">
        <f t="shared" si="218"/>
        <v>8299.2615196465049</v>
      </c>
      <c r="J1345" s="3">
        <f t="shared" si="219"/>
        <v>418151.24681447819</v>
      </c>
      <c r="K1345" s="24"/>
      <c r="L1345" s="24"/>
    </row>
    <row r="1346" spans="2:12" hidden="1" x14ac:dyDescent="0.35">
      <c r="B1346" s="1">
        <v>44</v>
      </c>
      <c r="C1346" s="22">
        <v>45962</v>
      </c>
      <c r="D1346" s="22">
        <v>45991</v>
      </c>
      <c r="E1346" s="23">
        <f t="shared" si="217"/>
        <v>30</v>
      </c>
      <c r="F1346" s="3">
        <f t="shared" si="220"/>
        <v>418151.24681447819</v>
      </c>
      <c r="G1346" s="3">
        <f t="shared" si="215"/>
        <v>12492.691518265397</v>
      </c>
      <c r="H1346" s="3">
        <f t="shared" si="216"/>
        <v>4111.8205936757022</v>
      </c>
      <c r="I1346" s="3">
        <f t="shared" si="218"/>
        <v>8380.8709245896953</v>
      </c>
      <c r="J1346" s="3">
        <f t="shared" si="219"/>
        <v>409770.3758898885</v>
      </c>
      <c r="K1346" s="24"/>
      <c r="L1346" s="24"/>
    </row>
    <row r="1347" spans="2:12" hidden="1" x14ac:dyDescent="0.35">
      <c r="B1347" s="1">
        <v>45</v>
      </c>
      <c r="C1347" s="22">
        <v>45992</v>
      </c>
      <c r="D1347" s="22">
        <v>46022</v>
      </c>
      <c r="E1347" s="23">
        <f t="shared" si="217"/>
        <v>31</v>
      </c>
      <c r="F1347" s="3">
        <f t="shared" si="220"/>
        <v>409770.3758898885</v>
      </c>
      <c r="G1347" s="3">
        <f t="shared" si="215"/>
        <v>12492.691518265397</v>
      </c>
      <c r="H1347" s="3">
        <f t="shared" si="216"/>
        <v>4029.4086962505698</v>
      </c>
      <c r="I1347" s="3">
        <f t="shared" si="218"/>
        <v>8463.2828220148276</v>
      </c>
      <c r="J1347" s="3">
        <f t="shared" si="219"/>
        <v>401307.09306787368</v>
      </c>
      <c r="K1347" s="24"/>
      <c r="L1347" s="24"/>
    </row>
    <row r="1348" spans="2:12" hidden="1" x14ac:dyDescent="0.35">
      <c r="B1348" s="1">
        <v>46</v>
      </c>
      <c r="C1348" s="22">
        <v>46023</v>
      </c>
      <c r="D1348" s="22">
        <v>46053</v>
      </c>
      <c r="E1348" s="23">
        <f t="shared" si="217"/>
        <v>31</v>
      </c>
      <c r="F1348" s="3">
        <f t="shared" si="220"/>
        <v>401307.09306787368</v>
      </c>
      <c r="G1348" s="3">
        <f t="shared" si="215"/>
        <v>12492.691518265397</v>
      </c>
      <c r="H1348" s="3">
        <f t="shared" si="216"/>
        <v>3946.1864151674245</v>
      </c>
      <c r="I1348" s="3">
        <f t="shared" si="218"/>
        <v>8546.5051030979739</v>
      </c>
      <c r="J1348" s="3">
        <f t="shared" si="219"/>
        <v>392760.58796477568</v>
      </c>
      <c r="K1348" s="24"/>
      <c r="L1348" s="24"/>
    </row>
    <row r="1349" spans="2:12" hidden="1" x14ac:dyDescent="0.35">
      <c r="B1349" s="1">
        <v>47</v>
      </c>
      <c r="C1349" s="22">
        <v>46054</v>
      </c>
      <c r="D1349" s="22">
        <v>46081</v>
      </c>
      <c r="E1349" s="23">
        <f t="shared" si="217"/>
        <v>28</v>
      </c>
      <c r="F1349" s="3">
        <f t="shared" si="220"/>
        <v>392760.58796477568</v>
      </c>
      <c r="G1349" s="3">
        <f t="shared" si="215"/>
        <v>12492.691518265397</v>
      </c>
      <c r="H1349" s="3">
        <f t="shared" si="216"/>
        <v>3862.1457816536272</v>
      </c>
      <c r="I1349" s="3">
        <f t="shared" si="218"/>
        <v>8630.5457366117698</v>
      </c>
      <c r="J1349" s="3">
        <f t="shared" si="219"/>
        <v>384130.04222816392</v>
      </c>
      <c r="K1349" s="24"/>
      <c r="L1349" s="24"/>
    </row>
    <row r="1350" spans="2:12" hidden="1" x14ac:dyDescent="0.35">
      <c r="B1350" s="1">
        <v>48</v>
      </c>
      <c r="C1350" s="22">
        <v>46082</v>
      </c>
      <c r="D1350" s="22">
        <v>46112</v>
      </c>
      <c r="E1350" s="23">
        <f t="shared" si="217"/>
        <v>31</v>
      </c>
      <c r="F1350" s="3">
        <f t="shared" si="220"/>
        <v>384130.04222816392</v>
      </c>
      <c r="G1350" s="3">
        <f t="shared" ref="G1350:G1374" si="221">-PMT($G$1293/$D$1296,63,$F$1312,,0)</f>
        <v>12492.691518265397</v>
      </c>
      <c r="H1350" s="3">
        <f t="shared" ref="H1350:H1374" si="222">$G$1293/$D$1296*F1350</f>
        <v>3777.278748576945</v>
      </c>
      <c r="I1350" s="3">
        <f t="shared" si="218"/>
        <v>8715.4127696884534</v>
      </c>
      <c r="J1350" s="3">
        <f t="shared" si="219"/>
        <v>375414.62945847545</v>
      </c>
      <c r="K1350" s="24"/>
      <c r="L1350" s="24"/>
    </row>
    <row r="1351" spans="2:12" hidden="1" x14ac:dyDescent="0.35">
      <c r="B1351" s="1">
        <v>49</v>
      </c>
      <c r="C1351" s="22">
        <v>46113</v>
      </c>
      <c r="D1351" s="22">
        <v>46142</v>
      </c>
      <c r="E1351" s="23">
        <f t="shared" si="217"/>
        <v>30</v>
      </c>
      <c r="F1351" s="3">
        <f t="shared" si="220"/>
        <v>375414.62945847545</v>
      </c>
      <c r="G1351" s="3">
        <f t="shared" si="221"/>
        <v>12492.691518265397</v>
      </c>
      <c r="H1351" s="3">
        <f t="shared" si="222"/>
        <v>3691.5771896750084</v>
      </c>
      <c r="I1351" s="3">
        <f t="shared" si="218"/>
        <v>8801.1143285903891</v>
      </c>
      <c r="J1351" s="3">
        <f t="shared" si="219"/>
        <v>366613.51512988505</v>
      </c>
      <c r="K1351" s="24"/>
      <c r="L1351" s="24"/>
    </row>
    <row r="1352" spans="2:12" hidden="1" x14ac:dyDescent="0.35">
      <c r="B1352" s="1">
        <v>50</v>
      </c>
      <c r="C1352" s="22">
        <v>46143</v>
      </c>
      <c r="D1352" s="22">
        <v>46173</v>
      </c>
      <c r="E1352" s="23">
        <f t="shared" si="217"/>
        <v>31</v>
      </c>
      <c r="F1352" s="3">
        <f t="shared" si="220"/>
        <v>366613.51512988505</v>
      </c>
      <c r="G1352" s="3">
        <f t="shared" si="221"/>
        <v>12492.691518265397</v>
      </c>
      <c r="H1352" s="3">
        <f t="shared" si="222"/>
        <v>3605.0328987772027</v>
      </c>
      <c r="I1352" s="3">
        <f t="shared" si="218"/>
        <v>8887.6586194881947</v>
      </c>
      <c r="J1352" s="3">
        <f t="shared" si="219"/>
        <v>357725.85651039687</v>
      </c>
      <c r="K1352" s="24"/>
      <c r="L1352" s="24"/>
    </row>
    <row r="1353" spans="2:12" hidden="1" x14ac:dyDescent="0.35">
      <c r="B1353" s="1">
        <v>51</v>
      </c>
      <c r="C1353" s="22">
        <v>46174</v>
      </c>
      <c r="D1353" s="22">
        <v>46203</v>
      </c>
      <c r="E1353" s="23">
        <f t="shared" si="217"/>
        <v>30</v>
      </c>
      <c r="F1353" s="3">
        <f t="shared" si="220"/>
        <v>357725.85651039687</v>
      </c>
      <c r="G1353" s="3">
        <f t="shared" si="221"/>
        <v>12492.691518265397</v>
      </c>
      <c r="H1353" s="3">
        <f t="shared" si="222"/>
        <v>3517.6375890189024</v>
      </c>
      <c r="I1353" s="3">
        <f t="shared" si="218"/>
        <v>8975.0539292464946</v>
      </c>
      <c r="J1353" s="3">
        <f t="shared" si="219"/>
        <v>348750.80258115038</v>
      </c>
      <c r="K1353" s="24"/>
      <c r="L1353" s="24"/>
    </row>
    <row r="1354" spans="2:12" hidden="1" x14ac:dyDescent="0.35">
      <c r="B1354" s="1">
        <v>52</v>
      </c>
      <c r="C1354" s="22">
        <v>46204</v>
      </c>
      <c r="D1354" s="22">
        <v>46234</v>
      </c>
      <c r="E1354" s="23">
        <f t="shared" si="217"/>
        <v>31</v>
      </c>
      <c r="F1354" s="3">
        <f t="shared" si="220"/>
        <v>348750.80258115038</v>
      </c>
      <c r="G1354" s="3">
        <f t="shared" si="221"/>
        <v>12492.691518265397</v>
      </c>
      <c r="H1354" s="3">
        <f t="shared" si="222"/>
        <v>3429.3828920479787</v>
      </c>
      <c r="I1354" s="3">
        <f t="shared" si="218"/>
        <v>9063.3086262174184</v>
      </c>
      <c r="J1354" s="3">
        <f t="shared" si="219"/>
        <v>339687.49395493296</v>
      </c>
      <c r="K1354" s="24"/>
      <c r="L1354" s="24"/>
    </row>
    <row r="1355" spans="2:12" hidden="1" x14ac:dyDescent="0.35">
      <c r="B1355" s="1">
        <v>53</v>
      </c>
      <c r="C1355" s="22">
        <v>46235</v>
      </c>
      <c r="D1355" s="22">
        <v>46265</v>
      </c>
      <c r="E1355" s="23">
        <f t="shared" si="217"/>
        <v>31</v>
      </c>
      <c r="F1355" s="3">
        <f t="shared" si="220"/>
        <v>339687.49395493296</v>
      </c>
      <c r="G1355" s="3">
        <f t="shared" si="221"/>
        <v>12492.691518265397</v>
      </c>
      <c r="H1355" s="3">
        <f t="shared" si="222"/>
        <v>3340.2603572235071</v>
      </c>
      <c r="I1355" s="3">
        <f t="shared" si="218"/>
        <v>9152.4311610418899</v>
      </c>
      <c r="J1355" s="3">
        <f t="shared" si="219"/>
        <v>330535.06279389106</v>
      </c>
      <c r="K1355" s="24"/>
      <c r="L1355" s="24"/>
    </row>
    <row r="1356" spans="2:12" hidden="1" x14ac:dyDescent="0.35">
      <c r="B1356" s="1">
        <v>54</v>
      </c>
      <c r="C1356" s="22">
        <v>46266</v>
      </c>
      <c r="D1356" s="22">
        <v>46295</v>
      </c>
      <c r="E1356" s="23">
        <f t="shared" si="217"/>
        <v>30</v>
      </c>
      <c r="F1356" s="3">
        <f t="shared" si="220"/>
        <v>330535.06279389106</v>
      </c>
      <c r="G1356" s="3">
        <f t="shared" si="221"/>
        <v>12492.691518265397</v>
      </c>
      <c r="H1356" s="3">
        <f t="shared" si="222"/>
        <v>3250.2614508065953</v>
      </c>
      <c r="I1356" s="3">
        <f t="shared" si="218"/>
        <v>9242.4300674588012</v>
      </c>
      <c r="J1356" s="3">
        <f t="shared" si="219"/>
        <v>321292.63272643229</v>
      </c>
      <c r="K1356" s="24"/>
      <c r="L1356" s="24"/>
    </row>
    <row r="1357" spans="2:12" hidden="1" x14ac:dyDescent="0.35">
      <c r="B1357" s="1">
        <v>55</v>
      </c>
      <c r="C1357" s="22">
        <v>46296</v>
      </c>
      <c r="D1357" s="22">
        <v>46326</v>
      </c>
      <c r="E1357" s="23">
        <f t="shared" si="217"/>
        <v>31</v>
      </c>
      <c r="F1357" s="3">
        <f t="shared" si="220"/>
        <v>321292.63272643229</v>
      </c>
      <c r="G1357" s="3">
        <f t="shared" si="221"/>
        <v>12492.691518265397</v>
      </c>
      <c r="H1357" s="3">
        <f t="shared" si="222"/>
        <v>3159.3775551432509</v>
      </c>
      <c r="I1357" s="3">
        <f t="shared" si="218"/>
        <v>9333.3139631221457</v>
      </c>
      <c r="J1357" s="3">
        <f t="shared" si="219"/>
        <v>311959.31876331015</v>
      </c>
      <c r="K1357" s="24"/>
      <c r="L1357" s="24"/>
    </row>
    <row r="1358" spans="2:12" hidden="1" x14ac:dyDescent="0.35">
      <c r="B1358" s="1">
        <v>56</v>
      </c>
      <c r="C1358" s="22">
        <v>46327</v>
      </c>
      <c r="D1358" s="22">
        <v>46356</v>
      </c>
      <c r="E1358" s="23">
        <f t="shared" si="217"/>
        <v>30</v>
      </c>
      <c r="F1358" s="3">
        <f t="shared" si="220"/>
        <v>311959.31876331015</v>
      </c>
      <c r="G1358" s="3">
        <f t="shared" si="221"/>
        <v>12492.691518265397</v>
      </c>
      <c r="H1358" s="3">
        <f t="shared" si="222"/>
        <v>3067.5999678392163</v>
      </c>
      <c r="I1358" s="3">
        <f t="shared" si="218"/>
        <v>9425.0915504261811</v>
      </c>
      <c r="J1358" s="3">
        <f t="shared" si="219"/>
        <v>302534.22721288394</v>
      </c>
      <c r="K1358" s="24"/>
      <c r="L1358" s="24"/>
    </row>
    <row r="1359" spans="2:12" hidden="1" x14ac:dyDescent="0.35">
      <c r="B1359" s="1">
        <v>57</v>
      </c>
      <c r="C1359" s="22">
        <v>46357</v>
      </c>
      <c r="D1359" s="22">
        <v>46387</v>
      </c>
      <c r="E1359" s="23">
        <f t="shared" si="217"/>
        <v>31</v>
      </c>
      <c r="F1359" s="3">
        <f t="shared" si="220"/>
        <v>302534.22721288394</v>
      </c>
      <c r="G1359" s="3">
        <f t="shared" si="221"/>
        <v>12492.691518265397</v>
      </c>
      <c r="H1359" s="3">
        <f t="shared" si="222"/>
        <v>2974.9199009266918</v>
      </c>
      <c r="I1359" s="3">
        <f t="shared" si="218"/>
        <v>9517.7716173387053</v>
      </c>
      <c r="J1359" s="3">
        <f t="shared" si="219"/>
        <v>293016.45559554524</v>
      </c>
      <c r="K1359" s="24"/>
      <c r="L1359" s="24"/>
    </row>
    <row r="1360" spans="2:12" hidden="1" x14ac:dyDescent="0.35">
      <c r="B1360" s="1">
        <v>58</v>
      </c>
      <c r="C1360" s="22">
        <v>46388</v>
      </c>
      <c r="D1360" s="22">
        <v>46418</v>
      </c>
      <c r="E1360" s="23">
        <f t="shared" si="217"/>
        <v>31</v>
      </c>
      <c r="F1360" s="3">
        <f t="shared" si="220"/>
        <v>293016.45559554524</v>
      </c>
      <c r="G1360" s="3">
        <f t="shared" si="221"/>
        <v>12492.691518265397</v>
      </c>
      <c r="H1360" s="3">
        <f t="shared" si="222"/>
        <v>2881.3284800228612</v>
      </c>
      <c r="I1360" s="3">
        <f t="shared" si="218"/>
        <v>9611.3630382425363</v>
      </c>
      <c r="J1360" s="3">
        <f t="shared" si="219"/>
        <v>283405.09255730268</v>
      </c>
      <c r="K1360" s="24"/>
      <c r="L1360" s="24"/>
    </row>
    <row r="1361" spans="2:12" hidden="1" x14ac:dyDescent="0.35">
      <c r="B1361" s="1">
        <v>59</v>
      </c>
      <c r="C1361" s="22">
        <v>46419</v>
      </c>
      <c r="D1361" s="22">
        <v>46446</v>
      </c>
      <c r="E1361" s="23">
        <f t="shared" si="217"/>
        <v>28</v>
      </c>
      <c r="F1361" s="3">
        <f t="shared" si="220"/>
        <v>283405.09255730268</v>
      </c>
      <c r="G1361" s="3">
        <f t="shared" si="221"/>
        <v>12492.691518265397</v>
      </c>
      <c r="H1361" s="3">
        <f t="shared" si="222"/>
        <v>2786.816743480143</v>
      </c>
      <c r="I1361" s="3">
        <f t="shared" si="218"/>
        <v>9705.874774785254</v>
      </c>
      <c r="J1361" s="3">
        <f t="shared" si="219"/>
        <v>273699.21778251743</v>
      </c>
      <c r="K1361" s="24"/>
      <c r="L1361" s="24"/>
    </row>
    <row r="1362" spans="2:12" hidden="1" x14ac:dyDescent="0.35">
      <c r="B1362" s="1">
        <v>60</v>
      </c>
      <c r="C1362" s="22">
        <v>46447</v>
      </c>
      <c r="D1362" s="22">
        <v>46477</v>
      </c>
      <c r="E1362" s="23">
        <f t="shared" si="217"/>
        <v>31</v>
      </c>
      <c r="F1362" s="3">
        <f t="shared" si="220"/>
        <v>273699.21778251743</v>
      </c>
      <c r="G1362" s="3">
        <f t="shared" si="221"/>
        <v>12492.691518265397</v>
      </c>
      <c r="H1362" s="3">
        <f t="shared" si="222"/>
        <v>2691.3756415280877</v>
      </c>
      <c r="I1362" s="3">
        <f t="shared" si="218"/>
        <v>9801.3158767373097</v>
      </c>
      <c r="J1362" s="3">
        <f t="shared" si="219"/>
        <v>263897.90190578013</v>
      </c>
      <c r="K1362" s="24"/>
      <c r="L1362" s="24"/>
    </row>
    <row r="1363" spans="2:12" hidden="1" x14ac:dyDescent="0.35">
      <c r="B1363" s="1">
        <v>61</v>
      </c>
      <c r="C1363" s="22">
        <v>46478</v>
      </c>
      <c r="D1363" s="22">
        <v>46507</v>
      </c>
      <c r="E1363" s="23">
        <f t="shared" si="217"/>
        <v>30</v>
      </c>
      <c r="F1363" s="3">
        <f t="shared" si="220"/>
        <v>263897.90190578013</v>
      </c>
      <c r="G1363" s="3">
        <f t="shared" si="221"/>
        <v>12492.691518265397</v>
      </c>
      <c r="H1363" s="3">
        <f t="shared" si="222"/>
        <v>2594.996035406838</v>
      </c>
      <c r="I1363" s="3">
        <f t="shared" si="218"/>
        <v>9897.6954828585585</v>
      </c>
      <c r="J1363" s="3">
        <f t="shared" si="219"/>
        <v>254000.20642292156</v>
      </c>
      <c r="K1363" s="24"/>
      <c r="L1363" s="24"/>
    </row>
    <row r="1364" spans="2:12" hidden="1" x14ac:dyDescent="0.35">
      <c r="B1364" s="1">
        <v>62</v>
      </c>
      <c r="C1364" s="22">
        <v>46508</v>
      </c>
      <c r="D1364" s="22">
        <v>46538</v>
      </c>
      <c r="E1364" s="23">
        <f t="shared" si="217"/>
        <v>31</v>
      </c>
      <c r="F1364" s="3">
        <f t="shared" si="220"/>
        <v>254000.20642292156</v>
      </c>
      <c r="G1364" s="3">
        <f t="shared" si="221"/>
        <v>12492.691518265397</v>
      </c>
      <c r="H1364" s="3">
        <f t="shared" si="222"/>
        <v>2497.6686964920618</v>
      </c>
      <c r="I1364" s="3">
        <f t="shared" si="218"/>
        <v>9995.0228217733347</v>
      </c>
      <c r="J1364" s="3">
        <f t="shared" si="219"/>
        <v>244005.18360114822</v>
      </c>
      <c r="K1364" s="24"/>
      <c r="L1364" s="24"/>
    </row>
    <row r="1365" spans="2:12" hidden="1" x14ac:dyDescent="0.35">
      <c r="B1365" s="1">
        <v>63</v>
      </c>
      <c r="C1365" s="22">
        <v>46539</v>
      </c>
      <c r="D1365" s="22">
        <v>46568</v>
      </c>
      <c r="E1365" s="23">
        <f t="shared" si="217"/>
        <v>30</v>
      </c>
      <c r="F1365" s="3">
        <f t="shared" si="220"/>
        <v>244005.18360114822</v>
      </c>
      <c r="G1365" s="3">
        <f t="shared" si="221"/>
        <v>12492.691518265397</v>
      </c>
      <c r="H1365" s="3">
        <f t="shared" si="222"/>
        <v>2399.3843054112908</v>
      </c>
      <c r="I1365" s="3">
        <f t="shared" si="218"/>
        <v>10093.307212854106</v>
      </c>
      <c r="J1365" s="3">
        <f t="shared" si="219"/>
        <v>233911.87638829413</v>
      </c>
      <c r="K1365" s="24"/>
      <c r="L1365" s="24"/>
    </row>
    <row r="1366" spans="2:12" hidden="1" x14ac:dyDescent="0.35">
      <c r="B1366" s="1">
        <v>64</v>
      </c>
      <c r="C1366" s="22">
        <v>46569</v>
      </c>
      <c r="D1366" s="22">
        <v>46599</v>
      </c>
      <c r="E1366" s="23">
        <f t="shared" ref="E1366:E1374" si="223">D1366-C1366+1</f>
        <v>31</v>
      </c>
      <c r="F1366" s="3">
        <f t="shared" si="220"/>
        <v>233911.87638829413</v>
      </c>
      <c r="G1366" s="3">
        <f t="shared" si="221"/>
        <v>12492.691518265397</v>
      </c>
      <c r="H1366" s="3">
        <f t="shared" si="222"/>
        <v>2300.1334511515588</v>
      </c>
      <c r="I1366" s="3">
        <f t="shared" ref="I1366:I1374" si="224">G1366-H1366</f>
        <v>10192.558067113838</v>
      </c>
      <c r="J1366" s="3">
        <f t="shared" ref="J1366:J1374" si="225">F1366-I1366</f>
        <v>223719.3183211803</v>
      </c>
      <c r="K1366" s="24"/>
      <c r="L1366" s="24"/>
    </row>
    <row r="1367" spans="2:12" hidden="1" x14ac:dyDescent="0.35">
      <c r="B1367" s="1">
        <v>65</v>
      </c>
      <c r="C1367" s="22">
        <v>46600</v>
      </c>
      <c r="D1367" s="22">
        <v>46630</v>
      </c>
      <c r="E1367" s="23">
        <f t="shared" si="223"/>
        <v>31</v>
      </c>
      <c r="F1367" s="3">
        <f t="shared" si="220"/>
        <v>223719.3183211803</v>
      </c>
      <c r="G1367" s="3">
        <f t="shared" si="221"/>
        <v>12492.691518265397</v>
      </c>
      <c r="H1367" s="3">
        <f t="shared" si="222"/>
        <v>2199.9066301582729</v>
      </c>
      <c r="I1367" s="3">
        <f t="shared" si="224"/>
        <v>10292.784888107124</v>
      </c>
      <c r="J1367" s="3">
        <f t="shared" si="225"/>
        <v>213426.53343307317</v>
      </c>
      <c r="K1367" s="24"/>
      <c r="L1367" s="24"/>
    </row>
    <row r="1368" spans="2:12" hidden="1" x14ac:dyDescent="0.35">
      <c r="B1368" s="1">
        <v>66</v>
      </c>
      <c r="C1368" s="22">
        <v>46631</v>
      </c>
      <c r="D1368" s="22">
        <v>46660</v>
      </c>
      <c r="E1368" s="23">
        <f t="shared" si="223"/>
        <v>30</v>
      </c>
      <c r="F1368" s="3">
        <f t="shared" si="220"/>
        <v>213426.53343307317</v>
      </c>
      <c r="G1368" s="3">
        <f t="shared" si="221"/>
        <v>12492.691518265397</v>
      </c>
      <c r="H1368" s="3">
        <f t="shared" si="222"/>
        <v>2098.6942454252194</v>
      </c>
      <c r="I1368" s="3">
        <f t="shared" si="224"/>
        <v>10393.997272840177</v>
      </c>
      <c r="J1368" s="3">
        <f t="shared" si="225"/>
        <v>203032.53616023299</v>
      </c>
      <c r="K1368" s="24"/>
      <c r="L1368" s="24"/>
    </row>
    <row r="1369" spans="2:12" hidden="1" x14ac:dyDescent="0.35">
      <c r="B1369" s="1">
        <v>67</v>
      </c>
      <c r="C1369" s="22">
        <v>46661</v>
      </c>
      <c r="D1369" s="22">
        <v>46691</v>
      </c>
      <c r="E1369" s="23">
        <f t="shared" si="223"/>
        <v>31</v>
      </c>
      <c r="F1369" s="3">
        <f t="shared" si="220"/>
        <v>203032.53616023299</v>
      </c>
      <c r="G1369" s="3">
        <f t="shared" si="221"/>
        <v>12492.691518265397</v>
      </c>
      <c r="H1369" s="3">
        <f t="shared" si="222"/>
        <v>1996.4866055756243</v>
      </c>
      <c r="I1369" s="3">
        <f t="shared" si="224"/>
        <v>10496.204912689773</v>
      </c>
      <c r="J1369" s="3">
        <f t="shared" si="225"/>
        <v>192536.33124754322</v>
      </c>
      <c r="K1369" s="24"/>
      <c r="L1369" s="24"/>
    </row>
    <row r="1370" spans="2:12" hidden="1" x14ac:dyDescent="0.35">
      <c r="B1370" s="1">
        <v>68</v>
      </c>
      <c r="C1370" s="22">
        <v>46692</v>
      </c>
      <c r="D1370" s="22">
        <v>46721</v>
      </c>
      <c r="E1370" s="23">
        <f t="shared" si="223"/>
        <v>30</v>
      </c>
      <c r="F1370" s="3">
        <f t="shared" si="220"/>
        <v>192536.33124754322</v>
      </c>
      <c r="G1370" s="3">
        <f t="shared" si="221"/>
        <v>12492.691518265397</v>
      </c>
      <c r="H1370" s="3">
        <f t="shared" si="222"/>
        <v>1893.2739239341749</v>
      </c>
      <c r="I1370" s="3">
        <f t="shared" si="224"/>
        <v>10599.417594331222</v>
      </c>
      <c r="J1370" s="3">
        <f t="shared" si="225"/>
        <v>181936.91365321199</v>
      </c>
      <c r="K1370" s="24"/>
      <c r="L1370" s="24"/>
    </row>
    <row r="1371" spans="2:12" hidden="1" x14ac:dyDescent="0.35">
      <c r="B1371" s="1">
        <v>69</v>
      </c>
      <c r="C1371" s="22">
        <v>46722</v>
      </c>
      <c r="D1371" s="22">
        <v>46752</v>
      </c>
      <c r="E1371" s="23">
        <f t="shared" si="223"/>
        <v>31</v>
      </c>
      <c r="F1371" s="3">
        <f t="shared" si="220"/>
        <v>181936.91365321199</v>
      </c>
      <c r="G1371" s="3">
        <f t="shared" si="221"/>
        <v>12492.691518265397</v>
      </c>
      <c r="H1371" s="3">
        <f t="shared" si="222"/>
        <v>1789.0463175899179</v>
      </c>
      <c r="I1371" s="3">
        <f t="shared" si="224"/>
        <v>10703.645200675479</v>
      </c>
      <c r="J1371" s="3">
        <f t="shared" si="225"/>
        <v>171233.26845253652</v>
      </c>
      <c r="K1371" s="24"/>
      <c r="L1371" s="24"/>
    </row>
    <row r="1372" spans="2:12" hidden="1" x14ac:dyDescent="0.35">
      <c r="B1372" s="1">
        <v>70</v>
      </c>
      <c r="C1372" s="22">
        <v>46753</v>
      </c>
      <c r="D1372" s="22">
        <v>46783</v>
      </c>
      <c r="E1372" s="23">
        <f t="shared" si="223"/>
        <v>31</v>
      </c>
      <c r="F1372" s="3">
        <f t="shared" si="220"/>
        <v>171233.26845253652</v>
      </c>
      <c r="G1372" s="3">
        <f t="shared" si="221"/>
        <v>12492.691518265397</v>
      </c>
      <c r="H1372" s="3">
        <f t="shared" si="222"/>
        <v>1683.7938064499424</v>
      </c>
      <c r="I1372" s="3">
        <f t="shared" si="224"/>
        <v>10808.897711815454</v>
      </c>
      <c r="J1372" s="3">
        <f t="shared" si="225"/>
        <v>160424.37074072106</v>
      </c>
      <c r="K1372" s="24"/>
      <c r="L1372" s="24"/>
    </row>
    <row r="1373" spans="2:12" hidden="1" x14ac:dyDescent="0.35">
      <c r="B1373" s="1">
        <v>71</v>
      </c>
      <c r="C1373" s="22">
        <v>46784</v>
      </c>
      <c r="D1373" s="22">
        <v>46812</v>
      </c>
      <c r="E1373" s="23">
        <f t="shared" si="223"/>
        <v>29</v>
      </c>
      <c r="F1373" s="3">
        <f t="shared" si="220"/>
        <v>160424.37074072106</v>
      </c>
      <c r="G1373" s="3">
        <f t="shared" si="221"/>
        <v>12492.691518265397</v>
      </c>
      <c r="H1373" s="3">
        <f t="shared" si="222"/>
        <v>1577.5063122837571</v>
      </c>
      <c r="I1373" s="3">
        <f t="shared" si="224"/>
        <v>10915.185205981641</v>
      </c>
      <c r="J1373" s="3">
        <f t="shared" si="225"/>
        <v>149509.18553473943</v>
      </c>
      <c r="K1373" s="24"/>
      <c r="L1373" s="24"/>
    </row>
    <row r="1374" spans="2:12" hidden="1" x14ac:dyDescent="0.35">
      <c r="B1374" s="1">
        <v>72</v>
      </c>
      <c r="C1374" s="22">
        <v>46813</v>
      </c>
      <c r="D1374" s="22">
        <v>46843</v>
      </c>
      <c r="E1374" s="23">
        <f t="shared" si="223"/>
        <v>31</v>
      </c>
      <c r="F1374" s="3">
        <f t="shared" si="220"/>
        <v>149509.18553473943</v>
      </c>
      <c r="G1374" s="3">
        <f t="shared" si="221"/>
        <v>12492.691518265397</v>
      </c>
      <c r="H1374" s="3">
        <f t="shared" si="222"/>
        <v>1470.173657758271</v>
      </c>
      <c r="I1374" s="3">
        <f t="shared" si="224"/>
        <v>11022.517860507127</v>
      </c>
      <c r="J1374" s="3">
        <f t="shared" si="225"/>
        <v>138486.6676742323</v>
      </c>
      <c r="K1374" s="24"/>
      <c r="L1374" s="24"/>
    </row>
    <row r="1375" spans="2:12" hidden="1" x14ac:dyDescent="0.35">
      <c r="B1375" s="1"/>
      <c r="C1375" s="22"/>
      <c r="D1375" s="22"/>
      <c r="E1375" s="23"/>
      <c r="F1375" s="3"/>
      <c r="G1375" s="3"/>
      <c r="H1375" s="3"/>
      <c r="I1375" s="3"/>
      <c r="J1375" s="3"/>
      <c r="K1375" s="24"/>
      <c r="L1375" s="24"/>
    </row>
    <row r="1376" spans="2:12" hidden="1" x14ac:dyDescent="0.35">
      <c r="B1376" s="1"/>
      <c r="C1376" s="22"/>
      <c r="D1376" s="22"/>
      <c r="E1376" s="23"/>
      <c r="F1376" s="3"/>
      <c r="G1376" s="3"/>
      <c r="H1376" s="3"/>
      <c r="I1376" s="3"/>
      <c r="J1376" s="3"/>
      <c r="K1376" s="24"/>
      <c r="L1376" s="24"/>
    </row>
    <row r="1377" spans="2:12" ht="14.25" hidden="1" customHeight="1" x14ac:dyDescent="0.35">
      <c r="B1377" s="1"/>
      <c r="C1377" s="1"/>
      <c r="D1377" s="1"/>
      <c r="E1377" s="28">
        <f>SUM(E1302:E1326)</f>
        <v>751</v>
      </c>
      <c r="F1377" s="3"/>
      <c r="G1377" s="3"/>
      <c r="H1377" s="3"/>
      <c r="I1377" s="3"/>
      <c r="J1377" s="3"/>
      <c r="K1377" s="1"/>
      <c r="L1377" s="1"/>
    </row>
    <row r="1378" spans="2:12" hidden="1" x14ac:dyDescent="0.35"/>
    <row r="1384" spans="2:12" x14ac:dyDescent="0.35">
      <c r="B1384" s="1"/>
      <c r="C1384" s="8" t="s">
        <v>785</v>
      </c>
      <c r="D1384" s="3"/>
      <c r="E1384" s="3"/>
      <c r="F1384" s="3"/>
      <c r="G1384" s="3"/>
      <c r="H1384" s="3"/>
      <c r="I1384" s="3"/>
      <c r="J1384" s="3"/>
      <c r="K1384" s="3"/>
      <c r="L1384" s="3"/>
    </row>
    <row r="1385" spans="2:12" x14ac:dyDescent="0.35">
      <c r="B1385" s="1"/>
      <c r="C1385" s="1"/>
      <c r="D1385" s="3"/>
      <c r="E1385" s="3"/>
      <c r="F1385" s="3"/>
      <c r="G1385" s="3"/>
      <c r="H1385" s="3"/>
      <c r="I1385" s="3"/>
      <c r="J1385" s="3"/>
      <c r="K1385" s="3"/>
      <c r="L1385" s="3"/>
    </row>
    <row r="1386" spans="2:12" x14ac:dyDescent="0.35">
      <c r="B1386" s="1"/>
      <c r="C1386" s="9" t="s">
        <v>894</v>
      </c>
      <c r="D1386" s="10">
        <v>24600000</v>
      </c>
      <c r="E1386" s="3"/>
      <c r="F1386" s="3"/>
      <c r="G1386" s="3"/>
      <c r="H1386" s="3"/>
      <c r="I1386" s="3"/>
      <c r="J1386" s="3"/>
      <c r="K1386" s="3"/>
      <c r="L1386" s="3"/>
    </row>
    <row r="1387" spans="2:12" x14ac:dyDescent="0.35">
      <c r="B1387" s="1"/>
      <c r="C1387" s="11" t="s">
        <v>837</v>
      </c>
      <c r="D1387" s="12">
        <v>0.1</v>
      </c>
      <c r="E1387" s="13"/>
      <c r="F1387" s="3"/>
      <c r="G1387" s="3"/>
      <c r="H1387" s="3"/>
      <c r="I1387" s="3"/>
      <c r="J1387" s="3"/>
      <c r="K1387" s="3"/>
      <c r="L1387" s="3"/>
    </row>
    <row r="1388" spans="2:12" x14ac:dyDescent="0.35">
      <c r="B1388" s="1"/>
      <c r="C1388" s="11" t="s">
        <v>838</v>
      </c>
      <c r="D1388" s="14">
        <v>3</v>
      </c>
      <c r="E1388" s="1"/>
      <c r="F1388" s="3"/>
      <c r="G1388" s="3"/>
      <c r="H1388" s="3"/>
      <c r="I1388" s="3"/>
      <c r="J1388" s="3"/>
      <c r="K1388" s="1"/>
      <c r="L1388" s="1"/>
    </row>
    <row r="1389" spans="2:12" x14ac:dyDescent="0.35">
      <c r="B1389" s="1"/>
      <c r="C1389" s="11" t="s">
        <v>839</v>
      </c>
      <c r="D1389" s="14">
        <v>12</v>
      </c>
      <c r="E1389" s="1"/>
      <c r="F1389" s="3"/>
      <c r="G1389" s="3"/>
      <c r="H1389" s="3"/>
      <c r="I1389" s="3"/>
      <c r="J1389" s="3"/>
      <c r="K1389" s="1"/>
      <c r="L1389" s="1"/>
    </row>
    <row r="1390" spans="2:12" x14ac:dyDescent="0.35">
      <c r="B1390" s="1"/>
      <c r="C1390" s="11" t="s">
        <v>843</v>
      </c>
      <c r="D1390" s="15">
        <f>D1388*D1389</f>
        <v>36</v>
      </c>
      <c r="E1390" s="1"/>
      <c r="F1390" s="3"/>
      <c r="G1390" s="3"/>
      <c r="H1390" s="3"/>
      <c r="I1390" s="3"/>
      <c r="J1390" s="3"/>
      <c r="K1390" s="1"/>
      <c r="L1390" s="1"/>
    </row>
    <row r="1391" spans="2:12" x14ac:dyDescent="0.35">
      <c r="B1391" s="1"/>
      <c r="C1391" s="11" t="s">
        <v>844</v>
      </c>
      <c r="D1391" s="16">
        <v>365</v>
      </c>
      <c r="E1391" s="1"/>
      <c r="F1391" s="3"/>
      <c r="G1391" s="3"/>
      <c r="H1391" s="3"/>
      <c r="I1391" s="3"/>
      <c r="J1391" s="3"/>
      <c r="K1391" s="1"/>
      <c r="L1391" s="1"/>
    </row>
    <row r="1392" spans="2:12" x14ac:dyDescent="0.35">
      <c r="B1392" s="1"/>
      <c r="C1392" s="17" t="s">
        <v>845</v>
      </c>
      <c r="D1392" s="18">
        <f>-PMT(D1387/D1389,D1390,D1386,0,0)</f>
        <v>793772.80496840214</v>
      </c>
      <c r="E1392" s="3"/>
      <c r="F1392" s="3"/>
      <c r="G1392" s="3"/>
      <c r="H1392" s="3"/>
      <c r="I1392" s="3"/>
      <c r="J1392" s="3"/>
      <c r="K1392" s="1"/>
      <c r="L1392" s="1"/>
    </row>
    <row r="1393" spans="2:12" x14ac:dyDescent="0.35">
      <c r="B1393" s="1"/>
      <c r="C1393" s="1"/>
      <c r="D1393" s="3"/>
      <c r="E1393" s="3"/>
      <c r="F1393" s="3"/>
      <c r="G1393" s="3"/>
      <c r="H1393" s="3"/>
      <c r="I1393" s="3"/>
      <c r="J1393" s="3"/>
      <c r="K1393" s="1"/>
      <c r="L1393" s="1"/>
    </row>
    <row r="1394" spans="2:12" x14ac:dyDescent="0.35">
      <c r="B1394" s="1"/>
      <c r="C1394" s="19" t="s">
        <v>846</v>
      </c>
      <c r="D1394" s="20" t="s">
        <v>847</v>
      </c>
      <c r="E1394" s="20" t="s">
        <v>764</v>
      </c>
      <c r="F1394" s="270" t="s">
        <v>848</v>
      </c>
      <c r="G1394" s="270" t="s">
        <v>849</v>
      </c>
      <c r="H1394" s="270" t="s">
        <v>742</v>
      </c>
      <c r="I1394" s="270" t="s">
        <v>740</v>
      </c>
      <c r="J1394" s="270" t="s">
        <v>850</v>
      </c>
      <c r="K1394" s="21" t="s">
        <v>851</v>
      </c>
      <c r="L1394" s="21" t="s">
        <v>852</v>
      </c>
    </row>
    <row r="1395" spans="2:12" x14ac:dyDescent="0.35">
      <c r="B1395" s="1">
        <v>0</v>
      </c>
      <c r="C1395" s="22">
        <v>44673</v>
      </c>
      <c r="D1395" s="22">
        <v>44681</v>
      </c>
      <c r="E1395" s="23">
        <f t="shared" ref="E1395:E1431" si="226">D1395-C1395+1</f>
        <v>9</v>
      </c>
      <c r="F1395" s="3">
        <f>D1386</f>
        <v>24600000</v>
      </c>
      <c r="G1395" s="3">
        <f>H1395</f>
        <v>60657.534246575342</v>
      </c>
      <c r="H1395" s="3">
        <f>F1395*E1395*D1387/D1391</f>
        <v>60657.534246575342</v>
      </c>
      <c r="I1395" s="3">
        <f t="shared" ref="I1395:I1431" si="227">G1395-H1395</f>
        <v>0</v>
      </c>
      <c r="J1395" s="3">
        <f t="shared" ref="J1395:J1431" si="228">F1395-I1395</f>
        <v>24600000</v>
      </c>
      <c r="K1395" s="24"/>
      <c r="L1395" s="24"/>
    </row>
    <row r="1396" spans="2:12" x14ac:dyDescent="0.35">
      <c r="B1396" s="1">
        <v>1</v>
      </c>
      <c r="C1396" s="22">
        <v>44682</v>
      </c>
      <c r="D1396" s="22">
        <v>44712</v>
      </c>
      <c r="E1396" s="23">
        <f t="shared" si="226"/>
        <v>31</v>
      </c>
      <c r="F1396" s="3">
        <f t="shared" ref="F1396:F1431" si="229">J1395</f>
        <v>24600000</v>
      </c>
      <c r="G1396" s="3">
        <f t="shared" ref="G1396:G1431" si="230">-PMT($D$1387/$D$1389,36,$F$1395,,0)</f>
        <v>793772.80496840214</v>
      </c>
      <c r="H1396" s="3">
        <f t="shared" ref="H1396:H1431" si="231">$D$1387/$D$1389*F1396</f>
        <v>205000</v>
      </c>
      <c r="I1396" s="3">
        <f t="shared" si="227"/>
        <v>588772.80496840214</v>
      </c>
      <c r="J1396" s="3">
        <f t="shared" si="228"/>
        <v>24011227.195031598</v>
      </c>
      <c r="K1396" s="24"/>
      <c r="L1396" s="24"/>
    </row>
    <row r="1397" spans="2:12" x14ac:dyDescent="0.35">
      <c r="B1397" s="1">
        <v>2</v>
      </c>
      <c r="C1397" s="22">
        <v>44713</v>
      </c>
      <c r="D1397" s="22">
        <v>44742</v>
      </c>
      <c r="E1397" s="23">
        <f t="shared" si="226"/>
        <v>30</v>
      </c>
      <c r="F1397" s="3">
        <f t="shared" si="229"/>
        <v>24011227.195031598</v>
      </c>
      <c r="G1397" s="3">
        <f t="shared" si="230"/>
        <v>793772.80496840214</v>
      </c>
      <c r="H1397" s="3">
        <f t="shared" si="231"/>
        <v>200093.55995859666</v>
      </c>
      <c r="I1397" s="3">
        <f t="shared" si="227"/>
        <v>593679.24500980554</v>
      </c>
      <c r="J1397" s="3">
        <f t="shared" si="228"/>
        <v>23417547.950021792</v>
      </c>
      <c r="K1397" s="24"/>
      <c r="L1397" s="24"/>
    </row>
    <row r="1398" spans="2:12" x14ac:dyDescent="0.35">
      <c r="B1398" s="1">
        <v>3</v>
      </c>
      <c r="C1398" s="22">
        <v>44743</v>
      </c>
      <c r="D1398" s="22">
        <v>44773</v>
      </c>
      <c r="E1398" s="23">
        <f t="shared" si="226"/>
        <v>31</v>
      </c>
      <c r="F1398" s="3">
        <f t="shared" si="229"/>
        <v>23417547.950021792</v>
      </c>
      <c r="G1398" s="3">
        <f t="shared" si="230"/>
        <v>793772.80496840214</v>
      </c>
      <c r="H1398" s="3">
        <f t="shared" si="231"/>
        <v>195146.23291684827</v>
      </c>
      <c r="I1398" s="3">
        <f t="shared" si="227"/>
        <v>598626.57205155387</v>
      </c>
      <c r="J1398" s="3">
        <f t="shared" si="228"/>
        <v>22818921.377970237</v>
      </c>
    </row>
    <row r="1399" spans="2:12" x14ac:dyDescent="0.35">
      <c r="B1399" s="1">
        <v>4</v>
      </c>
      <c r="C1399" s="22">
        <v>44774</v>
      </c>
      <c r="D1399" s="22">
        <v>44804</v>
      </c>
      <c r="E1399" s="23">
        <f t="shared" si="226"/>
        <v>31</v>
      </c>
      <c r="F1399" s="3">
        <f t="shared" si="229"/>
        <v>22818921.377970237</v>
      </c>
      <c r="G1399" s="3">
        <f t="shared" si="230"/>
        <v>793772.80496840214</v>
      </c>
      <c r="H1399" s="3">
        <f t="shared" si="231"/>
        <v>190157.67814975197</v>
      </c>
      <c r="I1399" s="3">
        <f t="shared" si="227"/>
        <v>603615.12681865017</v>
      </c>
      <c r="J1399" s="3">
        <f t="shared" si="228"/>
        <v>22215306.251151588</v>
      </c>
      <c r="K1399" s="24"/>
      <c r="L1399" s="24"/>
    </row>
    <row r="1400" spans="2:12" x14ac:dyDescent="0.35">
      <c r="B1400" s="1">
        <v>5</v>
      </c>
      <c r="C1400" s="22">
        <v>44805</v>
      </c>
      <c r="D1400" s="22">
        <v>44834</v>
      </c>
      <c r="E1400" s="23">
        <f t="shared" si="226"/>
        <v>30</v>
      </c>
      <c r="F1400" s="3">
        <f t="shared" si="229"/>
        <v>22215306.251151588</v>
      </c>
      <c r="G1400" s="3">
        <f t="shared" si="230"/>
        <v>793772.80496840214</v>
      </c>
      <c r="H1400" s="3">
        <f t="shared" si="231"/>
        <v>185127.55209292989</v>
      </c>
      <c r="I1400" s="3">
        <f t="shared" si="227"/>
        <v>608645.25287547219</v>
      </c>
      <c r="J1400" s="3">
        <f t="shared" si="228"/>
        <v>21606660.998276114</v>
      </c>
      <c r="K1400" s="24"/>
      <c r="L1400" s="24"/>
    </row>
    <row r="1401" spans="2:12" x14ac:dyDescent="0.35">
      <c r="B1401" s="1">
        <v>6</v>
      </c>
      <c r="C1401" s="22">
        <v>44835</v>
      </c>
      <c r="D1401" s="22">
        <v>44865</v>
      </c>
      <c r="E1401" s="23">
        <f t="shared" si="226"/>
        <v>31</v>
      </c>
      <c r="F1401" s="3">
        <f t="shared" si="229"/>
        <v>21606660.998276114</v>
      </c>
      <c r="G1401" s="3">
        <f t="shared" si="230"/>
        <v>793772.80496840214</v>
      </c>
      <c r="H1401" s="3">
        <f t="shared" si="231"/>
        <v>180055.50831896762</v>
      </c>
      <c r="I1401" s="3">
        <f t="shared" si="227"/>
        <v>613717.29664943449</v>
      </c>
      <c r="J1401" s="3">
        <f t="shared" si="228"/>
        <v>20992943.701626681</v>
      </c>
      <c r="K1401" s="24"/>
      <c r="L1401" s="24"/>
    </row>
    <row r="1402" spans="2:12" x14ac:dyDescent="0.35">
      <c r="B1402" s="1">
        <v>7</v>
      </c>
      <c r="C1402" s="22">
        <v>44866</v>
      </c>
      <c r="D1402" s="22">
        <v>44895</v>
      </c>
      <c r="E1402" s="23">
        <f t="shared" si="226"/>
        <v>30</v>
      </c>
      <c r="F1402" s="3">
        <f t="shared" si="229"/>
        <v>20992943.701626681</v>
      </c>
      <c r="G1402" s="3">
        <f t="shared" si="230"/>
        <v>793772.80496840214</v>
      </c>
      <c r="H1402" s="3">
        <f t="shared" si="231"/>
        <v>174941.19751355567</v>
      </c>
      <c r="I1402" s="3">
        <f t="shared" si="227"/>
        <v>618831.6074548465</v>
      </c>
      <c r="J1402" s="3">
        <f t="shared" si="228"/>
        <v>20374112.094171833</v>
      </c>
      <c r="K1402" s="24"/>
      <c r="L1402" s="26"/>
    </row>
    <row r="1403" spans="2:12" x14ac:dyDescent="0.35">
      <c r="B1403" s="1">
        <v>8</v>
      </c>
      <c r="C1403" s="22">
        <v>44896</v>
      </c>
      <c r="D1403" s="22">
        <v>44926</v>
      </c>
      <c r="E1403" s="23">
        <f t="shared" si="226"/>
        <v>31</v>
      </c>
      <c r="F1403" s="3">
        <f t="shared" si="229"/>
        <v>20374112.094171833</v>
      </c>
      <c r="G1403" s="3">
        <f t="shared" si="230"/>
        <v>793772.80496840214</v>
      </c>
      <c r="H1403" s="3">
        <f t="shared" si="231"/>
        <v>169784.26745143195</v>
      </c>
      <c r="I1403" s="3">
        <f t="shared" si="227"/>
        <v>623988.53751697019</v>
      </c>
      <c r="J1403" s="3">
        <f t="shared" si="228"/>
        <v>19750123.556654863</v>
      </c>
      <c r="K1403" s="24"/>
      <c r="L1403" s="24"/>
    </row>
    <row r="1404" spans="2:12" x14ac:dyDescent="0.35">
      <c r="B1404" s="1">
        <v>9</v>
      </c>
      <c r="C1404" s="22">
        <v>44927</v>
      </c>
      <c r="D1404" s="22">
        <v>44957</v>
      </c>
      <c r="E1404" s="23">
        <f t="shared" si="226"/>
        <v>31</v>
      </c>
      <c r="F1404" s="3">
        <f t="shared" si="229"/>
        <v>19750123.556654863</v>
      </c>
      <c r="G1404" s="3">
        <f t="shared" si="230"/>
        <v>793772.80496840214</v>
      </c>
      <c r="H1404" s="3">
        <f t="shared" si="231"/>
        <v>164584.36297212387</v>
      </c>
      <c r="I1404" s="3">
        <f t="shared" si="227"/>
        <v>629188.44199627824</v>
      </c>
      <c r="J1404" s="3">
        <f t="shared" si="228"/>
        <v>19120935.114658587</v>
      </c>
      <c r="K1404" s="24"/>
      <c r="L1404" s="24"/>
    </row>
    <row r="1405" spans="2:12" x14ac:dyDescent="0.35">
      <c r="B1405" s="1">
        <v>10</v>
      </c>
      <c r="C1405" s="22">
        <v>44958</v>
      </c>
      <c r="D1405" s="22">
        <v>44985</v>
      </c>
      <c r="E1405" s="23">
        <f t="shared" si="226"/>
        <v>28</v>
      </c>
      <c r="F1405" s="3">
        <f t="shared" si="229"/>
        <v>19120935.114658587</v>
      </c>
      <c r="G1405" s="3">
        <f t="shared" si="230"/>
        <v>793772.80496840214</v>
      </c>
      <c r="H1405" s="3">
        <f t="shared" si="231"/>
        <v>159341.12595548821</v>
      </c>
      <c r="I1405" s="3">
        <f t="shared" si="227"/>
        <v>634431.67901291396</v>
      </c>
      <c r="J1405" s="3">
        <f t="shared" si="228"/>
        <v>18486503.435645673</v>
      </c>
      <c r="K1405" s="24"/>
      <c r="L1405" s="26"/>
    </row>
    <row r="1406" spans="2:12" x14ac:dyDescent="0.35">
      <c r="B1406" s="1">
        <v>11</v>
      </c>
      <c r="C1406" s="22">
        <v>44986</v>
      </c>
      <c r="D1406" s="22">
        <v>45016</v>
      </c>
      <c r="E1406" s="23">
        <f t="shared" si="226"/>
        <v>31</v>
      </c>
      <c r="F1406" s="3">
        <f t="shared" si="229"/>
        <v>18486503.435645673</v>
      </c>
      <c r="G1406" s="3">
        <f t="shared" si="230"/>
        <v>793772.80496840214</v>
      </c>
      <c r="H1406" s="3">
        <f t="shared" si="231"/>
        <v>154054.19529704726</v>
      </c>
      <c r="I1406" s="3">
        <f t="shared" si="227"/>
        <v>639718.60967135488</v>
      </c>
      <c r="J1406" s="3">
        <f t="shared" si="228"/>
        <v>17846784.825974319</v>
      </c>
      <c r="K1406" s="24">
        <v>9585931</v>
      </c>
      <c r="L1406" s="24"/>
    </row>
    <row r="1407" spans="2:12" x14ac:dyDescent="0.35">
      <c r="B1407" s="1">
        <v>12</v>
      </c>
      <c r="C1407" s="22">
        <v>45017</v>
      </c>
      <c r="D1407" s="22">
        <v>45046</v>
      </c>
      <c r="E1407" s="23">
        <f t="shared" si="226"/>
        <v>30</v>
      </c>
      <c r="F1407" s="3">
        <f t="shared" si="229"/>
        <v>17846784.825974319</v>
      </c>
      <c r="G1407" s="3">
        <f t="shared" si="230"/>
        <v>793772.80496840214</v>
      </c>
      <c r="H1407" s="3">
        <f t="shared" si="231"/>
        <v>148723.20688311933</v>
      </c>
      <c r="I1407" s="3">
        <f t="shared" si="227"/>
        <v>645049.59808528284</v>
      </c>
      <c r="J1407" s="3">
        <f t="shared" si="228"/>
        <v>17201735.227889035</v>
      </c>
      <c r="K1407" s="218"/>
      <c r="L1407" s="24"/>
    </row>
    <row r="1408" spans="2:12" x14ac:dyDescent="0.35">
      <c r="B1408" s="1">
        <v>13</v>
      </c>
      <c r="C1408" s="22">
        <v>45047</v>
      </c>
      <c r="D1408" s="22">
        <v>45077</v>
      </c>
      <c r="E1408" s="23">
        <f t="shared" si="226"/>
        <v>31</v>
      </c>
      <c r="F1408" s="3">
        <f t="shared" si="229"/>
        <v>17201735.227889035</v>
      </c>
      <c r="G1408" s="3">
        <f t="shared" si="230"/>
        <v>793772.80496840214</v>
      </c>
      <c r="H1408" s="3">
        <f t="shared" si="231"/>
        <v>143347.79356574194</v>
      </c>
      <c r="I1408" s="3">
        <f t="shared" si="227"/>
        <v>650425.01140266017</v>
      </c>
      <c r="J1408" s="3">
        <f t="shared" si="228"/>
        <v>16551310.216486374</v>
      </c>
      <c r="K1408" s="24"/>
      <c r="L1408" s="24"/>
    </row>
    <row r="1409" spans="2:12" x14ac:dyDescent="0.35">
      <c r="B1409" s="1">
        <v>14</v>
      </c>
      <c r="C1409" s="22">
        <v>45078</v>
      </c>
      <c r="D1409" s="22">
        <v>45107</v>
      </c>
      <c r="E1409" s="23">
        <f t="shared" si="226"/>
        <v>30</v>
      </c>
      <c r="F1409" s="3">
        <f t="shared" si="229"/>
        <v>16551310.216486374</v>
      </c>
      <c r="G1409" s="3">
        <f t="shared" si="230"/>
        <v>793772.80496840214</v>
      </c>
      <c r="H1409" s="3">
        <f t="shared" si="231"/>
        <v>137927.58513738646</v>
      </c>
      <c r="I1409" s="3">
        <f t="shared" si="227"/>
        <v>655845.21983101568</v>
      </c>
      <c r="J1409" s="3">
        <f t="shared" si="228"/>
        <v>15895464.996655358</v>
      </c>
      <c r="K1409" s="24"/>
      <c r="L1409" s="24"/>
    </row>
    <row r="1410" spans="2:12" x14ac:dyDescent="0.35">
      <c r="B1410" s="1">
        <v>15</v>
      </c>
      <c r="C1410" s="22">
        <v>45108</v>
      </c>
      <c r="D1410" s="22">
        <v>45138</v>
      </c>
      <c r="E1410" s="23">
        <f t="shared" si="226"/>
        <v>31</v>
      </c>
      <c r="F1410" s="3">
        <f t="shared" si="229"/>
        <v>15895464.996655358</v>
      </c>
      <c r="G1410" s="3">
        <f t="shared" si="230"/>
        <v>793772.80496840214</v>
      </c>
      <c r="H1410" s="3">
        <f t="shared" si="231"/>
        <v>132462.2083054613</v>
      </c>
      <c r="I1410" s="3">
        <f t="shared" si="227"/>
        <v>661310.59666294081</v>
      </c>
      <c r="J1410" s="3">
        <f t="shared" si="228"/>
        <v>15234154.399992418</v>
      </c>
      <c r="K1410" s="24"/>
      <c r="L1410" s="24"/>
    </row>
    <row r="1411" spans="2:12" x14ac:dyDescent="0.35">
      <c r="B1411" s="1">
        <v>16</v>
      </c>
      <c r="C1411" s="22">
        <v>45139</v>
      </c>
      <c r="D1411" s="22">
        <v>45169</v>
      </c>
      <c r="E1411" s="23">
        <f t="shared" si="226"/>
        <v>31</v>
      </c>
      <c r="F1411" s="3">
        <f t="shared" si="229"/>
        <v>15234154.399992418</v>
      </c>
      <c r="G1411" s="3">
        <f t="shared" si="230"/>
        <v>793772.80496840214</v>
      </c>
      <c r="H1411" s="3">
        <f t="shared" si="231"/>
        <v>126951.28666660348</v>
      </c>
      <c r="I1411" s="3">
        <f t="shared" si="227"/>
        <v>666821.51830179861</v>
      </c>
      <c r="J1411" s="3">
        <f t="shared" si="228"/>
        <v>14567332.88169062</v>
      </c>
      <c r="K1411" s="24"/>
      <c r="L1411" s="24"/>
    </row>
    <row r="1412" spans="2:12" x14ac:dyDescent="0.35">
      <c r="B1412" s="1">
        <v>17</v>
      </c>
      <c r="C1412" s="22">
        <v>45170</v>
      </c>
      <c r="D1412" s="22">
        <v>45199</v>
      </c>
      <c r="E1412" s="23">
        <f t="shared" si="226"/>
        <v>30</v>
      </c>
      <c r="F1412" s="3">
        <f t="shared" si="229"/>
        <v>14567332.88169062</v>
      </c>
      <c r="G1412" s="3">
        <f t="shared" si="230"/>
        <v>793772.80496840214</v>
      </c>
      <c r="H1412" s="3">
        <f t="shared" si="231"/>
        <v>121394.44068075516</v>
      </c>
      <c r="I1412" s="3">
        <f t="shared" si="227"/>
        <v>672378.36428764695</v>
      </c>
      <c r="J1412" s="3">
        <f t="shared" si="228"/>
        <v>13894954.517402973</v>
      </c>
      <c r="K1412" s="24"/>
      <c r="L1412" s="24"/>
    </row>
    <row r="1413" spans="2:12" x14ac:dyDescent="0.35">
      <c r="B1413" s="1">
        <v>18</v>
      </c>
      <c r="C1413" s="22">
        <v>45200</v>
      </c>
      <c r="D1413" s="22">
        <v>45230</v>
      </c>
      <c r="E1413" s="23">
        <f t="shared" si="226"/>
        <v>31</v>
      </c>
      <c r="F1413" s="3">
        <f t="shared" si="229"/>
        <v>13894954.517402973</v>
      </c>
      <c r="G1413" s="3">
        <f t="shared" si="230"/>
        <v>793772.80496840214</v>
      </c>
      <c r="H1413" s="3">
        <f t="shared" si="231"/>
        <v>115791.28764502477</v>
      </c>
      <c r="I1413" s="3">
        <f t="shared" si="227"/>
        <v>677981.51732337731</v>
      </c>
      <c r="J1413" s="3">
        <f t="shared" si="228"/>
        <v>13216973.000079596</v>
      </c>
      <c r="K1413" s="24"/>
      <c r="L1413" s="24"/>
    </row>
    <row r="1414" spans="2:12" x14ac:dyDescent="0.35">
      <c r="B1414" s="1">
        <v>19</v>
      </c>
      <c r="C1414" s="22">
        <v>45231</v>
      </c>
      <c r="D1414" s="22">
        <v>45260</v>
      </c>
      <c r="E1414" s="23">
        <f t="shared" si="226"/>
        <v>30</v>
      </c>
      <c r="F1414" s="3">
        <f t="shared" si="229"/>
        <v>13216973.000079596</v>
      </c>
      <c r="G1414" s="3">
        <f t="shared" si="230"/>
        <v>793772.80496840214</v>
      </c>
      <c r="H1414" s="3">
        <f t="shared" si="231"/>
        <v>110141.44166732997</v>
      </c>
      <c r="I1414" s="3">
        <f t="shared" si="227"/>
        <v>683631.36330107215</v>
      </c>
      <c r="J1414" s="3">
        <f t="shared" si="228"/>
        <v>12533341.636778524</v>
      </c>
      <c r="K1414" s="24"/>
      <c r="L1414" s="24"/>
    </row>
    <row r="1415" spans="2:12" x14ac:dyDescent="0.35">
      <c r="B1415" s="1">
        <v>20</v>
      </c>
      <c r="C1415" s="22">
        <v>45261</v>
      </c>
      <c r="D1415" s="22">
        <v>45291</v>
      </c>
      <c r="E1415" s="23">
        <f t="shared" si="226"/>
        <v>31</v>
      </c>
      <c r="F1415" s="3">
        <f t="shared" si="229"/>
        <v>12533341.636778524</v>
      </c>
      <c r="G1415" s="3">
        <f t="shared" si="230"/>
        <v>793772.80496840214</v>
      </c>
      <c r="H1415" s="3">
        <f t="shared" si="231"/>
        <v>104444.51363982103</v>
      </c>
      <c r="I1415" s="3">
        <f t="shared" si="227"/>
        <v>689328.29132858105</v>
      </c>
      <c r="J1415" s="3">
        <f t="shared" si="228"/>
        <v>11844013.345449943</v>
      </c>
      <c r="K1415" s="24"/>
      <c r="L1415" s="24"/>
    </row>
    <row r="1416" spans="2:12" x14ac:dyDescent="0.35">
      <c r="B1416" s="1">
        <v>21</v>
      </c>
      <c r="C1416" s="22">
        <v>45292</v>
      </c>
      <c r="D1416" s="22">
        <v>45322</v>
      </c>
      <c r="E1416" s="23">
        <f t="shared" si="226"/>
        <v>31</v>
      </c>
      <c r="F1416" s="3">
        <f t="shared" si="229"/>
        <v>11844013.345449943</v>
      </c>
      <c r="G1416" s="3">
        <f t="shared" si="230"/>
        <v>793772.80496840214</v>
      </c>
      <c r="H1416" s="3">
        <f t="shared" si="231"/>
        <v>98700.111212082862</v>
      </c>
      <c r="I1416" s="3">
        <f t="shared" si="227"/>
        <v>695072.69375631923</v>
      </c>
      <c r="J1416" s="3">
        <f t="shared" si="228"/>
        <v>11148940.651693624</v>
      </c>
      <c r="K1416" s="24"/>
      <c r="L1416" s="24"/>
    </row>
    <row r="1417" spans="2:12" x14ac:dyDescent="0.35">
      <c r="B1417" s="1">
        <v>22</v>
      </c>
      <c r="C1417" s="22">
        <v>45323</v>
      </c>
      <c r="D1417" s="22">
        <v>45350</v>
      </c>
      <c r="E1417" s="23">
        <f t="shared" si="226"/>
        <v>28</v>
      </c>
      <c r="F1417" s="3">
        <f t="shared" si="229"/>
        <v>11148940.651693624</v>
      </c>
      <c r="G1417" s="3">
        <f t="shared" si="230"/>
        <v>793772.80496840214</v>
      </c>
      <c r="H1417" s="3">
        <f t="shared" si="231"/>
        <v>92907.838764113534</v>
      </c>
      <c r="I1417" s="3">
        <f t="shared" si="227"/>
        <v>700864.96620428865</v>
      </c>
      <c r="J1417" s="3">
        <f t="shared" si="228"/>
        <v>10448075.685489334</v>
      </c>
      <c r="K1417" s="24"/>
      <c r="L1417" s="24"/>
    </row>
    <row r="1418" spans="2:12" x14ac:dyDescent="0.35">
      <c r="B1418" s="1">
        <v>23</v>
      </c>
      <c r="C1418" s="22">
        <v>45352</v>
      </c>
      <c r="D1418" s="22">
        <v>45382</v>
      </c>
      <c r="E1418" s="23">
        <f t="shared" si="226"/>
        <v>31</v>
      </c>
      <c r="F1418" s="3">
        <f t="shared" si="229"/>
        <v>10448075.685489334</v>
      </c>
      <c r="G1418" s="3">
        <f t="shared" si="230"/>
        <v>793772.80496840214</v>
      </c>
      <c r="H1418" s="3">
        <f t="shared" si="231"/>
        <v>87067.297379077791</v>
      </c>
      <c r="I1418" s="3">
        <f t="shared" si="227"/>
        <v>706705.50758932438</v>
      </c>
      <c r="J1418" s="3">
        <f t="shared" si="228"/>
        <v>9741370.1779000089</v>
      </c>
      <c r="K1418" s="24"/>
      <c r="L1418" s="24"/>
    </row>
    <row r="1419" spans="2:12" x14ac:dyDescent="0.35">
      <c r="B1419" s="1">
        <v>24</v>
      </c>
      <c r="C1419" s="22">
        <v>45383</v>
      </c>
      <c r="D1419" s="22">
        <v>45412</v>
      </c>
      <c r="E1419" s="23">
        <f t="shared" si="226"/>
        <v>30</v>
      </c>
      <c r="F1419" s="3">
        <f t="shared" si="229"/>
        <v>9741370.1779000089</v>
      </c>
      <c r="G1419" s="3">
        <f t="shared" si="230"/>
        <v>793772.80496840214</v>
      </c>
      <c r="H1419" s="3">
        <f t="shared" si="231"/>
        <v>81178.084815833412</v>
      </c>
      <c r="I1419" s="3">
        <f t="shared" si="227"/>
        <v>712594.72015256877</v>
      </c>
      <c r="J1419" s="3">
        <f t="shared" si="228"/>
        <v>9028775.4577474408</v>
      </c>
      <c r="K1419" s="24"/>
      <c r="L1419" s="24"/>
    </row>
    <row r="1420" spans="2:12" x14ac:dyDescent="0.35">
      <c r="B1420" s="1">
        <v>25</v>
      </c>
      <c r="C1420" s="22">
        <v>45413</v>
      </c>
      <c r="D1420" s="22">
        <v>45443</v>
      </c>
      <c r="E1420" s="23">
        <f t="shared" si="226"/>
        <v>31</v>
      </c>
      <c r="F1420" s="3">
        <f t="shared" si="229"/>
        <v>9028775.4577474408</v>
      </c>
      <c r="G1420" s="3">
        <f t="shared" si="230"/>
        <v>793772.80496840214</v>
      </c>
      <c r="H1420" s="3">
        <f t="shared" si="231"/>
        <v>75239.795481228677</v>
      </c>
      <c r="I1420" s="3">
        <f t="shared" si="227"/>
        <v>718533.00948717352</v>
      </c>
      <c r="J1420" s="3">
        <f t="shared" si="228"/>
        <v>8310242.4482602673</v>
      </c>
      <c r="K1420" s="24">
        <v>9525273.6600000001</v>
      </c>
      <c r="L1420" s="24">
        <f>K1420-SUM(G1407:G1418)</f>
        <v>3.7917681038379669E-4</v>
      </c>
    </row>
    <row r="1421" spans="2:12" x14ac:dyDescent="0.35">
      <c r="B1421" s="1">
        <v>26</v>
      </c>
      <c r="C1421" s="22">
        <v>45444</v>
      </c>
      <c r="D1421" s="22">
        <v>45473</v>
      </c>
      <c r="E1421" s="23">
        <f t="shared" si="226"/>
        <v>30</v>
      </c>
      <c r="F1421" s="3">
        <f t="shared" si="229"/>
        <v>8310242.4482602673</v>
      </c>
      <c r="G1421" s="3">
        <f t="shared" si="230"/>
        <v>793772.80496840214</v>
      </c>
      <c r="H1421" s="3">
        <f t="shared" si="231"/>
        <v>69252.020402168899</v>
      </c>
      <c r="I1421" s="3">
        <f t="shared" si="227"/>
        <v>724520.78456623328</v>
      </c>
      <c r="J1421" s="3">
        <f t="shared" si="228"/>
        <v>7585721.6636940343</v>
      </c>
      <c r="K1421" s="24"/>
      <c r="L1421" s="24"/>
    </row>
    <row r="1422" spans="2:12" x14ac:dyDescent="0.35">
      <c r="B1422" s="1">
        <v>27</v>
      </c>
      <c r="C1422" s="22">
        <v>45474</v>
      </c>
      <c r="D1422" s="22">
        <v>45504</v>
      </c>
      <c r="E1422" s="23">
        <f t="shared" si="226"/>
        <v>31</v>
      </c>
      <c r="F1422" s="3">
        <f t="shared" si="229"/>
        <v>7585721.6636940343</v>
      </c>
      <c r="G1422" s="3">
        <f t="shared" si="230"/>
        <v>793772.80496840214</v>
      </c>
      <c r="H1422" s="3">
        <f t="shared" si="231"/>
        <v>63214.347197450283</v>
      </c>
      <c r="I1422" s="3">
        <f t="shared" si="227"/>
        <v>730558.45777095191</v>
      </c>
      <c r="J1422" s="3">
        <f t="shared" si="228"/>
        <v>6855163.2059230823</v>
      </c>
      <c r="K1422" s="24"/>
      <c r="L1422" s="24"/>
    </row>
    <row r="1423" spans="2:12" x14ac:dyDescent="0.35">
      <c r="B1423" s="1">
        <v>28</v>
      </c>
      <c r="C1423" s="22">
        <v>45505</v>
      </c>
      <c r="D1423" s="22">
        <v>45535</v>
      </c>
      <c r="E1423" s="23">
        <f t="shared" si="226"/>
        <v>31</v>
      </c>
      <c r="F1423" s="3">
        <f t="shared" si="229"/>
        <v>6855163.2059230823</v>
      </c>
      <c r="G1423" s="3">
        <f t="shared" si="230"/>
        <v>793772.80496840214</v>
      </c>
      <c r="H1423" s="3">
        <f t="shared" si="231"/>
        <v>57126.36004935902</v>
      </c>
      <c r="I1423" s="3">
        <f t="shared" si="227"/>
        <v>736646.4449190431</v>
      </c>
      <c r="J1423" s="3">
        <f t="shared" si="228"/>
        <v>6118516.7610040391</v>
      </c>
      <c r="K1423" s="24"/>
      <c r="L1423" s="24"/>
    </row>
    <row r="1424" spans="2:12" x14ac:dyDescent="0.35">
      <c r="B1424" s="1">
        <v>29</v>
      </c>
      <c r="C1424" s="22">
        <v>45536</v>
      </c>
      <c r="D1424" s="22">
        <v>45565</v>
      </c>
      <c r="E1424" s="23">
        <f t="shared" si="226"/>
        <v>30</v>
      </c>
      <c r="F1424" s="3">
        <f t="shared" si="229"/>
        <v>6118516.7610040391</v>
      </c>
      <c r="G1424" s="3">
        <f t="shared" si="230"/>
        <v>793772.80496840214</v>
      </c>
      <c r="H1424" s="3">
        <f t="shared" si="231"/>
        <v>50987.639675033657</v>
      </c>
      <c r="I1424" s="3">
        <f t="shared" si="227"/>
        <v>742785.16529336851</v>
      </c>
      <c r="J1424" s="3">
        <f t="shared" si="228"/>
        <v>5375731.5957106706</v>
      </c>
      <c r="K1424" s="24"/>
      <c r="L1424" s="24"/>
    </row>
    <row r="1425" spans="2:19" x14ac:dyDescent="0.35">
      <c r="B1425" s="1">
        <v>30</v>
      </c>
      <c r="C1425" s="22">
        <v>45566</v>
      </c>
      <c r="D1425" s="22">
        <v>45596</v>
      </c>
      <c r="E1425" s="23">
        <f t="shared" si="226"/>
        <v>31</v>
      </c>
      <c r="F1425" s="3">
        <f t="shared" si="229"/>
        <v>5375731.5957106706</v>
      </c>
      <c r="G1425" s="3">
        <f t="shared" si="230"/>
        <v>793772.80496840214</v>
      </c>
      <c r="H1425" s="3">
        <f t="shared" si="231"/>
        <v>44797.763297588921</v>
      </c>
      <c r="I1425" s="3">
        <f t="shared" si="227"/>
        <v>748975.04167081323</v>
      </c>
      <c r="J1425" s="3">
        <f t="shared" si="228"/>
        <v>4626756.5540398574</v>
      </c>
      <c r="K1425" s="24"/>
      <c r="L1425" s="24"/>
    </row>
    <row r="1426" spans="2:19" x14ac:dyDescent="0.35">
      <c r="B1426" s="1">
        <v>31</v>
      </c>
      <c r="C1426" s="22">
        <v>45597</v>
      </c>
      <c r="D1426" s="22">
        <v>45626</v>
      </c>
      <c r="E1426" s="23">
        <f t="shared" si="226"/>
        <v>30</v>
      </c>
      <c r="F1426" s="3">
        <f t="shared" si="229"/>
        <v>4626756.5540398574</v>
      </c>
      <c r="G1426" s="3">
        <f t="shared" si="230"/>
        <v>793772.80496840214</v>
      </c>
      <c r="H1426" s="3">
        <f t="shared" si="231"/>
        <v>38556.304616998808</v>
      </c>
      <c r="I1426" s="3">
        <f t="shared" si="227"/>
        <v>755216.50035140337</v>
      </c>
      <c r="J1426" s="3">
        <f t="shared" si="228"/>
        <v>3871540.053688454</v>
      </c>
      <c r="K1426" s="24"/>
      <c r="L1426" s="24"/>
    </row>
    <row r="1427" spans="2:19" x14ac:dyDescent="0.35">
      <c r="B1427" s="1">
        <v>32</v>
      </c>
      <c r="C1427" s="22">
        <v>45627</v>
      </c>
      <c r="D1427" s="22">
        <v>45657</v>
      </c>
      <c r="E1427" s="23">
        <f t="shared" si="226"/>
        <v>31</v>
      </c>
      <c r="F1427" s="3">
        <f t="shared" si="229"/>
        <v>3871540.053688454</v>
      </c>
      <c r="G1427" s="3">
        <f t="shared" si="230"/>
        <v>793772.80496840214</v>
      </c>
      <c r="H1427" s="3">
        <f t="shared" si="231"/>
        <v>32262.833780737117</v>
      </c>
      <c r="I1427" s="3">
        <f t="shared" si="227"/>
        <v>761509.97118766501</v>
      </c>
      <c r="J1427" s="3">
        <f t="shared" si="228"/>
        <v>3110030.0825007888</v>
      </c>
      <c r="K1427" s="24"/>
      <c r="L1427" s="24"/>
    </row>
    <row r="1428" spans="2:19" x14ac:dyDescent="0.35">
      <c r="B1428" s="1">
        <v>33</v>
      </c>
      <c r="C1428" s="22">
        <v>45658</v>
      </c>
      <c r="D1428" s="22">
        <v>45688</v>
      </c>
      <c r="E1428" s="23">
        <f t="shared" si="226"/>
        <v>31</v>
      </c>
      <c r="F1428" s="3">
        <f t="shared" si="229"/>
        <v>3110030.0825007888</v>
      </c>
      <c r="G1428" s="3">
        <f t="shared" si="230"/>
        <v>793772.80496840214</v>
      </c>
      <c r="H1428" s="3">
        <f t="shared" si="231"/>
        <v>25916.917354173242</v>
      </c>
      <c r="I1428" s="3">
        <f t="shared" si="227"/>
        <v>767855.88761422888</v>
      </c>
      <c r="J1428" s="3">
        <f t="shared" si="228"/>
        <v>2342174.1948865601</v>
      </c>
      <c r="K1428" s="24"/>
      <c r="L1428" s="24"/>
    </row>
    <row r="1429" spans="2:19" x14ac:dyDescent="0.35">
      <c r="B1429" s="1">
        <v>34</v>
      </c>
      <c r="C1429" s="22">
        <v>45689</v>
      </c>
      <c r="D1429" s="22">
        <v>45716</v>
      </c>
      <c r="E1429" s="23">
        <f t="shared" si="226"/>
        <v>28</v>
      </c>
      <c r="F1429" s="3">
        <f t="shared" si="229"/>
        <v>2342174.1948865601</v>
      </c>
      <c r="G1429" s="3">
        <f t="shared" si="230"/>
        <v>793772.80496840214</v>
      </c>
      <c r="H1429" s="3">
        <f t="shared" si="231"/>
        <v>19518.118290721333</v>
      </c>
      <c r="I1429" s="3">
        <f t="shared" si="227"/>
        <v>774254.68667768082</v>
      </c>
      <c r="J1429" s="3">
        <f t="shared" si="228"/>
        <v>1567919.5082088793</v>
      </c>
      <c r="K1429" s="24"/>
      <c r="L1429" s="24"/>
    </row>
    <row r="1430" spans="2:19" x14ac:dyDescent="0.35">
      <c r="B1430" s="1">
        <v>35</v>
      </c>
      <c r="C1430" s="22">
        <v>45717</v>
      </c>
      <c r="D1430" s="22">
        <v>45747</v>
      </c>
      <c r="E1430" s="23">
        <f t="shared" si="226"/>
        <v>31</v>
      </c>
      <c r="F1430" s="3">
        <f t="shared" si="229"/>
        <v>1567919.5082088793</v>
      </c>
      <c r="G1430" s="3">
        <f t="shared" si="230"/>
        <v>793772.80496840214</v>
      </c>
      <c r="H1430" s="3">
        <f t="shared" si="231"/>
        <v>13065.99590174066</v>
      </c>
      <c r="I1430" s="3">
        <f t="shared" si="227"/>
        <v>780706.80906666152</v>
      </c>
      <c r="J1430" s="3">
        <f t="shared" si="228"/>
        <v>787212.69914221775</v>
      </c>
      <c r="K1430" s="24"/>
      <c r="L1430" s="24"/>
    </row>
    <row r="1431" spans="2:19" x14ac:dyDescent="0.35">
      <c r="B1431" s="1">
        <v>36</v>
      </c>
      <c r="C1431" s="22">
        <v>45748</v>
      </c>
      <c r="D1431" s="22">
        <v>45777</v>
      </c>
      <c r="E1431" s="23">
        <f t="shared" si="226"/>
        <v>30</v>
      </c>
      <c r="F1431" s="3">
        <f t="shared" si="229"/>
        <v>787212.69914221775</v>
      </c>
      <c r="G1431" s="3">
        <f t="shared" si="230"/>
        <v>793772.80496840214</v>
      </c>
      <c r="H1431" s="3">
        <f t="shared" si="231"/>
        <v>6560.1058261851476</v>
      </c>
      <c r="I1431" s="3">
        <f t="shared" si="227"/>
        <v>787212.69914221694</v>
      </c>
      <c r="J1431" s="3">
        <f t="shared" si="228"/>
        <v>0</v>
      </c>
      <c r="K1431" s="24" t="s">
        <v>895</v>
      </c>
      <c r="L1431" s="24"/>
    </row>
    <row r="1432" spans="2:19" x14ac:dyDescent="0.35">
      <c r="B1432" s="1"/>
      <c r="C1432" s="22"/>
      <c r="D1432" s="22"/>
      <c r="E1432" s="23"/>
      <c r="F1432" s="3"/>
      <c r="G1432" s="3"/>
      <c r="H1432" s="3"/>
      <c r="I1432" s="3"/>
      <c r="J1432" s="3"/>
      <c r="K1432" s="24"/>
      <c r="L1432" s="24"/>
    </row>
    <row r="1433" spans="2:19" x14ac:dyDescent="0.35">
      <c r="B1433" s="1"/>
      <c r="C1433" s="22"/>
      <c r="D1433" s="22"/>
      <c r="E1433" s="23"/>
      <c r="F1433" s="3"/>
      <c r="G1433" s="3"/>
      <c r="H1433" s="3"/>
      <c r="I1433" s="3"/>
      <c r="J1433" s="3"/>
      <c r="K1433" s="24"/>
      <c r="L1433" s="24"/>
    </row>
    <row r="1434" spans="2:19" ht="14.25" customHeight="1" x14ac:dyDescent="0.35">
      <c r="B1434" s="1"/>
      <c r="C1434" s="1"/>
      <c r="D1434" s="1"/>
      <c r="E1434" s="28">
        <f>SUM(E1395:E1419)</f>
        <v>739</v>
      </c>
      <c r="F1434" s="3"/>
      <c r="G1434" s="3"/>
      <c r="H1434" s="3"/>
      <c r="I1434" s="3"/>
      <c r="J1434" s="3"/>
      <c r="K1434" s="1"/>
      <c r="L1434" s="1"/>
    </row>
    <row r="1438" spans="2:19" x14ac:dyDescent="0.35">
      <c r="B1438" s="1"/>
      <c r="C1438" s="8" t="s">
        <v>896</v>
      </c>
      <c r="D1438" s="3"/>
      <c r="E1438" s="3"/>
      <c r="F1438" s="3"/>
      <c r="G1438" s="3"/>
      <c r="H1438" s="3"/>
      <c r="I1438" s="3"/>
      <c r="J1438" s="3"/>
      <c r="K1438" s="3"/>
      <c r="L1438" s="3"/>
      <c r="R1438" s="438" t="s">
        <v>832</v>
      </c>
      <c r="S1438" s="432" t="str">
        <f>IFERROR(INDEX(Blocks!$I$2:$I$101,MATCH(23,Blocks!$A$2:$A$101,0)),"")</f>
        <v>000104460000024</v>
      </c>
    </row>
    <row r="1439" spans="2:19" x14ac:dyDescent="0.35">
      <c r="B1439" s="1"/>
      <c r="C1439" s="1"/>
      <c r="D1439" s="3"/>
      <c r="E1439" s="3"/>
      <c r="F1439" s="3"/>
      <c r="G1439" s="3"/>
      <c r="H1439" s="3"/>
      <c r="I1439" s="3"/>
      <c r="J1439" s="3"/>
      <c r="K1439" s="3"/>
      <c r="L1439" s="3"/>
      <c r="R1439" s="438" t="s">
        <v>834</v>
      </c>
      <c r="S1439" s="432" t="str">
        <f>IFERROR(INDEX(Blocks!$H$2:$H$101,MATCH(23,Blocks!$A$2:$A$101,0)),"")</f>
        <v>Allied Bricks and Blocks Limited</v>
      </c>
    </row>
    <row r="1440" spans="2:19" x14ac:dyDescent="0.35">
      <c r="B1440" s="1"/>
      <c r="C1440" s="9" t="s">
        <v>835</v>
      </c>
      <c r="D1440" s="10">
        <v>12000000</v>
      </c>
      <c r="E1440" s="3"/>
      <c r="F1440" s="3"/>
      <c r="G1440" s="3"/>
      <c r="H1440" s="3"/>
      <c r="I1440" s="3"/>
      <c r="J1440" s="3"/>
      <c r="K1440" s="3"/>
      <c r="L1440" s="3"/>
      <c r="R1440" s="438" t="s">
        <v>223</v>
      </c>
      <c r="S1440" s="433">
        <f>IFERROR(INDEX('E-Banker master'!$N$2:$N$186,MATCH(S1438,'E-Banker master'!$A$2:$A$186,0)),"")</f>
        <v>12000000</v>
      </c>
    </row>
    <row r="1441" spans="2:19" x14ac:dyDescent="0.35">
      <c r="B1441" s="1"/>
      <c r="C1441" s="11" t="s">
        <v>837</v>
      </c>
      <c r="D1441" s="12">
        <v>0.1</v>
      </c>
      <c r="E1441" s="13"/>
      <c r="F1441" s="3"/>
      <c r="G1441" s="3"/>
      <c r="H1441" s="3"/>
      <c r="I1441" s="3"/>
      <c r="J1441" s="3"/>
      <c r="K1441" s="3"/>
      <c r="L1441" s="3"/>
      <c r="R1441" s="438" t="s">
        <v>52</v>
      </c>
      <c r="S1441" s="433">
        <f>IFERROR(INDEX('E-Banker master'!$P$2:$P$186,MATCH(S1438,'E-Banker master'!$A$2:$A$186,0)),"")</f>
        <v>-29678.33</v>
      </c>
    </row>
    <row r="1442" spans="2:19" x14ac:dyDescent="0.35">
      <c r="B1442" s="1"/>
      <c r="C1442" s="11" t="s">
        <v>838</v>
      </c>
      <c r="D1442" s="14">
        <v>2</v>
      </c>
      <c r="E1442" s="1"/>
      <c r="F1442" s="3"/>
      <c r="G1442" s="3"/>
      <c r="H1442" s="3"/>
      <c r="I1442" s="3"/>
      <c r="J1442" s="3"/>
      <c r="K1442" s="1"/>
      <c r="L1442" s="1"/>
    </row>
    <row r="1443" spans="2:19" x14ac:dyDescent="0.35">
      <c r="B1443" s="1"/>
      <c r="C1443" s="11" t="s">
        <v>839</v>
      </c>
      <c r="D1443" s="14">
        <v>12</v>
      </c>
      <c r="E1443" s="1"/>
      <c r="F1443" s="3"/>
      <c r="G1443" s="3"/>
      <c r="H1443" s="3"/>
      <c r="I1443" s="3"/>
      <c r="J1443" s="3"/>
      <c r="K1443" s="1"/>
      <c r="L1443" s="1"/>
    </row>
    <row r="1444" spans="2:19" x14ac:dyDescent="0.35">
      <c r="B1444" s="1"/>
      <c r="C1444" s="11" t="s">
        <v>843</v>
      </c>
      <c r="D1444" s="15">
        <f>D1442*D1443</f>
        <v>24</v>
      </c>
      <c r="E1444" s="1"/>
      <c r="F1444" s="3"/>
      <c r="G1444" s="3"/>
      <c r="H1444" s="3"/>
      <c r="I1444" s="3"/>
      <c r="J1444" s="3"/>
      <c r="K1444" s="1"/>
      <c r="L1444" s="1"/>
    </row>
    <row r="1445" spans="2:19" x14ac:dyDescent="0.35">
      <c r="B1445" s="1"/>
      <c r="C1445" s="11" t="s">
        <v>844</v>
      </c>
      <c r="D1445" s="16">
        <v>365</v>
      </c>
      <c r="E1445" s="1"/>
      <c r="F1445" s="3"/>
      <c r="G1445" s="3"/>
      <c r="H1445" s="3"/>
      <c r="I1445" s="3"/>
      <c r="J1445" s="3"/>
      <c r="K1445" s="1"/>
      <c r="L1445" s="1"/>
    </row>
    <row r="1446" spans="2:19" x14ac:dyDescent="0.35">
      <c r="B1446" s="1"/>
      <c r="C1446" s="17" t="s">
        <v>845</v>
      </c>
      <c r="D1446" s="18">
        <f>-PMT(D1441/D1443,D1444,D1440,0,0)</f>
        <v>553739.11605019809</v>
      </c>
      <c r="E1446" s="3"/>
      <c r="F1446" s="3"/>
      <c r="G1446" s="3"/>
      <c r="H1446" s="3"/>
      <c r="I1446" s="3"/>
      <c r="J1446" s="3"/>
      <c r="K1446" s="1"/>
      <c r="L1446" s="1"/>
    </row>
    <row r="1447" spans="2:19" x14ac:dyDescent="0.35">
      <c r="B1447" s="1"/>
      <c r="C1447" s="1"/>
      <c r="D1447" s="3"/>
      <c r="E1447" s="3"/>
      <c r="F1447" s="3"/>
      <c r="G1447" s="3"/>
      <c r="H1447" s="3"/>
      <c r="I1447" s="3"/>
      <c r="J1447" s="3"/>
      <c r="K1447" s="1"/>
      <c r="L1447" s="1"/>
    </row>
    <row r="1448" spans="2:19" x14ac:dyDescent="0.35">
      <c r="B1448" s="1"/>
      <c r="C1448" s="19" t="s">
        <v>846</v>
      </c>
      <c r="D1448" s="20" t="s">
        <v>847</v>
      </c>
      <c r="E1448" s="20" t="s">
        <v>764</v>
      </c>
      <c r="F1448" s="270" t="s">
        <v>848</v>
      </c>
      <c r="G1448" s="270" t="s">
        <v>849</v>
      </c>
      <c r="H1448" s="270" t="s">
        <v>742</v>
      </c>
      <c r="I1448" s="270" t="s">
        <v>740</v>
      </c>
      <c r="J1448" s="270" t="s">
        <v>850</v>
      </c>
      <c r="K1448" s="21" t="s">
        <v>851</v>
      </c>
      <c r="L1448" s="21" t="s">
        <v>852</v>
      </c>
    </row>
    <row r="1449" spans="2:19" x14ac:dyDescent="0.35">
      <c r="B1449" s="1">
        <v>1</v>
      </c>
      <c r="C1449" s="22">
        <v>44715</v>
      </c>
      <c r="D1449" s="22">
        <v>44742</v>
      </c>
      <c r="E1449" s="23">
        <f t="shared" ref="E1449:E1472" si="232">D1449-C1449+1</f>
        <v>28</v>
      </c>
      <c r="F1449" s="3">
        <f>D1440</f>
        <v>12000000</v>
      </c>
      <c r="G1449" s="3"/>
      <c r="H1449" s="3">
        <f>$D$1441/$D$1443*F1449*28/30</f>
        <v>93333.333333333328</v>
      </c>
      <c r="I1449" s="3">
        <f t="shared" ref="I1449:I1484" si="233">G1449-H1449</f>
        <v>-93333.333333333328</v>
      </c>
      <c r="J1449" s="3">
        <f t="shared" ref="J1449:J1484" si="234">F1449-I1449</f>
        <v>12093333.333333334</v>
      </c>
      <c r="K1449" s="24"/>
      <c r="L1449" s="24"/>
      <c r="N1449" s="141"/>
    </row>
    <row r="1450" spans="2:19" x14ac:dyDescent="0.35">
      <c r="B1450" s="1">
        <v>2</v>
      </c>
      <c r="C1450" s="22">
        <v>44743</v>
      </c>
      <c r="D1450" s="22">
        <v>44773</v>
      </c>
      <c r="E1450" s="23">
        <f t="shared" si="232"/>
        <v>31</v>
      </c>
      <c r="F1450" s="3">
        <f t="shared" ref="F1450:F1471" si="235">J1449</f>
        <v>12093333.333333334</v>
      </c>
      <c r="G1450" s="3"/>
      <c r="H1450" s="3">
        <f t="shared" ref="H1450:H1484" si="236">$D$1441/$D$1443*F1450</f>
        <v>100777.77777777778</v>
      </c>
      <c r="I1450" s="3">
        <f t="shared" si="233"/>
        <v>-100777.77777777778</v>
      </c>
      <c r="J1450" s="3">
        <f t="shared" si="234"/>
        <v>12194111.111111112</v>
      </c>
      <c r="K1450" s="24"/>
      <c r="L1450" s="24"/>
      <c r="N1450" s="141"/>
    </row>
    <row r="1451" spans="2:19" x14ac:dyDescent="0.35">
      <c r="B1451" s="1">
        <v>3</v>
      </c>
      <c r="C1451" s="22">
        <v>44774</v>
      </c>
      <c r="D1451" s="22">
        <v>44804</v>
      </c>
      <c r="E1451" s="23">
        <f t="shared" si="232"/>
        <v>31</v>
      </c>
      <c r="F1451" s="3">
        <f t="shared" si="235"/>
        <v>12194111.111111112</v>
      </c>
      <c r="G1451" s="3"/>
      <c r="H1451" s="3">
        <f t="shared" si="236"/>
        <v>101617.5925925926</v>
      </c>
      <c r="I1451" s="3">
        <f t="shared" si="233"/>
        <v>-101617.5925925926</v>
      </c>
      <c r="J1451" s="3">
        <f t="shared" si="234"/>
        <v>12295728.703703705</v>
      </c>
      <c r="N1451" s="141"/>
    </row>
    <row r="1452" spans="2:19" x14ac:dyDescent="0.35">
      <c r="B1452" s="1">
        <v>4</v>
      </c>
      <c r="C1452" s="22">
        <v>44805</v>
      </c>
      <c r="D1452" s="22">
        <v>44834</v>
      </c>
      <c r="E1452" s="23">
        <f t="shared" si="232"/>
        <v>30</v>
      </c>
      <c r="F1452" s="3">
        <f t="shared" si="235"/>
        <v>12295728.703703705</v>
      </c>
      <c r="G1452" s="3">
        <f t="shared" ref="G1452:G1471" si="237">-PMT($D$1441/$D$1443,21,$F$1452,,0)</f>
        <v>640666.67607584735</v>
      </c>
      <c r="H1452" s="3">
        <f t="shared" si="236"/>
        <v>102464.40586419754</v>
      </c>
      <c r="I1452" s="3">
        <f t="shared" si="233"/>
        <v>538202.27021164983</v>
      </c>
      <c r="J1452" s="3">
        <f t="shared" si="234"/>
        <v>11757526.433492055</v>
      </c>
      <c r="K1452" s="24"/>
      <c r="L1452" s="24">
        <f>G1452</f>
        <v>640666.67607584735</v>
      </c>
      <c r="N1452" s="141"/>
    </row>
    <row r="1453" spans="2:19" x14ac:dyDescent="0.35">
      <c r="B1453" s="1">
        <v>5</v>
      </c>
      <c r="C1453" s="22">
        <v>44835</v>
      </c>
      <c r="D1453" s="22">
        <v>44865</v>
      </c>
      <c r="E1453" s="23">
        <f t="shared" si="232"/>
        <v>31</v>
      </c>
      <c r="F1453" s="3">
        <f t="shared" si="235"/>
        <v>11757526.433492055</v>
      </c>
      <c r="G1453" s="3">
        <f t="shared" si="237"/>
        <v>640666.67607584735</v>
      </c>
      <c r="H1453" s="3">
        <f t="shared" si="236"/>
        <v>97979.386945767124</v>
      </c>
      <c r="I1453" s="3">
        <f t="shared" si="233"/>
        <v>542687.28913008026</v>
      </c>
      <c r="J1453" s="3">
        <f t="shared" si="234"/>
        <v>11214839.144361975</v>
      </c>
      <c r="K1453" s="24"/>
      <c r="L1453" s="24">
        <f t="shared" ref="L1453:L1472" si="238">L1452+G1453-K1453</f>
        <v>1281333.3521516947</v>
      </c>
      <c r="N1453" s="141"/>
    </row>
    <row r="1454" spans="2:19" x14ac:dyDescent="0.35">
      <c r="B1454" s="1">
        <v>6</v>
      </c>
      <c r="C1454" s="22">
        <v>44866</v>
      </c>
      <c r="D1454" s="22">
        <v>44895</v>
      </c>
      <c r="E1454" s="23">
        <f t="shared" si="232"/>
        <v>30</v>
      </c>
      <c r="F1454" s="3">
        <f t="shared" si="235"/>
        <v>11214839.144361975</v>
      </c>
      <c r="G1454" s="3">
        <f t="shared" si="237"/>
        <v>640666.67607584735</v>
      </c>
      <c r="H1454" s="3">
        <f t="shared" si="236"/>
        <v>93456.992869683119</v>
      </c>
      <c r="I1454" s="3">
        <f t="shared" si="233"/>
        <v>547209.68320616428</v>
      </c>
      <c r="J1454" s="3">
        <f t="shared" si="234"/>
        <v>10667629.461155809</v>
      </c>
      <c r="K1454" s="24"/>
      <c r="L1454" s="24">
        <f t="shared" si="238"/>
        <v>1922000.0282275421</v>
      </c>
      <c r="N1454" s="141"/>
    </row>
    <row r="1455" spans="2:19" x14ac:dyDescent="0.35">
      <c r="B1455" s="1">
        <v>7</v>
      </c>
      <c r="C1455" s="22">
        <v>44896</v>
      </c>
      <c r="D1455" s="22">
        <v>44926</v>
      </c>
      <c r="E1455" s="23">
        <f t="shared" si="232"/>
        <v>31</v>
      </c>
      <c r="F1455" s="3">
        <f t="shared" si="235"/>
        <v>10667629.461155809</v>
      </c>
      <c r="G1455" s="3">
        <f t="shared" si="237"/>
        <v>640666.67607584735</v>
      </c>
      <c r="H1455" s="3">
        <f t="shared" si="236"/>
        <v>88896.912176298414</v>
      </c>
      <c r="I1455" s="3">
        <f t="shared" si="233"/>
        <v>551769.76389954891</v>
      </c>
      <c r="J1455" s="3">
        <f t="shared" si="234"/>
        <v>10115859.69725626</v>
      </c>
      <c r="K1455" s="24"/>
      <c r="L1455" s="24">
        <f t="shared" si="238"/>
        <v>2562666.7043033894</v>
      </c>
      <c r="N1455" s="141"/>
    </row>
    <row r="1456" spans="2:19" x14ac:dyDescent="0.35">
      <c r="B1456" s="1">
        <v>8</v>
      </c>
      <c r="C1456" s="22">
        <v>44927</v>
      </c>
      <c r="D1456" s="22">
        <v>44957</v>
      </c>
      <c r="E1456" s="23">
        <f t="shared" si="232"/>
        <v>31</v>
      </c>
      <c r="F1456" s="3">
        <f t="shared" si="235"/>
        <v>10115859.69725626</v>
      </c>
      <c r="G1456" s="3">
        <f t="shared" si="237"/>
        <v>640666.67607584735</v>
      </c>
      <c r="H1456" s="3">
        <f t="shared" si="236"/>
        <v>84298.830810468833</v>
      </c>
      <c r="I1456" s="3">
        <f t="shared" si="233"/>
        <v>556367.84526537848</v>
      </c>
      <c r="J1456" s="3">
        <f t="shared" si="234"/>
        <v>9559491.8519908804</v>
      </c>
      <c r="K1456" s="24">
        <v>600000</v>
      </c>
      <c r="L1456" s="24">
        <f t="shared" si="238"/>
        <v>2603333.3803792368</v>
      </c>
      <c r="N1456" s="141"/>
    </row>
    <row r="1457" spans="2:14" x14ac:dyDescent="0.35">
      <c r="B1457" s="1">
        <v>9</v>
      </c>
      <c r="C1457" s="22">
        <v>44958</v>
      </c>
      <c r="D1457" s="22">
        <v>44985</v>
      </c>
      <c r="E1457" s="23">
        <f t="shared" si="232"/>
        <v>28</v>
      </c>
      <c r="F1457" s="3">
        <f t="shared" si="235"/>
        <v>9559491.8519908804</v>
      </c>
      <c r="G1457" s="3">
        <f t="shared" si="237"/>
        <v>640666.67607584735</v>
      </c>
      <c r="H1457" s="3">
        <f t="shared" si="236"/>
        <v>79662.432099924001</v>
      </c>
      <c r="I1457" s="3">
        <f t="shared" si="233"/>
        <v>561004.2439759234</v>
      </c>
      <c r="J1457" s="3">
        <f t="shared" si="234"/>
        <v>8998487.6080149561</v>
      </c>
      <c r="K1457" s="24">
        <v>500000</v>
      </c>
      <c r="L1457" s="24">
        <f t="shared" si="238"/>
        <v>2744000.0564550841</v>
      </c>
      <c r="N1457" s="141"/>
    </row>
    <row r="1458" spans="2:14" x14ac:dyDescent="0.35">
      <c r="B1458" s="1">
        <v>10</v>
      </c>
      <c r="C1458" s="22">
        <v>44986</v>
      </c>
      <c r="D1458" s="22">
        <v>45016</v>
      </c>
      <c r="E1458" s="23">
        <f t="shared" si="232"/>
        <v>31</v>
      </c>
      <c r="F1458" s="3">
        <f t="shared" si="235"/>
        <v>8998487.6080149561</v>
      </c>
      <c r="G1458" s="3">
        <f t="shared" si="237"/>
        <v>640666.67607584735</v>
      </c>
      <c r="H1458" s="3">
        <f t="shared" si="236"/>
        <v>74987.396733457965</v>
      </c>
      <c r="I1458" s="3">
        <f t="shared" si="233"/>
        <v>565679.27934238943</v>
      </c>
      <c r="J1458" s="3">
        <f t="shared" si="234"/>
        <v>8432808.3286725674</v>
      </c>
      <c r="K1458" s="24">
        <v>0</v>
      </c>
      <c r="L1458" s="24">
        <f t="shared" si="238"/>
        <v>3384666.7325309315</v>
      </c>
      <c r="N1458" s="141"/>
    </row>
    <row r="1459" spans="2:14" x14ac:dyDescent="0.35">
      <c r="B1459" s="1">
        <v>11</v>
      </c>
      <c r="C1459" s="22">
        <v>45017</v>
      </c>
      <c r="D1459" s="22">
        <v>45046</v>
      </c>
      <c r="E1459" s="23">
        <f t="shared" si="232"/>
        <v>30</v>
      </c>
      <c r="F1459" s="3">
        <f t="shared" si="235"/>
        <v>8432808.3286725674</v>
      </c>
      <c r="G1459" s="3">
        <f t="shared" si="237"/>
        <v>640666.67607584735</v>
      </c>
      <c r="H1459" s="3">
        <f t="shared" si="236"/>
        <v>70273.402738938064</v>
      </c>
      <c r="I1459" s="3">
        <f t="shared" si="233"/>
        <v>570393.27333690925</v>
      </c>
      <c r="J1459" s="3">
        <f t="shared" si="234"/>
        <v>7862415.0553356577</v>
      </c>
      <c r="K1459" s="24"/>
      <c r="L1459" s="24">
        <f t="shared" si="238"/>
        <v>4025333.4086067788</v>
      </c>
      <c r="N1459" s="141"/>
    </row>
    <row r="1460" spans="2:14" x14ac:dyDescent="0.35">
      <c r="B1460" s="1">
        <v>12</v>
      </c>
      <c r="C1460" s="22">
        <v>45047</v>
      </c>
      <c r="D1460" s="22">
        <v>45077</v>
      </c>
      <c r="E1460" s="23">
        <f t="shared" si="232"/>
        <v>31</v>
      </c>
      <c r="F1460" s="3">
        <f t="shared" si="235"/>
        <v>7862415.0553356577</v>
      </c>
      <c r="G1460" s="3">
        <f t="shared" si="237"/>
        <v>640666.67607584735</v>
      </c>
      <c r="H1460" s="3">
        <f t="shared" si="236"/>
        <v>65520.125461130483</v>
      </c>
      <c r="I1460" s="3">
        <f t="shared" si="233"/>
        <v>575146.55061471683</v>
      </c>
      <c r="J1460" s="3">
        <f t="shared" si="234"/>
        <v>7287268.5047209412</v>
      </c>
      <c r="K1460" s="24"/>
      <c r="L1460" s="24">
        <f t="shared" si="238"/>
        <v>4666000.0846826266</v>
      </c>
      <c r="N1460" s="141"/>
    </row>
    <row r="1461" spans="2:14" x14ac:dyDescent="0.35">
      <c r="B1461" s="1">
        <v>13</v>
      </c>
      <c r="C1461" s="22">
        <v>45078</v>
      </c>
      <c r="D1461" s="22">
        <v>45107</v>
      </c>
      <c r="E1461" s="23">
        <f t="shared" si="232"/>
        <v>30</v>
      </c>
      <c r="F1461" s="3">
        <f t="shared" si="235"/>
        <v>7287268.5047209412</v>
      </c>
      <c r="G1461" s="3">
        <f t="shared" si="237"/>
        <v>640666.67607584735</v>
      </c>
      <c r="H1461" s="3">
        <f t="shared" si="236"/>
        <v>60727.237539341178</v>
      </c>
      <c r="I1461" s="3">
        <f t="shared" si="233"/>
        <v>579939.43853650615</v>
      </c>
      <c r="J1461" s="3">
        <f t="shared" si="234"/>
        <v>6707329.066184435</v>
      </c>
      <c r="K1461" s="24">
        <f>1000000</f>
        <v>1000000</v>
      </c>
      <c r="L1461" s="26">
        <f t="shared" si="238"/>
        <v>4306666.7607584745</v>
      </c>
      <c r="N1461" s="141"/>
    </row>
    <row r="1462" spans="2:14" x14ac:dyDescent="0.35">
      <c r="B1462" s="1">
        <v>14</v>
      </c>
      <c r="C1462" s="22">
        <v>45108</v>
      </c>
      <c r="D1462" s="22">
        <v>45138</v>
      </c>
      <c r="E1462" s="23">
        <f t="shared" si="232"/>
        <v>31</v>
      </c>
      <c r="F1462" s="3">
        <f t="shared" si="235"/>
        <v>6707329.066184435</v>
      </c>
      <c r="G1462" s="3">
        <f t="shared" si="237"/>
        <v>640666.67607584735</v>
      </c>
      <c r="H1462" s="3">
        <f t="shared" si="236"/>
        <v>55894.408884870289</v>
      </c>
      <c r="I1462" s="3">
        <f t="shared" si="233"/>
        <v>584772.26719097712</v>
      </c>
      <c r="J1462" s="3">
        <f t="shared" si="234"/>
        <v>6122556.798993458</v>
      </c>
      <c r="K1462" s="24"/>
      <c r="L1462" s="26">
        <f t="shared" si="238"/>
        <v>4947333.4368343223</v>
      </c>
      <c r="N1462" s="141"/>
    </row>
    <row r="1463" spans="2:14" x14ac:dyDescent="0.35">
      <c r="B1463" s="1">
        <v>15</v>
      </c>
      <c r="C1463" s="22">
        <v>45139</v>
      </c>
      <c r="D1463" s="22">
        <v>45169</v>
      </c>
      <c r="E1463" s="23">
        <f t="shared" si="232"/>
        <v>31</v>
      </c>
      <c r="F1463" s="3">
        <f t="shared" si="235"/>
        <v>6122556.798993458</v>
      </c>
      <c r="G1463" s="3">
        <f t="shared" si="237"/>
        <v>640666.67607584735</v>
      </c>
      <c r="H1463" s="3">
        <f t="shared" si="236"/>
        <v>51021.306658278816</v>
      </c>
      <c r="I1463" s="3">
        <f t="shared" si="233"/>
        <v>589645.36941756855</v>
      </c>
      <c r="J1463" s="3">
        <f t="shared" si="234"/>
        <v>5532911.4295758894</v>
      </c>
      <c r="K1463" s="24"/>
      <c r="L1463" s="24">
        <f t="shared" si="238"/>
        <v>5588000.1129101701</v>
      </c>
      <c r="N1463" s="141"/>
    </row>
    <row r="1464" spans="2:14" x14ac:dyDescent="0.35">
      <c r="B1464" s="1">
        <v>16</v>
      </c>
      <c r="C1464" s="22">
        <v>45170</v>
      </c>
      <c r="D1464" s="22">
        <v>45199</v>
      </c>
      <c r="E1464" s="23">
        <f t="shared" si="232"/>
        <v>30</v>
      </c>
      <c r="F1464" s="3">
        <f t="shared" si="235"/>
        <v>5532911.4295758894</v>
      </c>
      <c r="G1464" s="3">
        <f t="shared" si="237"/>
        <v>640666.67607584735</v>
      </c>
      <c r="H1464" s="3">
        <f t="shared" si="236"/>
        <v>46107.595246465746</v>
      </c>
      <c r="I1464" s="3">
        <f t="shared" si="233"/>
        <v>594559.08082938159</v>
      </c>
      <c r="J1464" s="3">
        <f t="shared" si="234"/>
        <v>4938352.3487465074</v>
      </c>
      <c r="K1464" s="24">
        <f>300000+400000</f>
        <v>700000</v>
      </c>
      <c r="L1464" s="24">
        <f t="shared" si="238"/>
        <v>5528666.7889860179</v>
      </c>
      <c r="N1464" s="141"/>
    </row>
    <row r="1465" spans="2:14" x14ac:dyDescent="0.35">
      <c r="B1465" s="1">
        <v>17</v>
      </c>
      <c r="C1465" s="22">
        <v>45200</v>
      </c>
      <c r="D1465" s="22">
        <v>45230</v>
      </c>
      <c r="E1465" s="23">
        <f t="shared" si="232"/>
        <v>31</v>
      </c>
      <c r="F1465" s="3">
        <f t="shared" si="235"/>
        <v>4938352.3487465074</v>
      </c>
      <c r="G1465" s="3">
        <f t="shared" si="237"/>
        <v>640666.67607584735</v>
      </c>
      <c r="H1465" s="3">
        <f t="shared" si="236"/>
        <v>41152.936239554227</v>
      </c>
      <c r="I1465" s="3">
        <f t="shared" si="233"/>
        <v>599513.73983629316</v>
      </c>
      <c r="J1465" s="3">
        <f t="shared" si="234"/>
        <v>4338838.6089102142</v>
      </c>
      <c r="K1465" s="24"/>
      <c r="L1465" s="24">
        <f t="shared" si="238"/>
        <v>6169333.4650618657</v>
      </c>
      <c r="N1465" s="141"/>
    </row>
    <row r="1466" spans="2:14" x14ac:dyDescent="0.35">
      <c r="B1466" s="1">
        <v>18</v>
      </c>
      <c r="C1466" s="22">
        <v>45231</v>
      </c>
      <c r="D1466" s="22">
        <v>45260</v>
      </c>
      <c r="E1466" s="23">
        <f t="shared" si="232"/>
        <v>30</v>
      </c>
      <c r="F1466" s="3">
        <f t="shared" si="235"/>
        <v>4338838.6089102142</v>
      </c>
      <c r="G1466" s="3">
        <f t="shared" si="237"/>
        <v>640666.67607584735</v>
      </c>
      <c r="H1466" s="3">
        <f t="shared" si="236"/>
        <v>36156.988407585115</v>
      </c>
      <c r="I1466" s="3">
        <f t="shared" si="233"/>
        <v>604509.68766826228</v>
      </c>
      <c r="J1466" s="3">
        <f t="shared" si="234"/>
        <v>3734328.9212419521</v>
      </c>
      <c r="K1466" s="24"/>
      <c r="L1466" s="24">
        <f t="shared" si="238"/>
        <v>6810000.1411377136</v>
      </c>
      <c r="N1466" s="141"/>
    </row>
    <row r="1467" spans="2:14" x14ac:dyDescent="0.35">
      <c r="B1467" s="1">
        <v>19</v>
      </c>
      <c r="C1467" s="22">
        <v>45261</v>
      </c>
      <c r="D1467" s="22">
        <v>45291</v>
      </c>
      <c r="E1467" s="23">
        <f t="shared" si="232"/>
        <v>31</v>
      </c>
      <c r="F1467" s="3">
        <f t="shared" si="235"/>
        <v>3734328.9212419521</v>
      </c>
      <c r="G1467" s="3">
        <f t="shared" si="237"/>
        <v>640666.67607584735</v>
      </c>
      <c r="H1467" s="3">
        <f t="shared" si="236"/>
        <v>31119.407677016268</v>
      </c>
      <c r="I1467" s="3">
        <f t="shared" si="233"/>
        <v>609547.26839883113</v>
      </c>
      <c r="J1467" s="3">
        <f t="shared" si="234"/>
        <v>3124781.652843121</v>
      </c>
      <c r="K1467" s="24">
        <v>700000</v>
      </c>
      <c r="L1467" s="24">
        <f t="shared" si="238"/>
        <v>6750666.8172135614</v>
      </c>
      <c r="N1467" s="141"/>
    </row>
    <row r="1468" spans="2:14" x14ac:dyDescent="0.35">
      <c r="B1468" s="1">
        <v>20</v>
      </c>
      <c r="C1468" s="22">
        <v>45292</v>
      </c>
      <c r="D1468" s="22">
        <v>45322</v>
      </c>
      <c r="E1468" s="23">
        <f t="shared" si="232"/>
        <v>31</v>
      </c>
      <c r="F1468" s="3">
        <f t="shared" si="235"/>
        <v>3124781.652843121</v>
      </c>
      <c r="G1468" s="3">
        <f t="shared" si="237"/>
        <v>640666.67607584735</v>
      </c>
      <c r="H1468" s="3">
        <f t="shared" si="236"/>
        <v>26039.847107026009</v>
      </c>
      <c r="I1468" s="3">
        <f t="shared" si="233"/>
        <v>614626.82896882133</v>
      </c>
      <c r="J1468" s="3">
        <f t="shared" si="234"/>
        <v>2510154.8238742994</v>
      </c>
      <c r="K1468" s="24">
        <v>2000000</v>
      </c>
      <c r="L1468" s="24">
        <f t="shared" si="238"/>
        <v>5391333.4932894092</v>
      </c>
      <c r="N1468" s="141"/>
    </row>
    <row r="1469" spans="2:14" x14ac:dyDescent="0.35">
      <c r="B1469" s="1">
        <v>21</v>
      </c>
      <c r="C1469" s="22">
        <v>45323</v>
      </c>
      <c r="D1469" s="22">
        <v>45350</v>
      </c>
      <c r="E1469" s="23">
        <f t="shared" si="232"/>
        <v>28</v>
      </c>
      <c r="F1469" s="3">
        <f t="shared" si="235"/>
        <v>2510154.8238742994</v>
      </c>
      <c r="G1469" s="3">
        <f t="shared" si="237"/>
        <v>640666.67607584735</v>
      </c>
      <c r="H1469" s="3">
        <f t="shared" si="236"/>
        <v>20917.956865619162</v>
      </c>
      <c r="I1469" s="3">
        <f t="shared" si="233"/>
        <v>619748.71921022818</v>
      </c>
      <c r="J1469" s="3">
        <f t="shared" si="234"/>
        <v>1890406.1046640712</v>
      </c>
      <c r="K1469" s="24"/>
      <c r="L1469" s="24">
        <f t="shared" si="238"/>
        <v>6032000.169365257</v>
      </c>
      <c r="N1469" s="141"/>
    </row>
    <row r="1470" spans="2:14" x14ac:dyDescent="0.35">
      <c r="B1470" s="1">
        <v>22</v>
      </c>
      <c r="C1470" s="22">
        <v>45352</v>
      </c>
      <c r="D1470" s="22">
        <v>45382</v>
      </c>
      <c r="E1470" s="23">
        <f t="shared" si="232"/>
        <v>31</v>
      </c>
      <c r="F1470" s="3">
        <f t="shared" si="235"/>
        <v>1890406.1046640712</v>
      </c>
      <c r="G1470" s="3">
        <f t="shared" si="237"/>
        <v>640666.67607584735</v>
      </c>
      <c r="H1470" s="3">
        <f t="shared" si="236"/>
        <v>15753.384205533926</v>
      </c>
      <c r="I1470" s="3">
        <f t="shared" si="233"/>
        <v>624913.29187031346</v>
      </c>
      <c r="J1470" s="3">
        <f t="shared" si="234"/>
        <v>1265492.8127937578</v>
      </c>
      <c r="K1470" s="24"/>
      <c r="L1470" s="24">
        <f t="shared" si="238"/>
        <v>6672666.8454411048</v>
      </c>
      <c r="N1470" s="141"/>
    </row>
    <row r="1471" spans="2:14" x14ac:dyDescent="0.35">
      <c r="B1471" s="1">
        <v>23</v>
      </c>
      <c r="C1471" s="22">
        <v>45383</v>
      </c>
      <c r="D1471" s="22">
        <v>45412</v>
      </c>
      <c r="E1471" s="23">
        <f t="shared" si="232"/>
        <v>30</v>
      </c>
      <c r="F1471" s="3">
        <f t="shared" si="235"/>
        <v>1265492.8127937578</v>
      </c>
      <c r="G1471" s="3">
        <f t="shared" si="237"/>
        <v>640666.67607584735</v>
      </c>
      <c r="H1471" s="3">
        <f t="shared" si="236"/>
        <v>10545.773439947981</v>
      </c>
      <c r="I1471" s="3">
        <f t="shared" si="233"/>
        <v>630120.90263589937</v>
      </c>
      <c r="J1471" s="3">
        <f t="shared" si="234"/>
        <v>635371.91015785839</v>
      </c>
      <c r="K1471" s="24">
        <v>1200000</v>
      </c>
      <c r="L1471" s="24">
        <f t="shared" si="238"/>
        <v>6113333.5215169527</v>
      </c>
      <c r="N1471" s="141"/>
    </row>
    <row r="1472" spans="2:14" x14ac:dyDescent="0.35">
      <c r="B1472" s="1">
        <v>24</v>
      </c>
      <c r="C1472" s="22">
        <v>45413</v>
      </c>
      <c r="D1472" s="22">
        <v>45443</v>
      </c>
      <c r="E1472" s="23">
        <f t="shared" si="232"/>
        <v>31</v>
      </c>
      <c r="F1472" s="3">
        <f>J1471+L1471</f>
        <v>6748705.4316748111</v>
      </c>
      <c r="G1472" s="298">
        <f t="shared" ref="G1472:G1484" si="239">-PMT($D$1441/$D$1443,13,$F$1472,,0)</f>
        <v>549916.36110484262</v>
      </c>
      <c r="H1472" s="3">
        <f t="shared" si="236"/>
        <v>56239.211930623424</v>
      </c>
      <c r="I1472" s="3">
        <f t="shared" si="233"/>
        <v>493677.14917421923</v>
      </c>
      <c r="J1472" s="3">
        <f t="shared" si="234"/>
        <v>6255028.2825005921</v>
      </c>
      <c r="K1472" s="24"/>
      <c r="L1472" s="357">
        <f t="shared" si="238"/>
        <v>6663249.8826217949</v>
      </c>
      <c r="N1472" s="141"/>
    </row>
    <row r="1473" spans="2:14" x14ac:dyDescent="0.35">
      <c r="B1473" s="1">
        <f t="shared" ref="B1473:B1484" si="240">+B1472+1</f>
        <v>25</v>
      </c>
      <c r="C1473" s="358">
        <v>45444</v>
      </c>
      <c r="D1473" s="358">
        <v>45473</v>
      </c>
      <c r="E1473" s="359">
        <v>30</v>
      </c>
      <c r="F1473" s="3">
        <f t="shared" ref="F1473:F1484" si="241">J1472</f>
        <v>6255028.2825005921</v>
      </c>
      <c r="G1473" s="3">
        <f t="shared" si="239"/>
        <v>549916.36110484262</v>
      </c>
      <c r="H1473" s="3">
        <f t="shared" si="236"/>
        <v>52125.23568750493</v>
      </c>
      <c r="I1473" s="3">
        <f t="shared" si="233"/>
        <v>497791.12541733769</v>
      </c>
      <c r="J1473" s="3">
        <f t="shared" si="234"/>
        <v>5757237.1570832543</v>
      </c>
      <c r="K1473" s="24"/>
      <c r="L1473" s="24">
        <f>+G1473-K1473</f>
        <v>549916.36110484262</v>
      </c>
      <c r="N1473" s="141"/>
    </row>
    <row r="1474" spans="2:14" x14ac:dyDescent="0.35">
      <c r="B1474" s="1">
        <f t="shared" si="240"/>
        <v>26</v>
      </c>
      <c r="C1474" s="358">
        <v>45474</v>
      </c>
      <c r="D1474" s="358">
        <v>45504</v>
      </c>
      <c r="E1474" s="359">
        <v>31</v>
      </c>
      <c r="F1474" s="3">
        <f t="shared" si="241"/>
        <v>5757237.1570832543</v>
      </c>
      <c r="G1474" s="3">
        <f t="shared" si="239"/>
        <v>549916.36110484262</v>
      </c>
      <c r="H1474" s="3">
        <f t="shared" si="236"/>
        <v>47976.976309027115</v>
      </c>
      <c r="I1474" s="3">
        <f t="shared" si="233"/>
        <v>501939.38479581551</v>
      </c>
      <c r="J1474" s="3">
        <f t="shared" si="234"/>
        <v>5255297.7722874386</v>
      </c>
      <c r="K1474" s="24">
        <v>2000000</v>
      </c>
      <c r="L1474" s="3">
        <f>+G1474-K1474</f>
        <v>-1450083.6388951573</v>
      </c>
      <c r="N1474" s="141"/>
    </row>
    <row r="1475" spans="2:14" x14ac:dyDescent="0.35">
      <c r="B1475" s="1">
        <f t="shared" si="240"/>
        <v>27</v>
      </c>
      <c r="C1475" s="358">
        <v>45505</v>
      </c>
      <c r="D1475" s="358">
        <v>45535</v>
      </c>
      <c r="E1475" s="359">
        <v>31</v>
      </c>
      <c r="F1475" s="3">
        <f t="shared" si="241"/>
        <v>5255297.7722874386</v>
      </c>
      <c r="G1475" s="3">
        <f t="shared" si="239"/>
        <v>549916.36110484262</v>
      </c>
      <c r="H1475" s="3">
        <f t="shared" si="236"/>
        <v>43794.148102395324</v>
      </c>
      <c r="I1475" s="3">
        <f t="shared" si="233"/>
        <v>506122.21300244727</v>
      </c>
      <c r="J1475" s="3">
        <f t="shared" si="234"/>
        <v>4749175.5592849916</v>
      </c>
      <c r="K1475" s="24"/>
      <c r="L1475" s="3">
        <f>+G1475-K1475+L1474</f>
        <v>-900167.27779031463</v>
      </c>
      <c r="N1475" s="141"/>
    </row>
    <row r="1476" spans="2:14" x14ac:dyDescent="0.35">
      <c r="B1476" s="1">
        <f t="shared" si="240"/>
        <v>28</v>
      </c>
      <c r="C1476" s="358">
        <v>45536</v>
      </c>
      <c r="D1476" s="358">
        <v>45565</v>
      </c>
      <c r="E1476" s="359">
        <v>30</v>
      </c>
      <c r="F1476" s="3">
        <f t="shared" si="241"/>
        <v>4749175.5592849916</v>
      </c>
      <c r="G1476" s="3">
        <f t="shared" si="239"/>
        <v>549916.36110484262</v>
      </c>
      <c r="H1476" s="3">
        <f t="shared" si="236"/>
        <v>39576.462994041598</v>
      </c>
      <c r="I1476" s="3">
        <f t="shared" si="233"/>
        <v>510339.898110801</v>
      </c>
      <c r="J1476" s="3">
        <f t="shared" si="234"/>
        <v>4238835.6611741902</v>
      </c>
      <c r="K1476" s="24">
        <f>4000000+600000+388417.47</f>
        <v>4988417.47</v>
      </c>
      <c r="L1476" s="3">
        <f>+G1476-K1476+L1475</f>
        <v>-5338668.386685472</v>
      </c>
      <c r="N1476" s="141"/>
    </row>
    <row r="1477" spans="2:14" x14ac:dyDescent="0.35">
      <c r="B1477" s="1">
        <f t="shared" si="240"/>
        <v>29</v>
      </c>
      <c r="C1477" s="358">
        <v>45566</v>
      </c>
      <c r="D1477" s="358">
        <v>45596</v>
      </c>
      <c r="E1477" s="359">
        <v>31</v>
      </c>
      <c r="F1477" s="3">
        <f t="shared" si="241"/>
        <v>4238835.6611741902</v>
      </c>
      <c r="G1477" s="3">
        <f t="shared" si="239"/>
        <v>549916.36110484262</v>
      </c>
      <c r="H1477" s="3">
        <f t="shared" si="236"/>
        <v>35323.630509784918</v>
      </c>
      <c r="I1477" s="3">
        <f t="shared" si="233"/>
        <v>514592.73059505771</v>
      </c>
      <c r="J1477" s="3">
        <f t="shared" si="234"/>
        <v>3724242.9305791324</v>
      </c>
      <c r="K1477" s="24"/>
      <c r="L1477" s="272">
        <f>+G1477-K1477+L1476</f>
        <v>-4788752.0255806297</v>
      </c>
      <c r="N1477" s="141"/>
    </row>
    <row r="1478" spans="2:14" x14ac:dyDescent="0.35">
      <c r="B1478" s="1">
        <f t="shared" si="240"/>
        <v>30</v>
      </c>
      <c r="C1478" s="358">
        <v>45597</v>
      </c>
      <c r="D1478" s="358">
        <v>45626</v>
      </c>
      <c r="E1478" s="359">
        <v>30</v>
      </c>
      <c r="F1478" s="3">
        <f t="shared" si="241"/>
        <v>3724242.9305791324</v>
      </c>
      <c r="G1478" s="3">
        <f t="shared" si="239"/>
        <v>549916.36110484262</v>
      </c>
      <c r="H1478" s="3">
        <f t="shared" si="236"/>
        <v>31035.357754826102</v>
      </c>
      <c r="I1478" s="3">
        <f t="shared" si="233"/>
        <v>518881.00335001654</v>
      </c>
      <c r="J1478" s="3">
        <f t="shared" si="234"/>
        <v>3205361.9272291157</v>
      </c>
      <c r="K1478" s="24"/>
      <c r="L1478" s="24"/>
      <c r="N1478" s="141"/>
    </row>
    <row r="1479" spans="2:14" x14ac:dyDescent="0.35">
      <c r="B1479" s="1">
        <f t="shared" si="240"/>
        <v>31</v>
      </c>
      <c r="C1479" s="358">
        <v>45627</v>
      </c>
      <c r="D1479" s="358">
        <v>45657</v>
      </c>
      <c r="E1479" s="359">
        <v>31</v>
      </c>
      <c r="F1479" s="3">
        <f t="shared" si="241"/>
        <v>3205361.9272291157</v>
      </c>
      <c r="G1479" s="3">
        <f t="shared" si="239"/>
        <v>549916.36110484262</v>
      </c>
      <c r="H1479" s="3">
        <f t="shared" si="236"/>
        <v>26711.349393575965</v>
      </c>
      <c r="I1479" s="3">
        <f t="shared" si="233"/>
        <v>523205.01171126665</v>
      </c>
      <c r="J1479" s="3">
        <f t="shared" si="234"/>
        <v>2682156.9155178489</v>
      </c>
      <c r="K1479" s="24"/>
      <c r="L1479" s="24"/>
      <c r="N1479" s="141"/>
    </row>
    <row r="1480" spans="2:14" x14ac:dyDescent="0.35">
      <c r="B1480" s="1">
        <f t="shared" si="240"/>
        <v>32</v>
      </c>
      <c r="C1480" s="358">
        <v>45658</v>
      </c>
      <c r="D1480" s="358">
        <v>45688</v>
      </c>
      <c r="E1480" s="359">
        <v>31</v>
      </c>
      <c r="F1480" s="3">
        <f t="shared" si="241"/>
        <v>2682156.9155178489</v>
      </c>
      <c r="G1480" s="3">
        <f t="shared" si="239"/>
        <v>549916.36110484262</v>
      </c>
      <c r="H1480" s="3">
        <f t="shared" si="236"/>
        <v>22351.307629315408</v>
      </c>
      <c r="I1480" s="3">
        <f t="shared" si="233"/>
        <v>527565.05347552721</v>
      </c>
      <c r="J1480" s="3">
        <f t="shared" si="234"/>
        <v>2154591.8620423218</v>
      </c>
      <c r="K1480" s="24"/>
      <c r="L1480" s="24"/>
      <c r="N1480" s="141"/>
    </row>
    <row r="1481" spans="2:14" x14ac:dyDescent="0.35">
      <c r="B1481" s="1">
        <f t="shared" si="240"/>
        <v>33</v>
      </c>
      <c r="C1481" s="358">
        <v>45689</v>
      </c>
      <c r="D1481" s="358">
        <v>45716</v>
      </c>
      <c r="E1481" s="359">
        <v>28</v>
      </c>
      <c r="F1481" s="3">
        <f t="shared" si="241"/>
        <v>2154591.8620423218</v>
      </c>
      <c r="G1481" s="3">
        <f t="shared" si="239"/>
        <v>549916.36110484262</v>
      </c>
      <c r="H1481" s="3">
        <f t="shared" si="236"/>
        <v>17954.932183686014</v>
      </c>
      <c r="I1481" s="3">
        <f t="shared" si="233"/>
        <v>531961.42892115656</v>
      </c>
      <c r="J1481" s="3">
        <f t="shared" si="234"/>
        <v>1622630.4331211653</v>
      </c>
      <c r="K1481" s="24"/>
      <c r="L1481" s="24"/>
      <c r="N1481" s="141"/>
    </row>
    <row r="1482" spans="2:14" x14ac:dyDescent="0.35">
      <c r="B1482" s="1">
        <f t="shared" si="240"/>
        <v>34</v>
      </c>
      <c r="C1482" s="358">
        <v>45717</v>
      </c>
      <c r="D1482" s="358">
        <v>45747</v>
      </c>
      <c r="E1482" s="359">
        <v>31</v>
      </c>
      <c r="F1482" s="3">
        <f t="shared" si="241"/>
        <v>1622630.4331211653</v>
      </c>
      <c r="G1482" s="3">
        <f t="shared" si="239"/>
        <v>549916.36110484262</v>
      </c>
      <c r="H1482" s="3">
        <f t="shared" si="236"/>
        <v>13521.920276009711</v>
      </c>
      <c r="I1482" s="3">
        <f t="shared" si="233"/>
        <v>536394.44082883291</v>
      </c>
      <c r="J1482" s="3">
        <f t="shared" si="234"/>
        <v>1086235.9922923325</v>
      </c>
      <c r="K1482" s="24"/>
      <c r="L1482" s="24"/>
      <c r="N1482" s="141"/>
    </row>
    <row r="1483" spans="2:14" x14ac:dyDescent="0.35">
      <c r="B1483" s="1">
        <f t="shared" si="240"/>
        <v>35</v>
      </c>
      <c r="C1483" s="358">
        <v>45748</v>
      </c>
      <c r="D1483" s="358">
        <v>45777</v>
      </c>
      <c r="E1483" s="359">
        <v>30</v>
      </c>
      <c r="F1483" s="3">
        <f t="shared" si="241"/>
        <v>1086235.9922923325</v>
      </c>
      <c r="G1483" s="3">
        <f t="shared" si="239"/>
        <v>549916.36110484262</v>
      </c>
      <c r="H1483" s="3">
        <f t="shared" si="236"/>
        <v>9051.9666024361031</v>
      </c>
      <c r="I1483" s="3">
        <f t="shared" si="233"/>
        <v>540864.39450240647</v>
      </c>
      <c r="J1483" s="3">
        <f t="shared" si="234"/>
        <v>545371.59778992599</v>
      </c>
      <c r="K1483" s="24"/>
      <c r="L1483" s="24"/>
      <c r="N1483" s="141"/>
    </row>
    <row r="1484" spans="2:14" x14ac:dyDescent="0.35">
      <c r="B1484" s="1">
        <f t="shared" si="240"/>
        <v>36</v>
      </c>
      <c r="C1484" s="358">
        <v>45778</v>
      </c>
      <c r="D1484" s="358">
        <v>45808</v>
      </c>
      <c r="E1484" s="359">
        <v>31</v>
      </c>
      <c r="F1484" s="3">
        <f t="shared" si="241"/>
        <v>545371.59778992599</v>
      </c>
      <c r="G1484" s="3">
        <f t="shared" si="239"/>
        <v>549916.36110484262</v>
      </c>
      <c r="H1484" s="3">
        <f t="shared" si="236"/>
        <v>4544.7633149160501</v>
      </c>
      <c r="I1484" s="3">
        <f t="shared" si="233"/>
        <v>545371.59778992657</v>
      </c>
      <c r="J1484" s="3">
        <f t="shared" si="234"/>
        <v>0</v>
      </c>
      <c r="K1484" s="24"/>
      <c r="L1484" s="24"/>
      <c r="N1484" s="141"/>
    </row>
    <row r="1485" spans="2:14" x14ac:dyDescent="0.35">
      <c r="B1485" s="1"/>
      <c r="C1485" s="22"/>
      <c r="D1485" s="22"/>
      <c r="E1485" s="23"/>
      <c r="F1485" s="3"/>
      <c r="G1485" s="3"/>
      <c r="H1485" s="3"/>
      <c r="I1485" s="3"/>
      <c r="J1485" s="3"/>
      <c r="K1485" s="24"/>
      <c r="L1485" s="24"/>
    </row>
    <row r="1486" spans="2:14" x14ac:dyDescent="0.35">
      <c r="B1486" s="1"/>
      <c r="C1486" s="22"/>
      <c r="D1486" s="22"/>
      <c r="E1486" s="23"/>
      <c r="F1486" s="3"/>
      <c r="G1486" s="3"/>
      <c r="H1486" s="3"/>
      <c r="I1486" s="3"/>
      <c r="J1486" s="3"/>
      <c r="K1486" s="24"/>
      <c r="L1486" s="24"/>
    </row>
    <row r="1487" spans="2:14" x14ac:dyDescent="0.35">
      <c r="B1487" s="1"/>
      <c r="C1487" s="22"/>
      <c r="D1487" s="22"/>
      <c r="E1487" s="23"/>
      <c r="F1487" s="3"/>
      <c r="G1487" s="3"/>
      <c r="H1487" s="3"/>
      <c r="I1487" s="3"/>
      <c r="J1487" s="3"/>
      <c r="K1487" s="24"/>
      <c r="L1487" s="24"/>
    </row>
    <row r="1488" spans="2:14" x14ac:dyDescent="0.35">
      <c r="B1488" s="1"/>
      <c r="C1488" s="22"/>
      <c r="D1488" s="22"/>
      <c r="E1488" s="23"/>
      <c r="F1488" s="3"/>
      <c r="G1488" s="3"/>
      <c r="H1488" s="3"/>
      <c r="I1488" s="3"/>
      <c r="J1488" s="3"/>
      <c r="K1488" s="24"/>
      <c r="L1488" s="24"/>
    </row>
    <row r="1489" spans="2:19" x14ac:dyDescent="0.35">
      <c r="B1489" s="1"/>
      <c r="C1489" s="22"/>
      <c r="D1489" s="22"/>
      <c r="E1489" s="23"/>
      <c r="F1489" s="3"/>
      <c r="G1489" s="3"/>
      <c r="H1489" s="3"/>
      <c r="I1489" s="3"/>
      <c r="J1489" s="3"/>
      <c r="K1489" s="24"/>
      <c r="L1489" s="24"/>
    </row>
    <row r="1490" spans="2:19" x14ac:dyDescent="0.35">
      <c r="B1490" s="1"/>
      <c r="C1490" s="22"/>
      <c r="D1490" s="22"/>
      <c r="E1490" s="23"/>
      <c r="F1490" s="3"/>
      <c r="G1490" s="3"/>
      <c r="H1490" s="3"/>
      <c r="I1490" s="3"/>
      <c r="J1490" s="3"/>
      <c r="K1490" s="24"/>
      <c r="L1490" s="24"/>
    </row>
    <row r="1491" spans="2:19" x14ac:dyDescent="0.35">
      <c r="B1491" s="1"/>
      <c r="C1491" s="22"/>
      <c r="D1491" s="22"/>
      <c r="E1491" s="23"/>
      <c r="F1491" s="3"/>
      <c r="G1491" s="3"/>
      <c r="H1491" s="3"/>
      <c r="I1491" s="3"/>
      <c r="J1491" s="3"/>
      <c r="K1491" s="24"/>
      <c r="L1491" s="24"/>
    </row>
    <row r="1492" spans="2:19" x14ac:dyDescent="0.35">
      <c r="B1492" s="1"/>
      <c r="C1492" s="22"/>
      <c r="D1492" s="22"/>
      <c r="E1492" s="23"/>
      <c r="F1492" s="3"/>
      <c r="G1492" s="3"/>
      <c r="H1492" s="3"/>
      <c r="I1492" s="3"/>
      <c r="J1492" s="3"/>
      <c r="K1492" s="24"/>
      <c r="L1492" s="24"/>
    </row>
    <row r="1493" spans="2:19" x14ac:dyDescent="0.35">
      <c r="B1493" s="1"/>
      <c r="C1493" s="22"/>
      <c r="D1493" s="22"/>
      <c r="E1493" s="23"/>
      <c r="F1493" s="3"/>
      <c r="G1493" s="3"/>
      <c r="H1493" s="3"/>
      <c r="I1493" s="3"/>
      <c r="J1493" s="3"/>
      <c r="K1493" s="24"/>
      <c r="L1493" s="24"/>
    </row>
    <row r="1494" spans="2:19" x14ac:dyDescent="0.35">
      <c r="B1494" s="1"/>
      <c r="C1494" s="22"/>
      <c r="D1494" s="22"/>
      <c r="E1494" s="23"/>
      <c r="F1494" s="3"/>
      <c r="G1494" s="3"/>
      <c r="H1494" s="3"/>
      <c r="I1494" s="3"/>
      <c r="J1494" s="3"/>
      <c r="K1494" s="24"/>
      <c r="L1494" s="24"/>
    </row>
    <row r="1495" spans="2:19" x14ac:dyDescent="0.35">
      <c r="B1495" s="1"/>
      <c r="C1495" s="22"/>
      <c r="D1495" s="22"/>
      <c r="E1495" s="23"/>
      <c r="F1495" s="3"/>
      <c r="G1495" s="3"/>
      <c r="H1495" s="3"/>
      <c r="I1495" s="3"/>
      <c r="J1495" s="3"/>
      <c r="K1495" s="24"/>
      <c r="L1495" s="24"/>
    </row>
    <row r="1496" spans="2:19" x14ac:dyDescent="0.35">
      <c r="B1496" s="1"/>
      <c r="C1496" s="22"/>
      <c r="D1496" s="22"/>
      <c r="E1496" s="23"/>
      <c r="F1496" s="3"/>
      <c r="G1496" s="3"/>
      <c r="H1496" s="3"/>
      <c r="I1496" s="3"/>
      <c r="J1496" s="3"/>
      <c r="K1496" s="24"/>
      <c r="L1496" s="24"/>
    </row>
    <row r="1497" spans="2:19" x14ac:dyDescent="0.35">
      <c r="B1497" s="1"/>
      <c r="C1497" s="22"/>
      <c r="D1497" s="22"/>
      <c r="E1497" s="23"/>
      <c r="F1497" s="3"/>
      <c r="G1497" s="3"/>
      <c r="H1497" s="3"/>
      <c r="I1497" s="3"/>
      <c r="J1497" s="3"/>
      <c r="K1497" s="24"/>
      <c r="L1497" s="24"/>
    </row>
    <row r="1498" spans="2:19" x14ac:dyDescent="0.35">
      <c r="B1498" s="1"/>
      <c r="C1498" s="22"/>
      <c r="D1498" s="22"/>
      <c r="E1498" s="23"/>
      <c r="F1498" s="3"/>
      <c r="G1498" s="3"/>
      <c r="H1498" s="3"/>
      <c r="I1498" s="3"/>
      <c r="J1498" s="3"/>
      <c r="K1498" s="24"/>
      <c r="L1498" s="24"/>
    </row>
    <row r="1499" spans="2:19" ht="14.25" customHeight="1" x14ac:dyDescent="0.35">
      <c r="B1499" s="1"/>
      <c r="C1499" s="1"/>
      <c r="D1499" s="1"/>
      <c r="E1499" s="28">
        <f>SUM(E1449:E1472)</f>
        <v>728</v>
      </c>
      <c r="F1499" s="3"/>
      <c r="G1499" s="3"/>
      <c r="H1499" s="3"/>
      <c r="I1499" s="3"/>
      <c r="J1499" s="3"/>
      <c r="K1499" s="1"/>
      <c r="L1499" s="1"/>
    </row>
    <row r="1504" spans="2:19" x14ac:dyDescent="0.35">
      <c r="B1504" s="1"/>
      <c r="C1504" s="8" t="s">
        <v>593</v>
      </c>
      <c r="D1504" s="3"/>
      <c r="E1504" s="3"/>
      <c r="F1504" s="3"/>
      <c r="G1504" s="3"/>
      <c r="H1504" s="3"/>
      <c r="I1504" s="3"/>
      <c r="J1504" s="3"/>
      <c r="K1504" s="3"/>
      <c r="L1504" s="3"/>
      <c r="R1504" s="438" t="s">
        <v>832</v>
      </c>
      <c r="S1504" s="432" t="str">
        <f>IFERROR(INDEX(Blocks!$I$2:$I$101,MATCH(24,Blocks!$A$2:$A$101,0)),"")</f>
        <v>000104450000025</v>
      </c>
    </row>
    <row r="1505" spans="2:19" x14ac:dyDescent="0.35">
      <c r="B1505" s="1"/>
      <c r="C1505" s="1"/>
      <c r="D1505" s="3"/>
      <c r="E1505" s="3"/>
      <c r="F1505" s="3"/>
      <c r="G1505" s="3"/>
      <c r="H1505" s="3"/>
      <c r="I1505" s="3"/>
      <c r="J1505" s="3"/>
      <c r="K1505" s="3"/>
      <c r="L1505" s="3"/>
      <c r="R1505" s="438" t="s">
        <v>834</v>
      </c>
      <c r="S1505" s="432" t="str">
        <f>IFERROR(INDEX(Blocks!$H$2:$H$101,MATCH(24,Blocks!$A$2:$A$101,0)),"")</f>
        <v>Lapani Farms</v>
      </c>
    </row>
    <row r="1506" spans="2:19" x14ac:dyDescent="0.35">
      <c r="B1506" s="1"/>
      <c r="C1506" s="9" t="s">
        <v>835</v>
      </c>
      <c r="D1506" s="10">
        <v>10900000</v>
      </c>
      <c r="E1506" s="3"/>
      <c r="F1506" s="3"/>
      <c r="G1506" s="3"/>
      <c r="H1506" s="3"/>
      <c r="I1506" s="3"/>
      <c r="J1506" s="3"/>
      <c r="K1506" s="3"/>
      <c r="L1506" s="3"/>
      <c r="R1506" s="438" t="s">
        <v>223</v>
      </c>
      <c r="S1506" s="433">
        <f>IFERROR(INDEX('E-Banker master'!$N$2:$N$186,MATCH(S1504,'E-Banker master'!$A$2:$A$186,0)),"")</f>
        <v>0</v>
      </c>
    </row>
    <row r="1507" spans="2:19" x14ac:dyDescent="0.35">
      <c r="B1507" s="1"/>
      <c r="C1507" s="11" t="s">
        <v>837</v>
      </c>
      <c r="D1507" s="12">
        <v>0.1</v>
      </c>
      <c r="E1507" s="13"/>
      <c r="F1507" s="3"/>
      <c r="G1507" s="3"/>
      <c r="H1507" s="3"/>
      <c r="I1507" s="3"/>
      <c r="J1507" s="3"/>
      <c r="K1507" s="3"/>
      <c r="L1507" s="3"/>
      <c r="R1507" s="438" t="s">
        <v>52</v>
      </c>
      <c r="S1507" s="433">
        <f>IFERROR(INDEX('E-Banker master'!$P$2:$P$186,MATCH(S1504,'E-Banker master'!$A$2:$A$186,0)),"")</f>
        <v>0</v>
      </c>
    </row>
    <row r="1508" spans="2:19" x14ac:dyDescent="0.35">
      <c r="B1508" s="1"/>
      <c r="C1508" s="11" t="s">
        <v>838</v>
      </c>
      <c r="D1508" s="14">
        <v>2</v>
      </c>
      <c r="E1508" s="1"/>
      <c r="F1508" s="3"/>
      <c r="G1508" s="3"/>
      <c r="H1508" s="3"/>
      <c r="I1508" s="3"/>
      <c r="J1508" s="3"/>
      <c r="K1508" s="1"/>
      <c r="L1508" s="1"/>
    </row>
    <row r="1509" spans="2:19" x14ac:dyDescent="0.35">
      <c r="B1509" s="1"/>
      <c r="C1509" s="11" t="s">
        <v>839</v>
      </c>
      <c r="D1509" s="14">
        <v>12</v>
      </c>
      <c r="E1509" s="1"/>
      <c r="F1509" s="3"/>
      <c r="G1509" s="3"/>
      <c r="H1509" s="3"/>
      <c r="I1509" s="3"/>
      <c r="J1509" s="3"/>
      <c r="K1509" s="1"/>
      <c r="L1509" s="1"/>
    </row>
    <row r="1510" spans="2:19" x14ac:dyDescent="0.35">
      <c r="B1510" s="1"/>
      <c r="C1510" s="11" t="s">
        <v>843</v>
      </c>
      <c r="D1510" s="15">
        <f>D1508*D1509</f>
        <v>24</v>
      </c>
      <c r="E1510" s="1"/>
      <c r="F1510" s="3"/>
      <c r="G1510" s="3"/>
      <c r="H1510" s="3"/>
      <c r="I1510" s="3"/>
      <c r="J1510" s="3"/>
      <c r="K1510" s="1"/>
      <c r="L1510" s="1"/>
    </row>
    <row r="1511" spans="2:19" x14ac:dyDescent="0.35">
      <c r="B1511" s="1"/>
      <c r="C1511" s="11" t="s">
        <v>844</v>
      </c>
      <c r="D1511" s="16">
        <v>365</v>
      </c>
      <c r="E1511" s="1"/>
      <c r="F1511" s="3"/>
      <c r="G1511" s="3"/>
      <c r="H1511" s="3"/>
      <c r="I1511" s="3"/>
      <c r="J1511" s="3"/>
      <c r="K1511" s="1"/>
      <c r="L1511" s="1"/>
    </row>
    <row r="1512" spans="2:19" x14ac:dyDescent="0.35">
      <c r="B1512" s="1"/>
      <c r="C1512" s="17" t="s">
        <v>845</v>
      </c>
      <c r="D1512" s="18">
        <f>-PMT(D1507/D1509,D1510,D1506,0,0)</f>
        <v>502979.69707892992</v>
      </c>
      <c r="E1512" s="3"/>
      <c r="F1512" s="3"/>
      <c r="G1512" s="3"/>
      <c r="H1512" s="3"/>
      <c r="I1512" s="3"/>
      <c r="J1512" s="3"/>
      <c r="K1512" s="1"/>
      <c r="L1512" s="1"/>
    </row>
    <row r="1513" spans="2:19" x14ac:dyDescent="0.35">
      <c r="B1513" s="1"/>
      <c r="C1513" s="1"/>
      <c r="D1513" s="3"/>
      <c r="E1513" s="3"/>
      <c r="F1513" s="3"/>
      <c r="G1513" s="3"/>
      <c r="H1513" s="3"/>
      <c r="I1513" s="3"/>
      <c r="J1513" s="3"/>
      <c r="K1513" s="1"/>
      <c r="L1513" s="1"/>
    </row>
    <row r="1514" spans="2:19" x14ac:dyDescent="0.35">
      <c r="B1514" s="1"/>
      <c r="C1514" s="19" t="s">
        <v>846</v>
      </c>
      <c r="D1514" s="20" t="s">
        <v>847</v>
      </c>
      <c r="E1514" s="20" t="s">
        <v>764</v>
      </c>
      <c r="F1514" s="270" t="s">
        <v>848</v>
      </c>
      <c r="G1514" s="270" t="s">
        <v>849</v>
      </c>
      <c r="H1514" s="270" t="s">
        <v>742</v>
      </c>
      <c r="I1514" s="270" t="s">
        <v>740</v>
      </c>
      <c r="J1514" s="270" t="s">
        <v>850</v>
      </c>
      <c r="K1514" s="21" t="s">
        <v>851</v>
      </c>
      <c r="L1514" s="21" t="s">
        <v>852</v>
      </c>
    </row>
    <row r="1515" spans="2:19" x14ac:dyDescent="0.35">
      <c r="B1515" s="1">
        <v>1</v>
      </c>
      <c r="C1515" s="22">
        <v>44715</v>
      </c>
      <c r="D1515" s="22">
        <v>44742</v>
      </c>
      <c r="E1515" s="23">
        <f t="shared" ref="E1515:E1538" si="242">D1515-C1515+1</f>
        <v>28</v>
      </c>
      <c r="F1515" s="3">
        <f>D1506</f>
        <v>10900000</v>
      </c>
      <c r="G1515" s="3"/>
      <c r="H1515" s="3">
        <f>$D$1507/$D$1509*F1515*28/30</f>
        <v>84777.777777777766</v>
      </c>
      <c r="I1515" s="3">
        <f t="shared" ref="I1515:I1538" si="243">G1515-H1515</f>
        <v>-84777.777777777766</v>
      </c>
      <c r="J1515" s="3">
        <f t="shared" ref="J1515:J1538" si="244">F1515-I1515</f>
        <v>10984777.777777778</v>
      </c>
      <c r="K1515" s="24"/>
      <c r="L1515" s="24"/>
    </row>
    <row r="1516" spans="2:19" x14ac:dyDescent="0.35">
      <c r="B1516" s="1">
        <v>2</v>
      </c>
      <c r="C1516" s="22">
        <v>44743</v>
      </c>
      <c r="D1516" s="22">
        <v>44773</v>
      </c>
      <c r="E1516" s="23">
        <f t="shared" si="242"/>
        <v>31</v>
      </c>
      <c r="F1516" s="3">
        <f t="shared" ref="F1516:F1538" si="245">J1515</f>
        <v>10984777.777777778</v>
      </c>
      <c r="G1516" s="3"/>
      <c r="H1516" s="3">
        <f t="shared" ref="H1516:H1538" si="246">$D$1507/$D$1509*F1516</f>
        <v>91539.814814814818</v>
      </c>
      <c r="I1516" s="3">
        <f t="shared" si="243"/>
        <v>-91539.814814814818</v>
      </c>
      <c r="J1516" s="3">
        <f t="shared" si="244"/>
        <v>11076317.592592593</v>
      </c>
      <c r="K1516" s="24"/>
      <c r="L1516" s="24"/>
    </row>
    <row r="1517" spans="2:19" x14ac:dyDescent="0.35">
      <c r="B1517" s="1">
        <v>3</v>
      </c>
      <c r="C1517" s="22">
        <v>44774</v>
      </c>
      <c r="D1517" s="22">
        <v>44804</v>
      </c>
      <c r="E1517" s="23">
        <f t="shared" si="242"/>
        <v>31</v>
      </c>
      <c r="F1517" s="3">
        <f t="shared" si="245"/>
        <v>11076317.592592593</v>
      </c>
      <c r="G1517" s="3"/>
      <c r="H1517" s="3">
        <f t="shared" si="246"/>
        <v>92302.646604938273</v>
      </c>
      <c r="I1517" s="3">
        <f t="shared" si="243"/>
        <v>-92302.646604938273</v>
      </c>
      <c r="J1517" s="3">
        <f t="shared" si="244"/>
        <v>11168620.239197532</v>
      </c>
    </row>
    <row r="1518" spans="2:19" x14ac:dyDescent="0.35">
      <c r="B1518" s="1">
        <v>4</v>
      </c>
      <c r="C1518" s="22">
        <v>44805</v>
      </c>
      <c r="D1518" s="22">
        <v>44834</v>
      </c>
      <c r="E1518" s="23">
        <f t="shared" si="242"/>
        <v>30</v>
      </c>
      <c r="F1518" s="3">
        <f t="shared" si="245"/>
        <v>11168620.239197532</v>
      </c>
      <c r="G1518" s="3">
        <f t="shared" ref="G1518:G1538" si="247">-PMT($D$1507/$D$1509,21,$F$1518,,0)</f>
        <v>581938.89743556129</v>
      </c>
      <c r="H1518" s="3">
        <f t="shared" si="246"/>
        <v>93071.835326646091</v>
      </c>
      <c r="I1518" s="3">
        <f t="shared" si="243"/>
        <v>488867.06210891518</v>
      </c>
      <c r="J1518" s="3">
        <f t="shared" si="244"/>
        <v>10679753.177088616</v>
      </c>
      <c r="K1518" s="24">
        <v>582300</v>
      </c>
      <c r="L1518" s="24">
        <f>G1518-K1518</f>
        <v>-361.10256443871185</v>
      </c>
    </row>
    <row r="1519" spans="2:19" x14ac:dyDescent="0.35">
      <c r="B1519" s="1">
        <v>5</v>
      </c>
      <c r="C1519" s="22">
        <v>44835</v>
      </c>
      <c r="D1519" s="22">
        <v>44865</v>
      </c>
      <c r="E1519" s="23">
        <f t="shared" si="242"/>
        <v>31</v>
      </c>
      <c r="F1519" s="3">
        <f t="shared" si="245"/>
        <v>10679753.177088616</v>
      </c>
      <c r="G1519" s="3">
        <f t="shared" si="247"/>
        <v>581938.89743556129</v>
      </c>
      <c r="H1519" s="3">
        <f t="shared" si="246"/>
        <v>88997.943142405129</v>
      </c>
      <c r="I1519" s="3">
        <f t="shared" si="243"/>
        <v>492940.95429315616</v>
      </c>
      <c r="J1519" s="3">
        <f t="shared" si="244"/>
        <v>10186812.22279546</v>
      </c>
      <c r="K1519" s="24">
        <v>0</v>
      </c>
      <c r="L1519" s="24">
        <f>G1519</f>
        <v>581938.89743556129</v>
      </c>
    </row>
    <row r="1520" spans="2:19" x14ac:dyDescent="0.35">
      <c r="B1520" s="1">
        <v>6</v>
      </c>
      <c r="C1520" s="22">
        <v>44866</v>
      </c>
      <c r="D1520" s="22">
        <v>44895</v>
      </c>
      <c r="E1520" s="23">
        <f t="shared" si="242"/>
        <v>30</v>
      </c>
      <c r="F1520" s="3">
        <f t="shared" si="245"/>
        <v>10186812.22279546</v>
      </c>
      <c r="G1520" s="3">
        <f t="shared" si="247"/>
        <v>581938.89743556129</v>
      </c>
      <c r="H1520" s="3">
        <f t="shared" si="246"/>
        <v>84890.10185662884</v>
      </c>
      <c r="I1520" s="3">
        <f t="shared" si="243"/>
        <v>497048.79557893245</v>
      </c>
      <c r="J1520" s="3">
        <f t="shared" si="244"/>
        <v>9689763.427216528</v>
      </c>
      <c r="K1520" s="24">
        <v>0</v>
      </c>
      <c r="L1520" s="24">
        <f t="shared" ref="L1520:L1538" si="248">L1519+G1520-K1520</f>
        <v>1163877.7948711226</v>
      </c>
    </row>
    <row r="1521" spans="2:12" x14ac:dyDescent="0.35">
      <c r="B1521" s="1">
        <v>7</v>
      </c>
      <c r="C1521" s="22">
        <v>44896</v>
      </c>
      <c r="D1521" s="22">
        <v>44926</v>
      </c>
      <c r="E1521" s="23">
        <f t="shared" si="242"/>
        <v>31</v>
      </c>
      <c r="F1521" s="3">
        <f t="shared" si="245"/>
        <v>9689763.427216528</v>
      </c>
      <c r="G1521" s="3">
        <f t="shared" si="247"/>
        <v>581938.89743556129</v>
      </c>
      <c r="H1521" s="3">
        <f t="shared" si="246"/>
        <v>80748.028560137725</v>
      </c>
      <c r="I1521" s="3">
        <f t="shared" si="243"/>
        <v>501190.86887542356</v>
      </c>
      <c r="J1521" s="3">
        <f t="shared" si="244"/>
        <v>9188572.5583411045</v>
      </c>
      <c r="K1521" s="24">
        <v>1164600</v>
      </c>
      <c r="L1521" s="24">
        <f t="shared" si="248"/>
        <v>581216.69230668386</v>
      </c>
    </row>
    <row r="1522" spans="2:12" x14ac:dyDescent="0.35">
      <c r="B1522" s="1">
        <v>8</v>
      </c>
      <c r="C1522" s="22">
        <v>44927</v>
      </c>
      <c r="D1522" s="22">
        <v>44957</v>
      </c>
      <c r="E1522" s="23">
        <f t="shared" si="242"/>
        <v>31</v>
      </c>
      <c r="F1522" s="3">
        <f t="shared" si="245"/>
        <v>9188572.5583411045</v>
      </c>
      <c r="G1522" s="3">
        <f t="shared" si="247"/>
        <v>581938.89743556129</v>
      </c>
      <c r="H1522" s="3">
        <f t="shared" si="246"/>
        <v>76571.437986175864</v>
      </c>
      <c r="I1522" s="3">
        <f t="shared" si="243"/>
        <v>505367.45944938541</v>
      </c>
      <c r="J1522" s="3">
        <f t="shared" si="244"/>
        <v>8683205.0988917183</v>
      </c>
      <c r="K1522" s="24">
        <v>0</v>
      </c>
      <c r="L1522" s="24">
        <f t="shared" si="248"/>
        <v>1163155.5897422452</v>
      </c>
    </row>
    <row r="1523" spans="2:12" x14ac:dyDescent="0.35">
      <c r="B1523" s="1">
        <v>9</v>
      </c>
      <c r="C1523" s="22">
        <v>44958</v>
      </c>
      <c r="D1523" s="22">
        <v>44985</v>
      </c>
      <c r="E1523" s="23">
        <f t="shared" si="242"/>
        <v>28</v>
      </c>
      <c r="F1523" s="3">
        <f t="shared" si="245"/>
        <v>8683205.0988917183</v>
      </c>
      <c r="G1523" s="3">
        <f t="shared" si="247"/>
        <v>581938.89743556129</v>
      </c>
      <c r="H1523" s="3">
        <f t="shared" si="246"/>
        <v>72360.042490764317</v>
      </c>
      <c r="I1523" s="3">
        <f t="shared" si="243"/>
        <v>509578.854944797</v>
      </c>
      <c r="J1523" s="3">
        <f t="shared" si="244"/>
        <v>8173626.2439469211</v>
      </c>
      <c r="K1523" s="24"/>
      <c r="L1523" s="24">
        <f t="shared" si="248"/>
        <v>1745094.4871778064</v>
      </c>
    </row>
    <row r="1524" spans="2:12" x14ac:dyDescent="0.35">
      <c r="B1524" s="1">
        <v>10</v>
      </c>
      <c r="C1524" s="22">
        <v>44986</v>
      </c>
      <c r="D1524" s="22">
        <v>45016</v>
      </c>
      <c r="E1524" s="23">
        <f t="shared" si="242"/>
        <v>31</v>
      </c>
      <c r="F1524" s="3">
        <f t="shared" si="245"/>
        <v>8173626.2439469211</v>
      </c>
      <c r="G1524" s="3">
        <f t="shared" si="247"/>
        <v>581938.89743556129</v>
      </c>
      <c r="H1524" s="3">
        <f t="shared" si="246"/>
        <v>68113.552032891006</v>
      </c>
      <c r="I1524" s="3">
        <f t="shared" si="243"/>
        <v>513825.34540267027</v>
      </c>
      <c r="J1524" s="3">
        <f t="shared" si="244"/>
        <v>7659800.898544251</v>
      </c>
      <c r="K1524" s="24"/>
      <c r="L1524" s="24">
        <f t="shared" si="248"/>
        <v>2327033.3846133677</v>
      </c>
    </row>
    <row r="1525" spans="2:12" x14ac:dyDescent="0.35">
      <c r="B1525" s="1">
        <v>11</v>
      </c>
      <c r="C1525" s="22">
        <v>45017</v>
      </c>
      <c r="D1525" s="22">
        <v>45046</v>
      </c>
      <c r="E1525" s="23">
        <f t="shared" si="242"/>
        <v>30</v>
      </c>
      <c r="F1525" s="3">
        <f t="shared" si="245"/>
        <v>7659800.898544251</v>
      </c>
      <c r="G1525" s="3">
        <f t="shared" si="247"/>
        <v>581938.89743556129</v>
      </c>
      <c r="H1525" s="3">
        <f t="shared" si="246"/>
        <v>63831.674154535423</v>
      </c>
      <c r="I1525" s="3">
        <f t="shared" si="243"/>
        <v>518107.22328102589</v>
      </c>
      <c r="J1525" s="3">
        <f t="shared" si="244"/>
        <v>7141693.6752632251</v>
      </c>
      <c r="K1525" s="24"/>
      <c r="L1525" s="24">
        <f t="shared" si="248"/>
        <v>2908972.282048929</v>
      </c>
    </row>
    <row r="1526" spans="2:12" x14ac:dyDescent="0.35">
      <c r="B1526" s="1">
        <v>12</v>
      </c>
      <c r="C1526" s="22">
        <v>45047</v>
      </c>
      <c r="D1526" s="22">
        <v>45077</v>
      </c>
      <c r="E1526" s="23">
        <f t="shared" si="242"/>
        <v>31</v>
      </c>
      <c r="F1526" s="3">
        <f t="shared" si="245"/>
        <v>7141693.6752632251</v>
      </c>
      <c r="G1526" s="3">
        <f t="shared" si="247"/>
        <v>581938.89743556129</v>
      </c>
      <c r="H1526" s="3">
        <f t="shared" si="246"/>
        <v>59514.113960526876</v>
      </c>
      <c r="I1526" s="3">
        <f t="shared" si="243"/>
        <v>522424.7834750344</v>
      </c>
      <c r="J1526" s="3">
        <f t="shared" si="244"/>
        <v>6619268.8917881902</v>
      </c>
      <c r="K1526" s="24"/>
      <c r="L1526" s="24">
        <f t="shared" si="248"/>
        <v>3490911.1794844903</v>
      </c>
    </row>
    <row r="1527" spans="2:12" x14ac:dyDescent="0.35">
      <c r="B1527" s="1">
        <v>13</v>
      </c>
      <c r="C1527" s="22">
        <v>45078</v>
      </c>
      <c r="D1527" s="22">
        <v>45107</v>
      </c>
      <c r="E1527" s="23">
        <f t="shared" si="242"/>
        <v>30</v>
      </c>
      <c r="F1527" s="3">
        <f t="shared" si="245"/>
        <v>6619268.8917881902</v>
      </c>
      <c r="G1527" s="3">
        <f t="shared" si="247"/>
        <v>581938.89743556129</v>
      </c>
      <c r="H1527" s="3">
        <f t="shared" si="246"/>
        <v>55160.574098234916</v>
      </c>
      <c r="I1527" s="3">
        <f t="shared" si="243"/>
        <v>526778.32333732641</v>
      </c>
      <c r="J1527" s="3">
        <f t="shared" si="244"/>
        <v>6092490.5684508635</v>
      </c>
      <c r="K1527" s="24"/>
      <c r="L1527" s="24">
        <f t="shared" si="248"/>
        <v>4072850.0769200516</v>
      </c>
    </row>
    <row r="1528" spans="2:12" x14ac:dyDescent="0.35">
      <c r="B1528" s="1">
        <v>14</v>
      </c>
      <c r="C1528" s="22">
        <v>45108</v>
      </c>
      <c r="D1528" s="22">
        <v>45138</v>
      </c>
      <c r="E1528" s="23">
        <f t="shared" si="242"/>
        <v>31</v>
      </c>
      <c r="F1528" s="3">
        <f t="shared" si="245"/>
        <v>6092490.5684508635</v>
      </c>
      <c r="G1528" s="3">
        <f t="shared" si="247"/>
        <v>581938.89743556129</v>
      </c>
      <c r="H1528" s="3">
        <f t="shared" si="246"/>
        <v>50770.75473709053</v>
      </c>
      <c r="I1528" s="3">
        <f t="shared" si="243"/>
        <v>531168.14269847074</v>
      </c>
      <c r="J1528" s="3">
        <f t="shared" si="244"/>
        <v>5561322.425752393</v>
      </c>
      <c r="K1528" s="24"/>
      <c r="L1528" s="24">
        <f t="shared" si="248"/>
        <v>4654788.9743556129</v>
      </c>
    </row>
    <row r="1529" spans="2:12" x14ac:dyDescent="0.35">
      <c r="B1529" s="1">
        <v>15</v>
      </c>
      <c r="C1529" s="22">
        <v>45139</v>
      </c>
      <c r="D1529" s="22">
        <v>45169</v>
      </c>
      <c r="E1529" s="23">
        <f t="shared" si="242"/>
        <v>31</v>
      </c>
      <c r="F1529" s="3">
        <f t="shared" si="245"/>
        <v>5561322.425752393</v>
      </c>
      <c r="G1529" s="3">
        <f t="shared" si="247"/>
        <v>581938.89743556129</v>
      </c>
      <c r="H1529" s="3">
        <f t="shared" si="246"/>
        <v>46344.353547936611</v>
      </c>
      <c r="I1529" s="3">
        <f t="shared" si="243"/>
        <v>535594.54388762463</v>
      </c>
      <c r="J1529" s="3">
        <f t="shared" si="244"/>
        <v>5025727.8818647685</v>
      </c>
      <c r="K1529" s="24"/>
      <c r="L1529" s="24">
        <f t="shared" si="248"/>
        <v>5236727.8717911746</v>
      </c>
    </row>
    <row r="1530" spans="2:12" x14ac:dyDescent="0.35">
      <c r="B1530" s="1">
        <v>16</v>
      </c>
      <c r="C1530" s="22">
        <v>45170</v>
      </c>
      <c r="D1530" s="22">
        <v>45199</v>
      </c>
      <c r="E1530" s="23">
        <f t="shared" si="242"/>
        <v>30</v>
      </c>
      <c r="F1530" s="3">
        <f t="shared" si="245"/>
        <v>5025727.8818647685</v>
      </c>
      <c r="G1530" s="3">
        <f t="shared" si="247"/>
        <v>581938.89743556129</v>
      </c>
      <c r="H1530" s="3">
        <f t="shared" si="246"/>
        <v>41881.065682206405</v>
      </c>
      <c r="I1530" s="3">
        <f t="shared" si="243"/>
        <v>540057.83175335487</v>
      </c>
      <c r="J1530" s="3">
        <f t="shared" si="244"/>
        <v>4485670.0501114139</v>
      </c>
      <c r="K1530" s="24"/>
      <c r="L1530" s="24">
        <f t="shared" si="248"/>
        <v>5818666.7692267355</v>
      </c>
    </row>
    <row r="1531" spans="2:12" x14ac:dyDescent="0.35">
      <c r="B1531" s="1">
        <v>17</v>
      </c>
      <c r="C1531" s="22">
        <v>45200</v>
      </c>
      <c r="D1531" s="22">
        <v>45230</v>
      </c>
      <c r="E1531" s="23">
        <f t="shared" si="242"/>
        <v>31</v>
      </c>
      <c r="F1531" s="3">
        <f t="shared" si="245"/>
        <v>4485670.0501114139</v>
      </c>
      <c r="G1531" s="3">
        <f t="shared" si="247"/>
        <v>581938.89743556129</v>
      </c>
      <c r="H1531" s="3">
        <f t="shared" si="246"/>
        <v>37380.583750928447</v>
      </c>
      <c r="I1531" s="3">
        <f t="shared" si="243"/>
        <v>544558.31368463289</v>
      </c>
      <c r="J1531" s="3">
        <f t="shared" si="244"/>
        <v>3941111.7364267809</v>
      </c>
      <c r="K1531" s="24">
        <v>6000000</v>
      </c>
      <c r="L1531" s="24">
        <f t="shared" si="248"/>
        <v>400605.66666229628</v>
      </c>
    </row>
    <row r="1532" spans="2:12" x14ac:dyDescent="0.35">
      <c r="B1532" s="1">
        <v>18</v>
      </c>
      <c r="C1532" s="22">
        <v>45231</v>
      </c>
      <c r="D1532" s="22">
        <v>45260</v>
      </c>
      <c r="E1532" s="23">
        <f t="shared" si="242"/>
        <v>30</v>
      </c>
      <c r="F1532" s="3">
        <f t="shared" si="245"/>
        <v>3941111.7364267809</v>
      </c>
      <c r="G1532" s="3">
        <f t="shared" si="247"/>
        <v>581938.89743556129</v>
      </c>
      <c r="H1532" s="3">
        <f t="shared" si="246"/>
        <v>32842.597803556506</v>
      </c>
      <c r="I1532" s="3">
        <f t="shared" si="243"/>
        <v>549096.29963200481</v>
      </c>
      <c r="J1532" s="3">
        <f t="shared" si="244"/>
        <v>3392015.436794776</v>
      </c>
      <c r="K1532" s="24">
        <v>401000</v>
      </c>
      <c r="L1532" s="24">
        <f t="shared" si="248"/>
        <v>581544.56409785757</v>
      </c>
    </row>
    <row r="1533" spans="2:12" x14ac:dyDescent="0.35">
      <c r="B1533" s="1">
        <v>19</v>
      </c>
      <c r="C1533" s="22">
        <v>45261</v>
      </c>
      <c r="D1533" s="22">
        <v>45291</v>
      </c>
      <c r="E1533" s="23">
        <f t="shared" si="242"/>
        <v>31</v>
      </c>
      <c r="F1533" s="3">
        <f t="shared" si="245"/>
        <v>3392015.436794776</v>
      </c>
      <c r="G1533" s="3">
        <f t="shared" si="247"/>
        <v>581938.89743556129</v>
      </c>
      <c r="H1533" s="3">
        <f t="shared" si="246"/>
        <v>28266.795306623131</v>
      </c>
      <c r="I1533" s="3">
        <f t="shared" si="243"/>
        <v>553672.10212893819</v>
      </c>
      <c r="J1533" s="3">
        <f t="shared" si="244"/>
        <v>2838343.3346658377</v>
      </c>
      <c r="K1533" s="24"/>
      <c r="L1533" s="24">
        <f t="shared" si="248"/>
        <v>1163483.4615334189</v>
      </c>
    </row>
    <row r="1534" spans="2:12" x14ac:dyDescent="0.35">
      <c r="B1534" s="1">
        <v>20</v>
      </c>
      <c r="C1534" s="22">
        <v>45292</v>
      </c>
      <c r="D1534" s="22">
        <v>45322</v>
      </c>
      <c r="E1534" s="23">
        <f t="shared" si="242"/>
        <v>31</v>
      </c>
      <c r="F1534" s="3">
        <f t="shared" si="245"/>
        <v>2838343.3346658377</v>
      </c>
      <c r="G1534" s="3">
        <f t="shared" si="247"/>
        <v>581938.89743556129</v>
      </c>
      <c r="H1534" s="3">
        <f t="shared" si="246"/>
        <v>23652.861122215312</v>
      </c>
      <c r="I1534" s="3">
        <f t="shared" si="243"/>
        <v>558286.03631334601</v>
      </c>
      <c r="J1534" s="3">
        <f t="shared" si="244"/>
        <v>2280057.2983524916</v>
      </c>
      <c r="K1534" s="24"/>
      <c r="L1534" s="24">
        <f t="shared" si="248"/>
        <v>1745422.3589689801</v>
      </c>
    </row>
    <row r="1535" spans="2:12" x14ac:dyDescent="0.35">
      <c r="B1535" s="1">
        <v>21</v>
      </c>
      <c r="C1535" s="22">
        <v>45323</v>
      </c>
      <c r="D1535" s="22">
        <v>45350</v>
      </c>
      <c r="E1535" s="23">
        <f t="shared" si="242"/>
        <v>28</v>
      </c>
      <c r="F1535" s="3">
        <f t="shared" si="245"/>
        <v>2280057.2983524916</v>
      </c>
      <c r="G1535" s="3">
        <f t="shared" si="247"/>
        <v>581938.89743556129</v>
      </c>
      <c r="H1535" s="3">
        <f t="shared" si="246"/>
        <v>19000.477486270764</v>
      </c>
      <c r="I1535" s="3">
        <f t="shared" si="243"/>
        <v>562938.41994929058</v>
      </c>
      <c r="J1535" s="3">
        <f t="shared" si="244"/>
        <v>1717118.878403201</v>
      </c>
      <c r="K1535" s="24">
        <v>1750000</v>
      </c>
      <c r="L1535" s="24">
        <f t="shared" si="248"/>
        <v>577361.25640454143</v>
      </c>
    </row>
    <row r="1536" spans="2:12" x14ac:dyDescent="0.35">
      <c r="B1536" s="1">
        <v>22</v>
      </c>
      <c r="C1536" s="22">
        <v>45352</v>
      </c>
      <c r="D1536" s="22">
        <v>45382</v>
      </c>
      <c r="E1536" s="23">
        <f t="shared" si="242"/>
        <v>31</v>
      </c>
      <c r="F1536" s="3">
        <f t="shared" si="245"/>
        <v>1717118.878403201</v>
      </c>
      <c r="G1536" s="3">
        <f t="shared" si="247"/>
        <v>581938.89743556129</v>
      </c>
      <c r="H1536" s="3">
        <f t="shared" si="246"/>
        <v>14309.323986693342</v>
      </c>
      <c r="I1536" s="3">
        <f t="shared" si="243"/>
        <v>567629.573448868</v>
      </c>
      <c r="J1536" s="3">
        <f t="shared" si="244"/>
        <v>1149489.304954333</v>
      </c>
      <c r="K1536" s="24"/>
      <c r="L1536" s="24">
        <f t="shared" si="248"/>
        <v>1159300.1538401027</v>
      </c>
    </row>
    <row r="1537" spans="2:19" x14ac:dyDescent="0.35">
      <c r="B1537" s="1">
        <v>23</v>
      </c>
      <c r="C1537" s="22">
        <v>45383</v>
      </c>
      <c r="D1537" s="22">
        <v>45412</v>
      </c>
      <c r="E1537" s="23">
        <f t="shared" si="242"/>
        <v>30</v>
      </c>
      <c r="F1537" s="3">
        <f t="shared" si="245"/>
        <v>1149489.304954333</v>
      </c>
      <c r="G1537" s="3">
        <f t="shared" si="247"/>
        <v>581938.89743556129</v>
      </c>
      <c r="H1537" s="3">
        <f t="shared" si="246"/>
        <v>9579.0775412861076</v>
      </c>
      <c r="I1537" s="3">
        <f t="shared" si="243"/>
        <v>572359.81989427516</v>
      </c>
      <c r="J1537" s="3">
        <f t="shared" si="244"/>
        <v>577129.48506005784</v>
      </c>
      <c r="K1537" s="24">
        <v>2200000</v>
      </c>
      <c r="L1537" s="24">
        <f t="shared" si="248"/>
        <v>-458760.94872433599</v>
      </c>
    </row>
    <row r="1538" spans="2:19" x14ac:dyDescent="0.35">
      <c r="B1538" s="1">
        <v>24</v>
      </c>
      <c r="C1538" s="22">
        <v>45413</v>
      </c>
      <c r="D1538" s="22">
        <v>45443</v>
      </c>
      <c r="E1538" s="23">
        <f t="shared" si="242"/>
        <v>31</v>
      </c>
      <c r="F1538" s="3">
        <f t="shared" si="245"/>
        <v>577129.48506005784</v>
      </c>
      <c r="G1538" s="3">
        <f t="shared" si="247"/>
        <v>581938.89743556129</v>
      </c>
      <c r="H1538" s="3">
        <f t="shared" si="246"/>
        <v>4809.4123755004821</v>
      </c>
      <c r="I1538" s="3">
        <f t="shared" si="243"/>
        <v>577129.48506006086</v>
      </c>
      <c r="J1538" s="3">
        <f t="shared" si="244"/>
        <v>-3.0267983675003052E-9</v>
      </c>
      <c r="K1538" s="24">
        <f>109500+8600</f>
        <v>118100</v>
      </c>
      <c r="L1538" s="205">
        <f t="shared" si="248"/>
        <v>5077.9487112252973</v>
      </c>
    </row>
    <row r="1539" spans="2:19" ht="14.25" customHeight="1" x14ac:dyDescent="0.35">
      <c r="B1539" s="1"/>
      <c r="C1539" s="1"/>
      <c r="D1539" s="1"/>
      <c r="E1539" s="28">
        <f>SUM(E1515:E1538)</f>
        <v>728</v>
      </c>
      <c r="F1539" s="3"/>
      <c r="G1539" s="3"/>
      <c r="H1539" s="3"/>
      <c r="I1539" s="3"/>
      <c r="J1539" s="3"/>
      <c r="K1539" s="1"/>
      <c r="L1539" s="1"/>
    </row>
    <row r="1540" spans="2:19" x14ac:dyDescent="0.35">
      <c r="C1540" s="253" t="s">
        <v>897</v>
      </c>
      <c r="D1540" s="253"/>
      <c r="E1540" s="253"/>
      <c r="F1540" s="273"/>
      <c r="G1540" s="273"/>
    </row>
    <row r="1542" spans="2:19" x14ac:dyDescent="0.35">
      <c r="L1542" s="7"/>
    </row>
    <row r="1544" spans="2:19" x14ac:dyDescent="0.35">
      <c r="B1544" s="1"/>
      <c r="C1544" s="8" t="s">
        <v>594</v>
      </c>
      <c r="D1544" s="3"/>
      <c r="E1544" s="3"/>
      <c r="F1544" s="3"/>
      <c r="G1544" s="3"/>
      <c r="H1544" s="3"/>
      <c r="I1544" s="3"/>
      <c r="J1544" s="3"/>
      <c r="K1544" s="3"/>
      <c r="L1544" s="3"/>
      <c r="R1544" s="438" t="s">
        <v>832</v>
      </c>
      <c r="S1544" s="432" t="str">
        <f>IFERROR(INDEX(Blocks!$I$2:$I$101,MATCH(25,Blocks!$A$2:$A$101,0)),"")</f>
        <v>000104450000026</v>
      </c>
    </row>
    <row r="1545" spans="2:19" x14ac:dyDescent="0.35">
      <c r="B1545" s="1"/>
      <c r="C1545" s="1"/>
      <c r="D1545" s="3"/>
      <c r="E1545" s="3"/>
      <c r="F1545" s="3"/>
      <c r="G1545" s="3"/>
      <c r="H1545" s="3"/>
      <c r="I1545" s="3"/>
      <c r="J1545" s="3"/>
      <c r="K1545" s="3"/>
      <c r="L1545" s="3"/>
      <c r="R1545" s="438" t="s">
        <v>834</v>
      </c>
      <c r="S1545" s="432" t="str">
        <f>IFERROR(INDEX(Blocks!$H$2:$H$101,MATCH(25,Blocks!$A$2:$A$101,0)),"")</f>
        <v>Mawindo Enterprise</v>
      </c>
    </row>
    <row r="1546" spans="2:19" x14ac:dyDescent="0.35">
      <c r="B1546" s="1"/>
      <c r="C1546" s="9" t="s">
        <v>835</v>
      </c>
      <c r="D1546" s="10">
        <v>20000000</v>
      </c>
      <c r="E1546" s="3"/>
      <c r="F1546" s="3"/>
      <c r="G1546" s="3"/>
      <c r="H1546" s="3"/>
      <c r="I1546" s="3"/>
      <c r="J1546" s="3"/>
      <c r="K1546" s="3"/>
      <c r="L1546" s="3"/>
      <c r="R1546" s="438" t="s">
        <v>223</v>
      </c>
      <c r="S1546" s="433">
        <f>IFERROR(INDEX('E-Banker master'!$N$2:$N$186,MATCH(S1544,'E-Banker master'!$A$2:$A$186,0)),"")</f>
        <v>0</v>
      </c>
    </row>
    <row r="1547" spans="2:19" x14ac:dyDescent="0.35">
      <c r="B1547" s="1"/>
      <c r="C1547" s="11" t="s">
        <v>837</v>
      </c>
      <c r="D1547" s="12">
        <v>0.1</v>
      </c>
      <c r="E1547" s="13"/>
      <c r="F1547" s="3"/>
      <c r="G1547" s="3"/>
      <c r="H1547" s="3"/>
      <c r="I1547" s="3"/>
      <c r="J1547" s="3"/>
      <c r="K1547" s="3"/>
      <c r="L1547" s="3"/>
      <c r="R1547" s="438" t="s">
        <v>52</v>
      </c>
      <c r="S1547" s="433">
        <f>IFERROR(INDEX('E-Banker master'!$P$2:$P$186,MATCH(S1544,'E-Banker master'!$A$2:$A$186,0)),"")</f>
        <v>0</v>
      </c>
    </row>
    <row r="1548" spans="2:19" x14ac:dyDescent="0.35">
      <c r="B1548" s="1"/>
      <c r="C1548" s="11" t="s">
        <v>838</v>
      </c>
      <c r="D1548" s="14">
        <v>2</v>
      </c>
      <c r="E1548" s="1"/>
      <c r="F1548" s="3"/>
      <c r="G1548" s="3"/>
      <c r="H1548" s="3"/>
      <c r="I1548" s="3"/>
      <c r="J1548" s="3"/>
      <c r="K1548" s="1"/>
      <c r="L1548" s="1"/>
    </row>
    <row r="1549" spans="2:19" x14ac:dyDescent="0.35">
      <c r="B1549" s="1"/>
      <c r="C1549" s="11" t="s">
        <v>839</v>
      </c>
      <c r="D1549" s="14">
        <v>12</v>
      </c>
      <c r="E1549" s="1"/>
      <c r="F1549" s="3"/>
      <c r="G1549" s="3"/>
      <c r="H1549" s="3"/>
      <c r="I1549" s="3"/>
      <c r="J1549" s="3"/>
      <c r="K1549" s="1"/>
      <c r="L1549" s="1"/>
    </row>
    <row r="1550" spans="2:19" x14ac:dyDescent="0.35">
      <c r="B1550" s="1"/>
      <c r="C1550" s="11" t="s">
        <v>843</v>
      </c>
      <c r="D1550" s="15">
        <f>D1548*D1549</f>
        <v>24</v>
      </c>
      <c r="E1550" s="1"/>
      <c r="F1550" s="3"/>
      <c r="G1550" s="3"/>
      <c r="H1550" s="3"/>
      <c r="I1550" s="3"/>
      <c r="J1550" s="3"/>
      <c r="K1550" s="1"/>
      <c r="L1550" s="1"/>
    </row>
    <row r="1551" spans="2:19" x14ac:dyDescent="0.35">
      <c r="B1551" s="1"/>
      <c r="C1551" s="11" t="s">
        <v>844</v>
      </c>
      <c r="D1551" s="16">
        <v>365</v>
      </c>
      <c r="E1551" s="1"/>
      <c r="F1551" s="3"/>
      <c r="G1551" s="3"/>
      <c r="H1551" s="3"/>
      <c r="I1551" s="3"/>
      <c r="J1551" s="3"/>
      <c r="K1551" s="1"/>
      <c r="L1551" s="1"/>
    </row>
    <row r="1552" spans="2:19" x14ac:dyDescent="0.35">
      <c r="B1552" s="1"/>
      <c r="C1552" s="17" t="s">
        <v>845</v>
      </c>
      <c r="D1552" s="18">
        <f>-PMT(D1547/D1549,D1550,D1546,0,0)</f>
        <v>922898.52675033011</v>
      </c>
      <c r="E1552" s="3"/>
      <c r="F1552" s="3"/>
      <c r="G1552" s="3"/>
      <c r="H1552" s="3"/>
      <c r="I1552" s="3"/>
      <c r="J1552" s="3"/>
      <c r="K1552" s="1"/>
      <c r="L1552" s="1"/>
    </row>
    <row r="1553" spans="2:12" x14ac:dyDescent="0.35">
      <c r="B1553" s="1"/>
      <c r="C1553" s="1"/>
      <c r="D1553" s="3"/>
      <c r="E1553" s="3"/>
      <c r="F1553" s="3"/>
      <c r="G1553" s="3"/>
      <c r="H1553" s="3"/>
      <c r="I1553" s="3"/>
      <c r="J1553" s="3"/>
      <c r="K1553" s="1"/>
      <c r="L1553" s="1"/>
    </row>
    <row r="1554" spans="2:12" x14ac:dyDescent="0.35">
      <c r="B1554" s="1"/>
      <c r="C1554" s="19" t="s">
        <v>846</v>
      </c>
      <c r="D1554" s="20" t="s">
        <v>847</v>
      </c>
      <c r="E1554" s="20" t="s">
        <v>764</v>
      </c>
      <c r="F1554" s="270" t="s">
        <v>848</v>
      </c>
      <c r="G1554" s="270" t="s">
        <v>849</v>
      </c>
      <c r="H1554" s="270" t="s">
        <v>742</v>
      </c>
      <c r="I1554" s="270" t="s">
        <v>740</v>
      </c>
      <c r="J1554" s="270" t="s">
        <v>850</v>
      </c>
      <c r="K1554" s="21" t="s">
        <v>851</v>
      </c>
      <c r="L1554" s="21" t="s">
        <v>852</v>
      </c>
    </row>
    <row r="1555" spans="2:12" x14ac:dyDescent="0.35">
      <c r="B1555" s="1">
        <v>1</v>
      </c>
      <c r="C1555" s="22">
        <v>44715</v>
      </c>
      <c r="D1555" s="22">
        <v>44742</v>
      </c>
      <c r="E1555" s="23">
        <f t="shared" ref="E1555:E1578" si="249">D1555-C1555+1</f>
        <v>28</v>
      </c>
      <c r="F1555" s="3">
        <f>D1546</f>
        <v>20000000</v>
      </c>
      <c r="G1555" s="3"/>
      <c r="H1555" s="3">
        <f>$D$1547/$D$1549*F1555*28/30</f>
        <v>155555.55555555553</v>
      </c>
      <c r="I1555" s="3">
        <f t="shared" ref="I1555:I1578" si="250">G1555-H1555</f>
        <v>-155555.55555555553</v>
      </c>
      <c r="J1555" s="3">
        <f t="shared" ref="J1555:J1578" si="251">F1555-I1555</f>
        <v>20155555.555555556</v>
      </c>
      <c r="K1555" s="24"/>
      <c r="L1555" s="24"/>
    </row>
    <row r="1556" spans="2:12" x14ac:dyDescent="0.35">
      <c r="B1556" s="1">
        <v>2</v>
      </c>
      <c r="C1556" s="22">
        <v>44743</v>
      </c>
      <c r="D1556" s="22">
        <v>44773</v>
      </c>
      <c r="E1556" s="23">
        <f t="shared" si="249"/>
        <v>31</v>
      </c>
      <c r="F1556" s="3">
        <f t="shared" ref="F1556:F1578" si="252">J1555</f>
        <v>20155555.555555556</v>
      </c>
      <c r="G1556" s="3"/>
      <c r="H1556" s="3">
        <f t="shared" ref="H1556:H1578" si="253">$D$1547/$D$1549*F1556</f>
        <v>167962.96296296298</v>
      </c>
      <c r="I1556" s="3">
        <f t="shared" si="250"/>
        <v>-167962.96296296298</v>
      </c>
      <c r="J1556" s="3">
        <f t="shared" si="251"/>
        <v>20323518.518518519</v>
      </c>
      <c r="K1556" s="24"/>
      <c r="L1556" s="24"/>
    </row>
    <row r="1557" spans="2:12" x14ac:dyDescent="0.35">
      <c r="B1557" s="1">
        <v>3</v>
      </c>
      <c r="C1557" s="22">
        <v>44774</v>
      </c>
      <c r="D1557" s="22">
        <v>44804</v>
      </c>
      <c r="E1557" s="23">
        <f t="shared" si="249"/>
        <v>31</v>
      </c>
      <c r="F1557" s="3">
        <f t="shared" si="252"/>
        <v>20323518.518518519</v>
      </c>
      <c r="G1557" s="3"/>
      <c r="H1557" s="3">
        <f t="shared" si="253"/>
        <v>169362.65432098764</v>
      </c>
      <c r="I1557" s="3">
        <f t="shared" si="250"/>
        <v>-169362.65432098764</v>
      </c>
      <c r="J1557" s="3">
        <f t="shared" si="251"/>
        <v>20492881.172839507</v>
      </c>
      <c r="K1557" s="3">
        <v>1069000</v>
      </c>
    </row>
    <row r="1558" spans="2:12" x14ac:dyDescent="0.35">
      <c r="B1558" s="1">
        <v>4</v>
      </c>
      <c r="C1558" s="22">
        <v>44805</v>
      </c>
      <c r="D1558" s="22">
        <v>44834</v>
      </c>
      <c r="E1558" s="23">
        <f t="shared" si="249"/>
        <v>30</v>
      </c>
      <c r="F1558" s="3">
        <f t="shared" si="252"/>
        <v>20492881.172839507</v>
      </c>
      <c r="G1558" s="3">
        <f t="shared" ref="G1558:G1578" si="254">-PMT($D$1547/$D$1549,21,$F$1558,,0)</f>
        <v>1067777.7934597456</v>
      </c>
      <c r="H1558" s="3">
        <f t="shared" si="253"/>
        <v>170774.00977366255</v>
      </c>
      <c r="I1558" s="3">
        <f t="shared" si="250"/>
        <v>897003.78368608304</v>
      </c>
      <c r="J1558" s="3">
        <f t="shared" si="251"/>
        <v>19595877.389153425</v>
      </c>
      <c r="K1558" s="24">
        <v>1069000</v>
      </c>
      <c r="L1558" s="24"/>
    </row>
    <row r="1559" spans="2:12" x14ac:dyDescent="0.35">
      <c r="B1559" s="1">
        <v>5</v>
      </c>
      <c r="C1559" s="22">
        <v>44835</v>
      </c>
      <c r="D1559" s="22">
        <v>44865</v>
      </c>
      <c r="E1559" s="23">
        <f t="shared" si="249"/>
        <v>31</v>
      </c>
      <c r="F1559" s="3">
        <f t="shared" si="252"/>
        <v>19595877.389153425</v>
      </c>
      <c r="G1559" s="3">
        <f t="shared" si="254"/>
        <v>1067777.7934597456</v>
      </c>
      <c r="H1559" s="3">
        <f t="shared" si="253"/>
        <v>163298.97824294522</v>
      </c>
      <c r="I1559" s="3">
        <f t="shared" si="250"/>
        <v>904478.81521680043</v>
      </c>
      <c r="J1559" s="3">
        <f t="shared" si="251"/>
        <v>18691398.573936623</v>
      </c>
      <c r="K1559" s="24">
        <v>1069000</v>
      </c>
      <c r="L1559" s="24"/>
    </row>
    <row r="1560" spans="2:12" x14ac:dyDescent="0.35">
      <c r="B1560" s="1">
        <v>6</v>
      </c>
      <c r="C1560" s="22">
        <v>44866</v>
      </c>
      <c r="D1560" s="22">
        <v>44895</v>
      </c>
      <c r="E1560" s="23">
        <f t="shared" si="249"/>
        <v>30</v>
      </c>
      <c r="F1560" s="3">
        <f t="shared" si="252"/>
        <v>18691398.573936623</v>
      </c>
      <c r="G1560" s="3">
        <f t="shared" si="254"/>
        <v>1067777.7934597456</v>
      </c>
      <c r="H1560" s="3">
        <f t="shared" si="253"/>
        <v>155761.65478280518</v>
      </c>
      <c r="I1560" s="3">
        <f t="shared" si="250"/>
        <v>912016.13867694046</v>
      </c>
      <c r="J1560" s="3">
        <f t="shared" si="251"/>
        <v>17779382.435259681</v>
      </c>
      <c r="K1560" s="24">
        <v>1069000</v>
      </c>
      <c r="L1560" s="24"/>
    </row>
    <row r="1561" spans="2:12" x14ac:dyDescent="0.35">
      <c r="B1561" s="1">
        <v>7</v>
      </c>
      <c r="C1561" s="22">
        <v>44896</v>
      </c>
      <c r="D1561" s="22">
        <v>44926</v>
      </c>
      <c r="E1561" s="23">
        <f t="shared" si="249"/>
        <v>31</v>
      </c>
      <c r="F1561" s="3">
        <f t="shared" si="252"/>
        <v>17779382.435259681</v>
      </c>
      <c r="G1561" s="3">
        <f t="shared" si="254"/>
        <v>1067777.7934597456</v>
      </c>
      <c r="H1561" s="3">
        <f t="shared" si="253"/>
        <v>148161.52029383066</v>
      </c>
      <c r="I1561" s="3">
        <f t="shared" si="250"/>
        <v>919616.27316591493</v>
      </c>
      <c r="J1561" s="3">
        <f t="shared" si="251"/>
        <v>16859766.162093766</v>
      </c>
      <c r="K1561" s="24">
        <v>1069000</v>
      </c>
      <c r="L1561" s="26"/>
    </row>
    <row r="1562" spans="2:12" x14ac:dyDescent="0.35">
      <c r="B1562" s="1">
        <v>8</v>
      </c>
      <c r="C1562" s="22">
        <v>44927</v>
      </c>
      <c r="D1562" s="22">
        <v>44957</v>
      </c>
      <c r="E1562" s="23">
        <f t="shared" si="249"/>
        <v>31</v>
      </c>
      <c r="F1562" s="3">
        <f t="shared" si="252"/>
        <v>16859766.162093766</v>
      </c>
      <c r="G1562" s="3">
        <f t="shared" si="254"/>
        <v>1067777.7934597456</v>
      </c>
      <c r="H1562" s="3">
        <f t="shared" si="253"/>
        <v>140498.05135078137</v>
      </c>
      <c r="I1562" s="3">
        <f t="shared" si="250"/>
        <v>927279.74210896424</v>
      </c>
      <c r="J1562" s="3">
        <f t="shared" si="251"/>
        <v>15932486.419984803</v>
      </c>
      <c r="K1562" s="24">
        <v>1069000</v>
      </c>
      <c r="L1562" s="24"/>
    </row>
    <row r="1563" spans="2:12" x14ac:dyDescent="0.35">
      <c r="B1563" s="1">
        <v>9</v>
      </c>
      <c r="C1563" s="22">
        <v>44958</v>
      </c>
      <c r="D1563" s="22">
        <v>44985</v>
      </c>
      <c r="E1563" s="23">
        <f t="shared" si="249"/>
        <v>28</v>
      </c>
      <c r="F1563" s="3">
        <f t="shared" si="252"/>
        <v>15932486.419984803</v>
      </c>
      <c r="G1563" s="3">
        <f t="shared" si="254"/>
        <v>1067777.7934597456</v>
      </c>
      <c r="H1563" s="3">
        <f t="shared" si="253"/>
        <v>132770.72016654001</v>
      </c>
      <c r="I1563" s="3">
        <f t="shared" si="250"/>
        <v>935007.07329320558</v>
      </c>
      <c r="J1563" s="3">
        <f t="shared" si="251"/>
        <v>14997479.346691597</v>
      </c>
      <c r="K1563" s="24">
        <v>1070000</v>
      </c>
      <c r="L1563" s="24"/>
    </row>
    <row r="1564" spans="2:12" x14ac:dyDescent="0.35">
      <c r="B1564" s="1">
        <v>10</v>
      </c>
      <c r="C1564" s="22">
        <v>44986</v>
      </c>
      <c r="D1564" s="22">
        <v>45016</v>
      </c>
      <c r="E1564" s="23">
        <f t="shared" si="249"/>
        <v>31</v>
      </c>
      <c r="F1564" s="3">
        <f t="shared" si="252"/>
        <v>14997479.346691597</v>
      </c>
      <c r="G1564" s="3">
        <f t="shared" si="254"/>
        <v>1067777.7934597456</v>
      </c>
      <c r="H1564" s="3">
        <f t="shared" si="253"/>
        <v>124978.9945557633</v>
      </c>
      <c r="I1564" s="3">
        <f t="shared" si="250"/>
        <v>942798.79890398227</v>
      </c>
      <c r="J1564" s="3">
        <f t="shared" si="251"/>
        <v>14054680.547787614</v>
      </c>
      <c r="K1564" s="24">
        <v>1069000</v>
      </c>
      <c r="L1564" s="26"/>
    </row>
    <row r="1565" spans="2:12" x14ac:dyDescent="0.35">
      <c r="B1565" s="1">
        <v>11</v>
      </c>
      <c r="C1565" s="22">
        <v>45017</v>
      </c>
      <c r="D1565" s="22">
        <v>45046</v>
      </c>
      <c r="E1565" s="23">
        <f t="shared" si="249"/>
        <v>30</v>
      </c>
      <c r="F1565" s="3">
        <f t="shared" si="252"/>
        <v>14054680.547787614</v>
      </c>
      <c r="G1565" s="3">
        <f t="shared" si="254"/>
        <v>1067777.7934597456</v>
      </c>
      <c r="H1565" s="3">
        <f t="shared" si="253"/>
        <v>117122.33789823012</v>
      </c>
      <c r="I1565" s="3">
        <f t="shared" si="250"/>
        <v>950655.45556151541</v>
      </c>
      <c r="J1565" s="3">
        <f t="shared" si="251"/>
        <v>13104025.092226099</v>
      </c>
      <c r="K1565" s="24">
        <v>1069000</v>
      </c>
      <c r="L1565" s="24"/>
    </row>
    <row r="1566" spans="2:12" x14ac:dyDescent="0.35">
      <c r="B1566" s="1">
        <v>12</v>
      </c>
      <c r="C1566" s="22">
        <v>45047</v>
      </c>
      <c r="D1566" s="22">
        <v>45077</v>
      </c>
      <c r="E1566" s="23">
        <f t="shared" si="249"/>
        <v>31</v>
      </c>
      <c r="F1566" s="3">
        <f t="shared" si="252"/>
        <v>13104025.092226099</v>
      </c>
      <c r="G1566" s="3">
        <f t="shared" si="254"/>
        <v>1067777.7934597456</v>
      </c>
      <c r="H1566" s="3">
        <f t="shared" si="253"/>
        <v>109200.20910188416</v>
      </c>
      <c r="I1566" s="3">
        <f t="shared" si="250"/>
        <v>958577.58435786143</v>
      </c>
      <c r="J1566" s="3">
        <f t="shared" si="251"/>
        <v>12145447.507868238</v>
      </c>
      <c r="K1566" s="24">
        <f>1070000+1069000</f>
        <v>2139000</v>
      </c>
      <c r="L1566" s="24"/>
    </row>
    <row r="1567" spans="2:12" x14ac:dyDescent="0.35">
      <c r="B1567" s="1">
        <v>13</v>
      </c>
      <c r="C1567" s="22">
        <v>45078</v>
      </c>
      <c r="D1567" s="22">
        <v>45107</v>
      </c>
      <c r="E1567" s="23">
        <f t="shared" si="249"/>
        <v>30</v>
      </c>
      <c r="F1567" s="3">
        <f t="shared" si="252"/>
        <v>12145447.507868238</v>
      </c>
      <c r="G1567" s="3">
        <f t="shared" si="254"/>
        <v>1067777.7934597456</v>
      </c>
      <c r="H1567" s="3">
        <f t="shared" si="253"/>
        <v>101212.06256556865</v>
      </c>
      <c r="I1567" s="3">
        <f t="shared" si="250"/>
        <v>966565.73089417699</v>
      </c>
      <c r="J1567" s="3">
        <f t="shared" si="251"/>
        <v>11178881.776974062</v>
      </c>
      <c r="K1567" s="24"/>
      <c r="L1567" s="24"/>
    </row>
    <row r="1568" spans="2:12" x14ac:dyDescent="0.35">
      <c r="B1568" s="1">
        <v>14</v>
      </c>
      <c r="C1568" s="22">
        <v>45108</v>
      </c>
      <c r="D1568" s="22">
        <v>45138</v>
      </c>
      <c r="E1568" s="23">
        <f t="shared" si="249"/>
        <v>31</v>
      </c>
      <c r="F1568" s="3">
        <f t="shared" si="252"/>
        <v>11178881.776974062</v>
      </c>
      <c r="G1568" s="3">
        <f t="shared" si="254"/>
        <v>1067777.7934597456</v>
      </c>
      <c r="H1568" s="3">
        <f t="shared" si="253"/>
        <v>93157.348141450508</v>
      </c>
      <c r="I1568" s="3">
        <f t="shared" si="250"/>
        <v>974620.44531829504</v>
      </c>
      <c r="J1568" s="3">
        <f t="shared" si="251"/>
        <v>10204261.331655767</v>
      </c>
      <c r="K1568" s="24">
        <v>1069000</v>
      </c>
      <c r="L1568" s="24"/>
    </row>
    <row r="1569" spans="2:19" x14ac:dyDescent="0.35">
      <c r="B1569" s="1">
        <v>15</v>
      </c>
      <c r="C1569" s="22">
        <v>45139</v>
      </c>
      <c r="D1569" s="22">
        <v>45169</v>
      </c>
      <c r="E1569" s="23">
        <f t="shared" si="249"/>
        <v>31</v>
      </c>
      <c r="F1569" s="3">
        <f t="shared" si="252"/>
        <v>10204261.331655767</v>
      </c>
      <c r="G1569" s="3">
        <f t="shared" si="254"/>
        <v>1067777.7934597456</v>
      </c>
      <c r="H1569" s="3">
        <f t="shared" si="253"/>
        <v>85035.511097131384</v>
      </c>
      <c r="I1569" s="3">
        <f t="shared" si="250"/>
        <v>982742.28236261418</v>
      </c>
      <c r="J1569" s="3">
        <f t="shared" si="251"/>
        <v>9221519.049293153</v>
      </c>
      <c r="K1569" s="24">
        <f>1070000+1069000</f>
        <v>2139000</v>
      </c>
      <c r="L1569" s="24"/>
    </row>
    <row r="1570" spans="2:19" x14ac:dyDescent="0.35">
      <c r="B1570" s="1">
        <v>16</v>
      </c>
      <c r="C1570" s="22">
        <v>45170</v>
      </c>
      <c r="D1570" s="22">
        <v>45199</v>
      </c>
      <c r="E1570" s="23">
        <f t="shared" si="249"/>
        <v>30</v>
      </c>
      <c r="F1570" s="3">
        <f t="shared" si="252"/>
        <v>9221519.049293153</v>
      </c>
      <c r="G1570" s="3">
        <f t="shared" si="254"/>
        <v>1067777.7934597456</v>
      </c>
      <c r="H1570" s="3">
        <f t="shared" si="253"/>
        <v>76845.992077442934</v>
      </c>
      <c r="I1570" s="3">
        <f t="shared" si="250"/>
        <v>990931.80138230266</v>
      </c>
      <c r="J1570" s="3">
        <f t="shared" si="251"/>
        <v>8230587.2479108507</v>
      </c>
      <c r="K1570" s="24">
        <v>-1462.61</v>
      </c>
      <c r="L1570" s="24"/>
    </row>
    <row r="1571" spans="2:19" x14ac:dyDescent="0.35">
      <c r="B1571" s="1">
        <v>17</v>
      </c>
      <c r="C1571" s="22">
        <v>45200</v>
      </c>
      <c r="D1571" s="22">
        <v>45230</v>
      </c>
      <c r="E1571" s="23">
        <f t="shared" si="249"/>
        <v>31</v>
      </c>
      <c r="F1571" s="3">
        <f t="shared" si="252"/>
        <v>8230587.2479108507</v>
      </c>
      <c r="G1571" s="3">
        <f t="shared" si="254"/>
        <v>1067777.7934597456</v>
      </c>
      <c r="H1571" s="3">
        <f t="shared" si="253"/>
        <v>68588.227065923755</v>
      </c>
      <c r="I1571" s="3">
        <f t="shared" si="250"/>
        <v>999189.56639382185</v>
      </c>
      <c r="J1571" s="3">
        <f t="shared" si="251"/>
        <v>7231397.6815170292</v>
      </c>
      <c r="K1571" s="24">
        <v>1070000</v>
      </c>
      <c r="L1571" s="24"/>
    </row>
    <row r="1572" spans="2:19" x14ac:dyDescent="0.35">
      <c r="B1572" s="1">
        <v>18</v>
      </c>
      <c r="C1572" s="22">
        <v>45231</v>
      </c>
      <c r="D1572" s="22">
        <v>45260</v>
      </c>
      <c r="E1572" s="23">
        <f t="shared" si="249"/>
        <v>30</v>
      </c>
      <c r="F1572" s="3">
        <f t="shared" si="252"/>
        <v>7231397.6815170292</v>
      </c>
      <c r="G1572" s="3">
        <f t="shared" si="254"/>
        <v>1067777.7934597456</v>
      </c>
      <c r="H1572" s="3">
        <f t="shared" si="253"/>
        <v>60261.647345975245</v>
      </c>
      <c r="I1572" s="3">
        <f t="shared" si="250"/>
        <v>1007516.1461137703</v>
      </c>
      <c r="J1572" s="3">
        <f t="shared" si="251"/>
        <v>6223881.5354032591</v>
      </c>
      <c r="K1572" s="24">
        <f>1070000+1070000</f>
        <v>2140000</v>
      </c>
      <c r="L1572" s="24"/>
    </row>
    <row r="1573" spans="2:19" x14ac:dyDescent="0.35">
      <c r="B1573" s="1">
        <v>19</v>
      </c>
      <c r="C1573" s="22">
        <v>45261</v>
      </c>
      <c r="D1573" s="22">
        <v>45291</v>
      </c>
      <c r="E1573" s="23">
        <f t="shared" si="249"/>
        <v>31</v>
      </c>
      <c r="F1573" s="3">
        <f t="shared" si="252"/>
        <v>6223881.5354032591</v>
      </c>
      <c r="G1573" s="3">
        <f t="shared" si="254"/>
        <v>1067777.7934597456</v>
      </c>
      <c r="H1573" s="3">
        <f t="shared" si="253"/>
        <v>51865.679461693828</v>
      </c>
      <c r="I1573" s="3">
        <f t="shared" si="250"/>
        <v>1015912.1139980517</v>
      </c>
      <c r="J1573" s="3">
        <f t="shared" si="251"/>
        <v>5207969.4214052074</v>
      </c>
      <c r="K1573" s="24">
        <v>1070000</v>
      </c>
      <c r="L1573" s="24"/>
    </row>
    <row r="1574" spans="2:19" x14ac:dyDescent="0.35">
      <c r="B1574" s="1">
        <v>20</v>
      </c>
      <c r="C1574" s="22">
        <v>45292</v>
      </c>
      <c r="D1574" s="22">
        <v>45322</v>
      </c>
      <c r="E1574" s="23">
        <f t="shared" si="249"/>
        <v>31</v>
      </c>
      <c r="F1574" s="3">
        <f t="shared" si="252"/>
        <v>5207969.4214052074</v>
      </c>
      <c r="G1574" s="3">
        <f t="shared" si="254"/>
        <v>1067777.7934597456</v>
      </c>
      <c r="H1574" s="3">
        <f t="shared" si="253"/>
        <v>43399.745178376725</v>
      </c>
      <c r="I1574" s="3">
        <f t="shared" si="250"/>
        <v>1024378.0482813689</v>
      </c>
      <c r="J1574" s="3">
        <f t="shared" si="251"/>
        <v>4183591.3731238386</v>
      </c>
      <c r="K1574" s="24">
        <v>1069000</v>
      </c>
      <c r="L1574" s="24"/>
    </row>
    <row r="1575" spans="2:19" x14ac:dyDescent="0.35">
      <c r="B1575" s="1">
        <v>21</v>
      </c>
      <c r="C1575" s="22">
        <v>45323</v>
      </c>
      <c r="D1575" s="22">
        <v>45350</v>
      </c>
      <c r="E1575" s="23">
        <f t="shared" si="249"/>
        <v>28</v>
      </c>
      <c r="F1575" s="3">
        <f t="shared" si="252"/>
        <v>4183591.3731238386</v>
      </c>
      <c r="G1575" s="3">
        <f t="shared" si="254"/>
        <v>1067777.7934597456</v>
      </c>
      <c r="H1575" s="3">
        <f t="shared" si="253"/>
        <v>34863.261442698655</v>
      </c>
      <c r="I1575" s="3">
        <f t="shared" si="250"/>
        <v>1032914.5320170469</v>
      </c>
      <c r="J1575" s="3">
        <f t="shared" si="251"/>
        <v>3150676.8411067915</v>
      </c>
      <c r="K1575" s="24">
        <v>1070000</v>
      </c>
      <c r="L1575" s="24"/>
    </row>
    <row r="1576" spans="2:19" x14ac:dyDescent="0.35">
      <c r="B1576" s="1">
        <v>22</v>
      </c>
      <c r="C1576" s="22">
        <v>45352</v>
      </c>
      <c r="D1576" s="22">
        <v>45382</v>
      </c>
      <c r="E1576" s="23">
        <f t="shared" si="249"/>
        <v>31</v>
      </c>
      <c r="F1576" s="3">
        <f t="shared" si="252"/>
        <v>3150676.8411067915</v>
      </c>
      <c r="G1576" s="3">
        <f t="shared" si="254"/>
        <v>1067777.7934597456</v>
      </c>
      <c r="H1576" s="3">
        <f t="shared" si="253"/>
        <v>26255.640342556595</v>
      </c>
      <c r="I1576" s="3">
        <f t="shared" si="250"/>
        <v>1041522.153117189</v>
      </c>
      <c r="J1576" s="3">
        <f t="shared" si="251"/>
        <v>2109154.6879896028</v>
      </c>
      <c r="K1576" s="24">
        <f>1069000-32184.66</f>
        <v>1036815.34</v>
      </c>
      <c r="L1576" s="24"/>
    </row>
    <row r="1577" spans="2:19" x14ac:dyDescent="0.35">
      <c r="B1577" s="1">
        <v>23</v>
      </c>
      <c r="C1577" s="22">
        <v>45383</v>
      </c>
      <c r="D1577" s="22">
        <v>45412</v>
      </c>
      <c r="E1577" s="23">
        <f t="shared" si="249"/>
        <v>30</v>
      </c>
      <c r="F1577" s="3">
        <f t="shared" si="252"/>
        <v>2109154.6879896028</v>
      </c>
      <c r="G1577" s="3">
        <f t="shared" si="254"/>
        <v>1067777.7934597456</v>
      </c>
      <c r="H1577" s="3">
        <f t="shared" si="253"/>
        <v>17576.289066580022</v>
      </c>
      <c r="I1577" s="3">
        <f t="shared" si="250"/>
        <v>1050201.5043931655</v>
      </c>
      <c r="J1577" s="3">
        <f t="shared" si="251"/>
        <v>1058953.1835964373</v>
      </c>
      <c r="K1577" s="24"/>
      <c r="L1577" s="24"/>
    </row>
    <row r="1578" spans="2:19" x14ac:dyDescent="0.35">
      <c r="B1578" s="1">
        <v>24</v>
      </c>
      <c r="C1578" s="22">
        <v>45413</v>
      </c>
      <c r="D1578" s="22">
        <v>45443</v>
      </c>
      <c r="E1578" s="23">
        <f t="shared" si="249"/>
        <v>31</v>
      </c>
      <c r="F1578" s="3">
        <f t="shared" si="252"/>
        <v>1058953.1835964373</v>
      </c>
      <c r="G1578" s="3">
        <f t="shared" si="254"/>
        <v>1067777.7934597456</v>
      </c>
      <c r="H1578" s="3">
        <f t="shared" si="253"/>
        <v>8824.6098633036436</v>
      </c>
      <c r="I1578" s="3">
        <f t="shared" si="250"/>
        <v>1058953.183596442</v>
      </c>
      <c r="J1578" s="3">
        <f t="shared" si="251"/>
        <v>-4.6566128730773926E-9</v>
      </c>
      <c r="K1578" s="24"/>
      <c r="L1578" s="24"/>
    </row>
    <row r="1579" spans="2:19" ht="14.25" customHeight="1" x14ac:dyDescent="0.35">
      <c r="B1579" s="1"/>
      <c r="C1579" s="1"/>
      <c r="D1579" s="1"/>
      <c r="E1579" s="28">
        <f>SUM(E1555:E1578)</f>
        <v>728</v>
      </c>
      <c r="F1579" s="3"/>
      <c r="G1579" s="3"/>
      <c r="H1579" s="3"/>
      <c r="I1579" s="3"/>
      <c r="J1579" s="3"/>
      <c r="K1579" s="1"/>
      <c r="L1579" s="1"/>
    </row>
    <row r="1584" spans="2:19" x14ac:dyDescent="0.35">
      <c r="B1584" s="1"/>
      <c r="C1584" s="8" t="s">
        <v>786</v>
      </c>
      <c r="D1584" s="3"/>
      <c r="E1584" s="3"/>
      <c r="F1584" s="3"/>
      <c r="G1584" s="3"/>
      <c r="H1584" s="3"/>
      <c r="I1584" s="3"/>
      <c r="J1584" s="3"/>
      <c r="K1584" s="3"/>
      <c r="L1584" s="3"/>
      <c r="R1584" s="438" t="s">
        <v>832</v>
      </c>
      <c r="S1584" s="432" t="str">
        <f>IFERROR(INDEX(Blocks!$I$2:$I$101,MATCH(26,Blocks!$A$2:$A$101,0)),"")</f>
        <v>000104450000027</v>
      </c>
    </row>
    <row r="1585" spans="2:19" x14ac:dyDescent="0.35">
      <c r="B1585" s="1"/>
      <c r="C1585" s="1"/>
      <c r="D1585" s="3"/>
      <c r="E1585" s="3"/>
      <c r="F1585" s="3"/>
      <c r="G1585" s="3"/>
      <c r="H1585" s="3"/>
      <c r="I1585" s="3"/>
      <c r="J1585" s="3"/>
      <c r="K1585" s="3"/>
      <c r="L1585" s="3"/>
      <c r="R1585" s="438" t="s">
        <v>834</v>
      </c>
      <c r="S1585" s="432" t="str">
        <f>IFERROR(INDEX(Blocks!$H$2:$H$101,MATCH(26,Blocks!$A$2:$A$101,0)),"")</f>
        <v>L J Traders &amp; Suppliers</v>
      </c>
    </row>
    <row r="1586" spans="2:19" x14ac:dyDescent="0.35">
      <c r="B1586" s="1"/>
      <c r="C1586" s="9" t="s">
        <v>835</v>
      </c>
      <c r="D1586" s="10">
        <v>10000000</v>
      </c>
      <c r="E1586" s="3"/>
      <c r="F1586" s="3"/>
      <c r="G1586" s="3"/>
      <c r="H1586" s="3"/>
      <c r="I1586" s="3"/>
      <c r="J1586" s="3"/>
      <c r="K1586" s="3"/>
      <c r="L1586" s="3"/>
      <c r="R1586" s="438" t="s">
        <v>223</v>
      </c>
      <c r="S1586" s="433">
        <f>IFERROR(INDEX('E-Banker master'!$N$2:$N$186,MATCH(S1584,'E-Banker master'!$A$2:$A$186,0)),"")</f>
        <v>0</v>
      </c>
    </row>
    <row r="1587" spans="2:19" x14ac:dyDescent="0.35">
      <c r="B1587" s="1"/>
      <c r="C1587" s="11" t="s">
        <v>837</v>
      </c>
      <c r="D1587" s="12">
        <v>0.1</v>
      </c>
      <c r="E1587" s="13"/>
      <c r="F1587" s="3"/>
      <c r="G1587" s="3"/>
      <c r="H1587" s="3"/>
      <c r="I1587" s="3"/>
      <c r="J1587" s="3"/>
      <c r="K1587" s="3"/>
      <c r="L1587" s="3"/>
      <c r="R1587" s="438" t="s">
        <v>52</v>
      </c>
      <c r="S1587" s="433">
        <f>IFERROR(INDEX('E-Banker master'!$P$2:$P$186,MATCH(S1584,'E-Banker master'!$A$2:$A$186,0)),"")</f>
        <v>0</v>
      </c>
    </row>
    <row r="1588" spans="2:19" x14ac:dyDescent="0.35">
      <c r="B1588" s="1"/>
      <c r="C1588" s="11" t="s">
        <v>838</v>
      </c>
      <c r="D1588" s="14">
        <v>2</v>
      </c>
      <c r="E1588" s="1"/>
      <c r="F1588" s="3"/>
      <c r="G1588" s="3"/>
      <c r="H1588" s="3"/>
      <c r="I1588" s="3"/>
      <c r="J1588" s="3"/>
      <c r="K1588" s="1"/>
      <c r="L1588" s="1"/>
    </row>
    <row r="1589" spans="2:19" x14ac:dyDescent="0.35">
      <c r="B1589" s="1"/>
      <c r="C1589" s="11" t="s">
        <v>839</v>
      </c>
      <c r="D1589" s="14">
        <v>12</v>
      </c>
      <c r="E1589" s="1"/>
      <c r="F1589" s="3"/>
      <c r="G1589" s="3"/>
      <c r="H1589" s="3"/>
      <c r="I1589" s="3"/>
      <c r="J1589" s="3"/>
      <c r="K1589" s="1"/>
      <c r="L1589" s="1"/>
    </row>
    <row r="1590" spans="2:19" x14ac:dyDescent="0.35">
      <c r="B1590" s="1"/>
      <c r="C1590" s="11" t="s">
        <v>843</v>
      </c>
      <c r="D1590" s="15">
        <f>D1588*D1589</f>
        <v>24</v>
      </c>
      <c r="E1590" s="1"/>
      <c r="F1590" s="3"/>
      <c r="G1590" s="3"/>
      <c r="H1590" s="3"/>
      <c r="I1590" s="3"/>
      <c r="J1590" s="3"/>
      <c r="K1590" s="1"/>
      <c r="L1590" s="1"/>
    </row>
    <row r="1591" spans="2:19" x14ac:dyDescent="0.35">
      <c r="B1591" s="1"/>
      <c r="C1591" s="11" t="s">
        <v>844</v>
      </c>
      <c r="D1591" s="16">
        <v>365</v>
      </c>
      <c r="E1591" s="1"/>
      <c r="F1591" s="3"/>
      <c r="G1591" s="3"/>
      <c r="H1591" s="3"/>
      <c r="I1591" s="3"/>
      <c r="J1591" s="3"/>
      <c r="K1591" s="1"/>
      <c r="L1591" s="1"/>
    </row>
    <row r="1592" spans="2:19" x14ac:dyDescent="0.35">
      <c r="B1592" s="1"/>
      <c r="C1592" s="17" t="s">
        <v>845</v>
      </c>
      <c r="D1592" s="18">
        <f>-PMT(D1587/D1589,D1590,D1586,0,0)</f>
        <v>461449.26337516506</v>
      </c>
      <c r="E1592" s="3"/>
      <c r="F1592" s="3"/>
      <c r="G1592" s="3"/>
      <c r="H1592" s="3"/>
      <c r="I1592" s="3"/>
      <c r="J1592" s="3"/>
      <c r="K1592" s="1"/>
      <c r="L1592" s="1"/>
    </row>
    <row r="1593" spans="2:19" x14ac:dyDescent="0.35">
      <c r="B1593" s="1"/>
      <c r="C1593" s="1"/>
      <c r="D1593" s="3"/>
      <c r="E1593" s="3"/>
      <c r="F1593" s="3"/>
      <c r="G1593" s="3"/>
      <c r="H1593" s="3"/>
      <c r="I1593" s="3"/>
      <c r="J1593" s="3"/>
      <c r="K1593" s="1"/>
      <c r="L1593" s="1"/>
    </row>
    <row r="1594" spans="2:19" x14ac:dyDescent="0.35">
      <c r="B1594" s="1"/>
      <c r="C1594" s="19" t="s">
        <v>846</v>
      </c>
      <c r="D1594" s="20" t="s">
        <v>847</v>
      </c>
      <c r="E1594" s="20" t="s">
        <v>764</v>
      </c>
      <c r="F1594" s="270" t="s">
        <v>848</v>
      </c>
      <c r="G1594" s="270" t="s">
        <v>849</v>
      </c>
      <c r="H1594" s="270" t="s">
        <v>742</v>
      </c>
      <c r="I1594" s="270" t="s">
        <v>740</v>
      </c>
      <c r="J1594" s="270" t="s">
        <v>850</v>
      </c>
      <c r="K1594" s="21" t="s">
        <v>851</v>
      </c>
      <c r="L1594" s="21" t="s">
        <v>852</v>
      </c>
    </row>
    <row r="1595" spans="2:19" x14ac:dyDescent="0.35">
      <c r="B1595" s="1">
        <v>1</v>
      </c>
      <c r="C1595" s="22">
        <v>44715</v>
      </c>
      <c r="D1595" s="22">
        <v>44742</v>
      </c>
      <c r="E1595" s="23">
        <f t="shared" ref="E1595:E1618" si="255">D1595-C1595+1</f>
        <v>28</v>
      </c>
      <c r="F1595" s="3">
        <f>D1586</f>
        <v>10000000</v>
      </c>
      <c r="G1595" s="3"/>
      <c r="H1595" s="3">
        <f>$D$1587/$D$1589*F1595*28/30</f>
        <v>77777.777777777766</v>
      </c>
      <c r="I1595" s="3">
        <f t="shared" ref="I1595:I1618" si="256">G1595-H1595</f>
        <v>-77777.777777777766</v>
      </c>
      <c r="J1595" s="3">
        <f t="shared" ref="J1595:J1618" si="257">F1595-I1595</f>
        <v>10077777.777777778</v>
      </c>
      <c r="K1595" s="24"/>
      <c r="L1595" s="24"/>
    </row>
    <row r="1596" spans="2:19" x14ac:dyDescent="0.35">
      <c r="B1596" s="1">
        <v>2</v>
      </c>
      <c r="C1596" s="22">
        <v>44743</v>
      </c>
      <c r="D1596" s="22">
        <v>44773</v>
      </c>
      <c r="E1596" s="23">
        <f t="shared" si="255"/>
        <v>31</v>
      </c>
      <c r="F1596" s="3">
        <f t="shared" ref="F1596:F1618" si="258">J1595</f>
        <v>10077777.777777778</v>
      </c>
      <c r="G1596" s="3"/>
      <c r="H1596" s="3">
        <f t="shared" ref="H1596:H1618" si="259">$D$1587/$D$1589*F1596</f>
        <v>83981.481481481489</v>
      </c>
      <c r="I1596" s="3">
        <f t="shared" si="256"/>
        <v>-83981.481481481489</v>
      </c>
      <c r="J1596" s="3">
        <f t="shared" si="257"/>
        <v>10161759.259259259</v>
      </c>
      <c r="K1596" s="24"/>
      <c r="L1596" s="24"/>
    </row>
    <row r="1597" spans="2:19" x14ac:dyDescent="0.35">
      <c r="B1597" s="1">
        <v>3</v>
      </c>
      <c r="C1597" s="22">
        <v>44774</v>
      </c>
      <c r="D1597" s="22">
        <v>44804</v>
      </c>
      <c r="E1597" s="23">
        <f t="shared" si="255"/>
        <v>31</v>
      </c>
      <c r="F1597" s="3">
        <f t="shared" si="258"/>
        <v>10161759.259259259</v>
      </c>
      <c r="G1597" s="3"/>
      <c r="H1597" s="3">
        <f t="shared" si="259"/>
        <v>84681.32716049382</v>
      </c>
      <c r="I1597" s="3">
        <f t="shared" si="256"/>
        <v>-84681.32716049382</v>
      </c>
      <c r="J1597" s="3">
        <f t="shared" si="257"/>
        <v>10246440.586419754</v>
      </c>
    </row>
    <row r="1598" spans="2:19" x14ac:dyDescent="0.35">
      <c r="B1598" s="1">
        <v>4</v>
      </c>
      <c r="C1598" s="22">
        <v>44805</v>
      </c>
      <c r="D1598" s="22">
        <v>44834</v>
      </c>
      <c r="E1598" s="23">
        <f t="shared" si="255"/>
        <v>30</v>
      </c>
      <c r="F1598" s="3">
        <f t="shared" si="258"/>
        <v>10246440.586419754</v>
      </c>
      <c r="G1598" s="3">
        <f t="shared" ref="G1598:G1618" si="260">-PMT($D$1587/$D$1589,21,$F$1598,,0)</f>
        <v>533888.89672987279</v>
      </c>
      <c r="H1598" s="3">
        <f t="shared" si="259"/>
        <v>85387.004886831273</v>
      </c>
      <c r="I1598" s="3">
        <f t="shared" si="256"/>
        <v>448501.89184304152</v>
      </c>
      <c r="J1598" s="3">
        <f t="shared" si="257"/>
        <v>9797938.6945767123</v>
      </c>
      <c r="K1598" s="24"/>
      <c r="L1598" s="24">
        <f>G1598</f>
        <v>533888.89672987279</v>
      </c>
    </row>
    <row r="1599" spans="2:19" x14ac:dyDescent="0.35">
      <c r="B1599" s="1">
        <v>5</v>
      </c>
      <c r="C1599" s="22">
        <v>44835</v>
      </c>
      <c r="D1599" s="22">
        <v>44865</v>
      </c>
      <c r="E1599" s="23">
        <f t="shared" si="255"/>
        <v>31</v>
      </c>
      <c r="F1599" s="3">
        <f t="shared" si="258"/>
        <v>9797938.6945767123</v>
      </c>
      <c r="G1599" s="3">
        <f t="shared" si="260"/>
        <v>533888.89672987279</v>
      </c>
      <c r="H1599" s="3">
        <f t="shared" si="259"/>
        <v>81649.489121472609</v>
      </c>
      <c r="I1599" s="3">
        <f t="shared" si="256"/>
        <v>452239.40760840022</v>
      </c>
      <c r="J1599" s="3">
        <f t="shared" si="257"/>
        <v>9345699.2869683113</v>
      </c>
      <c r="K1599" s="24"/>
      <c r="L1599" s="24">
        <f t="shared" ref="L1599:L1617" si="261">L1598+G1599-K1599</f>
        <v>1067777.7934597456</v>
      </c>
    </row>
    <row r="1600" spans="2:19" x14ac:dyDescent="0.35">
      <c r="B1600" s="1">
        <v>6</v>
      </c>
      <c r="C1600" s="22">
        <v>44866</v>
      </c>
      <c r="D1600" s="22">
        <v>44895</v>
      </c>
      <c r="E1600" s="23">
        <f t="shared" si="255"/>
        <v>30</v>
      </c>
      <c r="F1600" s="3">
        <f t="shared" si="258"/>
        <v>9345699.2869683113</v>
      </c>
      <c r="G1600" s="3">
        <f t="shared" si="260"/>
        <v>533888.89672987279</v>
      </c>
      <c r="H1600" s="3">
        <f t="shared" si="259"/>
        <v>77880.827391402592</v>
      </c>
      <c r="I1600" s="3">
        <f t="shared" si="256"/>
        <v>456008.06933847023</v>
      </c>
      <c r="J1600" s="3">
        <f t="shared" si="257"/>
        <v>8889691.2176298406</v>
      </c>
      <c r="K1600" s="24">
        <v>535000</v>
      </c>
      <c r="L1600" s="24">
        <f t="shared" si="261"/>
        <v>1066666.6901896184</v>
      </c>
    </row>
    <row r="1601" spans="2:12" x14ac:dyDescent="0.35">
      <c r="B1601" s="1">
        <v>7</v>
      </c>
      <c r="C1601" s="22">
        <v>44896</v>
      </c>
      <c r="D1601" s="22">
        <v>44926</v>
      </c>
      <c r="E1601" s="23">
        <f t="shared" si="255"/>
        <v>31</v>
      </c>
      <c r="F1601" s="3">
        <f t="shared" si="258"/>
        <v>8889691.2176298406</v>
      </c>
      <c r="G1601" s="3">
        <f t="shared" si="260"/>
        <v>533888.89672987279</v>
      </c>
      <c r="H1601" s="3">
        <f t="shared" si="259"/>
        <v>74080.760146915331</v>
      </c>
      <c r="I1601" s="3">
        <f t="shared" si="256"/>
        <v>459808.13658295746</v>
      </c>
      <c r="J1601" s="3">
        <f t="shared" si="257"/>
        <v>8429883.081046883</v>
      </c>
      <c r="K1601" s="24">
        <v>1070000</v>
      </c>
      <c r="L1601" s="24">
        <f t="shared" si="261"/>
        <v>530555.58691949118</v>
      </c>
    </row>
    <row r="1602" spans="2:12" x14ac:dyDescent="0.35">
      <c r="B1602" s="1">
        <v>8</v>
      </c>
      <c r="C1602" s="22">
        <v>44927</v>
      </c>
      <c r="D1602" s="22">
        <v>44957</v>
      </c>
      <c r="E1602" s="23">
        <f t="shared" si="255"/>
        <v>31</v>
      </c>
      <c r="F1602" s="3">
        <f t="shared" si="258"/>
        <v>8429883.081046883</v>
      </c>
      <c r="G1602" s="3">
        <f t="shared" si="260"/>
        <v>533888.89672987279</v>
      </c>
      <c r="H1602" s="3">
        <f t="shared" si="259"/>
        <v>70249.025675390687</v>
      </c>
      <c r="I1602" s="3">
        <f t="shared" si="256"/>
        <v>463639.87105448212</v>
      </c>
      <c r="J1602" s="3">
        <f t="shared" si="257"/>
        <v>7966243.2099924013</v>
      </c>
      <c r="K1602" s="24">
        <v>0</v>
      </c>
      <c r="L1602" s="24">
        <f t="shared" si="261"/>
        <v>1064444.483649364</v>
      </c>
    </row>
    <row r="1603" spans="2:12" x14ac:dyDescent="0.35">
      <c r="B1603" s="1">
        <v>9</v>
      </c>
      <c r="C1603" s="22">
        <v>44958</v>
      </c>
      <c r="D1603" s="22">
        <v>44985</v>
      </c>
      <c r="E1603" s="23">
        <f t="shared" si="255"/>
        <v>28</v>
      </c>
      <c r="F1603" s="3">
        <f t="shared" si="258"/>
        <v>7966243.2099924013</v>
      </c>
      <c r="G1603" s="3">
        <f t="shared" si="260"/>
        <v>533888.89672987279</v>
      </c>
      <c r="H1603" s="3">
        <f t="shared" si="259"/>
        <v>66385.360083270003</v>
      </c>
      <c r="I1603" s="3">
        <f t="shared" si="256"/>
        <v>467503.53664660279</v>
      </c>
      <c r="J1603" s="3">
        <f t="shared" si="257"/>
        <v>7498739.6733457986</v>
      </c>
      <c r="K1603" s="24"/>
      <c r="L1603" s="24">
        <f t="shared" si="261"/>
        <v>1598333.3803792368</v>
      </c>
    </row>
    <row r="1604" spans="2:12" x14ac:dyDescent="0.35">
      <c r="B1604" s="1">
        <v>10</v>
      </c>
      <c r="C1604" s="22">
        <v>44986</v>
      </c>
      <c r="D1604" s="22">
        <v>45016</v>
      </c>
      <c r="E1604" s="23">
        <f t="shared" si="255"/>
        <v>31</v>
      </c>
      <c r="F1604" s="3">
        <f t="shared" si="258"/>
        <v>7498739.6733457986</v>
      </c>
      <c r="G1604" s="3">
        <f t="shared" si="260"/>
        <v>533888.89672987279</v>
      </c>
      <c r="H1604" s="3">
        <f t="shared" si="259"/>
        <v>62489.497277881652</v>
      </c>
      <c r="I1604" s="3">
        <f t="shared" si="256"/>
        <v>471399.39945199114</v>
      </c>
      <c r="J1604" s="3">
        <f t="shared" si="257"/>
        <v>7027340.2738938071</v>
      </c>
      <c r="K1604" s="24">
        <f>540000+320000</f>
        <v>860000</v>
      </c>
      <c r="L1604" s="24">
        <f t="shared" si="261"/>
        <v>1272222.2771091098</v>
      </c>
    </row>
    <row r="1605" spans="2:12" x14ac:dyDescent="0.35">
      <c r="B1605" s="1">
        <v>11</v>
      </c>
      <c r="C1605" s="22">
        <v>45017</v>
      </c>
      <c r="D1605" s="22">
        <v>45046</v>
      </c>
      <c r="E1605" s="23">
        <f t="shared" si="255"/>
        <v>30</v>
      </c>
      <c r="F1605" s="3">
        <f t="shared" si="258"/>
        <v>7027340.2738938071</v>
      </c>
      <c r="G1605" s="3">
        <f t="shared" si="260"/>
        <v>533888.89672987279</v>
      </c>
      <c r="H1605" s="3">
        <f t="shared" si="259"/>
        <v>58561.168949115061</v>
      </c>
      <c r="I1605" s="3">
        <f t="shared" si="256"/>
        <v>475327.7277807577</v>
      </c>
      <c r="J1605" s="3">
        <f t="shared" si="257"/>
        <v>6552012.5461130496</v>
      </c>
      <c r="K1605" s="24"/>
      <c r="L1605" s="24">
        <f t="shared" si="261"/>
        <v>1806111.1738389826</v>
      </c>
    </row>
    <row r="1606" spans="2:12" x14ac:dyDescent="0.35">
      <c r="B1606" s="1">
        <v>12</v>
      </c>
      <c r="C1606" s="22">
        <v>45047</v>
      </c>
      <c r="D1606" s="22">
        <v>45077</v>
      </c>
      <c r="E1606" s="23">
        <f t="shared" si="255"/>
        <v>31</v>
      </c>
      <c r="F1606" s="3">
        <f t="shared" si="258"/>
        <v>6552012.5461130496</v>
      </c>
      <c r="G1606" s="3">
        <f t="shared" si="260"/>
        <v>533888.89672987279</v>
      </c>
      <c r="H1606" s="3">
        <f t="shared" si="259"/>
        <v>54600.10455094208</v>
      </c>
      <c r="I1606" s="3">
        <f t="shared" si="256"/>
        <v>479288.79217893071</v>
      </c>
      <c r="J1606" s="3">
        <f t="shared" si="257"/>
        <v>6072723.7539341189</v>
      </c>
      <c r="K1606" s="24">
        <v>535000</v>
      </c>
      <c r="L1606" s="24">
        <f t="shared" si="261"/>
        <v>1805000.0705688554</v>
      </c>
    </row>
    <row r="1607" spans="2:12" x14ac:dyDescent="0.35">
      <c r="B1607" s="1">
        <v>13</v>
      </c>
      <c r="C1607" s="22">
        <v>45078</v>
      </c>
      <c r="D1607" s="22">
        <v>45107</v>
      </c>
      <c r="E1607" s="23">
        <f t="shared" si="255"/>
        <v>30</v>
      </c>
      <c r="F1607" s="3">
        <f t="shared" si="258"/>
        <v>6072723.7539341189</v>
      </c>
      <c r="G1607" s="3">
        <f t="shared" si="260"/>
        <v>533888.89672987279</v>
      </c>
      <c r="H1607" s="3">
        <f t="shared" si="259"/>
        <v>50606.031282784323</v>
      </c>
      <c r="I1607" s="3">
        <f t="shared" si="256"/>
        <v>483282.86544708849</v>
      </c>
      <c r="J1607" s="3">
        <f t="shared" si="257"/>
        <v>5589440.8884870308</v>
      </c>
      <c r="K1607" s="24">
        <v>500000</v>
      </c>
      <c r="L1607" s="26">
        <f t="shared" si="261"/>
        <v>1838888.9672987284</v>
      </c>
    </row>
    <row r="1608" spans="2:12" x14ac:dyDescent="0.35">
      <c r="B1608" s="1">
        <v>14</v>
      </c>
      <c r="C1608" s="22">
        <v>45108</v>
      </c>
      <c r="D1608" s="22">
        <v>45138</v>
      </c>
      <c r="E1608" s="23">
        <f t="shared" si="255"/>
        <v>31</v>
      </c>
      <c r="F1608" s="3">
        <f t="shared" si="258"/>
        <v>5589440.8884870308</v>
      </c>
      <c r="G1608" s="3">
        <f t="shared" si="260"/>
        <v>533888.89672987279</v>
      </c>
      <c r="H1608" s="3">
        <f t="shared" si="259"/>
        <v>46578.674070725254</v>
      </c>
      <c r="I1608" s="3">
        <f t="shared" si="256"/>
        <v>487310.22265914752</v>
      </c>
      <c r="J1608" s="3">
        <f t="shared" si="257"/>
        <v>5102130.6658278834</v>
      </c>
      <c r="K1608" s="24">
        <v>350000</v>
      </c>
      <c r="L1608" s="24">
        <f t="shared" si="261"/>
        <v>2022777.864028601</v>
      </c>
    </row>
    <row r="1609" spans="2:12" x14ac:dyDescent="0.35">
      <c r="B1609" s="1">
        <v>15</v>
      </c>
      <c r="C1609" s="22">
        <v>45139</v>
      </c>
      <c r="D1609" s="22">
        <v>45169</v>
      </c>
      <c r="E1609" s="23">
        <f t="shared" si="255"/>
        <v>31</v>
      </c>
      <c r="F1609" s="3">
        <f t="shared" si="258"/>
        <v>5102130.6658278834</v>
      </c>
      <c r="G1609" s="3">
        <f t="shared" si="260"/>
        <v>533888.89672987279</v>
      </c>
      <c r="H1609" s="3">
        <f t="shared" si="259"/>
        <v>42517.755548565692</v>
      </c>
      <c r="I1609" s="3">
        <f t="shared" si="256"/>
        <v>491371.14118130709</v>
      </c>
      <c r="J1609" s="3">
        <f t="shared" si="257"/>
        <v>4610759.5246465765</v>
      </c>
      <c r="K1609" s="24">
        <v>450000</v>
      </c>
      <c r="L1609" s="24">
        <f t="shared" si="261"/>
        <v>2106666.7607584735</v>
      </c>
    </row>
    <row r="1610" spans="2:12" x14ac:dyDescent="0.35">
      <c r="B1610" s="1">
        <v>16</v>
      </c>
      <c r="C1610" s="22">
        <v>45170</v>
      </c>
      <c r="D1610" s="22">
        <v>45199</v>
      </c>
      <c r="E1610" s="23">
        <f t="shared" si="255"/>
        <v>30</v>
      </c>
      <c r="F1610" s="3">
        <f t="shared" si="258"/>
        <v>4610759.5246465765</v>
      </c>
      <c r="G1610" s="3">
        <f t="shared" si="260"/>
        <v>533888.89672987279</v>
      </c>
      <c r="H1610" s="3">
        <f t="shared" si="259"/>
        <v>38422.996038721467</v>
      </c>
      <c r="I1610" s="3">
        <f t="shared" si="256"/>
        <v>495465.90069115133</v>
      </c>
      <c r="J1610" s="3">
        <f t="shared" si="257"/>
        <v>4115293.6239554253</v>
      </c>
      <c r="K1610" s="24">
        <v>1170000</v>
      </c>
      <c r="L1610" s="24">
        <f t="shared" si="261"/>
        <v>1470555.6574883461</v>
      </c>
    </row>
    <row r="1611" spans="2:12" x14ac:dyDescent="0.35">
      <c r="B1611" s="1">
        <v>17</v>
      </c>
      <c r="C1611" s="22">
        <v>45200</v>
      </c>
      <c r="D1611" s="22">
        <v>45230</v>
      </c>
      <c r="E1611" s="23">
        <f t="shared" si="255"/>
        <v>31</v>
      </c>
      <c r="F1611" s="3">
        <f t="shared" si="258"/>
        <v>4115293.6239554253</v>
      </c>
      <c r="G1611" s="3">
        <f t="shared" si="260"/>
        <v>533888.89672987279</v>
      </c>
      <c r="H1611" s="3">
        <f t="shared" si="259"/>
        <v>34294.113532961877</v>
      </c>
      <c r="I1611" s="3">
        <f t="shared" si="256"/>
        <v>499594.78319691092</v>
      </c>
      <c r="J1611" s="3">
        <f t="shared" si="257"/>
        <v>3615698.8407585146</v>
      </c>
      <c r="K1611" s="24">
        <v>340000</v>
      </c>
      <c r="L1611" s="24">
        <f t="shared" si="261"/>
        <v>1664444.5542182189</v>
      </c>
    </row>
    <row r="1612" spans="2:12" x14ac:dyDescent="0.35">
      <c r="B1612" s="1">
        <v>18</v>
      </c>
      <c r="C1612" s="22">
        <v>45231</v>
      </c>
      <c r="D1612" s="22">
        <v>45260</v>
      </c>
      <c r="E1612" s="23">
        <f t="shared" si="255"/>
        <v>30</v>
      </c>
      <c r="F1612" s="3">
        <f t="shared" si="258"/>
        <v>3615698.8407585146</v>
      </c>
      <c r="G1612" s="3">
        <f t="shared" si="260"/>
        <v>533888.89672987279</v>
      </c>
      <c r="H1612" s="3">
        <f t="shared" si="259"/>
        <v>30130.823672987623</v>
      </c>
      <c r="I1612" s="3">
        <f t="shared" si="256"/>
        <v>503758.07305688516</v>
      </c>
      <c r="J1612" s="3">
        <f t="shared" si="257"/>
        <v>3111940.7677016295</v>
      </c>
      <c r="K1612" s="24">
        <v>400000</v>
      </c>
      <c r="L1612" s="24">
        <f t="shared" si="261"/>
        <v>1798333.4509480917</v>
      </c>
    </row>
    <row r="1613" spans="2:12" x14ac:dyDescent="0.35">
      <c r="B1613" s="1">
        <v>19</v>
      </c>
      <c r="C1613" s="22">
        <v>45261</v>
      </c>
      <c r="D1613" s="22">
        <v>45291</v>
      </c>
      <c r="E1613" s="23">
        <f t="shared" si="255"/>
        <v>31</v>
      </c>
      <c r="F1613" s="3">
        <f t="shared" si="258"/>
        <v>3111940.7677016295</v>
      </c>
      <c r="G1613" s="3">
        <f t="shared" si="260"/>
        <v>533888.89672987279</v>
      </c>
      <c r="H1613" s="3">
        <f t="shared" si="259"/>
        <v>25932.839730846914</v>
      </c>
      <c r="I1613" s="3">
        <f t="shared" si="256"/>
        <v>507956.05699902587</v>
      </c>
      <c r="J1613" s="3">
        <f t="shared" si="257"/>
        <v>2603984.7107026037</v>
      </c>
      <c r="K1613" s="24"/>
      <c r="L1613" s="24">
        <f t="shared" si="261"/>
        <v>2332222.3476779647</v>
      </c>
    </row>
    <row r="1614" spans="2:12" x14ac:dyDescent="0.35">
      <c r="B1614" s="1">
        <v>20</v>
      </c>
      <c r="C1614" s="22">
        <v>45292</v>
      </c>
      <c r="D1614" s="22">
        <v>45322</v>
      </c>
      <c r="E1614" s="23">
        <f t="shared" si="255"/>
        <v>31</v>
      </c>
      <c r="F1614" s="3">
        <f t="shared" si="258"/>
        <v>2603984.7107026037</v>
      </c>
      <c r="G1614" s="3">
        <f t="shared" si="260"/>
        <v>533888.89672987279</v>
      </c>
      <c r="H1614" s="3">
        <f t="shared" si="259"/>
        <v>21699.872589188362</v>
      </c>
      <c r="I1614" s="3">
        <f t="shared" si="256"/>
        <v>512189.02414068446</v>
      </c>
      <c r="J1614" s="3">
        <f t="shared" si="257"/>
        <v>2091795.6865619193</v>
      </c>
      <c r="K1614" s="24">
        <v>1600000</v>
      </c>
      <c r="L1614" s="24">
        <f t="shared" si="261"/>
        <v>1266111.2444078373</v>
      </c>
    </row>
    <row r="1615" spans="2:12" x14ac:dyDescent="0.35">
      <c r="B1615" s="1">
        <v>21</v>
      </c>
      <c r="C1615" s="22">
        <v>45323</v>
      </c>
      <c r="D1615" s="22">
        <v>45350</v>
      </c>
      <c r="E1615" s="23">
        <f t="shared" si="255"/>
        <v>28</v>
      </c>
      <c r="F1615" s="3">
        <f t="shared" si="258"/>
        <v>2091795.6865619193</v>
      </c>
      <c r="G1615" s="3">
        <f t="shared" si="260"/>
        <v>533888.89672987279</v>
      </c>
      <c r="H1615" s="3">
        <f t="shared" si="259"/>
        <v>17431.630721349327</v>
      </c>
      <c r="I1615" s="3">
        <f t="shared" si="256"/>
        <v>516457.26600852347</v>
      </c>
      <c r="J1615" s="3">
        <f t="shared" si="257"/>
        <v>1575338.4205533958</v>
      </c>
      <c r="K1615" s="24">
        <v>300000</v>
      </c>
      <c r="L1615" s="24">
        <f t="shared" si="261"/>
        <v>1500000.1411377101</v>
      </c>
    </row>
    <row r="1616" spans="2:12" x14ac:dyDescent="0.35">
      <c r="B1616" s="1">
        <v>22</v>
      </c>
      <c r="C1616" s="22">
        <v>45352</v>
      </c>
      <c r="D1616" s="22">
        <v>45382</v>
      </c>
      <c r="E1616" s="23">
        <f t="shared" si="255"/>
        <v>31</v>
      </c>
      <c r="F1616" s="3">
        <f t="shared" si="258"/>
        <v>1575338.4205533958</v>
      </c>
      <c r="G1616" s="3">
        <f t="shared" si="260"/>
        <v>533888.89672987279</v>
      </c>
      <c r="H1616" s="3">
        <f t="shared" si="259"/>
        <v>13127.820171278297</v>
      </c>
      <c r="I1616" s="3">
        <f t="shared" si="256"/>
        <v>520761.07655859448</v>
      </c>
      <c r="J1616" s="3">
        <f t="shared" si="257"/>
        <v>1054577.3439948014</v>
      </c>
      <c r="K1616" s="24">
        <v>1300000</v>
      </c>
      <c r="L1616" s="24">
        <f t="shared" si="261"/>
        <v>733889.03786758287</v>
      </c>
    </row>
    <row r="1617" spans="2:19" x14ac:dyDescent="0.35">
      <c r="B1617" s="1">
        <v>23</v>
      </c>
      <c r="C1617" s="22">
        <v>45383</v>
      </c>
      <c r="D1617" s="22">
        <v>45412</v>
      </c>
      <c r="E1617" s="23">
        <f t="shared" si="255"/>
        <v>30</v>
      </c>
      <c r="F1617" s="3">
        <f t="shared" si="258"/>
        <v>1054577.3439948014</v>
      </c>
      <c r="G1617" s="3">
        <f t="shared" si="260"/>
        <v>533888.89672987279</v>
      </c>
      <c r="H1617" s="3">
        <f t="shared" si="259"/>
        <v>8788.1445332900112</v>
      </c>
      <c r="I1617" s="3">
        <f t="shared" si="256"/>
        <v>525100.75219658273</v>
      </c>
      <c r="J1617" s="3">
        <f t="shared" si="257"/>
        <v>529476.59179821867</v>
      </c>
      <c r="K1617" s="24">
        <f>500000+400000+597000+325000</f>
        <v>1822000</v>
      </c>
      <c r="L1617" s="205">
        <f t="shared" si="261"/>
        <v>-554222.06540254434</v>
      </c>
    </row>
    <row r="1618" spans="2:19" x14ac:dyDescent="0.35">
      <c r="B1618" s="1">
        <v>24</v>
      </c>
      <c r="C1618" s="22">
        <v>45413</v>
      </c>
      <c r="D1618" s="22">
        <v>45443</v>
      </c>
      <c r="E1618" s="23">
        <f t="shared" si="255"/>
        <v>31</v>
      </c>
      <c r="F1618" s="3">
        <f t="shared" si="258"/>
        <v>529476.59179821867</v>
      </c>
      <c r="G1618" s="3">
        <f t="shared" si="260"/>
        <v>533888.89672987279</v>
      </c>
      <c r="H1618" s="3">
        <f t="shared" si="259"/>
        <v>4412.3049316518218</v>
      </c>
      <c r="I1618" s="3">
        <f t="shared" si="256"/>
        <v>529476.59179822099</v>
      </c>
      <c r="J1618" s="3">
        <f t="shared" si="257"/>
        <v>-2.3283064365386963E-9</v>
      </c>
      <c r="K1618" s="24"/>
      <c r="L1618" s="24"/>
    </row>
    <row r="1619" spans="2:19" ht="14.25" customHeight="1" x14ac:dyDescent="0.35">
      <c r="B1619" s="1"/>
      <c r="C1619" s="1"/>
      <c r="D1619" s="1"/>
      <c r="E1619" s="28">
        <f>SUM(E1595:E1618)</f>
        <v>728</v>
      </c>
      <c r="F1619" s="3"/>
      <c r="G1619" s="3"/>
      <c r="H1619" s="3"/>
      <c r="I1619" s="3"/>
      <c r="J1619" s="3"/>
      <c r="K1619" s="1"/>
      <c r="L1619" s="1"/>
    </row>
    <row r="1624" spans="2:19" x14ac:dyDescent="0.35">
      <c r="B1624" s="1"/>
      <c r="C1624" s="8" t="s">
        <v>596</v>
      </c>
      <c r="D1624" s="3"/>
      <c r="E1624" s="3"/>
      <c r="F1624" s="3"/>
      <c r="G1624" s="3"/>
      <c r="H1624" s="3"/>
      <c r="I1624" s="3"/>
      <c r="J1624" s="3"/>
      <c r="K1624" s="3"/>
      <c r="L1624" s="3"/>
      <c r="R1624" s="438" t="s">
        <v>832</v>
      </c>
      <c r="S1624" s="432" t="str">
        <f>IFERROR(INDEX(Blocks!$I$2:$I$101,MATCH(27,Blocks!$A$2:$A$101,0)),"")</f>
        <v>000104450000028</v>
      </c>
    </row>
    <row r="1625" spans="2:19" x14ac:dyDescent="0.35">
      <c r="B1625" s="1"/>
      <c r="C1625" s="1"/>
      <c r="D1625" s="3"/>
      <c r="E1625" s="3"/>
      <c r="F1625" s="3"/>
      <c r="G1625" s="3"/>
      <c r="H1625" s="3"/>
      <c r="I1625" s="3"/>
      <c r="J1625" s="3"/>
      <c r="K1625" s="3"/>
      <c r="L1625" s="3"/>
      <c r="R1625" s="438" t="s">
        <v>834</v>
      </c>
      <c r="S1625" s="432" t="str">
        <f>IFERROR(INDEX(Blocks!$H$2:$H$101,MATCH(27,Blocks!$A$2:$A$101,0)),"")</f>
        <v>Chikwendeni General Dealers</v>
      </c>
    </row>
    <row r="1626" spans="2:19" x14ac:dyDescent="0.35">
      <c r="B1626" s="1"/>
      <c r="C1626" s="9" t="s">
        <v>835</v>
      </c>
      <c r="D1626" s="10">
        <v>24000000</v>
      </c>
      <c r="E1626" s="3"/>
      <c r="F1626" s="3"/>
      <c r="G1626" s="3"/>
      <c r="H1626" s="3"/>
      <c r="I1626" s="3"/>
      <c r="J1626" s="3"/>
      <c r="K1626" s="3"/>
      <c r="L1626" s="3"/>
      <c r="R1626" s="438" t="s">
        <v>223</v>
      </c>
      <c r="S1626" s="433">
        <f>IFERROR(INDEX('E-Banker master'!$N$2:$N$186,MATCH(S1624,'E-Banker master'!$A$2:$A$186,0)),"")</f>
        <v>0</v>
      </c>
    </row>
    <row r="1627" spans="2:19" x14ac:dyDescent="0.35">
      <c r="B1627" s="1"/>
      <c r="C1627" s="11" t="s">
        <v>837</v>
      </c>
      <c r="D1627" s="12">
        <v>0.1</v>
      </c>
      <c r="E1627" s="13"/>
      <c r="F1627" s="3"/>
      <c r="G1627" s="3"/>
      <c r="H1627" s="3"/>
      <c r="I1627" s="3"/>
      <c r="J1627" s="3"/>
      <c r="K1627" s="3"/>
      <c r="L1627" s="3"/>
      <c r="R1627" s="438" t="s">
        <v>52</v>
      </c>
      <c r="S1627" s="433">
        <f>IFERROR(INDEX('E-Banker master'!$P$2:$P$186,MATCH(S1624,'E-Banker master'!$A$2:$A$186,0)),"")</f>
        <v>0</v>
      </c>
    </row>
    <row r="1628" spans="2:19" x14ac:dyDescent="0.35">
      <c r="B1628" s="1"/>
      <c r="C1628" s="11" t="s">
        <v>838</v>
      </c>
      <c r="D1628" s="14">
        <v>2</v>
      </c>
      <c r="E1628" s="1"/>
      <c r="F1628" s="3"/>
      <c r="G1628" s="3"/>
      <c r="H1628" s="3"/>
      <c r="I1628" s="3"/>
      <c r="J1628" s="3"/>
      <c r="K1628" s="1"/>
      <c r="L1628" s="1"/>
    </row>
    <row r="1629" spans="2:19" x14ac:dyDescent="0.35">
      <c r="B1629" s="1"/>
      <c r="C1629" s="11" t="s">
        <v>839</v>
      </c>
      <c r="D1629" s="14">
        <v>12</v>
      </c>
      <c r="E1629" s="1"/>
      <c r="F1629" s="3"/>
      <c r="G1629" s="3"/>
      <c r="H1629" s="3"/>
      <c r="I1629" s="3"/>
      <c r="J1629" s="3"/>
      <c r="K1629" s="1"/>
      <c r="L1629" s="1"/>
    </row>
    <row r="1630" spans="2:19" x14ac:dyDescent="0.35">
      <c r="B1630" s="1"/>
      <c r="C1630" s="11" t="s">
        <v>843</v>
      </c>
      <c r="D1630" s="15">
        <f>D1628*D1629</f>
        <v>24</v>
      </c>
      <c r="E1630" s="1"/>
      <c r="F1630" s="3"/>
      <c r="G1630" s="3"/>
      <c r="H1630" s="3"/>
      <c r="I1630" s="3"/>
      <c r="J1630" s="3"/>
      <c r="K1630" s="1"/>
      <c r="L1630" s="1"/>
    </row>
    <row r="1631" spans="2:19" x14ac:dyDescent="0.35">
      <c r="B1631" s="1"/>
      <c r="C1631" s="11" t="s">
        <v>844</v>
      </c>
      <c r="D1631" s="16">
        <v>365</v>
      </c>
      <c r="E1631" s="1"/>
      <c r="F1631" s="3"/>
      <c r="G1631" s="3"/>
      <c r="H1631" s="3"/>
      <c r="I1631" s="3"/>
      <c r="J1631" s="3"/>
      <c r="K1631" s="1"/>
      <c r="L1631" s="1"/>
    </row>
    <row r="1632" spans="2:19" x14ac:dyDescent="0.35">
      <c r="B1632" s="1"/>
      <c r="C1632" s="17" t="s">
        <v>845</v>
      </c>
      <c r="D1632" s="18">
        <f>-PMT(D1627/D1629,D1630,D1626,0,0)</f>
        <v>1107478.2321003962</v>
      </c>
      <c r="E1632" s="3"/>
      <c r="F1632" s="3"/>
      <c r="G1632" s="3"/>
      <c r="H1632" s="3"/>
      <c r="I1632" s="3"/>
      <c r="J1632" s="3"/>
      <c r="K1632" s="1"/>
      <c r="L1632" s="1"/>
    </row>
    <row r="1633" spans="2:12" x14ac:dyDescent="0.35">
      <c r="B1633" s="1"/>
      <c r="C1633" s="1"/>
      <c r="D1633" s="3"/>
      <c r="E1633" s="3"/>
      <c r="F1633" s="3"/>
      <c r="G1633" s="3"/>
      <c r="H1633" s="3"/>
      <c r="I1633" s="3"/>
      <c r="J1633" s="3"/>
      <c r="K1633" s="1"/>
      <c r="L1633" s="1"/>
    </row>
    <row r="1634" spans="2:12" x14ac:dyDescent="0.35">
      <c r="B1634" s="1"/>
      <c r="C1634" s="19" t="s">
        <v>846</v>
      </c>
      <c r="D1634" s="20" t="s">
        <v>847</v>
      </c>
      <c r="E1634" s="20" t="s">
        <v>764</v>
      </c>
      <c r="F1634" s="270" t="s">
        <v>848</v>
      </c>
      <c r="G1634" s="270" t="s">
        <v>849</v>
      </c>
      <c r="H1634" s="270" t="s">
        <v>742</v>
      </c>
      <c r="I1634" s="270" t="s">
        <v>740</v>
      </c>
      <c r="J1634" s="270" t="s">
        <v>850</v>
      </c>
      <c r="K1634" s="21" t="s">
        <v>851</v>
      </c>
      <c r="L1634" s="21" t="s">
        <v>852</v>
      </c>
    </row>
    <row r="1635" spans="2:12" x14ac:dyDescent="0.35">
      <c r="B1635" s="1">
        <v>1</v>
      </c>
      <c r="C1635" s="22">
        <v>44715</v>
      </c>
      <c r="D1635" s="22">
        <v>44742</v>
      </c>
      <c r="E1635" s="23">
        <f t="shared" ref="E1635:E1658" si="262">D1635-C1635+1</f>
        <v>28</v>
      </c>
      <c r="F1635" s="3">
        <f>D1626</f>
        <v>24000000</v>
      </c>
      <c r="G1635" s="3"/>
      <c r="H1635" s="3">
        <f>$D$1627/$D$1629*F1635*28/30</f>
        <v>186666.66666666666</v>
      </c>
      <c r="I1635" s="3">
        <f t="shared" ref="I1635:I1658" si="263">G1635-H1635</f>
        <v>-186666.66666666666</v>
      </c>
      <c r="J1635" s="3">
        <f t="shared" ref="J1635:J1658" si="264">F1635-I1635</f>
        <v>24186666.666666668</v>
      </c>
      <c r="K1635" s="24"/>
      <c r="L1635" s="24"/>
    </row>
    <row r="1636" spans="2:12" x14ac:dyDescent="0.35">
      <c r="B1636" s="1">
        <v>2</v>
      </c>
      <c r="C1636" s="22">
        <v>44743</v>
      </c>
      <c r="D1636" s="22">
        <v>44773</v>
      </c>
      <c r="E1636" s="23">
        <f t="shared" si="262"/>
        <v>31</v>
      </c>
      <c r="F1636" s="3">
        <f t="shared" ref="F1636:F1658" si="265">J1635</f>
        <v>24186666.666666668</v>
      </c>
      <c r="G1636" s="3"/>
      <c r="H1636" s="3">
        <f t="shared" ref="H1636:H1658" si="266">$D$1627/$D$1629*F1636</f>
        <v>201555.55555555556</v>
      </c>
      <c r="I1636" s="3">
        <f t="shared" si="263"/>
        <v>-201555.55555555556</v>
      </c>
      <c r="J1636" s="3">
        <f t="shared" si="264"/>
        <v>24388222.222222224</v>
      </c>
      <c r="K1636" s="24"/>
      <c r="L1636" s="24"/>
    </row>
    <row r="1637" spans="2:12" x14ac:dyDescent="0.35">
      <c r="B1637" s="1">
        <v>3</v>
      </c>
      <c r="C1637" s="22">
        <v>44774</v>
      </c>
      <c r="D1637" s="22">
        <v>44804</v>
      </c>
      <c r="E1637" s="23">
        <f t="shared" si="262"/>
        <v>31</v>
      </c>
      <c r="F1637" s="3">
        <f t="shared" si="265"/>
        <v>24388222.222222224</v>
      </c>
      <c r="G1637" s="3"/>
      <c r="H1637" s="3">
        <f t="shared" si="266"/>
        <v>203235.1851851852</v>
      </c>
      <c r="I1637" s="3">
        <f t="shared" si="263"/>
        <v>-203235.1851851852</v>
      </c>
      <c r="J1637" s="3">
        <f t="shared" si="264"/>
        <v>24591457.40740741</v>
      </c>
    </row>
    <row r="1638" spans="2:12" x14ac:dyDescent="0.35">
      <c r="B1638" s="1">
        <v>4</v>
      </c>
      <c r="C1638" s="22">
        <v>44805</v>
      </c>
      <c r="D1638" s="22">
        <v>44834</v>
      </c>
      <c r="E1638" s="23">
        <f t="shared" si="262"/>
        <v>30</v>
      </c>
      <c r="F1638" s="3">
        <f t="shared" si="265"/>
        <v>24591457.40740741</v>
      </c>
      <c r="G1638" s="3">
        <f t="shared" ref="G1638:G1658" si="267">-PMT($D$1627/$D$1629,21,$F$1638,,0)</f>
        <v>1281333.3521516947</v>
      </c>
      <c r="H1638" s="3">
        <f t="shared" si="266"/>
        <v>204928.81172839509</v>
      </c>
      <c r="I1638" s="3">
        <f t="shared" si="263"/>
        <v>1076404.5404232997</v>
      </c>
      <c r="J1638" s="3">
        <f t="shared" si="264"/>
        <v>23515052.86698411</v>
      </c>
      <c r="K1638" s="24">
        <f>1282040+1282040</f>
        <v>2564080</v>
      </c>
      <c r="L1638" s="24">
        <f>G1638-K1638</f>
        <v>-1282746.6478483053</v>
      </c>
    </row>
    <row r="1639" spans="2:12" x14ac:dyDescent="0.35">
      <c r="B1639" s="1">
        <v>5</v>
      </c>
      <c r="C1639" s="22">
        <v>44835</v>
      </c>
      <c r="D1639" s="22">
        <v>44865</v>
      </c>
      <c r="E1639" s="23">
        <f t="shared" si="262"/>
        <v>31</v>
      </c>
      <c r="F1639" s="3">
        <f t="shared" si="265"/>
        <v>23515052.86698411</v>
      </c>
      <c r="G1639" s="3">
        <f t="shared" si="267"/>
        <v>1281333.3521516947</v>
      </c>
      <c r="H1639" s="3">
        <f t="shared" si="266"/>
        <v>195958.77389153425</v>
      </c>
      <c r="I1639" s="3">
        <f t="shared" si="263"/>
        <v>1085374.5782601605</v>
      </c>
      <c r="J1639" s="3">
        <f t="shared" si="264"/>
        <v>22429678.288723949</v>
      </c>
      <c r="K1639" s="24">
        <v>1282040</v>
      </c>
      <c r="L1639" s="24">
        <f t="shared" ref="L1639:L1653" si="268">L1638+G1639-K1639</f>
        <v>-1283453.2956966106</v>
      </c>
    </row>
    <row r="1640" spans="2:12" x14ac:dyDescent="0.35">
      <c r="B1640" s="1">
        <v>6</v>
      </c>
      <c r="C1640" s="22">
        <v>44866</v>
      </c>
      <c r="D1640" s="22">
        <v>44895</v>
      </c>
      <c r="E1640" s="23">
        <f t="shared" si="262"/>
        <v>30</v>
      </c>
      <c r="F1640" s="3">
        <f t="shared" si="265"/>
        <v>22429678.288723949</v>
      </c>
      <c r="G1640" s="3">
        <f t="shared" si="267"/>
        <v>1281333.3521516947</v>
      </c>
      <c r="H1640" s="3">
        <f t="shared" si="266"/>
        <v>186913.98573936624</v>
      </c>
      <c r="I1640" s="3">
        <f t="shared" si="263"/>
        <v>1094419.3664123286</v>
      </c>
      <c r="J1640" s="3">
        <f t="shared" si="264"/>
        <v>21335258.922311619</v>
      </c>
      <c r="K1640" s="24">
        <v>0</v>
      </c>
      <c r="L1640" s="24">
        <f t="shared" si="268"/>
        <v>-2119.9435449158773</v>
      </c>
    </row>
    <row r="1641" spans="2:12" x14ac:dyDescent="0.35">
      <c r="B1641" s="1">
        <v>7</v>
      </c>
      <c r="C1641" s="22">
        <v>44896</v>
      </c>
      <c r="D1641" s="22">
        <v>44926</v>
      </c>
      <c r="E1641" s="23">
        <f t="shared" si="262"/>
        <v>31</v>
      </c>
      <c r="F1641" s="3">
        <f t="shared" si="265"/>
        <v>21335258.922311619</v>
      </c>
      <c r="G1641" s="3">
        <f t="shared" si="267"/>
        <v>1281333.3521516947</v>
      </c>
      <c r="H1641" s="3">
        <f t="shared" si="266"/>
        <v>177793.82435259683</v>
      </c>
      <c r="I1641" s="3">
        <f t="shared" si="263"/>
        <v>1103539.5277990978</v>
      </c>
      <c r="J1641" s="3">
        <f t="shared" si="264"/>
        <v>20231719.394512519</v>
      </c>
      <c r="K1641" s="24">
        <v>1282040</v>
      </c>
      <c r="L1641" s="24">
        <f t="shared" si="268"/>
        <v>-2826.5913932211697</v>
      </c>
    </row>
    <row r="1642" spans="2:12" x14ac:dyDescent="0.35">
      <c r="B1642" s="1">
        <v>8</v>
      </c>
      <c r="C1642" s="22">
        <v>44927</v>
      </c>
      <c r="D1642" s="22">
        <v>44957</v>
      </c>
      <c r="E1642" s="23">
        <f t="shared" si="262"/>
        <v>31</v>
      </c>
      <c r="F1642" s="3">
        <f t="shared" si="265"/>
        <v>20231719.394512519</v>
      </c>
      <c r="G1642" s="3">
        <f t="shared" si="267"/>
        <v>1281333.3521516947</v>
      </c>
      <c r="H1642" s="3">
        <f t="shared" si="266"/>
        <v>168597.66162093767</v>
      </c>
      <c r="I1642" s="3">
        <f t="shared" si="263"/>
        <v>1112735.690530757</v>
      </c>
      <c r="J1642" s="3">
        <f t="shared" si="264"/>
        <v>19118983.703981761</v>
      </c>
      <c r="K1642" s="24">
        <v>1282040</v>
      </c>
      <c r="L1642" s="24">
        <f t="shared" si="268"/>
        <v>-3533.2392415264621</v>
      </c>
    </row>
    <row r="1643" spans="2:12" x14ac:dyDescent="0.35">
      <c r="B1643" s="1">
        <v>9</v>
      </c>
      <c r="C1643" s="22">
        <v>44958</v>
      </c>
      <c r="D1643" s="22">
        <v>44985</v>
      </c>
      <c r="E1643" s="23">
        <f t="shared" si="262"/>
        <v>28</v>
      </c>
      <c r="F1643" s="3">
        <f t="shared" si="265"/>
        <v>19118983.703981761</v>
      </c>
      <c r="G1643" s="3">
        <f t="shared" si="267"/>
        <v>1281333.3521516947</v>
      </c>
      <c r="H1643" s="3">
        <f t="shared" si="266"/>
        <v>159324.864199848</v>
      </c>
      <c r="I1643" s="3">
        <f t="shared" si="263"/>
        <v>1122008.4879518468</v>
      </c>
      <c r="J1643" s="3">
        <f t="shared" si="264"/>
        <v>17996975.216029912</v>
      </c>
      <c r="K1643" s="24">
        <v>1282040</v>
      </c>
      <c r="L1643" s="24">
        <f t="shared" si="268"/>
        <v>-4239.8870898317546</v>
      </c>
    </row>
    <row r="1644" spans="2:12" x14ac:dyDescent="0.35">
      <c r="B1644" s="1">
        <v>10</v>
      </c>
      <c r="C1644" s="22">
        <v>44986</v>
      </c>
      <c r="D1644" s="22">
        <v>45016</v>
      </c>
      <c r="E1644" s="23">
        <f t="shared" si="262"/>
        <v>31</v>
      </c>
      <c r="F1644" s="3">
        <f t="shared" si="265"/>
        <v>17996975.216029912</v>
      </c>
      <c r="G1644" s="3">
        <f t="shared" si="267"/>
        <v>1281333.3521516947</v>
      </c>
      <c r="H1644" s="3">
        <f t="shared" si="266"/>
        <v>149974.79346691593</v>
      </c>
      <c r="I1644" s="3">
        <f t="shared" si="263"/>
        <v>1131358.5586847789</v>
      </c>
      <c r="J1644" s="3">
        <f t="shared" si="264"/>
        <v>16865616.657345135</v>
      </c>
      <c r="K1644" s="24">
        <f>1440700+1440700</f>
        <v>2881400</v>
      </c>
      <c r="L1644" s="24">
        <f t="shared" si="268"/>
        <v>-1604306.534938137</v>
      </c>
    </row>
    <row r="1645" spans="2:12" x14ac:dyDescent="0.35">
      <c r="B1645" s="1">
        <v>11</v>
      </c>
      <c r="C1645" s="22">
        <v>45017</v>
      </c>
      <c r="D1645" s="22">
        <v>45046</v>
      </c>
      <c r="E1645" s="23">
        <f t="shared" si="262"/>
        <v>30</v>
      </c>
      <c r="F1645" s="3">
        <f t="shared" si="265"/>
        <v>16865616.657345135</v>
      </c>
      <c r="G1645" s="3">
        <f t="shared" si="267"/>
        <v>1281333.3521516947</v>
      </c>
      <c r="H1645" s="3">
        <f t="shared" si="266"/>
        <v>140546.80547787613</v>
      </c>
      <c r="I1645" s="3">
        <f t="shared" si="263"/>
        <v>1140786.5466738185</v>
      </c>
      <c r="J1645" s="3">
        <f t="shared" si="264"/>
        <v>15724830.110671315</v>
      </c>
      <c r="K1645" s="24">
        <v>0</v>
      </c>
      <c r="L1645" s="24">
        <f t="shared" si="268"/>
        <v>-322973.18278644234</v>
      </c>
    </row>
    <row r="1646" spans="2:12" x14ac:dyDescent="0.35">
      <c r="B1646" s="1">
        <v>12</v>
      </c>
      <c r="C1646" s="22">
        <v>45047</v>
      </c>
      <c r="D1646" s="22">
        <v>45077</v>
      </c>
      <c r="E1646" s="23">
        <f t="shared" si="262"/>
        <v>31</v>
      </c>
      <c r="F1646" s="3">
        <f t="shared" si="265"/>
        <v>15724830.110671315</v>
      </c>
      <c r="G1646" s="3">
        <f t="shared" si="267"/>
        <v>1281333.3521516947</v>
      </c>
      <c r="H1646" s="3">
        <f t="shared" si="266"/>
        <v>131040.25092226097</v>
      </c>
      <c r="I1646" s="3">
        <f t="shared" si="263"/>
        <v>1150293.1012294337</v>
      </c>
      <c r="J1646" s="3">
        <f t="shared" si="264"/>
        <v>14574537.009441882</v>
      </c>
      <c r="K1646" s="24">
        <v>1440700</v>
      </c>
      <c r="L1646" s="24">
        <f t="shared" si="268"/>
        <v>-482339.83063474763</v>
      </c>
    </row>
    <row r="1647" spans="2:12" x14ac:dyDescent="0.35">
      <c r="B1647" s="1">
        <v>13</v>
      </c>
      <c r="C1647" s="22">
        <v>45078</v>
      </c>
      <c r="D1647" s="22">
        <v>45107</v>
      </c>
      <c r="E1647" s="23">
        <f t="shared" si="262"/>
        <v>30</v>
      </c>
      <c r="F1647" s="3">
        <f t="shared" si="265"/>
        <v>14574537.009441882</v>
      </c>
      <c r="G1647" s="3">
        <f t="shared" si="267"/>
        <v>1281333.3521516947</v>
      </c>
      <c r="H1647" s="3">
        <f t="shared" si="266"/>
        <v>121454.47507868236</v>
      </c>
      <c r="I1647" s="3">
        <f t="shared" si="263"/>
        <v>1159878.8770730123</v>
      </c>
      <c r="J1647" s="3">
        <f t="shared" si="264"/>
        <v>13414658.13236887</v>
      </c>
      <c r="K1647" s="24">
        <v>1440700</v>
      </c>
      <c r="L1647" s="24">
        <f t="shared" si="268"/>
        <v>-641706.47848305292</v>
      </c>
    </row>
    <row r="1648" spans="2:12" x14ac:dyDescent="0.35">
      <c r="B1648" s="1">
        <v>14</v>
      </c>
      <c r="C1648" s="22">
        <v>45108</v>
      </c>
      <c r="D1648" s="22">
        <v>45138</v>
      </c>
      <c r="E1648" s="23">
        <f t="shared" si="262"/>
        <v>31</v>
      </c>
      <c r="F1648" s="3">
        <f t="shared" si="265"/>
        <v>13414658.13236887</v>
      </c>
      <c r="G1648" s="3">
        <f t="shared" si="267"/>
        <v>1281333.3521516947</v>
      </c>
      <c r="H1648" s="3">
        <f t="shared" si="266"/>
        <v>111788.81776974058</v>
      </c>
      <c r="I1648" s="3">
        <f t="shared" si="263"/>
        <v>1169544.5343819542</v>
      </c>
      <c r="J1648" s="3">
        <f t="shared" si="264"/>
        <v>12245113.597986916</v>
      </c>
      <c r="K1648" s="24">
        <v>1440700</v>
      </c>
      <c r="L1648" s="24">
        <f t="shared" si="268"/>
        <v>-801073.12633135822</v>
      </c>
    </row>
    <row r="1649" spans="2:19" x14ac:dyDescent="0.35">
      <c r="B1649" s="1">
        <v>15</v>
      </c>
      <c r="C1649" s="22">
        <v>45139</v>
      </c>
      <c r="D1649" s="22">
        <v>45169</v>
      </c>
      <c r="E1649" s="23">
        <f t="shared" si="262"/>
        <v>31</v>
      </c>
      <c r="F1649" s="3">
        <f t="shared" si="265"/>
        <v>12245113.597986916</v>
      </c>
      <c r="G1649" s="3">
        <f t="shared" si="267"/>
        <v>1281333.3521516947</v>
      </c>
      <c r="H1649" s="3">
        <f t="shared" si="266"/>
        <v>102042.61331655763</v>
      </c>
      <c r="I1649" s="3">
        <f t="shared" si="263"/>
        <v>1179290.7388351371</v>
      </c>
      <c r="J1649" s="3">
        <f t="shared" si="264"/>
        <v>11065822.859151779</v>
      </c>
      <c r="K1649" s="24">
        <f>1440700+1440700</f>
        <v>2881400</v>
      </c>
      <c r="L1649" s="24">
        <f t="shared" si="268"/>
        <v>-2401139.7741796635</v>
      </c>
    </row>
    <row r="1650" spans="2:19" x14ac:dyDescent="0.35">
      <c r="B1650" s="1">
        <v>16</v>
      </c>
      <c r="C1650" s="22">
        <v>45170</v>
      </c>
      <c r="D1650" s="22">
        <v>45199</v>
      </c>
      <c r="E1650" s="23">
        <f t="shared" si="262"/>
        <v>30</v>
      </c>
      <c r="F1650" s="3">
        <f t="shared" si="265"/>
        <v>11065822.859151779</v>
      </c>
      <c r="G1650" s="3">
        <f t="shared" si="267"/>
        <v>1281333.3521516947</v>
      </c>
      <c r="H1650" s="3">
        <f t="shared" si="266"/>
        <v>92215.190492931491</v>
      </c>
      <c r="I1650" s="3">
        <f t="shared" si="263"/>
        <v>1189118.1616587632</v>
      </c>
      <c r="J1650" s="3">
        <f t="shared" si="264"/>
        <v>9876704.6974930149</v>
      </c>
      <c r="K1650" s="24"/>
      <c r="L1650" s="24">
        <f t="shared" si="268"/>
        <v>-1119806.4220279688</v>
      </c>
    </row>
    <row r="1651" spans="2:19" x14ac:dyDescent="0.35">
      <c r="B1651" s="1">
        <v>17</v>
      </c>
      <c r="C1651" s="22">
        <v>45200</v>
      </c>
      <c r="D1651" s="22">
        <v>45230</v>
      </c>
      <c r="E1651" s="23">
        <f t="shared" si="262"/>
        <v>31</v>
      </c>
      <c r="F1651" s="3">
        <f t="shared" si="265"/>
        <v>9876704.6974930149</v>
      </c>
      <c r="G1651" s="3">
        <f t="shared" si="267"/>
        <v>1281333.3521516947</v>
      </c>
      <c r="H1651" s="3">
        <f t="shared" si="266"/>
        <v>82305.872479108453</v>
      </c>
      <c r="I1651" s="3">
        <f t="shared" si="263"/>
        <v>1199027.4796725863</v>
      </c>
      <c r="J1651" s="3">
        <f t="shared" si="264"/>
        <v>8677677.2178204283</v>
      </c>
      <c r="K1651" s="24">
        <v>1440700</v>
      </c>
      <c r="L1651" s="24">
        <f t="shared" si="268"/>
        <v>-1279173.0698762741</v>
      </c>
    </row>
    <row r="1652" spans="2:19" x14ac:dyDescent="0.35">
      <c r="B1652" s="1">
        <v>18</v>
      </c>
      <c r="C1652" s="22">
        <v>45231</v>
      </c>
      <c r="D1652" s="22">
        <v>45260</v>
      </c>
      <c r="E1652" s="23">
        <f t="shared" si="262"/>
        <v>30</v>
      </c>
      <c r="F1652" s="3">
        <f t="shared" si="265"/>
        <v>8677677.2178204283</v>
      </c>
      <c r="G1652" s="3">
        <f t="shared" si="267"/>
        <v>1281333.3521516947</v>
      </c>
      <c r="H1652" s="3">
        <f t="shared" si="266"/>
        <v>72313.97681517023</v>
      </c>
      <c r="I1652" s="3">
        <f t="shared" si="263"/>
        <v>1209019.3753365246</v>
      </c>
      <c r="J1652" s="3">
        <f t="shared" si="264"/>
        <v>7468657.8424839042</v>
      </c>
      <c r="K1652" s="24">
        <f>1440700+3000000</f>
        <v>4440700</v>
      </c>
      <c r="L1652" s="24">
        <f t="shared" si="268"/>
        <v>-4438539.7177245794</v>
      </c>
    </row>
    <row r="1653" spans="2:19" x14ac:dyDescent="0.35">
      <c r="B1653" s="1">
        <v>19</v>
      </c>
      <c r="C1653" s="22">
        <v>45261</v>
      </c>
      <c r="D1653" s="22">
        <v>45291</v>
      </c>
      <c r="E1653" s="23">
        <f t="shared" si="262"/>
        <v>31</v>
      </c>
      <c r="F1653" s="3">
        <f t="shared" si="265"/>
        <v>7468657.8424839042</v>
      </c>
      <c r="G1653" s="3">
        <f t="shared" si="267"/>
        <v>1281333.3521516947</v>
      </c>
      <c r="H1653" s="3">
        <f t="shared" si="266"/>
        <v>62238.815354032537</v>
      </c>
      <c r="I1653" s="3">
        <f t="shared" si="263"/>
        <v>1219094.5367976623</v>
      </c>
      <c r="J1653" s="3">
        <f t="shared" si="264"/>
        <v>6249563.3056862419</v>
      </c>
      <c r="K1653" s="24">
        <v>3092356.94</v>
      </c>
      <c r="L1653" s="24">
        <f t="shared" si="268"/>
        <v>-6249563.3055728842</v>
      </c>
    </row>
    <row r="1654" spans="2:19" x14ac:dyDescent="0.35">
      <c r="B1654" s="1">
        <v>20</v>
      </c>
      <c r="C1654" s="22">
        <v>45292</v>
      </c>
      <c r="D1654" s="22">
        <v>45322</v>
      </c>
      <c r="E1654" s="23">
        <f t="shared" si="262"/>
        <v>31</v>
      </c>
      <c r="F1654" s="3">
        <f t="shared" si="265"/>
        <v>6249563.3056862419</v>
      </c>
      <c r="G1654" s="3">
        <f t="shared" si="267"/>
        <v>1281333.3521516947</v>
      </c>
      <c r="H1654" s="3">
        <f t="shared" si="266"/>
        <v>52079.694214052019</v>
      </c>
      <c r="I1654" s="3">
        <f t="shared" si="263"/>
        <v>1229253.6579376427</v>
      </c>
      <c r="J1654" s="3">
        <f t="shared" si="264"/>
        <v>5020309.6477485988</v>
      </c>
      <c r="K1654" s="24"/>
      <c r="L1654" s="24"/>
    </row>
    <row r="1655" spans="2:19" x14ac:dyDescent="0.35">
      <c r="B1655" s="1">
        <v>21</v>
      </c>
      <c r="C1655" s="22">
        <v>45323</v>
      </c>
      <c r="D1655" s="22">
        <v>45350</v>
      </c>
      <c r="E1655" s="23">
        <f t="shared" si="262"/>
        <v>28</v>
      </c>
      <c r="F1655" s="3">
        <f t="shared" si="265"/>
        <v>5020309.6477485988</v>
      </c>
      <c r="G1655" s="3">
        <f t="shared" si="267"/>
        <v>1281333.3521516947</v>
      </c>
      <c r="H1655" s="3">
        <f t="shared" si="266"/>
        <v>41835.913731238325</v>
      </c>
      <c r="I1655" s="3">
        <f t="shared" si="263"/>
        <v>1239497.4384204564</v>
      </c>
      <c r="J1655" s="3">
        <f t="shared" si="264"/>
        <v>3780812.2093281425</v>
      </c>
      <c r="K1655" s="24"/>
      <c r="L1655" s="24"/>
    </row>
    <row r="1656" spans="2:19" x14ac:dyDescent="0.35">
      <c r="B1656" s="1">
        <v>22</v>
      </c>
      <c r="C1656" s="22">
        <v>45352</v>
      </c>
      <c r="D1656" s="22">
        <v>45382</v>
      </c>
      <c r="E1656" s="23">
        <f t="shared" si="262"/>
        <v>31</v>
      </c>
      <c r="F1656" s="3">
        <f t="shared" si="265"/>
        <v>3780812.2093281425</v>
      </c>
      <c r="G1656" s="3">
        <f t="shared" si="267"/>
        <v>1281333.3521516947</v>
      </c>
      <c r="H1656" s="3">
        <f t="shared" si="266"/>
        <v>31506.768411067853</v>
      </c>
      <c r="I1656" s="3">
        <f t="shared" si="263"/>
        <v>1249826.5837406269</v>
      </c>
      <c r="J1656" s="3">
        <f t="shared" si="264"/>
        <v>2530985.6255875155</v>
      </c>
      <c r="K1656" s="24"/>
      <c r="L1656" s="24"/>
    </row>
    <row r="1657" spans="2:19" x14ac:dyDescent="0.35">
      <c r="B1657" s="1">
        <v>23</v>
      </c>
      <c r="C1657" s="22">
        <v>45383</v>
      </c>
      <c r="D1657" s="22">
        <v>45412</v>
      </c>
      <c r="E1657" s="23">
        <f t="shared" si="262"/>
        <v>30</v>
      </c>
      <c r="F1657" s="3">
        <f t="shared" si="265"/>
        <v>2530985.6255875155</v>
      </c>
      <c r="G1657" s="3">
        <f t="shared" si="267"/>
        <v>1281333.3521516947</v>
      </c>
      <c r="H1657" s="3">
        <f t="shared" si="266"/>
        <v>21091.546879895963</v>
      </c>
      <c r="I1657" s="3">
        <f t="shared" si="263"/>
        <v>1260241.8052717987</v>
      </c>
      <c r="J1657" s="3">
        <f t="shared" si="264"/>
        <v>1270743.8203157168</v>
      </c>
      <c r="K1657" s="24"/>
      <c r="L1657" s="24"/>
    </row>
    <row r="1658" spans="2:19" x14ac:dyDescent="0.35">
      <c r="B1658" s="1">
        <v>24</v>
      </c>
      <c r="C1658" s="22">
        <v>45413</v>
      </c>
      <c r="D1658" s="22">
        <v>45443</v>
      </c>
      <c r="E1658" s="23">
        <f t="shared" si="262"/>
        <v>31</v>
      </c>
      <c r="F1658" s="3">
        <f t="shared" si="265"/>
        <v>1270743.8203157168</v>
      </c>
      <c r="G1658" s="3">
        <f t="shared" si="267"/>
        <v>1281333.3521516947</v>
      </c>
      <c r="H1658" s="3">
        <f t="shared" si="266"/>
        <v>10589.531835964306</v>
      </c>
      <c r="I1658" s="3">
        <f t="shared" si="263"/>
        <v>1270743.8203157303</v>
      </c>
      <c r="J1658" s="3">
        <f t="shared" si="264"/>
        <v>-1.3504177331924438E-8</v>
      </c>
      <c r="K1658" s="24"/>
      <c r="L1658" s="24"/>
    </row>
    <row r="1659" spans="2:19" ht="14.25" customHeight="1" x14ac:dyDescent="0.35">
      <c r="B1659" s="1"/>
      <c r="C1659" s="1"/>
      <c r="D1659" s="1"/>
      <c r="E1659" s="28">
        <f>SUM(E1635:E1658)</f>
        <v>728</v>
      </c>
      <c r="F1659" s="3"/>
      <c r="G1659" s="3"/>
      <c r="H1659" s="3"/>
      <c r="I1659" s="3"/>
      <c r="J1659" s="3"/>
      <c r="K1659" s="1"/>
      <c r="L1659" s="1"/>
    </row>
    <row r="1664" spans="2:19" x14ac:dyDescent="0.35">
      <c r="B1664" s="1"/>
      <c r="C1664" s="8" t="s">
        <v>787</v>
      </c>
      <c r="D1664" s="3"/>
      <c r="E1664" s="3"/>
      <c r="F1664" s="3"/>
      <c r="G1664" s="3"/>
      <c r="H1664" s="3"/>
      <c r="I1664" s="3"/>
      <c r="J1664" s="3"/>
      <c r="K1664" s="3"/>
      <c r="L1664" s="3"/>
      <c r="R1664" s="438" t="s">
        <v>832</v>
      </c>
      <c r="S1664" s="432" t="str">
        <f>IFERROR(INDEX(Blocks!$I$2:$I$101,MATCH(28,Blocks!$A$2:$A$101,0)),"")</f>
        <v>000104460000029</v>
      </c>
    </row>
    <row r="1665" spans="2:19" x14ac:dyDescent="0.35">
      <c r="B1665" s="1"/>
      <c r="C1665" s="1"/>
      <c r="D1665" s="3"/>
      <c r="E1665" s="3"/>
      <c r="F1665" s="3"/>
      <c r="G1665" s="3"/>
      <c r="H1665" s="3"/>
      <c r="I1665" s="3"/>
      <c r="J1665" s="3"/>
      <c r="K1665" s="3"/>
      <c r="L1665" s="3"/>
      <c r="R1665" s="438" t="s">
        <v>834</v>
      </c>
      <c r="S1665" s="432" t="str">
        <f>IFERROR(INDEX(Blocks!$H$2:$H$101,MATCH(28,Blocks!$A$2:$A$101,0)),"")</f>
        <v>Agwenda Investment Ltd</v>
      </c>
    </row>
    <row r="1666" spans="2:19" x14ac:dyDescent="0.35">
      <c r="B1666" s="1"/>
      <c r="C1666" s="9" t="s">
        <v>835</v>
      </c>
      <c r="D1666" s="10">
        <v>24000000</v>
      </c>
      <c r="E1666" s="3"/>
      <c r="F1666" s="3"/>
      <c r="G1666" s="3"/>
      <c r="H1666" s="3"/>
      <c r="I1666" s="3"/>
      <c r="J1666" s="3"/>
      <c r="K1666" s="3"/>
      <c r="L1666" s="3"/>
      <c r="R1666" s="438" t="s">
        <v>223</v>
      </c>
      <c r="S1666" s="433">
        <f>IFERROR(INDEX('E-Banker master'!$N$2:$N$186,MATCH(S1664,'E-Banker master'!$A$2:$A$186,0)),"")</f>
        <v>0</v>
      </c>
    </row>
    <row r="1667" spans="2:19" x14ac:dyDescent="0.35">
      <c r="B1667" s="1"/>
      <c r="C1667" s="11" t="s">
        <v>837</v>
      </c>
      <c r="D1667" s="12">
        <v>0.1</v>
      </c>
      <c r="E1667" s="13"/>
      <c r="F1667" s="3"/>
      <c r="G1667" s="3"/>
      <c r="H1667" s="3"/>
      <c r="I1667" s="3"/>
      <c r="J1667" s="3"/>
      <c r="K1667" s="3"/>
      <c r="L1667" s="3"/>
      <c r="R1667" s="438" t="s">
        <v>52</v>
      </c>
      <c r="S1667" s="433">
        <f>IFERROR(INDEX('E-Banker master'!$P$2:$P$186,MATCH(S1664,'E-Banker master'!$A$2:$A$186,0)),"")</f>
        <v>0</v>
      </c>
    </row>
    <row r="1668" spans="2:19" x14ac:dyDescent="0.35">
      <c r="B1668" s="1"/>
      <c r="C1668" s="11" t="s">
        <v>838</v>
      </c>
      <c r="D1668" s="14">
        <v>2</v>
      </c>
      <c r="E1668" s="1"/>
      <c r="F1668" s="3"/>
      <c r="G1668" s="3"/>
      <c r="H1668" s="3"/>
      <c r="I1668" s="3"/>
      <c r="J1668" s="3"/>
      <c r="K1668" s="1"/>
      <c r="L1668" s="1"/>
    </row>
    <row r="1669" spans="2:19" x14ac:dyDescent="0.35">
      <c r="B1669" s="1"/>
      <c r="C1669" s="11" t="s">
        <v>839</v>
      </c>
      <c r="D1669" s="14">
        <v>12</v>
      </c>
      <c r="E1669" s="1"/>
      <c r="F1669" s="3"/>
      <c r="G1669" s="3"/>
      <c r="H1669" s="3"/>
      <c r="I1669" s="3"/>
      <c r="J1669" s="3"/>
      <c r="K1669" s="1"/>
      <c r="L1669" s="1"/>
    </row>
    <row r="1670" spans="2:19" x14ac:dyDescent="0.35">
      <c r="B1670" s="1"/>
      <c r="C1670" s="11" t="s">
        <v>843</v>
      </c>
      <c r="D1670" s="15">
        <f>D1668*D1669</f>
        <v>24</v>
      </c>
      <c r="E1670" s="1"/>
      <c r="F1670" s="3"/>
      <c r="G1670" s="3"/>
      <c r="H1670" s="3"/>
      <c r="I1670" s="3"/>
      <c r="J1670" s="3"/>
      <c r="K1670" s="1"/>
      <c r="L1670" s="1"/>
    </row>
    <row r="1671" spans="2:19" x14ac:dyDescent="0.35">
      <c r="B1671" s="1"/>
      <c r="C1671" s="11" t="s">
        <v>844</v>
      </c>
      <c r="D1671" s="16">
        <v>365</v>
      </c>
      <c r="E1671" s="1"/>
      <c r="F1671" s="3"/>
      <c r="G1671" s="3"/>
      <c r="H1671" s="3"/>
      <c r="I1671" s="3"/>
      <c r="J1671" s="3"/>
      <c r="K1671" s="1"/>
      <c r="L1671" s="1"/>
    </row>
    <row r="1672" spans="2:19" x14ac:dyDescent="0.35">
      <c r="B1672" s="1"/>
      <c r="C1672" s="17" t="s">
        <v>845</v>
      </c>
      <c r="D1672" s="18">
        <f>-PMT(D1667/D1669,D1670,D1666,0,0)</f>
        <v>1107478.2321003962</v>
      </c>
      <c r="E1672" s="3"/>
      <c r="F1672" s="3"/>
      <c r="G1672" s="3"/>
      <c r="H1672" s="3"/>
      <c r="I1672" s="3"/>
      <c r="J1672" s="3"/>
      <c r="K1672" s="1"/>
      <c r="L1672" s="1"/>
    </row>
    <row r="1673" spans="2:19" x14ac:dyDescent="0.35">
      <c r="B1673" s="1"/>
      <c r="C1673" s="1"/>
      <c r="D1673" s="3"/>
      <c r="E1673" s="3"/>
      <c r="F1673" s="3"/>
      <c r="G1673" s="3"/>
      <c r="H1673" s="3"/>
      <c r="I1673" s="3"/>
      <c r="J1673" s="3"/>
      <c r="K1673" s="1"/>
      <c r="L1673" s="1"/>
    </row>
    <row r="1674" spans="2:19" x14ac:dyDescent="0.35">
      <c r="B1674" s="1"/>
      <c r="C1674" s="19" t="s">
        <v>846</v>
      </c>
      <c r="D1674" s="20" t="s">
        <v>847</v>
      </c>
      <c r="E1674" s="20" t="s">
        <v>764</v>
      </c>
      <c r="F1674" s="270" t="s">
        <v>848</v>
      </c>
      <c r="G1674" s="270" t="s">
        <v>849</v>
      </c>
      <c r="H1674" s="270" t="s">
        <v>742</v>
      </c>
      <c r="I1674" s="270" t="s">
        <v>740</v>
      </c>
      <c r="J1674" s="270" t="s">
        <v>850</v>
      </c>
      <c r="K1674" s="21" t="s">
        <v>851</v>
      </c>
      <c r="L1674" s="21" t="s">
        <v>852</v>
      </c>
    </row>
    <row r="1675" spans="2:19" x14ac:dyDescent="0.35">
      <c r="B1675" s="1">
        <v>0</v>
      </c>
      <c r="C1675" s="22">
        <v>44726</v>
      </c>
      <c r="D1675" s="22">
        <v>44742</v>
      </c>
      <c r="E1675" s="23">
        <f t="shared" ref="E1675:E1699" si="269">D1675-C1675+1</f>
        <v>17</v>
      </c>
      <c r="F1675" s="3">
        <f>D1666</f>
        <v>24000000</v>
      </c>
      <c r="G1675" s="3"/>
      <c r="H1675" s="3">
        <f>$D$1667/$D$1669*F1675*17/30</f>
        <v>113333.33333333333</v>
      </c>
      <c r="I1675" s="3">
        <f t="shared" ref="I1675:I1699" si="270">G1675-H1675</f>
        <v>-113333.33333333333</v>
      </c>
      <c r="J1675" s="3">
        <f t="shared" ref="J1675:J1699" si="271">F1675-I1675</f>
        <v>24113333.333333332</v>
      </c>
      <c r="K1675" s="24"/>
      <c r="L1675" s="24"/>
    </row>
    <row r="1676" spans="2:19" x14ac:dyDescent="0.35">
      <c r="B1676" s="1">
        <v>1</v>
      </c>
      <c r="C1676" s="22">
        <v>44743</v>
      </c>
      <c r="D1676" s="22">
        <v>44773</v>
      </c>
      <c r="E1676" s="23">
        <f t="shared" si="269"/>
        <v>31</v>
      </c>
      <c r="F1676" s="3">
        <f t="shared" ref="F1676:F1699" si="272">J1675</f>
        <v>24113333.333333332</v>
      </c>
      <c r="G1676" s="3"/>
      <c r="H1676" s="3">
        <f t="shared" ref="H1676:H1699" si="273">$D$1667/$D$1669*F1676</f>
        <v>200944.44444444444</v>
      </c>
      <c r="I1676" s="3">
        <f t="shared" si="270"/>
        <v>-200944.44444444444</v>
      </c>
      <c r="J1676" s="3">
        <f t="shared" si="271"/>
        <v>24314277.777777776</v>
      </c>
      <c r="K1676" s="24"/>
      <c r="L1676" s="24"/>
      <c r="M1676" s="7">
        <f>2574000/2</f>
        <v>1287000</v>
      </c>
    </row>
    <row r="1677" spans="2:19" x14ac:dyDescent="0.35">
      <c r="B1677" s="1">
        <v>2</v>
      </c>
      <c r="C1677" s="22">
        <v>44774</v>
      </c>
      <c r="D1677" s="22">
        <v>44804</v>
      </c>
      <c r="E1677" s="23">
        <f t="shared" si="269"/>
        <v>31</v>
      </c>
      <c r="F1677" s="3">
        <f t="shared" si="272"/>
        <v>24314277.777777776</v>
      </c>
      <c r="G1677" s="3"/>
      <c r="H1677" s="3">
        <f t="shared" si="273"/>
        <v>202618.98148148146</v>
      </c>
      <c r="I1677" s="3">
        <f t="shared" si="270"/>
        <v>-202618.98148148146</v>
      </c>
      <c r="J1677" s="3">
        <f t="shared" si="271"/>
        <v>24516896.759259257</v>
      </c>
    </row>
    <row r="1678" spans="2:19" x14ac:dyDescent="0.35">
      <c r="B1678" s="1">
        <v>3</v>
      </c>
      <c r="C1678" s="22">
        <v>44805</v>
      </c>
      <c r="D1678" s="22">
        <v>44834</v>
      </c>
      <c r="E1678" s="23">
        <f t="shared" si="269"/>
        <v>30</v>
      </c>
      <c r="F1678" s="3">
        <f t="shared" si="272"/>
        <v>24516896.759259257</v>
      </c>
      <c r="G1678" s="3"/>
      <c r="H1678" s="3">
        <f t="shared" si="273"/>
        <v>204307.47299382713</v>
      </c>
      <c r="I1678" s="3">
        <f t="shared" si="270"/>
        <v>-204307.47299382713</v>
      </c>
      <c r="J1678" s="3">
        <f t="shared" si="271"/>
        <v>24721204.232253086</v>
      </c>
      <c r="K1678" s="24"/>
      <c r="L1678" s="24"/>
    </row>
    <row r="1679" spans="2:19" x14ac:dyDescent="0.35">
      <c r="B1679" s="1">
        <v>4</v>
      </c>
      <c r="C1679" s="22">
        <v>44835</v>
      </c>
      <c r="D1679" s="22">
        <v>44865</v>
      </c>
      <c r="E1679" s="23">
        <f t="shared" si="269"/>
        <v>31</v>
      </c>
      <c r="F1679" s="3">
        <f t="shared" si="272"/>
        <v>24721204.232253086</v>
      </c>
      <c r="G1679" s="3">
        <f t="shared" ref="G1679:G1699" si="274">-PMT($D$1667/$D$1669,21,$F$1679,,0)</f>
        <v>1288093.7865275959</v>
      </c>
      <c r="H1679" s="3">
        <f t="shared" si="273"/>
        <v>206010.03526877571</v>
      </c>
      <c r="I1679" s="3">
        <f t="shared" si="270"/>
        <v>1082083.7512588203</v>
      </c>
      <c r="J1679" s="3">
        <f t="shared" si="271"/>
        <v>23639120.480994266</v>
      </c>
      <c r="K1679" s="24">
        <v>1283000</v>
      </c>
      <c r="L1679" s="24">
        <f>G1679-K1679</f>
        <v>5093.7865275959484</v>
      </c>
    </row>
    <row r="1680" spans="2:19" x14ac:dyDescent="0.35">
      <c r="B1680" s="1">
        <v>5</v>
      </c>
      <c r="C1680" s="22">
        <v>44866</v>
      </c>
      <c r="D1680" s="22">
        <v>44895</v>
      </c>
      <c r="E1680" s="23">
        <f t="shared" si="269"/>
        <v>30</v>
      </c>
      <c r="F1680" s="3">
        <f t="shared" si="272"/>
        <v>23639120.480994266</v>
      </c>
      <c r="G1680" s="3">
        <f t="shared" si="274"/>
        <v>1288093.7865275959</v>
      </c>
      <c r="H1680" s="3">
        <f t="shared" si="273"/>
        <v>196992.67067495221</v>
      </c>
      <c r="I1680" s="3">
        <f t="shared" si="270"/>
        <v>1091101.1158526437</v>
      </c>
      <c r="J1680" s="3">
        <f t="shared" si="271"/>
        <v>22548019.365141623</v>
      </c>
      <c r="K1680" s="24">
        <v>0</v>
      </c>
      <c r="L1680" s="24">
        <f t="shared" ref="L1680:L1696" si="275">L1679+G1680-K1680</f>
        <v>1293187.5730551919</v>
      </c>
    </row>
    <row r="1681" spans="2:12" x14ac:dyDescent="0.35">
      <c r="B1681" s="1">
        <v>6</v>
      </c>
      <c r="C1681" s="22">
        <v>44896</v>
      </c>
      <c r="D1681" s="22">
        <v>44926</v>
      </c>
      <c r="E1681" s="23">
        <f t="shared" si="269"/>
        <v>31</v>
      </c>
      <c r="F1681" s="3">
        <f t="shared" si="272"/>
        <v>22548019.365141623</v>
      </c>
      <c r="G1681" s="3">
        <f t="shared" si="274"/>
        <v>1288093.7865275959</v>
      </c>
      <c r="H1681" s="3">
        <f t="shared" si="273"/>
        <v>187900.16137618019</v>
      </c>
      <c r="I1681" s="3">
        <f t="shared" si="270"/>
        <v>1100193.6251514158</v>
      </c>
      <c r="J1681" s="3">
        <f t="shared" si="271"/>
        <v>21447825.739990208</v>
      </c>
      <c r="K1681" s="24">
        <v>2574000</v>
      </c>
      <c r="L1681" s="24">
        <f t="shared" si="275"/>
        <v>7281.3595827878453</v>
      </c>
    </row>
    <row r="1682" spans="2:12" x14ac:dyDescent="0.35">
      <c r="B1682" s="1">
        <v>7</v>
      </c>
      <c r="C1682" s="22">
        <v>44927</v>
      </c>
      <c r="D1682" s="22">
        <v>44957</v>
      </c>
      <c r="E1682" s="23">
        <f t="shared" si="269"/>
        <v>31</v>
      </c>
      <c r="F1682" s="3">
        <f t="shared" si="272"/>
        <v>21447825.739990208</v>
      </c>
      <c r="G1682" s="3">
        <f t="shared" si="274"/>
        <v>1288093.7865275959</v>
      </c>
      <c r="H1682" s="3">
        <f t="shared" si="273"/>
        <v>178731.88116658508</v>
      </c>
      <c r="I1682" s="3">
        <f t="shared" si="270"/>
        <v>1109361.9053610109</v>
      </c>
      <c r="J1682" s="3">
        <f t="shared" si="271"/>
        <v>20338463.834629197</v>
      </c>
      <c r="K1682" s="24"/>
      <c r="L1682" s="24">
        <f t="shared" si="275"/>
        <v>1295375.1461103838</v>
      </c>
    </row>
    <row r="1683" spans="2:12" x14ac:dyDescent="0.35">
      <c r="B1683" s="1">
        <v>8</v>
      </c>
      <c r="C1683" s="22">
        <v>44958</v>
      </c>
      <c r="D1683" s="22">
        <v>44985</v>
      </c>
      <c r="E1683" s="23">
        <f t="shared" si="269"/>
        <v>28</v>
      </c>
      <c r="F1683" s="3">
        <f t="shared" si="272"/>
        <v>20338463.834629197</v>
      </c>
      <c r="G1683" s="3">
        <f t="shared" si="274"/>
        <v>1288093.7865275959</v>
      </c>
      <c r="H1683" s="3">
        <f t="shared" si="273"/>
        <v>169487.19862190998</v>
      </c>
      <c r="I1683" s="3">
        <f t="shared" si="270"/>
        <v>1118606.5879056859</v>
      </c>
      <c r="J1683" s="3">
        <f t="shared" si="271"/>
        <v>19219857.24672351</v>
      </c>
      <c r="K1683" s="24"/>
      <c r="L1683" s="24">
        <f t="shared" si="275"/>
        <v>2583468.9326379797</v>
      </c>
    </row>
    <row r="1684" spans="2:12" x14ac:dyDescent="0.35">
      <c r="B1684" s="1">
        <v>9</v>
      </c>
      <c r="C1684" s="22">
        <v>44986</v>
      </c>
      <c r="D1684" s="22">
        <v>45016</v>
      </c>
      <c r="E1684" s="23">
        <f t="shared" si="269"/>
        <v>31</v>
      </c>
      <c r="F1684" s="3">
        <f t="shared" si="272"/>
        <v>19219857.24672351</v>
      </c>
      <c r="G1684" s="3">
        <f t="shared" si="274"/>
        <v>1288093.7865275959</v>
      </c>
      <c r="H1684" s="3">
        <f t="shared" si="273"/>
        <v>160165.47705602925</v>
      </c>
      <c r="I1684" s="3">
        <f t="shared" si="270"/>
        <v>1127928.3094715667</v>
      </c>
      <c r="J1684" s="3">
        <f t="shared" si="271"/>
        <v>18091928.937251944</v>
      </c>
      <c r="K1684" s="24">
        <v>2583468.9300000002</v>
      </c>
      <c r="L1684" s="24">
        <f t="shared" si="275"/>
        <v>1288093.7891655755</v>
      </c>
    </row>
    <row r="1685" spans="2:12" x14ac:dyDescent="0.35">
      <c r="B1685" s="1">
        <v>10</v>
      </c>
      <c r="C1685" s="22">
        <v>45017</v>
      </c>
      <c r="D1685" s="22">
        <v>45046</v>
      </c>
      <c r="E1685" s="23">
        <f t="shared" si="269"/>
        <v>30</v>
      </c>
      <c r="F1685" s="3">
        <f t="shared" si="272"/>
        <v>18091928.937251944</v>
      </c>
      <c r="G1685" s="3">
        <f t="shared" si="274"/>
        <v>1288093.7865275959</v>
      </c>
      <c r="H1685" s="3">
        <f t="shared" si="273"/>
        <v>150766.07447709952</v>
      </c>
      <c r="I1685" s="3">
        <f t="shared" si="270"/>
        <v>1137327.7120504964</v>
      </c>
      <c r="J1685" s="3">
        <f t="shared" si="271"/>
        <v>16954601.225201447</v>
      </c>
      <c r="K1685" s="24">
        <v>1288093.79</v>
      </c>
      <c r="L1685" s="24">
        <f t="shared" si="275"/>
        <v>1288093.7856931714</v>
      </c>
    </row>
    <row r="1686" spans="2:12" x14ac:dyDescent="0.35">
      <c r="B1686" s="1">
        <v>11</v>
      </c>
      <c r="C1686" s="22">
        <v>45047</v>
      </c>
      <c r="D1686" s="22">
        <v>45077</v>
      </c>
      <c r="E1686" s="23">
        <f t="shared" si="269"/>
        <v>31</v>
      </c>
      <c r="F1686" s="3">
        <f t="shared" si="272"/>
        <v>16954601.225201447</v>
      </c>
      <c r="G1686" s="3">
        <f t="shared" si="274"/>
        <v>1288093.7865275959</v>
      </c>
      <c r="H1686" s="3">
        <f t="shared" si="273"/>
        <v>141288.3435433454</v>
      </c>
      <c r="I1686" s="3">
        <f t="shared" si="270"/>
        <v>1146805.4429842506</v>
      </c>
      <c r="J1686" s="3">
        <f t="shared" si="271"/>
        <v>15807795.782217195</v>
      </c>
      <c r="K1686" s="24">
        <v>1283000</v>
      </c>
      <c r="L1686" s="24">
        <f t="shared" si="275"/>
        <v>1293187.5722207674</v>
      </c>
    </row>
    <row r="1687" spans="2:12" x14ac:dyDescent="0.35">
      <c r="B1687" s="1">
        <v>12</v>
      </c>
      <c r="C1687" s="22">
        <v>45078</v>
      </c>
      <c r="D1687" s="22">
        <v>45107</v>
      </c>
      <c r="E1687" s="23">
        <f t="shared" si="269"/>
        <v>30</v>
      </c>
      <c r="F1687" s="3">
        <f t="shared" si="272"/>
        <v>15807795.782217195</v>
      </c>
      <c r="G1687" s="3">
        <f t="shared" si="274"/>
        <v>1288093.7865275959</v>
      </c>
      <c r="H1687" s="3">
        <f t="shared" si="273"/>
        <v>131731.63151847661</v>
      </c>
      <c r="I1687" s="3">
        <f t="shared" si="270"/>
        <v>1156362.1550091193</v>
      </c>
      <c r="J1687" s="3">
        <f t="shared" si="271"/>
        <v>14651433.627208076</v>
      </c>
      <c r="K1687" s="24"/>
      <c r="L1687" s="26">
        <f t="shared" si="275"/>
        <v>2581281.3587483633</v>
      </c>
    </row>
    <row r="1688" spans="2:12" x14ac:dyDescent="0.35">
      <c r="B1688" s="1">
        <v>13</v>
      </c>
      <c r="C1688" s="22">
        <v>45108</v>
      </c>
      <c r="D1688" s="22">
        <v>45138</v>
      </c>
      <c r="E1688" s="23">
        <f t="shared" si="269"/>
        <v>31</v>
      </c>
      <c r="F1688" s="3">
        <f t="shared" si="272"/>
        <v>14651433.627208076</v>
      </c>
      <c r="G1688" s="3">
        <f t="shared" si="274"/>
        <v>1288093.7865275959</v>
      </c>
      <c r="H1688" s="3">
        <f t="shared" si="273"/>
        <v>122095.28022673397</v>
      </c>
      <c r="I1688" s="3">
        <f t="shared" si="270"/>
        <v>1165998.5063008619</v>
      </c>
      <c r="J1688" s="3">
        <f t="shared" si="271"/>
        <v>13485435.120907214</v>
      </c>
      <c r="K1688" s="24"/>
      <c r="L1688" s="24">
        <f t="shared" si="275"/>
        <v>3869375.1452759593</v>
      </c>
    </row>
    <row r="1689" spans="2:12" x14ac:dyDescent="0.35">
      <c r="B1689" s="1">
        <v>14</v>
      </c>
      <c r="C1689" s="22">
        <v>45139</v>
      </c>
      <c r="D1689" s="22">
        <v>45169</v>
      </c>
      <c r="E1689" s="23">
        <f t="shared" si="269"/>
        <v>31</v>
      </c>
      <c r="F1689" s="3">
        <f t="shared" si="272"/>
        <v>13485435.120907214</v>
      </c>
      <c r="G1689" s="3">
        <f t="shared" si="274"/>
        <v>1288093.7865275959</v>
      </c>
      <c r="H1689" s="3">
        <f t="shared" si="273"/>
        <v>112378.62600756012</v>
      </c>
      <c r="I1689" s="3">
        <f t="shared" si="270"/>
        <v>1175715.1605200358</v>
      </c>
      <c r="J1689" s="3">
        <f t="shared" si="271"/>
        <v>12309719.960387178</v>
      </c>
      <c r="K1689" s="24"/>
      <c r="L1689" s="24">
        <f t="shared" si="275"/>
        <v>5157468.9318035552</v>
      </c>
    </row>
    <row r="1690" spans="2:12" x14ac:dyDescent="0.35">
      <c r="B1690" s="1">
        <v>15</v>
      </c>
      <c r="C1690" s="22">
        <v>45170</v>
      </c>
      <c r="D1690" s="22">
        <v>45199</v>
      </c>
      <c r="E1690" s="23">
        <f t="shared" si="269"/>
        <v>30</v>
      </c>
      <c r="F1690" s="3">
        <f t="shared" si="272"/>
        <v>12309719.960387178</v>
      </c>
      <c r="G1690" s="3">
        <f t="shared" si="274"/>
        <v>1288093.7865275959</v>
      </c>
      <c r="H1690" s="3">
        <f t="shared" si="273"/>
        <v>102580.99966989315</v>
      </c>
      <c r="I1690" s="3">
        <f t="shared" si="270"/>
        <v>1185512.7868577028</v>
      </c>
      <c r="J1690" s="3">
        <f t="shared" si="271"/>
        <v>11124207.173529476</v>
      </c>
      <c r="K1690" s="24"/>
      <c r="L1690" s="24">
        <f t="shared" si="275"/>
        <v>6445562.7183311507</v>
      </c>
    </row>
    <row r="1691" spans="2:12" x14ac:dyDescent="0.35">
      <c r="B1691" s="1">
        <v>16</v>
      </c>
      <c r="C1691" s="22">
        <v>45200</v>
      </c>
      <c r="D1691" s="22">
        <v>45230</v>
      </c>
      <c r="E1691" s="23">
        <f t="shared" si="269"/>
        <v>31</v>
      </c>
      <c r="F1691" s="3">
        <f t="shared" si="272"/>
        <v>11124207.173529476</v>
      </c>
      <c r="G1691" s="3">
        <f t="shared" si="274"/>
        <v>1288093.7865275959</v>
      </c>
      <c r="H1691" s="3">
        <f t="shared" si="273"/>
        <v>92701.726446078959</v>
      </c>
      <c r="I1691" s="3">
        <f t="shared" si="270"/>
        <v>1195392.0600815171</v>
      </c>
      <c r="J1691" s="3">
        <f t="shared" si="271"/>
        <v>9928815.1134479586</v>
      </c>
      <c r="K1691" s="24">
        <v>4500000</v>
      </c>
      <c r="L1691" s="24">
        <f t="shared" si="275"/>
        <v>3233656.5048587471</v>
      </c>
    </row>
    <row r="1692" spans="2:12" x14ac:dyDescent="0.35">
      <c r="B1692" s="1">
        <v>17</v>
      </c>
      <c r="C1692" s="22">
        <v>45231</v>
      </c>
      <c r="D1692" s="22">
        <v>45260</v>
      </c>
      <c r="E1692" s="23">
        <f t="shared" si="269"/>
        <v>30</v>
      </c>
      <c r="F1692" s="3">
        <f t="shared" si="272"/>
        <v>9928815.1134479586</v>
      </c>
      <c r="G1692" s="3">
        <f t="shared" si="274"/>
        <v>1288093.7865275959</v>
      </c>
      <c r="H1692" s="3">
        <f t="shared" si="273"/>
        <v>82740.125945399661</v>
      </c>
      <c r="I1692" s="3">
        <f t="shared" si="270"/>
        <v>1205353.6605821962</v>
      </c>
      <c r="J1692" s="3">
        <f t="shared" si="271"/>
        <v>8723461.4528657626</v>
      </c>
      <c r="K1692" s="24">
        <v>1000000</v>
      </c>
      <c r="L1692" s="24">
        <f t="shared" si="275"/>
        <v>3521750.2913863435</v>
      </c>
    </row>
    <row r="1693" spans="2:12" x14ac:dyDescent="0.35">
      <c r="B1693" s="1">
        <v>18</v>
      </c>
      <c r="C1693" s="22">
        <v>45261</v>
      </c>
      <c r="D1693" s="22">
        <v>45291</v>
      </c>
      <c r="E1693" s="23">
        <f t="shared" si="269"/>
        <v>31</v>
      </c>
      <c r="F1693" s="3">
        <f t="shared" si="272"/>
        <v>8723461.4528657626</v>
      </c>
      <c r="G1693" s="3">
        <f t="shared" si="274"/>
        <v>1288093.7865275959</v>
      </c>
      <c r="H1693" s="3">
        <f t="shared" si="273"/>
        <v>72695.512107214687</v>
      </c>
      <c r="I1693" s="3">
        <f t="shared" si="270"/>
        <v>1215398.2744203813</v>
      </c>
      <c r="J1693" s="3">
        <f t="shared" si="271"/>
        <v>7508063.1784453811</v>
      </c>
      <c r="K1693" s="24">
        <f>1810000+3000000</f>
        <v>4810000</v>
      </c>
      <c r="L1693" s="24">
        <f t="shared" si="275"/>
        <v>-155.92208606004715</v>
      </c>
    </row>
    <row r="1694" spans="2:12" x14ac:dyDescent="0.35">
      <c r="B1694" s="1">
        <v>19</v>
      </c>
      <c r="C1694" s="22">
        <v>45292</v>
      </c>
      <c r="D1694" s="22">
        <v>45322</v>
      </c>
      <c r="E1694" s="23">
        <f t="shared" si="269"/>
        <v>31</v>
      </c>
      <c r="F1694" s="3">
        <f t="shared" si="272"/>
        <v>7508063.1784453811</v>
      </c>
      <c r="G1694" s="3">
        <f t="shared" si="274"/>
        <v>1288093.7865275959</v>
      </c>
      <c r="H1694" s="3">
        <f t="shared" si="273"/>
        <v>62567.193153711509</v>
      </c>
      <c r="I1694" s="3">
        <f t="shared" si="270"/>
        <v>1225526.5933738844</v>
      </c>
      <c r="J1694" s="3">
        <f t="shared" si="271"/>
        <v>6282536.5850714967</v>
      </c>
      <c r="K1694" s="24"/>
      <c r="L1694" s="24">
        <f t="shared" si="275"/>
        <v>1287937.8644415359</v>
      </c>
    </row>
    <row r="1695" spans="2:12" x14ac:dyDescent="0.35">
      <c r="B1695" s="1">
        <v>20</v>
      </c>
      <c r="C1695" s="22">
        <v>45323</v>
      </c>
      <c r="D1695" s="22">
        <v>45350</v>
      </c>
      <c r="E1695" s="23">
        <f t="shared" si="269"/>
        <v>28</v>
      </c>
      <c r="F1695" s="3">
        <f t="shared" si="272"/>
        <v>6282536.5850714967</v>
      </c>
      <c r="G1695" s="3">
        <f t="shared" si="274"/>
        <v>1288093.7865275959</v>
      </c>
      <c r="H1695" s="3">
        <f t="shared" si="273"/>
        <v>52354.471542262472</v>
      </c>
      <c r="I1695" s="3">
        <f t="shared" si="270"/>
        <v>1235739.3149853335</v>
      </c>
      <c r="J1695" s="3">
        <f t="shared" si="271"/>
        <v>5046797.2700861637</v>
      </c>
      <c r="K1695" s="24">
        <v>1292040</v>
      </c>
      <c r="L1695" s="24">
        <f t="shared" si="275"/>
        <v>1283991.6509691318</v>
      </c>
    </row>
    <row r="1696" spans="2:12" x14ac:dyDescent="0.35">
      <c r="B1696" s="1">
        <v>21</v>
      </c>
      <c r="C1696" s="22">
        <v>45352</v>
      </c>
      <c r="D1696" s="22">
        <v>45382</v>
      </c>
      <c r="E1696" s="23">
        <f t="shared" si="269"/>
        <v>31</v>
      </c>
      <c r="F1696" s="3">
        <f t="shared" si="272"/>
        <v>5046797.2700861637</v>
      </c>
      <c r="G1696" s="3">
        <f t="shared" si="274"/>
        <v>1288093.7865275959</v>
      </c>
      <c r="H1696" s="3">
        <f t="shared" si="273"/>
        <v>42056.643917384696</v>
      </c>
      <c r="I1696" s="3">
        <f t="shared" si="270"/>
        <v>1246037.1426102112</v>
      </c>
      <c r="J1696" s="3">
        <f t="shared" si="271"/>
        <v>3800760.1274759527</v>
      </c>
      <c r="K1696" s="24">
        <f>1278435+5000000</f>
        <v>6278435</v>
      </c>
      <c r="L1696" s="205">
        <f t="shared" si="275"/>
        <v>-3706349.5625032722</v>
      </c>
    </row>
    <row r="1697" spans="2:19" x14ac:dyDescent="0.35">
      <c r="B1697" s="1">
        <v>22</v>
      </c>
      <c r="C1697" s="22">
        <v>45383</v>
      </c>
      <c r="D1697" s="22">
        <v>45412</v>
      </c>
      <c r="E1697" s="23">
        <f t="shared" si="269"/>
        <v>30</v>
      </c>
      <c r="F1697" s="3">
        <f t="shared" si="272"/>
        <v>3800760.1274759527</v>
      </c>
      <c r="G1697" s="3">
        <f t="shared" si="274"/>
        <v>1288093.7865275959</v>
      </c>
      <c r="H1697" s="3">
        <f t="shared" si="273"/>
        <v>31673.001062299605</v>
      </c>
      <c r="I1697" s="3">
        <f t="shared" si="270"/>
        <v>1256420.7854652964</v>
      </c>
      <c r="J1697" s="3">
        <f t="shared" si="271"/>
        <v>2544339.3420106564</v>
      </c>
      <c r="K1697" s="24">
        <v>54000</v>
      </c>
      <c r="L1697" s="24"/>
    </row>
    <row r="1698" spans="2:19" x14ac:dyDescent="0.35">
      <c r="B1698" s="1">
        <v>23</v>
      </c>
      <c r="C1698" s="22">
        <v>45413</v>
      </c>
      <c r="D1698" s="22">
        <v>45443</v>
      </c>
      <c r="E1698" s="23">
        <f t="shared" si="269"/>
        <v>31</v>
      </c>
      <c r="F1698" s="3">
        <f t="shared" si="272"/>
        <v>2544339.3420106564</v>
      </c>
      <c r="G1698" s="3">
        <f t="shared" si="274"/>
        <v>1288093.7865275959</v>
      </c>
      <c r="H1698" s="3">
        <f t="shared" si="273"/>
        <v>21202.827850088805</v>
      </c>
      <c r="I1698" s="3">
        <f t="shared" si="270"/>
        <v>1266890.9586775072</v>
      </c>
      <c r="J1698" s="3">
        <f t="shared" si="271"/>
        <v>1277448.3833331491</v>
      </c>
      <c r="K1698" s="24"/>
      <c r="L1698" s="24"/>
    </row>
    <row r="1699" spans="2:19" x14ac:dyDescent="0.35">
      <c r="B1699" s="1">
        <v>24</v>
      </c>
      <c r="C1699" s="22">
        <v>45444</v>
      </c>
      <c r="D1699" s="22">
        <v>45473</v>
      </c>
      <c r="E1699" s="23">
        <f t="shared" si="269"/>
        <v>30</v>
      </c>
      <c r="F1699" s="3">
        <f t="shared" si="272"/>
        <v>1277448.3833331491</v>
      </c>
      <c r="G1699" s="3">
        <f t="shared" si="274"/>
        <v>1288093.7865275959</v>
      </c>
      <c r="H1699" s="3">
        <f t="shared" si="273"/>
        <v>10645.40319444291</v>
      </c>
      <c r="I1699" s="3">
        <f t="shared" si="270"/>
        <v>1277448.3833331531</v>
      </c>
      <c r="J1699" s="3">
        <f t="shared" si="271"/>
        <v>-3.9581209421157837E-9</v>
      </c>
      <c r="K1699" s="24"/>
      <c r="L1699" s="24"/>
    </row>
    <row r="1700" spans="2:19" ht="14.25" customHeight="1" x14ac:dyDescent="0.35">
      <c r="B1700" s="1"/>
      <c r="C1700" s="1"/>
      <c r="D1700" s="1"/>
      <c r="E1700" s="28">
        <f>SUM(E1675:E1698)</f>
        <v>717</v>
      </c>
      <c r="F1700" s="3"/>
      <c r="G1700" s="3"/>
      <c r="H1700" s="3"/>
      <c r="I1700" s="3"/>
      <c r="J1700" s="3"/>
      <c r="K1700" s="1"/>
      <c r="L1700" s="1"/>
    </row>
    <row r="1705" spans="2:19" x14ac:dyDescent="0.35">
      <c r="B1705" s="1"/>
      <c r="C1705" s="8" t="s">
        <v>898</v>
      </c>
      <c r="D1705" s="3"/>
      <c r="E1705" s="3"/>
      <c r="F1705" s="3"/>
      <c r="G1705" s="3"/>
      <c r="H1705" s="3"/>
      <c r="I1705" s="3"/>
      <c r="J1705" s="3"/>
      <c r="K1705" s="3"/>
      <c r="L1705" s="3"/>
      <c r="R1705" s="438" t="s">
        <v>832</v>
      </c>
      <c r="S1705" s="432" t="str">
        <f>IFERROR(INDEX(Blocks!$I$2:$I$101,MATCH(29,Blocks!$A$2:$A$101,0)),"")</f>
        <v>000104450000030</v>
      </c>
    </row>
    <row r="1706" spans="2:19" x14ac:dyDescent="0.35">
      <c r="B1706" s="1"/>
      <c r="C1706" s="1"/>
      <c r="D1706" s="3"/>
      <c r="E1706" s="3"/>
      <c r="F1706" s="3"/>
      <c r="G1706" s="3"/>
      <c r="H1706" s="3"/>
      <c r="I1706" s="3"/>
      <c r="J1706" s="3"/>
      <c r="K1706" s="3"/>
      <c r="L1706" s="3"/>
      <c r="R1706" s="438" t="s">
        <v>834</v>
      </c>
      <c r="S1706" s="432" t="str">
        <f>IFERROR(INDEX(Blocks!$H$2:$H$101,MATCH(29,Blocks!$A$2:$A$101,0)),"")</f>
        <v>Perisha Agro and packaging Enterprise</v>
      </c>
    </row>
    <row r="1707" spans="2:19" x14ac:dyDescent="0.35">
      <c r="B1707" s="1"/>
      <c r="C1707" s="9" t="s">
        <v>835</v>
      </c>
      <c r="D1707" s="10">
        <v>12000000</v>
      </c>
      <c r="E1707" s="3"/>
      <c r="F1707" s="3"/>
      <c r="G1707" s="3"/>
      <c r="H1707" s="3"/>
      <c r="I1707" s="3"/>
      <c r="J1707" s="3"/>
      <c r="K1707" s="3"/>
      <c r="L1707" s="3"/>
      <c r="R1707" s="438" t="s">
        <v>223</v>
      </c>
      <c r="S1707" s="433">
        <f>IFERROR(INDEX('E-Banker master'!$N$2:$N$186,MATCH(S1705,'E-Banker master'!$A$2:$A$186,0)),"")</f>
        <v>12000000</v>
      </c>
    </row>
    <row r="1708" spans="2:19" x14ac:dyDescent="0.35">
      <c r="B1708" s="1"/>
      <c r="C1708" s="11" t="s">
        <v>837</v>
      </c>
      <c r="D1708" s="12">
        <v>0.1</v>
      </c>
      <c r="E1708" s="13"/>
      <c r="F1708" s="3"/>
      <c r="G1708" s="3"/>
      <c r="H1708" s="3"/>
      <c r="I1708" s="3"/>
      <c r="J1708" s="3"/>
      <c r="K1708" s="3"/>
      <c r="L1708" s="3"/>
      <c r="R1708" s="438" t="s">
        <v>52</v>
      </c>
      <c r="S1708" s="433">
        <f>IFERROR(INDEX('E-Banker master'!$P$2:$P$186,MATCH(S1705,'E-Banker master'!$A$2:$A$186,0)),"")</f>
        <v>1358.4</v>
      </c>
    </row>
    <row r="1709" spans="2:19" x14ac:dyDescent="0.35">
      <c r="B1709" s="1"/>
      <c r="C1709" s="11" t="s">
        <v>838</v>
      </c>
      <c r="D1709" s="14">
        <v>2</v>
      </c>
      <c r="E1709" s="1"/>
      <c r="F1709" s="3"/>
      <c r="G1709" s="3"/>
      <c r="H1709" s="3"/>
      <c r="I1709" s="3"/>
      <c r="J1709" s="3"/>
      <c r="K1709" s="1"/>
      <c r="L1709" s="1"/>
    </row>
    <row r="1710" spans="2:19" x14ac:dyDescent="0.35">
      <c r="B1710" s="1"/>
      <c r="C1710" s="11" t="s">
        <v>839</v>
      </c>
      <c r="D1710" s="14">
        <v>12</v>
      </c>
      <c r="E1710" s="1"/>
      <c r="F1710" s="3"/>
      <c r="G1710" s="3"/>
      <c r="H1710" s="3"/>
      <c r="I1710" s="3"/>
      <c r="J1710" s="3"/>
      <c r="K1710" s="1"/>
      <c r="L1710" s="1"/>
    </row>
    <row r="1711" spans="2:19" x14ac:dyDescent="0.35">
      <c r="B1711" s="1"/>
      <c r="C1711" s="11" t="s">
        <v>843</v>
      </c>
      <c r="D1711" s="15">
        <f>D1709*D1710</f>
        <v>24</v>
      </c>
      <c r="E1711" s="1"/>
      <c r="F1711" s="3"/>
      <c r="G1711" s="3"/>
      <c r="H1711" s="3"/>
      <c r="I1711" s="3"/>
      <c r="J1711" s="3"/>
      <c r="K1711" s="1"/>
      <c r="L1711" s="1"/>
    </row>
    <row r="1712" spans="2:19" x14ac:dyDescent="0.35">
      <c r="B1712" s="1"/>
      <c r="C1712" s="11" t="s">
        <v>844</v>
      </c>
      <c r="D1712" s="16">
        <v>365</v>
      </c>
      <c r="E1712" s="1"/>
      <c r="F1712" s="3"/>
      <c r="G1712" s="3"/>
      <c r="H1712" s="3"/>
      <c r="I1712" s="3"/>
      <c r="J1712" s="3"/>
      <c r="K1712" s="1"/>
      <c r="L1712" s="1"/>
    </row>
    <row r="1713" spans="2:12" x14ac:dyDescent="0.35">
      <c r="B1713" s="1"/>
      <c r="C1713" s="17" t="s">
        <v>845</v>
      </c>
      <c r="D1713" s="18">
        <f>-PMT(D1708/D1710,D1711,D1707,0,0)</f>
        <v>553739.11605019809</v>
      </c>
      <c r="E1713" s="3"/>
      <c r="F1713" s="3"/>
      <c r="G1713" s="3"/>
      <c r="H1713" s="3"/>
      <c r="I1713" s="3"/>
      <c r="J1713" s="3"/>
      <c r="K1713" s="1"/>
      <c r="L1713" s="1"/>
    </row>
    <row r="1714" spans="2:12" x14ac:dyDescent="0.35">
      <c r="B1714" s="1"/>
      <c r="C1714" s="1"/>
      <c r="D1714" s="3"/>
      <c r="E1714" s="3"/>
      <c r="F1714" s="3"/>
      <c r="G1714" s="3"/>
      <c r="H1714" s="3"/>
      <c r="I1714" s="3"/>
      <c r="J1714" s="3"/>
      <c r="K1714" s="1"/>
      <c r="L1714" s="1"/>
    </row>
    <row r="1715" spans="2:12" x14ac:dyDescent="0.35">
      <c r="B1715" s="1"/>
      <c r="C1715" s="19" t="s">
        <v>846</v>
      </c>
      <c r="D1715" s="20" t="s">
        <v>847</v>
      </c>
      <c r="E1715" s="20" t="s">
        <v>764</v>
      </c>
      <c r="F1715" s="270" t="s">
        <v>848</v>
      </c>
      <c r="G1715" s="270" t="s">
        <v>849</v>
      </c>
      <c r="H1715" s="270" t="s">
        <v>742</v>
      </c>
      <c r="I1715" s="270" t="s">
        <v>740</v>
      </c>
      <c r="J1715" s="270" t="s">
        <v>850</v>
      </c>
      <c r="K1715" s="21" t="s">
        <v>851</v>
      </c>
      <c r="L1715" s="21" t="s">
        <v>852</v>
      </c>
    </row>
    <row r="1716" spans="2:12" x14ac:dyDescent="0.35">
      <c r="B1716" s="1">
        <v>0</v>
      </c>
      <c r="C1716" s="22">
        <v>44726</v>
      </c>
      <c r="D1716" s="22">
        <v>44742</v>
      </c>
      <c r="E1716" s="23">
        <f t="shared" ref="E1716:E1743" si="276">D1716-C1716+1</f>
        <v>17</v>
      </c>
      <c r="F1716" s="3">
        <f>D1707</f>
        <v>12000000</v>
      </c>
      <c r="G1716" s="3"/>
      <c r="H1716" s="3">
        <f>$D$1708/$D$1710*F1716*17/30</f>
        <v>56666.666666666664</v>
      </c>
      <c r="I1716" s="3">
        <f t="shared" ref="I1716:I1743" si="277">G1716-H1716</f>
        <v>-56666.666666666664</v>
      </c>
      <c r="J1716" s="3">
        <f t="shared" ref="J1716:J1743" si="278">F1716-I1716</f>
        <v>12056666.666666666</v>
      </c>
      <c r="K1716" s="24"/>
      <c r="L1716" s="24"/>
    </row>
    <row r="1717" spans="2:12" x14ac:dyDescent="0.35">
      <c r="B1717" s="1">
        <v>1</v>
      </c>
      <c r="C1717" s="22">
        <v>44743</v>
      </c>
      <c r="D1717" s="22">
        <v>44773</v>
      </c>
      <c r="E1717" s="23">
        <f t="shared" si="276"/>
        <v>31</v>
      </c>
      <c r="F1717" s="3">
        <f t="shared" ref="F1717:F1743" si="279">J1716</f>
        <v>12056666.666666666</v>
      </c>
      <c r="G1717" s="3"/>
      <c r="H1717" s="3">
        <f t="shared" ref="H1717:H1743" si="280">$D$1708/$D$1710*F1717</f>
        <v>100472.22222222222</v>
      </c>
      <c r="I1717" s="3">
        <f t="shared" si="277"/>
        <v>-100472.22222222222</v>
      </c>
      <c r="J1717" s="3">
        <f t="shared" si="278"/>
        <v>12157138.888888888</v>
      </c>
      <c r="K1717" s="24"/>
      <c r="L1717" s="24"/>
    </row>
    <row r="1718" spans="2:12" x14ac:dyDescent="0.35">
      <c r="B1718" s="1">
        <v>2</v>
      </c>
      <c r="C1718" s="22">
        <v>44774</v>
      </c>
      <c r="D1718" s="22">
        <v>44804</v>
      </c>
      <c r="E1718" s="23">
        <f t="shared" si="276"/>
        <v>31</v>
      </c>
      <c r="F1718" s="3">
        <f t="shared" si="279"/>
        <v>12157138.888888888</v>
      </c>
      <c r="G1718" s="3"/>
      <c r="H1718" s="3">
        <f t="shared" si="280"/>
        <v>101309.49074074073</v>
      </c>
      <c r="I1718" s="3">
        <f t="shared" si="277"/>
        <v>-101309.49074074073</v>
      </c>
      <c r="J1718" s="3">
        <f t="shared" si="278"/>
        <v>12258448.379629629</v>
      </c>
    </row>
    <row r="1719" spans="2:12" x14ac:dyDescent="0.35">
      <c r="B1719" s="1">
        <v>3</v>
      </c>
      <c r="C1719" s="22">
        <v>44805</v>
      </c>
      <c r="D1719" s="22">
        <v>44834</v>
      </c>
      <c r="E1719" s="23">
        <f t="shared" si="276"/>
        <v>30</v>
      </c>
      <c r="F1719" s="3">
        <f t="shared" si="279"/>
        <v>12258448.379629629</v>
      </c>
      <c r="G1719" s="3"/>
      <c r="H1719" s="3">
        <f t="shared" si="280"/>
        <v>102153.73649691357</v>
      </c>
      <c r="I1719" s="3">
        <f t="shared" si="277"/>
        <v>-102153.73649691357</v>
      </c>
      <c r="J1719" s="3">
        <f t="shared" si="278"/>
        <v>12360602.116126543</v>
      </c>
      <c r="K1719" s="24"/>
      <c r="L1719" s="24"/>
    </row>
    <row r="1720" spans="2:12" x14ac:dyDescent="0.35">
      <c r="B1720" s="1">
        <v>4</v>
      </c>
      <c r="C1720" s="22">
        <v>44835</v>
      </c>
      <c r="D1720" s="22">
        <v>44865</v>
      </c>
      <c r="E1720" s="23">
        <f t="shared" si="276"/>
        <v>31</v>
      </c>
      <c r="F1720" s="3">
        <f t="shared" si="279"/>
        <v>12360602.116126543</v>
      </c>
      <c r="G1720" s="3"/>
      <c r="H1720" s="3">
        <f t="shared" si="280"/>
        <v>103005.01763438786</v>
      </c>
      <c r="I1720" s="3">
        <f t="shared" si="277"/>
        <v>-103005.01763438786</v>
      </c>
      <c r="J1720" s="3">
        <f t="shared" si="278"/>
        <v>12463607.133760931</v>
      </c>
      <c r="K1720" s="24"/>
      <c r="L1720" s="24"/>
    </row>
    <row r="1721" spans="2:12" x14ac:dyDescent="0.35">
      <c r="B1721" s="1">
        <v>5</v>
      </c>
      <c r="C1721" s="22">
        <v>44866</v>
      </c>
      <c r="D1721" s="22">
        <v>44895</v>
      </c>
      <c r="E1721" s="23">
        <f t="shared" si="276"/>
        <v>30</v>
      </c>
      <c r="F1721" s="3">
        <f t="shared" si="279"/>
        <v>12463607.133760931</v>
      </c>
      <c r="G1721" s="3"/>
      <c r="H1721" s="3">
        <f t="shared" si="280"/>
        <v>103863.39278134108</v>
      </c>
      <c r="I1721" s="3">
        <f t="shared" si="277"/>
        <v>-103863.39278134108</v>
      </c>
      <c r="J1721" s="3">
        <f t="shared" si="278"/>
        <v>12567470.526542272</v>
      </c>
      <c r="K1721" s="24"/>
      <c r="L1721" s="24"/>
    </row>
    <row r="1722" spans="2:12" x14ac:dyDescent="0.35">
      <c r="B1722" s="1">
        <v>6</v>
      </c>
      <c r="C1722" s="22">
        <v>44896</v>
      </c>
      <c r="D1722" s="22">
        <v>44926</v>
      </c>
      <c r="E1722" s="23">
        <f t="shared" si="276"/>
        <v>31</v>
      </c>
      <c r="F1722" s="3">
        <f t="shared" si="279"/>
        <v>12567470.526542272</v>
      </c>
      <c r="G1722" s="3"/>
      <c r="H1722" s="3">
        <f t="shared" si="280"/>
        <v>104728.92105451894</v>
      </c>
      <c r="I1722" s="3">
        <f t="shared" si="277"/>
        <v>-104728.92105451894</v>
      </c>
      <c r="J1722" s="3">
        <f t="shared" si="278"/>
        <v>12672199.447596792</v>
      </c>
      <c r="K1722" s="24"/>
      <c r="L1722" s="24"/>
    </row>
    <row r="1723" spans="2:12" x14ac:dyDescent="0.35">
      <c r="B1723" s="1">
        <v>7</v>
      </c>
      <c r="C1723" s="22">
        <v>44927</v>
      </c>
      <c r="D1723" s="22">
        <v>44957</v>
      </c>
      <c r="E1723" s="23">
        <f t="shared" si="276"/>
        <v>31</v>
      </c>
      <c r="F1723" s="3">
        <f t="shared" si="279"/>
        <v>12672199.447596792</v>
      </c>
      <c r="G1723" s="3">
        <f t="shared" ref="G1723:G1743" si="281">-PMT($D$1708/$D$1710,21,$F$1723,,0)</f>
        <v>660282.61474381201</v>
      </c>
      <c r="H1723" s="3">
        <f t="shared" si="280"/>
        <v>105601.6620633066</v>
      </c>
      <c r="I1723" s="3">
        <f t="shared" si="277"/>
        <v>554680.95268050535</v>
      </c>
      <c r="J1723" s="3">
        <f t="shared" si="278"/>
        <v>12117518.494916286</v>
      </c>
      <c r="K1723" s="24">
        <v>642000</v>
      </c>
      <c r="L1723" s="24">
        <f>G1723-K1723</f>
        <v>18282.61474381201</v>
      </c>
    </row>
    <row r="1724" spans="2:12" x14ac:dyDescent="0.35">
      <c r="B1724" s="1">
        <v>8</v>
      </c>
      <c r="C1724" s="22">
        <v>44958</v>
      </c>
      <c r="D1724" s="22">
        <v>44985</v>
      </c>
      <c r="E1724" s="23">
        <f t="shared" si="276"/>
        <v>28</v>
      </c>
      <c r="F1724" s="3">
        <f t="shared" si="279"/>
        <v>12117518.494916286</v>
      </c>
      <c r="G1724" s="3">
        <f t="shared" si="281"/>
        <v>660282.61474381201</v>
      </c>
      <c r="H1724" s="3">
        <f t="shared" si="280"/>
        <v>100979.32079096905</v>
      </c>
      <c r="I1724" s="3">
        <f t="shared" si="277"/>
        <v>559303.29395284294</v>
      </c>
      <c r="J1724" s="3">
        <f t="shared" si="278"/>
        <v>11558215.200963443</v>
      </c>
      <c r="K1724" s="24">
        <v>200000</v>
      </c>
      <c r="L1724" s="24">
        <f t="shared" ref="L1724:L1743" si="282">L1723+G1724-K1724</f>
        <v>478565.22948762402</v>
      </c>
    </row>
    <row r="1725" spans="2:12" x14ac:dyDescent="0.35">
      <c r="B1725" s="1">
        <v>9</v>
      </c>
      <c r="C1725" s="22">
        <v>44986</v>
      </c>
      <c r="D1725" s="22">
        <v>45016</v>
      </c>
      <c r="E1725" s="23">
        <f t="shared" si="276"/>
        <v>31</v>
      </c>
      <c r="F1725" s="3">
        <f t="shared" si="279"/>
        <v>11558215.200963443</v>
      </c>
      <c r="G1725" s="3">
        <f t="shared" si="281"/>
        <v>660282.61474381201</v>
      </c>
      <c r="H1725" s="3">
        <f t="shared" si="280"/>
        <v>96318.460008028691</v>
      </c>
      <c r="I1725" s="3">
        <f t="shared" si="277"/>
        <v>563964.15473578335</v>
      </c>
      <c r="J1725" s="3">
        <f t="shared" si="278"/>
        <v>10994251.04622766</v>
      </c>
      <c r="K1725" s="24">
        <v>0</v>
      </c>
      <c r="L1725" s="24">
        <f t="shared" si="282"/>
        <v>1138847.844231436</v>
      </c>
    </row>
    <row r="1726" spans="2:12" x14ac:dyDescent="0.35">
      <c r="B1726" s="1">
        <v>10</v>
      </c>
      <c r="C1726" s="22">
        <v>45017</v>
      </c>
      <c r="D1726" s="22">
        <v>45046</v>
      </c>
      <c r="E1726" s="23">
        <f t="shared" si="276"/>
        <v>30</v>
      </c>
      <c r="F1726" s="3">
        <f t="shared" si="279"/>
        <v>10994251.04622766</v>
      </c>
      <c r="G1726" s="3">
        <f t="shared" si="281"/>
        <v>660282.61474381201</v>
      </c>
      <c r="H1726" s="3">
        <f t="shared" si="280"/>
        <v>91618.758718563826</v>
      </c>
      <c r="I1726" s="3">
        <f t="shared" si="277"/>
        <v>568663.85602524818</v>
      </c>
      <c r="J1726" s="3">
        <f t="shared" si="278"/>
        <v>10425587.190202411</v>
      </c>
      <c r="K1726" s="24">
        <v>400000</v>
      </c>
      <c r="L1726" s="24">
        <f t="shared" si="282"/>
        <v>1399130.458975248</v>
      </c>
    </row>
    <row r="1727" spans="2:12" x14ac:dyDescent="0.35">
      <c r="B1727" s="1">
        <v>11</v>
      </c>
      <c r="C1727" s="22">
        <v>45047</v>
      </c>
      <c r="D1727" s="22">
        <v>45077</v>
      </c>
      <c r="E1727" s="23">
        <f t="shared" si="276"/>
        <v>31</v>
      </c>
      <c r="F1727" s="3">
        <f t="shared" si="279"/>
        <v>10425587.190202411</v>
      </c>
      <c r="G1727" s="3">
        <f t="shared" si="281"/>
        <v>660282.61474381201</v>
      </c>
      <c r="H1727" s="3">
        <f t="shared" si="280"/>
        <v>86879.893251686764</v>
      </c>
      <c r="I1727" s="3">
        <f t="shared" si="277"/>
        <v>573402.72149212519</v>
      </c>
      <c r="J1727" s="3">
        <f t="shared" si="278"/>
        <v>9852184.4687102865</v>
      </c>
      <c r="K1727" s="24">
        <v>0</v>
      </c>
      <c r="L1727" s="24">
        <f t="shared" si="282"/>
        <v>2059413.07371906</v>
      </c>
    </row>
    <row r="1728" spans="2:12" x14ac:dyDescent="0.35">
      <c r="B1728" s="1">
        <v>12</v>
      </c>
      <c r="C1728" s="22">
        <v>45078</v>
      </c>
      <c r="D1728" s="22">
        <v>45107</v>
      </c>
      <c r="E1728" s="23">
        <f t="shared" si="276"/>
        <v>30</v>
      </c>
      <c r="F1728" s="3">
        <f t="shared" si="279"/>
        <v>9852184.4687102865</v>
      </c>
      <c r="G1728" s="3">
        <f t="shared" si="281"/>
        <v>660282.61474381201</v>
      </c>
      <c r="H1728" s="3">
        <f t="shared" si="280"/>
        <v>82101.537239252386</v>
      </c>
      <c r="I1728" s="3">
        <f t="shared" si="277"/>
        <v>578181.07750455965</v>
      </c>
      <c r="J1728" s="3">
        <f t="shared" si="278"/>
        <v>9274003.3912057262</v>
      </c>
      <c r="K1728" s="24">
        <f>420000+1200000</f>
        <v>1620000</v>
      </c>
      <c r="L1728" s="26">
        <f t="shared" si="282"/>
        <v>1099695.6884628721</v>
      </c>
    </row>
    <row r="1729" spans="2:12" x14ac:dyDescent="0.35">
      <c r="B1729" s="1">
        <v>13</v>
      </c>
      <c r="C1729" s="22">
        <v>45108</v>
      </c>
      <c r="D1729" s="22">
        <v>45138</v>
      </c>
      <c r="E1729" s="23">
        <f t="shared" si="276"/>
        <v>31</v>
      </c>
      <c r="F1729" s="3">
        <f t="shared" si="279"/>
        <v>9274003.3912057262</v>
      </c>
      <c r="G1729" s="3">
        <f t="shared" si="281"/>
        <v>660282.61474381201</v>
      </c>
      <c r="H1729" s="3">
        <f t="shared" si="280"/>
        <v>77283.361593381051</v>
      </c>
      <c r="I1729" s="3">
        <f t="shared" si="277"/>
        <v>582999.25315043097</v>
      </c>
      <c r="J1729" s="3">
        <f t="shared" si="278"/>
        <v>8691004.1380552948</v>
      </c>
      <c r="K1729" s="24"/>
      <c r="L1729" s="24">
        <f t="shared" si="282"/>
        <v>1759978.3032066841</v>
      </c>
    </row>
    <row r="1730" spans="2:12" x14ac:dyDescent="0.35">
      <c r="B1730" s="1">
        <v>14</v>
      </c>
      <c r="C1730" s="22">
        <v>45139</v>
      </c>
      <c r="D1730" s="22">
        <v>45169</v>
      </c>
      <c r="E1730" s="23">
        <f t="shared" si="276"/>
        <v>31</v>
      </c>
      <c r="F1730" s="3">
        <f t="shared" si="279"/>
        <v>8691004.1380552948</v>
      </c>
      <c r="G1730" s="3">
        <f t="shared" si="281"/>
        <v>660282.61474381201</v>
      </c>
      <c r="H1730" s="3">
        <f t="shared" si="280"/>
        <v>72425.034483794123</v>
      </c>
      <c r="I1730" s="3">
        <f t="shared" si="277"/>
        <v>587857.58026001789</v>
      </c>
      <c r="J1730" s="3">
        <f t="shared" si="278"/>
        <v>8103146.5577952769</v>
      </c>
      <c r="K1730" s="24">
        <f>600000+1200000</f>
        <v>1800000</v>
      </c>
      <c r="L1730" s="24">
        <f t="shared" si="282"/>
        <v>620260.91795049608</v>
      </c>
    </row>
    <row r="1731" spans="2:12" x14ac:dyDescent="0.35">
      <c r="B1731" s="1">
        <v>15</v>
      </c>
      <c r="C1731" s="22">
        <v>45170</v>
      </c>
      <c r="D1731" s="22">
        <v>45199</v>
      </c>
      <c r="E1731" s="23">
        <f t="shared" si="276"/>
        <v>30</v>
      </c>
      <c r="F1731" s="3">
        <f t="shared" si="279"/>
        <v>8103146.5577952769</v>
      </c>
      <c r="G1731" s="3">
        <f t="shared" si="281"/>
        <v>660282.61474381201</v>
      </c>
      <c r="H1731" s="3">
        <f t="shared" si="280"/>
        <v>67526.22131496064</v>
      </c>
      <c r="I1731" s="3">
        <f t="shared" si="277"/>
        <v>592756.39342885138</v>
      </c>
      <c r="J1731" s="3">
        <f t="shared" si="278"/>
        <v>7510390.1643664259</v>
      </c>
      <c r="K1731" s="24">
        <v>600000</v>
      </c>
      <c r="L1731" s="24">
        <f t="shared" si="282"/>
        <v>680543.53269430809</v>
      </c>
    </row>
    <row r="1732" spans="2:12" x14ac:dyDescent="0.35">
      <c r="B1732" s="1">
        <v>16</v>
      </c>
      <c r="C1732" s="22">
        <v>45200</v>
      </c>
      <c r="D1732" s="22">
        <v>45230</v>
      </c>
      <c r="E1732" s="23">
        <f t="shared" si="276"/>
        <v>31</v>
      </c>
      <c r="F1732" s="3">
        <f t="shared" si="279"/>
        <v>7510390.1643664259</v>
      </c>
      <c r="G1732" s="3">
        <f t="shared" si="281"/>
        <v>660282.61474381201</v>
      </c>
      <c r="H1732" s="3">
        <f t="shared" si="280"/>
        <v>62586.584703053551</v>
      </c>
      <c r="I1732" s="3">
        <f t="shared" si="277"/>
        <v>597696.03004075843</v>
      </c>
      <c r="J1732" s="3">
        <f t="shared" si="278"/>
        <v>6912694.1343256673</v>
      </c>
      <c r="K1732" s="24">
        <f>650000+600000</f>
        <v>1250000</v>
      </c>
      <c r="L1732" s="24">
        <f t="shared" si="282"/>
        <v>90826.147438120097</v>
      </c>
    </row>
    <row r="1733" spans="2:12" x14ac:dyDescent="0.35">
      <c r="B1733" s="1">
        <v>17</v>
      </c>
      <c r="C1733" s="22">
        <v>45231</v>
      </c>
      <c r="D1733" s="22">
        <v>45260</v>
      </c>
      <c r="E1733" s="23">
        <f t="shared" si="276"/>
        <v>30</v>
      </c>
      <c r="F1733" s="3">
        <f t="shared" si="279"/>
        <v>6912694.1343256673</v>
      </c>
      <c r="G1733" s="3">
        <f t="shared" si="281"/>
        <v>660282.61474381201</v>
      </c>
      <c r="H1733" s="3">
        <f t="shared" si="280"/>
        <v>57605.784452713895</v>
      </c>
      <c r="I1733" s="3">
        <f t="shared" si="277"/>
        <v>602676.8302910981</v>
      </c>
      <c r="J1733" s="3">
        <f t="shared" si="278"/>
        <v>6310017.3040345693</v>
      </c>
      <c r="K1733" s="24">
        <v>600000</v>
      </c>
      <c r="L1733" s="24">
        <f t="shared" si="282"/>
        <v>151108.76218193211</v>
      </c>
    </row>
    <row r="1734" spans="2:12" x14ac:dyDescent="0.35">
      <c r="B1734" s="1">
        <v>18</v>
      </c>
      <c r="C1734" s="22">
        <v>45261</v>
      </c>
      <c r="D1734" s="22">
        <v>45291</v>
      </c>
      <c r="E1734" s="23">
        <f t="shared" si="276"/>
        <v>31</v>
      </c>
      <c r="F1734" s="3">
        <f t="shared" si="279"/>
        <v>6310017.3040345693</v>
      </c>
      <c r="G1734" s="3">
        <f t="shared" si="281"/>
        <v>660282.61474381201</v>
      </c>
      <c r="H1734" s="3">
        <f t="shared" si="280"/>
        <v>52583.477533621408</v>
      </c>
      <c r="I1734" s="3">
        <f t="shared" si="277"/>
        <v>607699.13721019065</v>
      </c>
      <c r="J1734" s="3">
        <f t="shared" si="278"/>
        <v>5702318.166824379</v>
      </c>
      <c r="K1734" s="24">
        <v>600000</v>
      </c>
      <c r="L1734" s="24">
        <f t="shared" si="282"/>
        <v>211391.37692574412</v>
      </c>
    </row>
    <row r="1735" spans="2:12" x14ac:dyDescent="0.35">
      <c r="B1735" s="1">
        <v>19</v>
      </c>
      <c r="C1735" s="22">
        <v>45292</v>
      </c>
      <c r="D1735" s="22">
        <v>45322</v>
      </c>
      <c r="E1735" s="23">
        <f t="shared" si="276"/>
        <v>31</v>
      </c>
      <c r="F1735" s="3">
        <f t="shared" si="279"/>
        <v>5702318.166824379</v>
      </c>
      <c r="G1735" s="3">
        <f t="shared" si="281"/>
        <v>660282.61474381201</v>
      </c>
      <c r="H1735" s="3">
        <f t="shared" si="280"/>
        <v>47519.318056869823</v>
      </c>
      <c r="I1735" s="3">
        <f t="shared" si="277"/>
        <v>612763.29668694222</v>
      </c>
      <c r="J1735" s="3">
        <f t="shared" si="278"/>
        <v>5089554.8701374363</v>
      </c>
      <c r="K1735" s="24">
        <v>650000</v>
      </c>
      <c r="L1735" s="24">
        <f t="shared" si="282"/>
        <v>221673.99166955613</v>
      </c>
    </row>
    <row r="1736" spans="2:12" x14ac:dyDescent="0.35">
      <c r="B1736" s="1">
        <v>20</v>
      </c>
      <c r="C1736" s="22">
        <v>45323</v>
      </c>
      <c r="D1736" s="22">
        <v>45350</v>
      </c>
      <c r="E1736" s="23">
        <f t="shared" si="276"/>
        <v>28</v>
      </c>
      <c r="F1736" s="3">
        <f t="shared" si="279"/>
        <v>5089554.8701374363</v>
      </c>
      <c r="G1736" s="3">
        <f t="shared" si="281"/>
        <v>660282.61474381201</v>
      </c>
      <c r="H1736" s="3">
        <f t="shared" si="280"/>
        <v>42412.957251145301</v>
      </c>
      <c r="I1736" s="3">
        <f t="shared" si="277"/>
        <v>617869.65749266674</v>
      </c>
      <c r="J1736" s="3">
        <f t="shared" si="278"/>
        <v>4471685.2126447698</v>
      </c>
      <c r="K1736" s="24">
        <v>600000</v>
      </c>
      <c r="L1736" s="24">
        <f t="shared" si="282"/>
        <v>281956.60641336814</v>
      </c>
    </row>
    <row r="1737" spans="2:12" x14ac:dyDescent="0.35">
      <c r="B1737" s="1">
        <v>21</v>
      </c>
      <c r="C1737" s="22">
        <v>45352</v>
      </c>
      <c r="D1737" s="22">
        <v>45382</v>
      </c>
      <c r="E1737" s="23">
        <f t="shared" si="276"/>
        <v>31</v>
      </c>
      <c r="F1737" s="3">
        <f t="shared" si="279"/>
        <v>4471685.2126447698</v>
      </c>
      <c r="G1737" s="3">
        <f t="shared" si="281"/>
        <v>660282.61474381201</v>
      </c>
      <c r="H1737" s="3">
        <f t="shared" si="280"/>
        <v>37264.043438706416</v>
      </c>
      <c r="I1737" s="3">
        <f t="shared" si="277"/>
        <v>623018.57130510558</v>
      </c>
      <c r="J1737" s="3">
        <f t="shared" si="278"/>
        <v>3848666.6413396643</v>
      </c>
      <c r="K1737" s="24">
        <f>906000+600000</f>
        <v>1506000</v>
      </c>
      <c r="L1737" s="24">
        <f t="shared" si="282"/>
        <v>-563760.77884281985</v>
      </c>
    </row>
    <row r="1738" spans="2:12" x14ac:dyDescent="0.35">
      <c r="B1738" s="1">
        <v>22</v>
      </c>
      <c r="C1738" s="22">
        <v>45383</v>
      </c>
      <c r="D1738" s="22">
        <v>45412</v>
      </c>
      <c r="E1738" s="23">
        <f t="shared" si="276"/>
        <v>30</v>
      </c>
      <c r="F1738" s="3">
        <f t="shared" si="279"/>
        <v>3848666.6413396643</v>
      </c>
      <c r="G1738" s="3">
        <f t="shared" si="281"/>
        <v>660282.61474381201</v>
      </c>
      <c r="H1738" s="3">
        <f t="shared" si="280"/>
        <v>32072.222011163871</v>
      </c>
      <c r="I1738" s="3">
        <f t="shared" si="277"/>
        <v>628210.39273264818</v>
      </c>
      <c r="J1738" s="3">
        <f t="shared" si="278"/>
        <v>3220456.2486070162</v>
      </c>
      <c r="K1738" s="24">
        <v>700000</v>
      </c>
      <c r="L1738" s="24">
        <f t="shared" si="282"/>
        <v>-603478.16409900784</v>
      </c>
    </row>
    <row r="1739" spans="2:12" x14ac:dyDescent="0.35">
      <c r="B1739" s="1">
        <v>23</v>
      </c>
      <c r="C1739" s="22">
        <v>45413</v>
      </c>
      <c r="D1739" s="22">
        <v>45443</v>
      </c>
      <c r="E1739" s="23">
        <f t="shared" si="276"/>
        <v>31</v>
      </c>
      <c r="F1739" s="3">
        <f t="shared" si="279"/>
        <v>3220456.2486070162</v>
      </c>
      <c r="G1739" s="3">
        <f t="shared" si="281"/>
        <v>660282.61474381201</v>
      </c>
      <c r="H1739" s="3">
        <f t="shared" si="280"/>
        <v>26837.135405058467</v>
      </c>
      <c r="I1739" s="3">
        <f t="shared" si="277"/>
        <v>633445.4793387535</v>
      </c>
      <c r="J1739" s="3">
        <f t="shared" si="278"/>
        <v>2587010.7692682627</v>
      </c>
      <c r="K1739" s="24"/>
      <c r="L1739" s="24">
        <f t="shared" si="282"/>
        <v>56804.450644804165</v>
      </c>
    </row>
    <row r="1740" spans="2:12" x14ac:dyDescent="0.35">
      <c r="B1740" s="1">
        <v>24</v>
      </c>
      <c r="C1740" s="22">
        <v>45444</v>
      </c>
      <c r="D1740" s="22">
        <v>45473</v>
      </c>
      <c r="E1740" s="23">
        <f t="shared" si="276"/>
        <v>30</v>
      </c>
      <c r="F1740" s="3">
        <f t="shared" si="279"/>
        <v>2587010.7692682627</v>
      </c>
      <c r="G1740" s="3">
        <f t="shared" si="281"/>
        <v>660282.61474381201</v>
      </c>
      <c r="H1740" s="3">
        <f t="shared" si="280"/>
        <v>21558.423077235522</v>
      </c>
      <c r="I1740" s="3">
        <f t="shared" si="277"/>
        <v>638724.19166657655</v>
      </c>
      <c r="J1740" s="3">
        <f t="shared" si="278"/>
        <v>1948286.5776016861</v>
      </c>
      <c r="K1740" s="24">
        <f>700000+700000</f>
        <v>1400000</v>
      </c>
      <c r="L1740" s="24">
        <f t="shared" si="282"/>
        <v>-682912.93461138383</v>
      </c>
    </row>
    <row r="1741" spans="2:12" x14ac:dyDescent="0.35">
      <c r="B1741" s="1">
        <v>25</v>
      </c>
      <c r="C1741" s="22">
        <v>45474</v>
      </c>
      <c r="D1741" s="22">
        <v>45504</v>
      </c>
      <c r="E1741" s="23">
        <f t="shared" si="276"/>
        <v>31</v>
      </c>
      <c r="F1741" s="3">
        <f t="shared" si="279"/>
        <v>1948286.5776016861</v>
      </c>
      <c r="G1741" s="3">
        <f t="shared" si="281"/>
        <v>660282.61474381201</v>
      </c>
      <c r="H1741" s="3">
        <f t="shared" si="280"/>
        <v>16235.72148001405</v>
      </c>
      <c r="I1741" s="3">
        <f t="shared" si="277"/>
        <v>644046.89326379797</v>
      </c>
      <c r="J1741" s="3">
        <f t="shared" si="278"/>
        <v>1304239.6843378881</v>
      </c>
      <c r="K1741" s="24"/>
      <c r="L1741" s="24">
        <f t="shared" si="282"/>
        <v>-22630.319867571816</v>
      </c>
    </row>
    <row r="1742" spans="2:12" x14ac:dyDescent="0.35">
      <c r="B1742" s="1">
        <v>26</v>
      </c>
      <c r="C1742" s="22">
        <v>45505</v>
      </c>
      <c r="D1742" s="22">
        <v>45535</v>
      </c>
      <c r="E1742" s="23">
        <f t="shared" si="276"/>
        <v>31</v>
      </c>
      <c r="F1742" s="3">
        <f t="shared" si="279"/>
        <v>1304239.6843378881</v>
      </c>
      <c r="G1742" s="3">
        <f t="shared" si="281"/>
        <v>660282.61474381201</v>
      </c>
      <c r="H1742" s="3">
        <f t="shared" si="280"/>
        <v>10868.664036149068</v>
      </c>
      <c r="I1742" s="3">
        <f t="shared" si="277"/>
        <v>649413.95070766297</v>
      </c>
      <c r="J1742" s="3">
        <f t="shared" si="278"/>
        <v>654825.73363022518</v>
      </c>
      <c r="K1742" s="24"/>
      <c r="L1742" s="24">
        <f t="shared" si="282"/>
        <v>637652.29487624019</v>
      </c>
    </row>
    <row r="1743" spans="2:12" x14ac:dyDescent="0.35">
      <c r="B1743" s="1">
        <v>27</v>
      </c>
      <c r="C1743" s="22">
        <v>45536</v>
      </c>
      <c r="D1743" s="22">
        <v>45565</v>
      </c>
      <c r="E1743" s="23">
        <f t="shared" si="276"/>
        <v>30</v>
      </c>
      <c r="F1743" s="3">
        <f t="shared" si="279"/>
        <v>654825.73363022518</v>
      </c>
      <c r="G1743" s="3">
        <f t="shared" si="281"/>
        <v>660282.61474381201</v>
      </c>
      <c r="H1743" s="3">
        <f t="shared" si="280"/>
        <v>5456.8811135852102</v>
      </c>
      <c r="I1743" s="3">
        <f t="shared" si="277"/>
        <v>654825.73363022681</v>
      </c>
      <c r="J1743" s="3">
        <f t="shared" si="278"/>
        <v>-1.6298145055770874E-9</v>
      </c>
      <c r="K1743" s="24">
        <v>1300000</v>
      </c>
      <c r="L1743" s="205">
        <f t="shared" si="282"/>
        <v>-2065.0903799477965</v>
      </c>
    </row>
    <row r="1744" spans="2:12" x14ac:dyDescent="0.35">
      <c r="B1744" s="1"/>
      <c r="C1744" s="22"/>
      <c r="D1744" s="22"/>
      <c r="E1744" s="23"/>
      <c r="F1744" s="3"/>
      <c r="G1744" s="3"/>
      <c r="H1744" s="3"/>
      <c r="I1744" s="3"/>
      <c r="J1744" s="3"/>
      <c r="K1744" s="24"/>
      <c r="L1744" s="24"/>
    </row>
    <row r="1745" spans="2:19" ht="14.25" customHeight="1" x14ac:dyDescent="0.35">
      <c r="B1745" s="1"/>
      <c r="C1745" s="1"/>
      <c r="D1745" s="1"/>
      <c r="E1745" s="28">
        <f>SUM(E1716:E1739)</f>
        <v>717</v>
      </c>
      <c r="F1745" s="3"/>
      <c r="G1745" s="3"/>
      <c r="H1745" s="3"/>
      <c r="I1745" s="3"/>
      <c r="J1745" s="3"/>
      <c r="K1745" s="1"/>
      <c r="L1745" s="1"/>
    </row>
    <row r="1746" spans="2:19" x14ac:dyDescent="0.35">
      <c r="C1746" s="252" t="s">
        <v>899</v>
      </c>
      <c r="D1746" s="252"/>
      <c r="E1746" s="252"/>
      <c r="F1746" s="274"/>
      <c r="G1746" s="274"/>
      <c r="H1746" s="274"/>
      <c r="I1746" s="273"/>
    </row>
    <row r="1749" spans="2:19" x14ac:dyDescent="0.35">
      <c r="B1749" s="1"/>
      <c r="C1749" s="8" t="s">
        <v>621</v>
      </c>
      <c r="D1749" s="3"/>
      <c r="E1749" s="3"/>
      <c r="F1749" s="3"/>
      <c r="G1749" s="3"/>
      <c r="H1749" s="3"/>
      <c r="I1749" s="3"/>
      <c r="J1749" s="3"/>
      <c r="K1749" s="3"/>
      <c r="L1749" s="3"/>
      <c r="R1749" s="438" t="s">
        <v>832</v>
      </c>
      <c r="S1749" s="432" t="str">
        <f>IFERROR(INDEX(Blocks!$I$2:$I$101,MATCH(30,Blocks!$A$2:$A$101,0)),"")</f>
        <v>000104460000031</v>
      </c>
    </row>
    <row r="1750" spans="2:19" x14ac:dyDescent="0.35">
      <c r="B1750" s="1"/>
      <c r="C1750" s="1"/>
      <c r="D1750" s="3"/>
      <c r="E1750" s="3"/>
      <c r="F1750" s="3"/>
      <c r="G1750" s="3"/>
      <c r="H1750" s="3"/>
      <c r="I1750" s="3"/>
      <c r="J1750" s="3"/>
      <c r="K1750" s="3"/>
      <c r="L1750" s="3"/>
      <c r="R1750" s="438" t="s">
        <v>834</v>
      </c>
      <c r="S1750" s="432" t="str">
        <f>IFERROR(INDEX(Blocks!$H$2:$H$101,MATCH(30,Blocks!$A$2:$A$101,0)),"")</f>
        <v>Pamela Investments</v>
      </c>
    </row>
    <row r="1751" spans="2:19" x14ac:dyDescent="0.35">
      <c r="B1751" s="1"/>
      <c r="C1751" s="9" t="s">
        <v>835</v>
      </c>
      <c r="D1751" s="10">
        <v>10000000</v>
      </c>
      <c r="E1751" s="3"/>
      <c r="F1751" s="3"/>
      <c r="G1751" s="3"/>
      <c r="H1751" s="3"/>
      <c r="I1751" s="3"/>
      <c r="J1751" s="3"/>
      <c r="K1751" s="3"/>
      <c r="L1751" s="3"/>
      <c r="R1751" s="438" t="s">
        <v>223</v>
      </c>
      <c r="S1751" s="433">
        <f>IFERROR(INDEX('E-Banker master'!$N$2:$N$186,MATCH(S1749,'E-Banker master'!$A$2:$A$186,0)),"")</f>
        <v>0</v>
      </c>
    </row>
    <row r="1752" spans="2:19" x14ac:dyDescent="0.35">
      <c r="B1752" s="1"/>
      <c r="C1752" s="11" t="s">
        <v>837</v>
      </c>
      <c r="D1752" s="12">
        <v>0.1</v>
      </c>
      <c r="E1752" s="13"/>
      <c r="F1752" s="3"/>
      <c r="G1752" s="3"/>
      <c r="H1752" s="3"/>
      <c r="I1752" s="3"/>
      <c r="J1752" s="3"/>
      <c r="K1752" s="3"/>
      <c r="L1752" s="3"/>
      <c r="R1752" s="438" t="s">
        <v>52</v>
      </c>
      <c r="S1752" s="433">
        <f>IFERROR(INDEX('E-Banker master'!$P$2:$P$186,MATCH(S1749,'E-Banker master'!$A$2:$A$186,0)),"")</f>
        <v>0</v>
      </c>
    </row>
    <row r="1753" spans="2:19" x14ac:dyDescent="0.35">
      <c r="B1753" s="1"/>
      <c r="C1753" s="11" t="s">
        <v>838</v>
      </c>
      <c r="D1753" s="14">
        <v>2</v>
      </c>
      <c r="E1753" s="1"/>
      <c r="F1753" s="3"/>
      <c r="G1753" s="3"/>
      <c r="H1753" s="3"/>
      <c r="I1753" s="3"/>
      <c r="J1753" s="3"/>
      <c r="K1753" s="1"/>
      <c r="L1753" s="1"/>
    </row>
    <row r="1754" spans="2:19" x14ac:dyDescent="0.35">
      <c r="B1754" s="1"/>
      <c r="C1754" s="11" t="s">
        <v>839</v>
      </c>
      <c r="D1754" s="14">
        <v>12</v>
      </c>
      <c r="E1754" s="1"/>
      <c r="F1754" s="3"/>
      <c r="G1754" s="3"/>
      <c r="H1754" s="3"/>
      <c r="I1754" s="3"/>
      <c r="J1754" s="3"/>
      <c r="K1754" s="1"/>
      <c r="L1754" s="1"/>
    </row>
    <row r="1755" spans="2:19" x14ac:dyDescent="0.35">
      <c r="B1755" s="1"/>
      <c r="C1755" s="11" t="s">
        <v>843</v>
      </c>
      <c r="D1755" s="15">
        <f>D1753*D1754</f>
        <v>24</v>
      </c>
      <c r="E1755" s="1"/>
      <c r="F1755" s="3"/>
      <c r="G1755" s="3"/>
      <c r="H1755" s="3"/>
      <c r="I1755" s="3"/>
      <c r="J1755" s="3"/>
      <c r="K1755" s="1"/>
      <c r="L1755" s="1"/>
    </row>
    <row r="1756" spans="2:19" x14ac:dyDescent="0.35">
      <c r="B1756" s="1"/>
      <c r="C1756" s="11" t="s">
        <v>844</v>
      </c>
      <c r="D1756" s="16">
        <v>365</v>
      </c>
      <c r="E1756" s="1"/>
      <c r="F1756" s="3"/>
      <c r="G1756" s="3"/>
      <c r="H1756" s="3"/>
      <c r="I1756" s="3"/>
      <c r="J1756" s="3"/>
      <c r="K1756" s="1"/>
      <c r="L1756" s="1"/>
    </row>
    <row r="1757" spans="2:19" x14ac:dyDescent="0.35">
      <c r="B1757" s="1"/>
      <c r="C1757" s="17" t="s">
        <v>845</v>
      </c>
      <c r="D1757" s="18">
        <f>-PMT(D1752/D1754,D1755,D1751,0,0)</f>
        <v>461449.26337516506</v>
      </c>
      <c r="E1757" s="3"/>
      <c r="F1757" s="3"/>
      <c r="G1757" s="3"/>
      <c r="H1757" s="3"/>
      <c r="I1757" s="3"/>
      <c r="J1757" s="3"/>
      <c r="K1757" s="1"/>
      <c r="L1757" s="1"/>
    </row>
    <row r="1758" spans="2:19" x14ac:dyDescent="0.35">
      <c r="B1758" s="1"/>
      <c r="C1758" s="1"/>
      <c r="D1758" s="3"/>
      <c r="E1758" s="3"/>
      <c r="F1758" s="3"/>
      <c r="G1758" s="3"/>
      <c r="H1758" s="3"/>
      <c r="I1758" s="3"/>
      <c r="J1758" s="3"/>
      <c r="K1758" s="1"/>
      <c r="L1758" s="1"/>
    </row>
    <row r="1759" spans="2:19" x14ac:dyDescent="0.35">
      <c r="B1759" s="1"/>
      <c r="C1759" s="19" t="s">
        <v>846</v>
      </c>
      <c r="D1759" s="20" t="s">
        <v>847</v>
      </c>
      <c r="E1759" s="20" t="s">
        <v>764</v>
      </c>
      <c r="F1759" s="270" t="s">
        <v>848</v>
      </c>
      <c r="G1759" s="270" t="s">
        <v>849</v>
      </c>
      <c r="H1759" s="270" t="s">
        <v>742</v>
      </c>
      <c r="I1759" s="270" t="s">
        <v>740</v>
      </c>
      <c r="J1759" s="270" t="s">
        <v>850</v>
      </c>
      <c r="K1759" s="21" t="s">
        <v>851</v>
      </c>
      <c r="L1759" s="21" t="s">
        <v>852</v>
      </c>
    </row>
    <row r="1760" spans="2:19" x14ac:dyDescent="0.35">
      <c r="B1760" s="1">
        <v>0</v>
      </c>
      <c r="C1760" s="22">
        <v>44728</v>
      </c>
      <c r="D1760" s="22">
        <v>44742</v>
      </c>
      <c r="E1760" s="23">
        <f t="shared" ref="E1760:E1784" si="283">D1760-C1760+1</f>
        <v>15</v>
      </c>
      <c r="F1760" s="3">
        <f>D1751</f>
        <v>10000000</v>
      </c>
      <c r="G1760" s="3"/>
      <c r="H1760" s="3">
        <f>$D$1752/$D$1754*F1760*15/30</f>
        <v>41666.666666666664</v>
      </c>
      <c r="I1760" s="3">
        <f t="shared" ref="I1760:I1784" si="284">G1760-H1760</f>
        <v>-41666.666666666664</v>
      </c>
      <c r="J1760" s="3">
        <f t="shared" ref="J1760:J1784" si="285">F1760-I1760</f>
        <v>10041666.666666666</v>
      </c>
      <c r="K1760" s="24"/>
      <c r="L1760" s="24"/>
    </row>
    <row r="1761" spans="2:12" x14ac:dyDescent="0.35">
      <c r="B1761" s="1">
        <v>1</v>
      </c>
      <c r="C1761" s="22">
        <v>44743</v>
      </c>
      <c r="D1761" s="22">
        <v>44773</v>
      </c>
      <c r="E1761" s="23">
        <f t="shared" si="283"/>
        <v>31</v>
      </c>
      <c r="F1761" s="3">
        <f t="shared" ref="F1761:F1784" si="286">J1760</f>
        <v>10041666.666666666</v>
      </c>
      <c r="G1761" s="3"/>
      <c r="H1761" s="3">
        <f t="shared" ref="H1761:H1784" si="287">$D$1752/$D$1754*F1761</f>
        <v>83680.555555555547</v>
      </c>
      <c r="I1761" s="3">
        <f t="shared" si="284"/>
        <v>-83680.555555555547</v>
      </c>
      <c r="J1761" s="3">
        <f t="shared" si="285"/>
        <v>10125347.222222222</v>
      </c>
      <c r="K1761" s="24"/>
      <c r="L1761" s="24"/>
    </row>
    <row r="1762" spans="2:12" x14ac:dyDescent="0.35">
      <c r="B1762" s="1">
        <v>2</v>
      </c>
      <c r="C1762" s="22">
        <v>44774</v>
      </c>
      <c r="D1762" s="22">
        <v>44804</v>
      </c>
      <c r="E1762" s="23">
        <f t="shared" si="283"/>
        <v>31</v>
      </c>
      <c r="F1762" s="3">
        <f t="shared" si="286"/>
        <v>10125347.222222222</v>
      </c>
      <c r="G1762" s="3"/>
      <c r="H1762" s="3">
        <f t="shared" si="287"/>
        <v>84377.893518518511</v>
      </c>
      <c r="I1762" s="3">
        <f t="shared" si="284"/>
        <v>-84377.893518518511</v>
      </c>
      <c r="J1762" s="3">
        <f t="shared" si="285"/>
        <v>10209725.115740741</v>
      </c>
    </row>
    <row r="1763" spans="2:12" x14ac:dyDescent="0.35">
      <c r="B1763" s="1">
        <v>3</v>
      </c>
      <c r="C1763" s="22">
        <v>44805</v>
      </c>
      <c r="D1763" s="22">
        <v>44834</v>
      </c>
      <c r="E1763" s="23">
        <f t="shared" si="283"/>
        <v>30</v>
      </c>
      <c r="F1763" s="3">
        <f t="shared" si="286"/>
        <v>10209725.115740741</v>
      </c>
      <c r="G1763" s="3"/>
      <c r="H1763" s="3">
        <f t="shared" si="287"/>
        <v>85081.042631172837</v>
      </c>
      <c r="I1763" s="3">
        <f t="shared" si="284"/>
        <v>-85081.042631172837</v>
      </c>
      <c r="J1763" s="3">
        <f t="shared" si="285"/>
        <v>10294806.158371914</v>
      </c>
      <c r="K1763" s="24">
        <v>534183.21</v>
      </c>
      <c r="L1763" s="24"/>
    </row>
    <row r="1764" spans="2:12" x14ac:dyDescent="0.35">
      <c r="B1764" s="1">
        <v>4</v>
      </c>
      <c r="C1764" s="22">
        <v>44835</v>
      </c>
      <c r="D1764" s="22">
        <v>44865</v>
      </c>
      <c r="E1764" s="23">
        <f t="shared" si="283"/>
        <v>31</v>
      </c>
      <c r="F1764" s="3">
        <f t="shared" si="286"/>
        <v>10294806.158371914</v>
      </c>
      <c r="G1764" s="3">
        <f t="shared" ref="G1764:G1784" si="288">-PMT($D$1752/$D$1754,21,$F$1764,,0)</f>
        <v>536408.97593508195</v>
      </c>
      <c r="H1764" s="3">
        <f t="shared" si="287"/>
        <v>85790.051319765946</v>
      </c>
      <c r="I1764" s="3">
        <f t="shared" si="284"/>
        <v>450618.92461531598</v>
      </c>
      <c r="J1764" s="3">
        <f t="shared" si="285"/>
        <v>9844187.2337565981</v>
      </c>
      <c r="K1764" s="24">
        <v>534183.21</v>
      </c>
      <c r="L1764" s="24"/>
    </row>
    <row r="1765" spans="2:12" x14ac:dyDescent="0.35">
      <c r="B1765" s="1">
        <v>5</v>
      </c>
      <c r="C1765" s="22">
        <v>44866</v>
      </c>
      <c r="D1765" s="22">
        <v>44895</v>
      </c>
      <c r="E1765" s="23">
        <f t="shared" si="283"/>
        <v>30</v>
      </c>
      <c r="F1765" s="3">
        <f t="shared" si="286"/>
        <v>9844187.2337565981</v>
      </c>
      <c r="G1765" s="3">
        <f t="shared" si="288"/>
        <v>536408.97593508195</v>
      </c>
      <c r="H1765" s="3">
        <f t="shared" si="287"/>
        <v>82034.89361463832</v>
      </c>
      <c r="I1765" s="3">
        <f t="shared" si="284"/>
        <v>454374.08232044365</v>
      </c>
      <c r="J1765" s="3">
        <f t="shared" si="285"/>
        <v>9389813.1514361538</v>
      </c>
      <c r="K1765" s="24">
        <v>1073000</v>
      </c>
      <c r="L1765" s="24"/>
    </row>
    <row r="1766" spans="2:12" x14ac:dyDescent="0.35">
      <c r="B1766" s="1">
        <v>6</v>
      </c>
      <c r="C1766" s="22">
        <v>44896</v>
      </c>
      <c r="D1766" s="22">
        <v>44926</v>
      </c>
      <c r="E1766" s="23">
        <f t="shared" si="283"/>
        <v>31</v>
      </c>
      <c r="F1766" s="3">
        <f t="shared" si="286"/>
        <v>9389813.1514361538</v>
      </c>
      <c r="G1766" s="3">
        <f t="shared" si="288"/>
        <v>536408.97593508195</v>
      </c>
      <c r="H1766" s="3">
        <f t="shared" si="287"/>
        <v>78248.442928634613</v>
      </c>
      <c r="I1766" s="3">
        <f t="shared" si="284"/>
        <v>458160.53300644737</v>
      </c>
      <c r="J1766" s="3">
        <f t="shared" si="285"/>
        <v>8931652.6184297055</v>
      </c>
      <c r="K1766" s="24">
        <v>1609226.93</v>
      </c>
      <c r="L1766" s="24">
        <f>SUM(G1764:G1766)-SUM(K1763:K1766)</f>
        <v>-2141366.4221947538</v>
      </c>
    </row>
    <row r="1767" spans="2:12" x14ac:dyDescent="0.35">
      <c r="B1767" s="1">
        <v>7</v>
      </c>
      <c r="C1767" s="22">
        <v>44927</v>
      </c>
      <c r="D1767" s="22">
        <v>44957</v>
      </c>
      <c r="E1767" s="23">
        <f t="shared" si="283"/>
        <v>31</v>
      </c>
      <c r="F1767" s="3">
        <f t="shared" si="286"/>
        <v>8931652.6184297055</v>
      </c>
      <c r="G1767" s="3">
        <f t="shared" si="288"/>
        <v>536408.97593508195</v>
      </c>
      <c r="H1767" s="3">
        <f t="shared" si="287"/>
        <v>74430.438486914209</v>
      </c>
      <c r="I1767" s="3">
        <f t="shared" si="284"/>
        <v>461978.53744816774</v>
      </c>
      <c r="J1767" s="3">
        <f t="shared" si="285"/>
        <v>8469674.0809815377</v>
      </c>
      <c r="K1767" s="24">
        <v>1609226.93</v>
      </c>
      <c r="L1767" s="24">
        <f>SUM(G1765:G1767)-SUM(K1764:K1767)</f>
        <v>-3216410.1421947535</v>
      </c>
    </row>
    <row r="1768" spans="2:12" x14ac:dyDescent="0.35">
      <c r="B1768" s="1">
        <v>8</v>
      </c>
      <c r="C1768" s="22">
        <v>44958</v>
      </c>
      <c r="D1768" s="22">
        <v>44985</v>
      </c>
      <c r="E1768" s="23">
        <f t="shared" si="283"/>
        <v>28</v>
      </c>
      <c r="F1768" s="3">
        <f t="shared" si="286"/>
        <v>8469674.0809815377</v>
      </c>
      <c r="G1768" s="3">
        <f t="shared" si="288"/>
        <v>536408.97593508195</v>
      </c>
      <c r="H1768" s="3">
        <f t="shared" si="287"/>
        <v>70580.617341512814</v>
      </c>
      <c r="I1768" s="3">
        <f t="shared" si="284"/>
        <v>465828.35859356914</v>
      </c>
      <c r="J1768" s="3">
        <f t="shared" si="285"/>
        <v>8003845.7223879686</v>
      </c>
      <c r="K1768" s="24"/>
      <c r="L1768" s="24">
        <f>SUM(G1766:G1768)-SUM(K1765:K1768)</f>
        <v>-2682226.9321947535</v>
      </c>
    </row>
    <row r="1769" spans="2:12" x14ac:dyDescent="0.35">
      <c r="B1769" s="1">
        <v>9</v>
      </c>
      <c r="C1769" s="22">
        <v>44986</v>
      </c>
      <c r="D1769" s="22">
        <v>45016</v>
      </c>
      <c r="E1769" s="23">
        <f t="shared" si="283"/>
        <v>31</v>
      </c>
      <c r="F1769" s="3">
        <f t="shared" si="286"/>
        <v>8003845.7223879686</v>
      </c>
      <c r="G1769" s="3">
        <f t="shared" si="288"/>
        <v>536408.97593508195</v>
      </c>
      <c r="H1769" s="3">
        <f t="shared" si="287"/>
        <v>66698.714353233067</v>
      </c>
      <c r="I1769" s="3">
        <f t="shared" si="284"/>
        <v>469710.2615818489</v>
      </c>
      <c r="J1769" s="3">
        <f t="shared" si="285"/>
        <v>7534135.4608061193</v>
      </c>
      <c r="K1769" s="24">
        <v>1072817.95</v>
      </c>
      <c r="L1769" s="24">
        <f>SUM(G1767:G1769)-SUM(K1766:K1769)</f>
        <v>-2682044.8821947537</v>
      </c>
    </row>
    <row r="1770" spans="2:12" x14ac:dyDescent="0.35">
      <c r="B1770" s="1">
        <v>10</v>
      </c>
      <c r="C1770" s="22">
        <v>45017</v>
      </c>
      <c r="D1770" s="22">
        <v>45046</v>
      </c>
      <c r="E1770" s="23">
        <f t="shared" si="283"/>
        <v>30</v>
      </c>
      <c r="F1770" s="3">
        <f t="shared" si="286"/>
        <v>7534135.4608061193</v>
      </c>
      <c r="G1770" s="3">
        <f t="shared" si="288"/>
        <v>536408.97593508195</v>
      </c>
      <c r="H1770" s="3">
        <f t="shared" si="287"/>
        <v>62784.462173384323</v>
      </c>
      <c r="I1770" s="3">
        <f t="shared" si="284"/>
        <v>473624.51376169763</v>
      </c>
      <c r="J1770" s="3">
        <f t="shared" si="285"/>
        <v>7060510.9470444219</v>
      </c>
      <c r="K1770" s="24">
        <v>1072817.95</v>
      </c>
      <c r="L1770" s="24">
        <f>SUM(G1768:G1770)-SUM(K1767:K1770)</f>
        <v>-2145635.9021947542</v>
      </c>
    </row>
    <row r="1771" spans="2:12" x14ac:dyDescent="0.35">
      <c r="B1771" s="1">
        <v>11</v>
      </c>
      <c r="C1771" s="22">
        <v>45047</v>
      </c>
      <c r="D1771" s="22">
        <v>45077</v>
      </c>
      <c r="E1771" s="23">
        <f t="shared" si="283"/>
        <v>31</v>
      </c>
      <c r="F1771" s="3">
        <f t="shared" si="286"/>
        <v>7060510.9470444219</v>
      </c>
      <c r="G1771" s="3">
        <f t="shared" si="288"/>
        <v>536408.97593508195</v>
      </c>
      <c r="H1771" s="3">
        <f t="shared" si="287"/>
        <v>58837.591225370183</v>
      </c>
      <c r="I1771" s="3">
        <f t="shared" si="284"/>
        <v>477571.38470971177</v>
      </c>
      <c r="J1771" s="3">
        <f t="shared" si="285"/>
        <v>6582939.5623347098</v>
      </c>
      <c r="K1771" s="24">
        <f>1609226.93+1759528.26</f>
        <v>3368755.19</v>
      </c>
      <c r="L1771" s="24"/>
    </row>
    <row r="1772" spans="2:12" x14ac:dyDescent="0.35">
      <c r="B1772" s="1">
        <v>12</v>
      </c>
      <c r="C1772" s="22">
        <v>45078</v>
      </c>
      <c r="D1772" s="22">
        <v>45107</v>
      </c>
      <c r="E1772" s="23">
        <f t="shared" si="283"/>
        <v>30</v>
      </c>
      <c r="F1772" s="3">
        <f t="shared" si="286"/>
        <v>6582939.5623347098</v>
      </c>
      <c r="G1772" s="3">
        <f t="shared" si="288"/>
        <v>536408.97593508195</v>
      </c>
      <c r="H1772" s="3">
        <f t="shared" si="287"/>
        <v>54857.829686122583</v>
      </c>
      <c r="I1772" s="3">
        <f t="shared" si="284"/>
        <v>481551.14624895935</v>
      </c>
      <c r="J1772" s="3">
        <f t="shared" si="285"/>
        <v>6101388.4160857508</v>
      </c>
      <c r="K1772" s="24"/>
      <c r="L1772" s="24"/>
    </row>
    <row r="1773" spans="2:12" x14ac:dyDescent="0.35">
      <c r="B1773" s="1">
        <v>13</v>
      </c>
      <c r="C1773" s="22">
        <v>45108</v>
      </c>
      <c r="D1773" s="22">
        <v>45138</v>
      </c>
      <c r="E1773" s="23">
        <f t="shared" si="283"/>
        <v>31</v>
      </c>
      <c r="F1773" s="3">
        <f t="shared" si="286"/>
        <v>6101388.4160857508</v>
      </c>
      <c r="G1773" s="3">
        <f t="shared" si="288"/>
        <v>536408.97593508195</v>
      </c>
      <c r="H1773" s="3">
        <f t="shared" si="287"/>
        <v>50844.903467381257</v>
      </c>
      <c r="I1773" s="3">
        <f t="shared" si="284"/>
        <v>485564.07246770069</v>
      </c>
      <c r="J1773" s="3">
        <f t="shared" si="285"/>
        <v>5615824.3436180502</v>
      </c>
      <c r="K1773" s="24"/>
      <c r="L1773" s="24"/>
    </row>
    <row r="1774" spans="2:12" x14ac:dyDescent="0.35">
      <c r="B1774" s="1">
        <v>14</v>
      </c>
      <c r="C1774" s="22">
        <v>45139</v>
      </c>
      <c r="D1774" s="22">
        <v>45169</v>
      </c>
      <c r="E1774" s="23">
        <f t="shared" si="283"/>
        <v>31</v>
      </c>
      <c r="F1774" s="3">
        <f t="shared" si="286"/>
        <v>5615824.3436180502</v>
      </c>
      <c r="G1774" s="3">
        <f t="shared" si="288"/>
        <v>536408.97593508195</v>
      </c>
      <c r="H1774" s="3">
        <f t="shared" si="287"/>
        <v>46798.536196817084</v>
      </c>
      <c r="I1774" s="3">
        <f t="shared" si="284"/>
        <v>489610.43973826489</v>
      </c>
      <c r="J1774" s="3">
        <f t="shared" si="285"/>
        <v>5126213.903879785</v>
      </c>
      <c r="K1774" s="24"/>
      <c r="L1774" s="24"/>
    </row>
    <row r="1775" spans="2:12" x14ac:dyDescent="0.35">
      <c r="B1775" s="1">
        <v>15</v>
      </c>
      <c r="C1775" s="22">
        <v>45170</v>
      </c>
      <c r="D1775" s="22">
        <v>45199</v>
      </c>
      <c r="E1775" s="23">
        <f t="shared" si="283"/>
        <v>30</v>
      </c>
      <c r="F1775" s="3">
        <f t="shared" si="286"/>
        <v>5126213.903879785</v>
      </c>
      <c r="G1775" s="3">
        <f t="shared" si="288"/>
        <v>536408.97593508195</v>
      </c>
      <c r="H1775" s="3">
        <f t="shared" si="287"/>
        <v>42718.449198998205</v>
      </c>
      <c r="I1775" s="3">
        <f t="shared" si="284"/>
        <v>493690.52673608373</v>
      </c>
      <c r="J1775" s="3">
        <f t="shared" si="285"/>
        <v>4632523.3771437015</v>
      </c>
      <c r="K1775" s="24"/>
      <c r="L1775" s="24"/>
    </row>
    <row r="1776" spans="2:12" x14ac:dyDescent="0.35">
      <c r="B1776" s="1">
        <v>16</v>
      </c>
      <c r="C1776" s="22">
        <v>45200</v>
      </c>
      <c r="D1776" s="22">
        <v>45230</v>
      </c>
      <c r="E1776" s="23">
        <f t="shared" si="283"/>
        <v>31</v>
      </c>
      <c r="F1776" s="3">
        <f t="shared" si="286"/>
        <v>4632523.3771437015</v>
      </c>
      <c r="G1776" s="3">
        <f t="shared" si="288"/>
        <v>536408.97593508195</v>
      </c>
      <c r="H1776" s="3">
        <f t="shared" si="287"/>
        <v>38604.361476197511</v>
      </c>
      <c r="I1776" s="3">
        <f t="shared" si="284"/>
        <v>497804.61445888446</v>
      </c>
      <c r="J1776" s="3">
        <f t="shared" si="285"/>
        <v>4134718.762684817</v>
      </c>
      <c r="K1776" s="24"/>
      <c r="L1776" s="24"/>
    </row>
    <row r="1777" spans="2:19" x14ac:dyDescent="0.35">
      <c r="B1777" s="1">
        <v>17</v>
      </c>
      <c r="C1777" s="22">
        <v>45231</v>
      </c>
      <c r="D1777" s="22">
        <v>45260</v>
      </c>
      <c r="E1777" s="23">
        <f t="shared" si="283"/>
        <v>30</v>
      </c>
      <c r="F1777" s="3">
        <f t="shared" si="286"/>
        <v>4134718.762684817</v>
      </c>
      <c r="G1777" s="3">
        <f t="shared" si="288"/>
        <v>536408.97593508195</v>
      </c>
      <c r="H1777" s="3">
        <f t="shared" si="287"/>
        <v>34455.989689040143</v>
      </c>
      <c r="I1777" s="3">
        <f t="shared" si="284"/>
        <v>501952.98624604184</v>
      </c>
      <c r="J1777" s="3">
        <f t="shared" si="285"/>
        <v>3632765.776438775</v>
      </c>
      <c r="K1777" s="24"/>
      <c r="L1777" s="24"/>
    </row>
    <row r="1778" spans="2:19" x14ac:dyDescent="0.35">
      <c r="B1778" s="1">
        <v>18</v>
      </c>
      <c r="C1778" s="22">
        <v>45261</v>
      </c>
      <c r="D1778" s="22">
        <v>45291</v>
      </c>
      <c r="E1778" s="23">
        <f t="shared" si="283"/>
        <v>31</v>
      </c>
      <c r="F1778" s="3">
        <f t="shared" si="286"/>
        <v>3632765.776438775</v>
      </c>
      <c r="G1778" s="3">
        <f t="shared" si="288"/>
        <v>536408.97593508195</v>
      </c>
      <c r="H1778" s="3">
        <f t="shared" si="287"/>
        <v>30273.04813698979</v>
      </c>
      <c r="I1778" s="3">
        <f t="shared" si="284"/>
        <v>506135.92779809213</v>
      </c>
      <c r="J1778" s="3">
        <f t="shared" si="285"/>
        <v>3126629.8486406831</v>
      </c>
      <c r="K1778" s="24"/>
      <c r="L1778" s="24"/>
    </row>
    <row r="1779" spans="2:19" x14ac:dyDescent="0.35">
      <c r="B1779" s="1">
        <v>19</v>
      </c>
      <c r="C1779" s="22">
        <v>45292</v>
      </c>
      <c r="D1779" s="22">
        <v>45322</v>
      </c>
      <c r="E1779" s="23">
        <f t="shared" si="283"/>
        <v>31</v>
      </c>
      <c r="F1779" s="3">
        <f t="shared" si="286"/>
        <v>3126629.8486406831</v>
      </c>
      <c r="G1779" s="3">
        <f t="shared" si="288"/>
        <v>536408.97593508195</v>
      </c>
      <c r="H1779" s="3">
        <f t="shared" si="287"/>
        <v>26055.248738672359</v>
      </c>
      <c r="I1779" s="3">
        <f t="shared" si="284"/>
        <v>510353.7271964096</v>
      </c>
      <c r="J1779" s="3">
        <f t="shared" si="285"/>
        <v>2616276.1214442737</v>
      </c>
      <c r="K1779" s="24"/>
      <c r="L1779" s="24"/>
    </row>
    <row r="1780" spans="2:19" x14ac:dyDescent="0.35">
      <c r="B1780" s="1">
        <v>20</v>
      </c>
      <c r="C1780" s="22">
        <v>45323</v>
      </c>
      <c r="D1780" s="22">
        <v>45350</v>
      </c>
      <c r="E1780" s="23">
        <f t="shared" si="283"/>
        <v>28</v>
      </c>
      <c r="F1780" s="3">
        <f t="shared" si="286"/>
        <v>2616276.1214442737</v>
      </c>
      <c r="G1780" s="3">
        <f t="shared" si="288"/>
        <v>536408.97593508195</v>
      </c>
      <c r="H1780" s="3">
        <f t="shared" si="287"/>
        <v>21802.301012035616</v>
      </c>
      <c r="I1780" s="3">
        <f t="shared" si="284"/>
        <v>514606.67492304632</v>
      </c>
      <c r="J1780" s="3">
        <f t="shared" si="285"/>
        <v>2101669.4465212272</v>
      </c>
      <c r="K1780" s="24"/>
      <c r="L1780" s="24"/>
    </row>
    <row r="1781" spans="2:19" x14ac:dyDescent="0.35">
      <c r="B1781" s="1">
        <v>21</v>
      </c>
      <c r="C1781" s="22">
        <v>45352</v>
      </c>
      <c r="D1781" s="22">
        <v>45382</v>
      </c>
      <c r="E1781" s="23">
        <f t="shared" si="283"/>
        <v>31</v>
      </c>
      <c r="F1781" s="3">
        <f t="shared" si="286"/>
        <v>2101669.4465212272</v>
      </c>
      <c r="G1781" s="3">
        <f t="shared" si="288"/>
        <v>536408.97593508195</v>
      </c>
      <c r="H1781" s="3">
        <f t="shared" si="287"/>
        <v>17513.91205434356</v>
      </c>
      <c r="I1781" s="3">
        <f t="shared" si="284"/>
        <v>518895.06388073839</v>
      </c>
      <c r="J1781" s="3">
        <f t="shared" si="285"/>
        <v>1582774.3826404889</v>
      </c>
      <c r="K1781" s="24"/>
      <c r="L1781" s="24"/>
    </row>
    <row r="1782" spans="2:19" x14ac:dyDescent="0.35">
      <c r="B1782" s="1">
        <v>22</v>
      </c>
      <c r="C1782" s="22">
        <v>45383</v>
      </c>
      <c r="D1782" s="22">
        <v>45412</v>
      </c>
      <c r="E1782" s="23">
        <f t="shared" si="283"/>
        <v>30</v>
      </c>
      <c r="F1782" s="3">
        <f t="shared" si="286"/>
        <v>1582774.3826404889</v>
      </c>
      <c r="G1782" s="3">
        <f t="shared" si="288"/>
        <v>536408.97593508195</v>
      </c>
      <c r="H1782" s="3">
        <f t="shared" si="287"/>
        <v>13189.786522004075</v>
      </c>
      <c r="I1782" s="3">
        <f t="shared" si="284"/>
        <v>523219.1894130779</v>
      </c>
      <c r="J1782" s="3">
        <f t="shared" si="285"/>
        <v>1059555.193227411</v>
      </c>
      <c r="K1782" s="24"/>
      <c r="L1782" s="24"/>
    </row>
    <row r="1783" spans="2:19" x14ac:dyDescent="0.35">
      <c r="B1783" s="1">
        <v>23</v>
      </c>
      <c r="C1783" s="22">
        <v>45413</v>
      </c>
      <c r="D1783" s="22">
        <v>45443</v>
      </c>
      <c r="E1783" s="23">
        <f t="shared" si="283"/>
        <v>31</v>
      </c>
      <c r="F1783" s="3">
        <f t="shared" si="286"/>
        <v>1059555.193227411</v>
      </c>
      <c r="G1783" s="3">
        <f t="shared" si="288"/>
        <v>536408.97593508195</v>
      </c>
      <c r="H1783" s="3">
        <f t="shared" si="287"/>
        <v>8829.6266102284244</v>
      </c>
      <c r="I1783" s="3">
        <f t="shared" si="284"/>
        <v>527579.34932485351</v>
      </c>
      <c r="J1783" s="3">
        <f t="shared" si="285"/>
        <v>531975.84390255751</v>
      </c>
      <c r="K1783" s="24"/>
      <c r="L1783" s="24"/>
    </row>
    <row r="1784" spans="2:19" x14ac:dyDescent="0.35">
      <c r="B1784" s="1">
        <v>24</v>
      </c>
      <c r="C1784" s="22">
        <v>45444</v>
      </c>
      <c r="D1784" s="22">
        <v>45473</v>
      </c>
      <c r="E1784" s="23">
        <f t="shared" si="283"/>
        <v>30</v>
      </c>
      <c r="F1784" s="3">
        <f t="shared" si="286"/>
        <v>531975.84390255751</v>
      </c>
      <c r="G1784" s="3">
        <f t="shared" si="288"/>
        <v>536408.97593508195</v>
      </c>
      <c r="H1784" s="3">
        <f t="shared" si="287"/>
        <v>4433.1320325213128</v>
      </c>
      <c r="I1784" s="3">
        <f t="shared" si="284"/>
        <v>531975.84390256065</v>
      </c>
      <c r="J1784" s="3">
        <f t="shared" si="285"/>
        <v>-3.14321368932724E-9</v>
      </c>
      <c r="K1784" s="24"/>
      <c r="L1784" s="24"/>
    </row>
    <row r="1785" spans="2:19" ht="14.25" customHeight="1" x14ac:dyDescent="0.35">
      <c r="B1785" s="1"/>
      <c r="C1785" s="1"/>
      <c r="D1785" s="1"/>
      <c r="E1785" s="28">
        <f>SUM(E1760:E1783)</f>
        <v>715</v>
      </c>
      <c r="F1785" s="3"/>
      <c r="G1785" s="3"/>
      <c r="H1785" s="3"/>
      <c r="I1785" s="3"/>
      <c r="J1785" s="3"/>
      <c r="K1785" s="1"/>
      <c r="L1785" s="1"/>
    </row>
    <row r="1790" spans="2:19" x14ac:dyDescent="0.35">
      <c r="B1790" s="1"/>
      <c r="C1790" s="8" t="s">
        <v>900</v>
      </c>
      <c r="D1790" s="3"/>
      <c r="E1790" s="3"/>
      <c r="F1790" s="3"/>
      <c r="G1790" s="231" t="s">
        <v>827</v>
      </c>
      <c r="H1790" s="3" t="s">
        <v>828</v>
      </c>
      <c r="I1790" s="231" t="s">
        <v>829</v>
      </c>
      <c r="J1790" s="231" t="s">
        <v>830</v>
      </c>
      <c r="K1790" s="231" t="s">
        <v>831</v>
      </c>
      <c r="L1790" s="231" t="s">
        <v>840</v>
      </c>
      <c r="R1790" s="438" t="s">
        <v>832</v>
      </c>
      <c r="S1790" s="432" t="str">
        <f>IFERROR(INDEX(Blocks!$I$2:$I$101,MATCH(31,Blocks!$A$2:$A$101,0)),"")</f>
        <v>000104420000032</v>
      </c>
    </row>
    <row r="1791" spans="2:19" x14ac:dyDescent="0.35">
      <c r="B1791" s="1"/>
      <c r="C1791" s="1"/>
      <c r="D1791" s="3"/>
      <c r="E1791" s="3"/>
      <c r="F1791" s="230">
        <v>44805</v>
      </c>
      <c r="G1791" s="231">
        <v>44866</v>
      </c>
      <c r="H1791" s="230">
        <v>44896</v>
      </c>
      <c r="I1791" s="231">
        <v>45047</v>
      </c>
      <c r="J1791" s="230">
        <v>45108</v>
      </c>
      <c r="K1791" s="230">
        <v>45139</v>
      </c>
      <c r="L1791" s="230">
        <v>45170</v>
      </c>
      <c r="R1791" s="438" t="s">
        <v>834</v>
      </c>
      <c r="S1791" s="432" t="str">
        <f>IFERROR(INDEX(Blocks!$H$2:$H$101,MATCH(31,Blocks!$A$2:$A$101,0)),"")</f>
        <v>African Honey products Industries</v>
      </c>
    </row>
    <row r="1792" spans="2:19" x14ac:dyDescent="0.35">
      <c r="B1792" s="1"/>
      <c r="C1792" s="9" t="s">
        <v>835</v>
      </c>
      <c r="D1792" s="10">
        <v>50000000</v>
      </c>
      <c r="E1792" s="3"/>
      <c r="F1792" s="231" t="s">
        <v>836</v>
      </c>
      <c r="G1792" s="231" t="s">
        <v>836</v>
      </c>
      <c r="H1792" s="231" t="s">
        <v>836</v>
      </c>
      <c r="I1792" s="231" t="s">
        <v>836</v>
      </c>
      <c r="J1792" s="231" t="s">
        <v>836</v>
      </c>
      <c r="K1792" s="231" t="s">
        <v>836</v>
      </c>
      <c r="L1792" s="231" t="s">
        <v>836</v>
      </c>
      <c r="R1792" s="438" t="s">
        <v>223</v>
      </c>
      <c r="S1792" s="433">
        <f>IFERROR(INDEX('E-Banker master'!$N$2:$N$186,MATCH(S1790,'E-Banker master'!$A$2:$A$186,0)),"")</f>
        <v>104979420</v>
      </c>
    </row>
    <row r="1793" spans="2:19" x14ac:dyDescent="0.35">
      <c r="B1793" s="1"/>
      <c r="C1793" s="11" t="s">
        <v>837</v>
      </c>
      <c r="D1793" s="12">
        <v>0.215</v>
      </c>
      <c r="E1793" s="13"/>
      <c r="F1793" s="13">
        <f>D1793+0.4%</f>
        <v>0.219</v>
      </c>
      <c r="G1793" s="3">
        <f>F1793+2.7%</f>
        <v>0.246</v>
      </c>
      <c r="H1793" s="13">
        <f>G1793+0.7%</f>
        <v>0.253</v>
      </c>
      <c r="I1793" s="3">
        <f>H1793+2.7%</f>
        <v>0.28000000000000003</v>
      </c>
      <c r="J1793" s="13">
        <f>I1793+1.4%</f>
        <v>0.29400000000000004</v>
      </c>
      <c r="K1793" s="13">
        <f>J1793+1.3%</f>
        <v>0.30700000000000005</v>
      </c>
      <c r="L1793" s="257">
        <f>K1793+0.7%</f>
        <v>0.31400000000000006</v>
      </c>
      <c r="R1793" s="438" t="s">
        <v>52</v>
      </c>
      <c r="S1793" s="433">
        <f>IFERROR(INDEX('E-Banker master'!$P$2:$P$186,MATCH(S1790,'E-Banker master'!$A$2:$A$186,0)),"")</f>
        <v>108314465.95999999</v>
      </c>
    </row>
    <row r="1794" spans="2:19" x14ac:dyDescent="0.35">
      <c r="B1794" s="1"/>
      <c r="C1794" s="11" t="s">
        <v>838</v>
      </c>
      <c r="D1794" s="14">
        <v>5</v>
      </c>
      <c r="E1794" s="1"/>
      <c r="F1794" s="3"/>
      <c r="G1794" s="3"/>
      <c r="H1794" s="3"/>
      <c r="I1794" s="3"/>
      <c r="J1794" s="3"/>
      <c r="K1794" s="1"/>
      <c r="L1794" s="1"/>
    </row>
    <row r="1795" spans="2:19" x14ac:dyDescent="0.35">
      <c r="B1795" s="1"/>
      <c r="C1795" s="11" t="s">
        <v>839</v>
      </c>
      <c r="D1795" s="14">
        <v>12</v>
      </c>
      <c r="E1795" s="1"/>
      <c r="F1795" s="3" t="s">
        <v>901</v>
      </c>
      <c r="G1795" s="231" t="s">
        <v>841</v>
      </c>
      <c r="H1795" s="231" t="s">
        <v>842</v>
      </c>
      <c r="I1795" s="231" t="s">
        <v>855</v>
      </c>
      <c r="J1795" s="351" t="s">
        <v>856</v>
      </c>
      <c r="K1795" s="351" t="s">
        <v>877</v>
      </c>
      <c r="L1795" s="351" t="s">
        <v>878</v>
      </c>
    </row>
    <row r="1796" spans="2:19" x14ac:dyDescent="0.35">
      <c r="B1796" s="1"/>
      <c r="C1796" s="11" t="s">
        <v>843</v>
      </c>
      <c r="D1796" s="15">
        <f>D1794*D1795</f>
        <v>60</v>
      </c>
      <c r="E1796" s="1"/>
      <c r="F1796" s="3">
        <v>54979420</v>
      </c>
      <c r="G1796" s="231">
        <v>45200</v>
      </c>
      <c r="H1796" s="230">
        <v>45261</v>
      </c>
      <c r="I1796" s="231">
        <v>44958</v>
      </c>
      <c r="J1796" s="352">
        <v>45413</v>
      </c>
      <c r="K1796" s="352">
        <v>45444</v>
      </c>
      <c r="L1796" s="352">
        <v>45444</v>
      </c>
    </row>
    <row r="1797" spans="2:19" x14ac:dyDescent="0.35">
      <c r="B1797" s="1"/>
      <c r="C1797" s="11" t="s">
        <v>844</v>
      </c>
      <c r="D1797" s="16">
        <v>365</v>
      </c>
      <c r="E1797" s="1"/>
      <c r="F1797" s="3"/>
      <c r="G1797" s="231" t="s">
        <v>836</v>
      </c>
      <c r="H1797" s="231" t="s">
        <v>836</v>
      </c>
      <c r="I1797" s="231" t="s">
        <v>836</v>
      </c>
      <c r="J1797" s="351" t="s">
        <v>836</v>
      </c>
      <c r="K1797" s="351" t="s">
        <v>836</v>
      </c>
      <c r="L1797" s="351" t="s">
        <v>836</v>
      </c>
    </row>
    <row r="1798" spans="2:19" x14ac:dyDescent="0.35">
      <c r="B1798" s="1"/>
      <c r="C1798" s="17" t="s">
        <v>845</v>
      </c>
      <c r="D1798" s="18">
        <f>-PMT(D1793/D1795,D1796,D1792,0,0)</f>
        <v>1366769.0345589479</v>
      </c>
      <c r="E1798" s="3"/>
      <c r="F1798" s="3"/>
      <c r="G1798" s="3">
        <f>L1793+0.1%</f>
        <v>0.31500000000000006</v>
      </c>
      <c r="H1798" s="13">
        <f>G1798+0.1%</f>
        <v>0.31600000000000006</v>
      </c>
      <c r="I1798" s="353">
        <f>H1798+1.3%</f>
        <v>0.32900000000000007</v>
      </c>
      <c r="J1798" s="350">
        <f>+I1798+0.1%</f>
        <v>0.33000000000000007</v>
      </c>
      <c r="K1798" s="350">
        <f>+J1798+0.1%</f>
        <v>0.33100000000000007</v>
      </c>
      <c r="L1798" s="350">
        <f>+K1798+0.13%</f>
        <v>0.3323000000000001</v>
      </c>
    </row>
    <row r="1799" spans="2:19" x14ac:dyDescent="0.35">
      <c r="B1799" s="1"/>
      <c r="C1799" s="1"/>
      <c r="D1799" s="3"/>
      <c r="E1799" s="3"/>
      <c r="F1799" s="3"/>
      <c r="G1799" s="3"/>
      <c r="H1799" s="3"/>
      <c r="I1799" s="3"/>
      <c r="J1799" s="3"/>
      <c r="K1799" s="1"/>
      <c r="L1799" s="1"/>
    </row>
    <row r="1800" spans="2:19" x14ac:dyDescent="0.35">
      <c r="B1800" s="1"/>
      <c r="C1800" s="19" t="s">
        <v>846</v>
      </c>
      <c r="D1800" s="20" t="s">
        <v>847</v>
      </c>
      <c r="E1800" s="20" t="s">
        <v>764</v>
      </c>
      <c r="F1800" s="270" t="s">
        <v>848</v>
      </c>
      <c r="G1800" s="270" t="s">
        <v>849</v>
      </c>
      <c r="H1800" s="270" t="s">
        <v>742</v>
      </c>
      <c r="I1800" s="270" t="s">
        <v>740</v>
      </c>
      <c r="J1800" s="270" t="s">
        <v>850</v>
      </c>
      <c r="K1800" s="21" t="s">
        <v>851</v>
      </c>
      <c r="L1800" s="21" t="s">
        <v>852</v>
      </c>
    </row>
    <row r="1801" spans="2:19" x14ac:dyDescent="0.35">
      <c r="B1801" s="1">
        <v>0</v>
      </c>
      <c r="C1801" s="22">
        <v>44740</v>
      </c>
      <c r="D1801" s="22">
        <v>44742</v>
      </c>
      <c r="E1801" s="23">
        <f t="shared" ref="E1801:E1832" si="289">D1801-C1801+1</f>
        <v>3</v>
      </c>
      <c r="F1801" s="3">
        <f>D1792</f>
        <v>50000000</v>
      </c>
      <c r="G1801" s="3"/>
      <c r="H1801" s="3">
        <f>$D$1793/$D$1795*F1801*E1801/30</f>
        <v>89583.333333333328</v>
      </c>
      <c r="I1801" s="3">
        <f t="shared" ref="I1801:I1832" si="290">G1801-H1801</f>
        <v>-89583.333333333328</v>
      </c>
      <c r="J1801" s="3">
        <f t="shared" ref="J1801:J1832" si="291">F1801-I1801</f>
        <v>50089583.333333336</v>
      </c>
      <c r="K1801" s="24"/>
      <c r="L1801" s="24"/>
    </row>
    <row r="1802" spans="2:19" x14ac:dyDescent="0.35">
      <c r="B1802" s="1">
        <v>1</v>
      </c>
      <c r="C1802" s="22">
        <v>44743</v>
      </c>
      <c r="D1802" s="22">
        <v>44773</v>
      </c>
      <c r="E1802" s="23">
        <f t="shared" si="289"/>
        <v>31</v>
      </c>
      <c r="F1802" s="3">
        <f>J1801</f>
        <v>50089583.333333336</v>
      </c>
      <c r="G1802" s="3"/>
      <c r="H1802" s="3">
        <f>$D$1793/$D$1795*F1802</f>
        <v>897438.36805555562</v>
      </c>
      <c r="I1802" s="3">
        <f t="shared" si="290"/>
        <v>-897438.36805555562</v>
      </c>
      <c r="J1802" s="3">
        <f t="shared" si="291"/>
        <v>50987021.701388888</v>
      </c>
      <c r="K1802" s="24"/>
      <c r="L1802" s="24"/>
    </row>
    <row r="1803" spans="2:19" x14ac:dyDescent="0.35">
      <c r="B1803" s="1">
        <v>2</v>
      </c>
      <c r="C1803" s="22">
        <v>44774</v>
      </c>
      <c r="D1803" s="22">
        <v>44804</v>
      </c>
      <c r="E1803" s="23">
        <f t="shared" si="289"/>
        <v>31</v>
      </c>
      <c r="F1803" s="3">
        <f>J1802</f>
        <v>50987021.701388888</v>
      </c>
      <c r="G1803" s="3"/>
      <c r="H1803" s="3">
        <f>$D$1793/$D$1795*F1803</f>
        <v>913517.47214988433</v>
      </c>
      <c r="I1803" s="3">
        <f t="shared" si="290"/>
        <v>-913517.47214988433</v>
      </c>
      <c r="J1803" s="3">
        <f t="shared" si="291"/>
        <v>51900539.173538774</v>
      </c>
      <c r="L1803" s="24"/>
    </row>
    <row r="1804" spans="2:19" x14ac:dyDescent="0.35">
      <c r="B1804" s="1">
        <v>3</v>
      </c>
      <c r="C1804" s="22">
        <v>44805</v>
      </c>
      <c r="D1804" s="22">
        <v>44834</v>
      </c>
      <c r="E1804" s="23">
        <f t="shared" si="289"/>
        <v>30</v>
      </c>
      <c r="F1804" s="3">
        <f>J1803</f>
        <v>51900539.173538774</v>
      </c>
      <c r="G1804" s="3"/>
      <c r="H1804" s="3">
        <f>$F$1793/$D$1795*F1804</f>
        <v>947184.83991708257</v>
      </c>
      <c r="I1804" s="3">
        <f t="shared" si="290"/>
        <v>-947184.83991708257</v>
      </c>
      <c r="J1804" s="3">
        <f t="shared" si="291"/>
        <v>52847724.01345586</v>
      </c>
      <c r="K1804" s="24">
        <v>1906000</v>
      </c>
      <c r="L1804" s="24"/>
    </row>
    <row r="1805" spans="2:19" x14ac:dyDescent="0.35">
      <c r="B1805" s="1">
        <v>4</v>
      </c>
      <c r="C1805" s="22">
        <v>44835</v>
      </c>
      <c r="D1805" s="22">
        <v>44865</v>
      </c>
      <c r="E1805" s="23">
        <f t="shared" si="289"/>
        <v>31</v>
      </c>
      <c r="F1805" s="3">
        <f>J1804</f>
        <v>52847724.01345586</v>
      </c>
      <c r="G1805" s="3"/>
      <c r="H1805" s="3">
        <f>$F$1793/$D$1795*F1805</f>
        <v>964470.96324556938</v>
      </c>
      <c r="I1805" s="3">
        <f t="shared" si="290"/>
        <v>-964470.96324556938</v>
      </c>
      <c r="J1805" s="3">
        <f t="shared" si="291"/>
        <v>53812194.976701431</v>
      </c>
      <c r="K1805" s="24">
        <v>947200</v>
      </c>
      <c r="L1805" s="24"/>
    </row>
    <row r="1806" spans="2:19" x14ac:dyDescent="0.35">
      <c r="B1806" s="1">
        <v>5</v>
      </c>
      <c r="C1806" s="22">
        <v>44866</v>
      </c>
      <c r="D1806" s="22">
        <v>44895</v>
      </c>
      <c r="E1806" s="23">
        <f t="shared" si="289"/>
        <v>30</v>
      </c>
      <c r="F1806" s="3">
        <f>J1805+F1796</f>
        <v>108791614.97670144</v>
      </c>
      <c r="G1806" s="3"/>
      <c r="H1806" s="3">
        <f>$G$1793/$D$1795*F1806</f>
        <v>2230228.1070223795</v>
      </c>
      <c r="I1806" s="3">
        <f t="shared" si="290"/>
        <v>-2230228.1070223795</v>
      </c>
      <c r="J1806" s="3">
        <f t="shared" si="291"/>
        <v>111021843.08372381</v>
      </c>
      <c r="K1806" s="24">
        <v>982000</v>
      </c>
      <c r="L1806" s="24"/>
    </row>
    <row r="1807" spans="2:19" x14ac:dyDescent="0.35">
      <c r="B1807" s="1">
        <v>6</v>
      </c>
      <c r="C1807" s="22">
        <v>44896</v>
      </c>
      <c r="D1807" s="22">
        <v>44926</v>
      </c>
      <c r="E1807" s="23">
        <f t="shared" si="289"/>
        <v>31</v>
      </c>
      <c r="F1807" s="3">
        <f t="shared" ref="F1807:F1838" si="292">J1806</f>
        <v>111021843.08372381</v>
      </c>
      <c r="G1807" s="3"/>
      <c r="H1807" s="3">
        <f>$H$1793/$D$1795*F1807</f>
        <v>2340710.5250151767</v>
      </c>
      <c r="I1807" s="3">
        <f t="shared" si="290"/>
        <v>-2340710.5250151767</v>
      </c>
      <c r="J1807" s="3">
        <f t="shared" si="291"/>
        <v>113362553.60873899</v>
      </c>
      <c r="K1807" s="24">
        <v>1125765</v>
      </c>
      <c r="L1807" s="24"/>
    </row>
    <row r="1808" spans="2:19" x14ac:dyDescent="0.35">
      <c r="B1808" s="1">
        <v>7</v>
      </c>
      <c r="C1808" s="22">
        <v>44927</v>
      </c>
      <c r="D1808" s="22">
        <v>44957</v>
      </c>
      <c r="E1808" s="23">
        <f t="shared" si="289"/>
        <v>31</v>
      </c>
      <c r="F1808" s="3">
        <f t="shared" si="292"/>
        <v>113362553.60873899</v>
      </c>
      <c r="G1808" s="3"/>
      <c r="H1808" s="3">
        <f>$H$1793/$D$1795*F1808</f>
        <v>2390060.5052509136</v>
      </c>
      <c r="I1808" s="3">
        <f t="shared" si="290"/>
        <v>-2390060.5052509136</v>
      </c>
      <c r="J1808" s="3">
        <f t="shared" si="291"/>
        <v>115752614.1139899</v>
      </c>
      <c r="K1808" s="24">
        <v>3422169</v>
      </c>
      <c r="L1808" s="24"/>
    </row>
    <row r="1809" spans="2:12" x14ac:dyDescent="0.35">
      <c r="B1809" s="1">
        <v>8</v>
      </c>
      <c r="C1809" s="22">
        <v>44958</v>
      </c>
      <c r="D1809" s="22">
        <v>44985</v>
      </c>
      <c r="E1809" s="23">
        <f t="shared" si="289"/>
        <v>28</v>
      </c>
      <c r="F1809" s="3">
        <f t="shared" si="292"/>
        <v>115752614.1139899</v>
      </c>
      <c r="G1809" s="3"/>
      <c r="H1809" s="3">
        <f>$H$1793/$D$1795*F1809</f>
        <v>2440450.9475699537</v>
      </c>
      <c r="I1809" s="3">
        <f t="shared" si="290"/>
        <v>-2440450.9475699537</v>
      </c>
      <c r="J1809" s="3">
        <f t="shared" si="291"/>
        <v>118193065.06155986</v>
      </c>
      <c r="K1809" s="24">
        <v>2440450</v>
      </c>
      <c r="L1809" s="24"/>
    </row>
    <row r="1810" spans="2:12" x14ac:dyDescent="0.35">
      <c r="B1810" s="1">
        <v>9</v>
      </c>
      <c r="C1810" s="22">
        <v>44986</v>
      </c>
      <c r="D1810" s="22">
        <v>45016</v>
      </c>
      <c r="E1810" s="23">
        <f t="shared" si="289"/>
        <v>31</v>
      </c>
      <c r="F1810" s="3">
        <f t="shared" si="292"/>
        <v>118193065.06155986</v>
      </c>
      <c r="G1810" s="3"/>
      <c r="H1810" s="3">
        <f>$H$1793/$D$1795*F1810</f>
        <v>2491903.7883812203</v>
      </c>
      <c r="I1810" s="3">
        <f t="shared" si="290"/>
        <v>-2491903.7883812203</v>
      </c>
      <c r="J1810" s="3">
        <f t="shared" si="291"/>
        <v>120684968.84994107</v>
      </c>
      <c r="K1810" s="24">
        <v>2491903</v>
      </c>
      <c r="L1810" s="24"/>
    </row>
    <row r="1811" spans="2:12" x14ac:dyDescent="0.35">
      <c r="B1811" s="1">
        <v>10</v>
      </c>
      <c r="C1811" s="22">
        <v>45017</v>
      </c>
      <c r="D1811" s="22">
        <v>45046</v>
      </c>
      <c r="E1811" s="23">
        <f t="shared" si="289"/>
        <v>30</v>
      </c>
      <c r="F1811" s="3">
        <f t="shared" si="292"/>
        <v>120684968.84994107</v>
      </c>
      <c r="G1811" s="3">
        <f>-PMT($H$1793/$D$1795,51,$F$1811,,0)</f>
        <v>3884927.7424112698</v>
      </c>
      <c r="H1811" s="3">
        <f>$H$1793/$D$1795*F1811</f>
        <v>2544441.4265862578</v>
      </c>
      <c r="I1811" s="3">
        <f t="shared" si="290"/>
        <v>1340486.315825012</v>
      </c>
      <c r="J1811" s="3">
        <f t="shared" si="291"/>
        <v>119344482.53411606</v>
      </c>
      <c r="K1811" s="24">
        <v>3885000</v>
      </c>
      <c r="L1811" s="24">
        <f>G1811-SUM(K1804:K1811)</f>
        <v>-13315559.257588729</v>
      </c>
    </row>
    <row r="1812" spans="2:12" x14ac:dyDescent="0.35">
      <c r="B1812" s="1">
        <v>11</v>
      </c>
      <c r="C1812" s="22">
        <v>45047</v>
      </c>
      <c r="D1812" s="22">
        <v>45077</v>
      </c>
      <c r="E1812" s="23">
        <f t="shared" si="289"/>
        <v>31</v>
      </c>
      <c r="F1812" s="3">
        <f t="shared" si="292"/>
        <v>119344482.53411606</v>
      </c>
      <c r="G1812" s="3">
        <f>-PMT($I$1793/$D$1795,50,$F$1812,,0)</f>
        <v>4068856.216442788</v>
      </c>
      <c r="H1812" s="3">
        <f>$I$1793/$D$1795*F1812</f>
        <v>2784704.5924627082</v>
      </c>
      <c r="I1812" s="3">
        <f t="shared" si="290"/>
        <v>1284151.6239800798</v>
      </c>
      <c r="J1812" s="3">
        <f t="shared" si="291"/>
        <v>118060330.91013598</v>
      </c>
      <c r="K1812" s="24">
        <v>0</v>
      </c>
      <c r="L1812" s="24">
        <f t="shared" ref="L1812:L1829" si="293">L1811+G1812-K1812</f>
        <v>-9246703.0411459412</v>
      </c>
    </row>
    <row r="1813" spans="2:12" x14ac:dyDescent="0.35">
      <c r="B1813" s="1">
        <v>12</v>
      </c>
      <c r="C1813" s="22">
        <v>45078</v>
      </c>
      <c r="D1813" s="22">
        <v>45107</v>
      </c>
      <c r="E1813" s="23">
        <f t="shared" si="289"/>
        <v>30</v>
      </c>
      <c r="F1813" s="3">
        <f t="shared" si="292"/>
        <v>118060330.91013598</v>
      </c>
      <c r="G1813" s="3">
        <f>-PMT($I$1793/$D$1795,50,$F$1813,,0)</f>
        <v>4025075.1533627012</v>
      </c>
      <c r="H1813" s="3">
        <f>$I$1793/$D$1795*F1813</f>
        <v>2754741.05456984</v>
      </c>
      <c r="I1813" s="3">
        <f t="shared" si="290"/>
        <v>1270334.0987928612</v>
      </c>
      <c r="J1813" s="3">
        <f t="shared" si="291"/>
        <v>116789996.81134312</v>
      </c>
      <c r="K1813" s="24">
        <v>4070000</v>
      </c>
      <c r="L1813" s="26">
        <f t="shared" si="293"/>
        <v>-9291627.8877832405</v>
      </c>
    </row>
    <row r="1814" spans="2:12" x14ac:dyDescent="0.35">
      <c r="B1814" s="1">
        <v>13</v>
      </c>
      <c r="C1814" s="22">
        <v>45108</v>
      </c>
      <c r="D1814" s="22">
        <v>45138</v>
      </c>
      <c r="E1814" s="23">
        <f t="shared" si="289"/>
        <v>31</v>
      </c>
      <c r="F1814" s="3">
        <f t="shared" si="292"/>
        <v>116789996.81134312</v>
      </c>
      <c r="G1814" s="3">
        <f>-PMT($J$1793/$D$1795,48,$F$1814,,0)</f>
        <v>4164482.0378625458</v>
      </c>
      <c r="H1814" s="3">
        <f>$J$1793/$D$1795*F1814</f>
        <v>2861354.9218779071</v>
      </c>
      <c r="I1814" s="3">
        <f t="shared" si="290"/>
        <v>1303127.1159846387</v>
      </c>
      <c r="J1814" s="3">
        <f t="shared" si="291"/>
        <v>115486869.69535848</v>
      </c>
      <c r="K1814" s="24">
        <v>4080000</v>
      </c>
      <c r="L1814" s="24">
        <f t="shared" si="293"/>
        <v>-9207145.8499206938</v>
      </c>
    </row>
    <row r="1815" spans="2:12" x14ac:dyDescent="0.35">
      <c r="B1815" s="1">
        <v>14</v>
      </c>
      <c r="C1815" s="22">
        <v>45139</v>
      </c>
      <c r="D1815" s="22">
        <v>45169</v>
      </c>
      <c r="E1815" s="23">
        <f t="shared" si="289"/>
        <v>31</v>
      </c>
      <c r="F1815" s="3">
        <f t="shared" si="292"/>
        <v>115486869.69535848</v>
      </c>
      <c r="G1815" s="3">
        <f>-PMT($K$1793/$D$1795,47,$F$1815,,0)</f>
        <v>4251415.9075118508</v>
      </c>
      <c r="H1815" s="3">
        <f>$K$1793/$D$1795*F1815</f>
        <v>2954539.0830395883</v>
      </c>
      <c r="I1815" s="3">
        <f t="shared" si="290"/>
        <v>1296876.8244722625</v>
      </c>
      <c r="J1815" s="3">
        <f t="shared" si="291"/>
        <v>114189992.87088622</v>
      </c>
      <c r="K1815" s="24"/>
      <c r="L1815" s="24">
        <f t="shared" si="293"/>
        <v>-4955729.942408843</v>
      </c>
    </row>
    <row r="1816" spans="2:12" x14ac:dyDescent="0.35">
      <c r="B1816" s="1">
        <v>15</v>
      </c>
      <c r="C1816" s="22">
        <v>45170</v>
      </c>
      <c r="D1816" s="22">
        <v>45199</v>
      </c>
      <c r="E1816" s="23">
        <f t="shared" si="289"/>
        <v>30</v>
      </c>
      <c r="F1816" s="3">
        <f t="shared" si="292"/>
        <v>114189992.87088622</v>
      </c>
      <c r="G1816" s="3">
        <f>-PMT($L$1793/$D$1795,46,$F$1816,,0)</f>
        <v>4297835.6232557958</v>
      </c>
      <c r="H1816" s="3">
        <f>$L$1793/$D$1795*F1816</f>
        <v>2987971.4801215231</v>
      </c>
      <c r="I1816" s="3">
        <f t="shared" si="290"/>
        <v>1309864.1431342727</v>
      </c>
      <c r="J1816" s="3">
        <f t="shared" si="291"/>
        <v>112880128.72775196</v>
      </c>
      <c r="K1816" s="24"/>
      <c r="L1816" s="24">
        <f t="shared" si="293"/>
        <v>-657894.31915304717</v>
      </c>
    </row>
    <row r="1817" spans="2:12" x14ac:dyDescent="0.35">
      <c r="B1817" s="1">
        <v>16</v>
      </c>
      <c r="C1817" s="22">
        <v>45200</v>
      </c>
      <c r="D1817" s="22">
        <v>45230</v>
      </c>
      <c r="E1817" s="23">
        <f t="shared" si="289"/>
        <v>31</v>
      </c>
      <c r="F1817" s="3">
        <f t="shared" si="292"/>
        <v>112880128.72775196</v>
      </c>
      <c r="G1817" s="3">
        <f>-PMT($G$1798/$D$1795,45,$F$1817,,0)</f>
        <v>4304378.1802389584</v>
      </c>
      <c r="H1817" s="3">
        <f>$G$1798/$D$1795*F1817</f>
        <v>2963103.3791034897</v>
      </c>
      <c r="I1817" s="3">
        <f t="shared" si="290"/>
        <v>1341274.8011354688</v>
      </c>
      <c r="J1817" s="3">
        <f t="shared" si="291"/>
        <v>111538853.92661649</v>
      </c>
      <c r="K1817" s="24"/>
      <c r="L1817" s="24">
        <f t="shared" si="293"/>
        <v>3646483.8610859113</v>
      </c>
    </row>
    <row r="1818" spans="2:12" x14ac:dyDescent="0.35">
      <c r="B1818" s="1">
        <v>17</v>
      </c>
      <c r="C1818" s="22">
        <v>45231</v>
      </c>
      <c r="D1818" s="22">
        <v>45260</v>
      </c>
      <c r="E1818" s="23">
        <f t="shared" si="289"/>
        <v>30</v>
      </c>
      <c r="F1818" s="3">
        <f t="shared" si="292"/>
        <v>111538853.92661649</v>
      </c>
      <c r="G1818" s="3">
        <f>-PMT($G$1798/$D$1795,45,$F$1817,,0)</f>
        <v>4304378.1802389584</v>
      </c>
      <c r="H1818" s="3">
        <f>$G$1798/$D$1795*F1818</f>
        <v>2927894.9155736836</v>
      </c>
      <c r="I1818" s="3">
        <f t="shared" si="290"/>
        <v>1376483.2646652749</v>
      </c>
      <c r="J1818" s="3">
        <f t="shared" si="291"/>
        <v>110162370.66195121</v>
      </c>
      <c r="K1818" s="24"/>
      <c r="L1818" s="24">
        <f t="shared" si="293"/>
        <v>7950862.0413248697</v>
      </c>
    </row>
    <row r="1819" spans="2:12" x14ac:dyDescent="0.35">
      <c r="B1819" s="1">
        <v>18</v>
      </c>
      <c r="C1819" s="22">
        <v>45261</v>
      </c>
      <c r="D1819" s="22">
        <v>45291</v>
      </c>
      <c r="E1819" s="23">
        <f t="shared" si="289"/>
        <v>31</v>
      </c>
      <c r="F1819" s="3">
        <f t="shared" si="292"/>
        <v>110162370.66195121</v>
      </c>
      <c r="G1819" s="3">
        <f>-PMT($H$1798/$D$1795,43,$F$1819,,0)</f>
        <v>4310703.3452079026</v>
      </c>
      <c r="H1819" s="3">
        <f>$H$1798/$D$1795*F1819</f>
        <v>2900942.4274313822</v>
      </c>
      <c r="I1819" s="3">
        <f t="shared" si="290"/>
        <v>1409760.9177765204</v>
      </c>
      <c r="J1819" s="3">
        <f t="shared" si="291"/>
        <v>108752609.74417469</v>
      </c>
      <c r="K1819" s="24">
        <v>4300000</v>
      </c>
      <c r="L1819" s="24">
        <f t="shared" si="293"/>
        <v>7961565.3865327723</v>
      </c>
    </row>
    <row r="1820" spans="2:12" x14ac:dyDescent="0.35">
      <c r="B1820" s="1">
        <v>19</v>
      </c>
      <c r="C1820" s="22">
        <v>45292</v>
      </c>
      <c r="D1820" s="22">
        <v>45322</v>
      </c>
      <c r="E1820" s="23">
        <f t="shared" si="289"/>
        <v>31</v>
      </c>
      <c r="F1820" s="3">
        <f t="shared" si="292"/>
        <v>108752609.74417469</v>
      </c>
      <c r="G1820" s="3">
        <f>-PMT($H$1798/$D$1795,43,$F$1819,,0)</f>
        <v>4310703.3452079026</v>
      </c>
      <c r="H1820" s="3">
        <f>$H$1798/$D$1795*F1820</f>
        <v>2863818.7232632674</v>
      </c>
      <c r="I1820" s="3">
        <f t="shared" si="290"/>
        <v>1446884.6219446352</v>
      </c>
      <c r="J1820" s="3">
        <f t="shared" si="291"/>
        <v>107305725.12223005</v>
      </c>
      <c r="K1820" s="24"/>
      <c r="L1820" s="24">
        <f t="shared" si="293"/>
        <v>12272268.731740676</v>
      </c>
    </row>
    <row r="1821" spans="2:12" x14ac:dyDescent="0.35">
      <c r="B1821" s="1">
        <v>20</v>
      </c>
      <c r="C1821" s="22">
        <v>45323</v>
      </c>
      <c r="D1821" s="22">
        <v>45350</v>
      </c>
      <c r="E1821" s="23">
        <f t="shared" si="289"/>
        <v>28</v>
      </c>
      <c r="F1821" s="3">
        <f t="shared" si="292"/>
        <v>107305725.12223005</v>
      </c>
      <c r="G1821" s="3">
        <f>-PMT($I$1798/$D$1795,41,$F$1821,,0)</f>
        <v>4390371.6321328906</v>
      </c>
      <c r="H1821" s="3">
        <f>$I$1798/$D$1795*F1821</f>
        <v>2941965.2971011414</v>
      </c>
      <c r="I1821" s="3">
        <f t="shared" si="290"/>
        <v>1448406.3350317492</v>
      </c>
      <c r="J1821" s="3">
        <f t="shared" si="291"/>
        <v>105857318.78719831</v>
      </c>
      <c r="K1821" s="24">
        <v>8000000</v>
      </c>
      <c r="L1821" s="24">
        <f t="shared" si="293"/>
        <v>8662640.3638735674</v>
      </c>
    </row>
    <row r="1822" spans="2:12" x14ac:dyDescent="0.35">
      <c r="B1822" s="1">
        <v>21</v>
      </c>
      <c r="C1822" s="22">
        <v>45352</v>
      </c>
      <c r="D1822" s="22">
        <v>45382</v>
      </c>
      <c r="E1822" s="23">
        <f t="shared" si="289"/>
        <v>31</v>
      </c>
      <c r="F1822" s="3">
        <f t="shared" si="292"/>
        <v>105857318.78719831</v>
      </c>
      <c r="G1822" s="3">
        <f>-PMT($I$1798/$D$1795,41,$F$1821,,0)</f>
        <v>4390371.6321328906</v>
      </c>
      <c r="H1822" s="3">
        <f>$I$1798/$D$1795*F1822</f>
        <v>2902254.8234156873</v>
      </c>
      <c r="I1822" s="3">
        <f t="shared" si="290"/>
        <v>1488116.8087172033</v>
      </c>
      <c r="J1822" s="3">
        <f t="shared" si="291"/>
        <v>104369201.9784811</v>
      </c>
      <c r="K1822" s="24"/>
      <c r="L1822" s="24">
        <f t="shared" si="293"/>
        <v>13053011.996006459</v>
      </c>
    </row>
    <row r="1823" spans="2:12" x14ac:dyDescent="0.35">
      <c r="B1823" s="1">
        <v>22</v>
      </c>
      <c r="C1823" s="22">
        <v>45383</v>
      </c>
      <c r="D1823" s="22">
        <v>45412</v>
      </c>
      <c r="E1823" s="23">
        <f t="shared" si="289"/>
        <v>30</v>
      </c>
      <c r="F1823" s="3">
        <f t="shared" si="292"/>
        <v>104369201.9784811</v>
      </c>
      <c r="G1823" s="3">
        <f>-PMT($I$1798/$D$1795,41,$F$1821,,0)</f>
        <v>4390371.6321328906</v>
      </c>
      <c r="H1823" s="3">
        <f>$I$1798/$D$1795*F1823</f>
        <v>2861455.6209100243</v>
      </c>
      <c r="I1823" s="3">
        <f t="shared" si="290"/>
        <v>1528916.0112228664</v>
      </c>
      <c r="J1823" s="3">
        <f t="shared" si="291"/>
        <v>102840285.96725823</v>
      </c>
      <c r="K1823" s="24">
        <v>8645000</v>
      </c>
      <c r="L1823" s="24">
        <f t="shared" si="293"/>
        <v>8798383.6281393506</v>
      </c>
    </row>
    <row r="1824" spans="2:12" x14ac:dyDescent="0.35">
      <c r="B1824" s="1">
        <v>23</v>
      </c>
      <c r="C1824" s="22">
        <v>45413</v>
      </c>
      <c r="D1824" s="22">
        <v>45443</v>
      </c>
      <c r="E1824" s="23">
        <f t="shared" si="289"/>
        <v>31</v>
      </c>
      <c r="F1824" s="3">
        <f t="shared" si="292"/>
        <v>102840285.96725823</v>
      </c>
      <c r="G1824" s="3">
        <f>-PMT($J$1798/$D$1795,38,$F$1824,,0)</f>
        <v>4396179.2574284282</v>
      </c>
      <c r="H1824" s="3">
        <f>$J$1798/$D$1795*F1824</f>
        <v>2828107.8640996022</v>
      </c>
      <c r="I1824" s="3">
        <f t="shared" si="290"/>
        <v>1568071.3933288259</v>
      </c>
      <c r="J1824" s="3">
        <f t="shared" si="291"/>
        <v>101272214.5739294</v>
      </c>
      <c r="K1824" s="24"/>
      <c r="L1824" s="24">
        <f t="shared" si="293"/>
        <v>13194562.885567779</v>
      </c>
    </row>
    <row r="1825" spans="2:12" x14ac:dyDescent="0.35">
      <c r="B1825" s="1">
        <v>24</v>
      </c>
      <c r="C1825" s="22">
        <v>45444</v>
      </c>
      <c r="D1825" s="22">
        <v>45473</v>
      </c>
      <c r="E1825" s="23">
        <f t="shared" si="289"/>
        <v>30</v>
      </c>
      <c r="F1825" s="3">
        <f t="shared" si="292"/>
        <v>101272214.5739294</v>
      </c>
      <c r="G1825" s="3">
        <f>-PMT($K$1798/$D$1795,37,$F$1825,,0)</f>
        <v>4401870.8892071564</v>
      </c>
      <c r="H1825" s="3">
        <f>$K$1798/$D$1795*F1825</f>
        <v>2793425.2519975533</v>
      </c>
      <c r="I1825" s="3">
        <f t="shared" si="290"/>
        <v>1608445.6372096031</v>
      </c>
      <c r="J1825" s="3">
        <f t="shared" si="291"/>
        <v>99663768.93671979</v>
      </c>
      <c r="K1825" s="24"/>
      <c r="L1825" s="24">
        <f t="shared" si="293"/>
        <v>17596433.774774935</v>
      </c>
    </row>
    <row r="1826" spans="2:12" x14ac:dyDescent="0.35">
      <c r="B1826" s="1">
        <v>25</v>
      </c>
      <c r="C1826" s="22">
        <v>45474</v>
      </c>
      <c r="D1826" s="22">
        <v>45504</v>
      </c>
      <c r="E1826" s="23">
        <f t="shared" si="289"/>
        <v>31</v>
      </c>
      <c r="F1826" s="3">
        <f t="shared" si="292"/>
        <v>99663768.93671979</v>
      </c>
      <c r="G1826" s="3">
        <f t="shared" ref="G1826:G1861" si="294">-PMT($L$1798/$D$1795,36,$F$1826,,0)</f>
        <v>4409117.8581979377</v>
      </c>
      <c r="H1826" s="3">
        <f t="shared" ref="H1826:H1861" si="295">$L$1798/$D$1795*F1826</f>
        <v>2759855.8681393331</v>
      </c>
      <c r="I1826" s="3">
        <f t="shared" si="290"/>
        <v>1649261.9900586046</v>
      </c>
      <c r="J1826" s="3">
        <f t="shared" si="291"/>
        <v>98014506.946661189</v>
      </c>
      <c r="K1826" s="24">
        <v>10000000</v>
      </c>
      <c r="L1826" s="26">
        <f t="shared" si="293"/>
        <v>12005551.632972874</v>
      </c>
    </row>
    <row r="1827" spans="2:12" x14ac:dyDescent="0.35">
      <c r="B1827" s="1">
        <v>26</v>
      </c>
      <c r="C1827" s="22">
        <v>45505</v>
      </c>
      <c r="D1827" s="22">
        <v>45535</v>
      </c>
      <c r="E1827" s="23">
        <f t="shared" si="289"/>
        <v>31</v>
      </c>
      <c r="F1827" s="3">
        <f t="shared" si="292"/>
        <v>98014506.946661189</v>
      </c>
      <c r="G1827" s="3">
        <f t="shared" si="294"/>
        <v>4409117.8581979377</v>
      </c>
      <c r="H1827" s="3">
        <f t="shared" si="295"/>
        <v>2714185.0548646268</v>
      </c>
      <c r="I1827" s="3">
        <f t="shared" si="290"/>
        <v>1694932.8033333109</v>
      </c>
      <c r="J1827" s="3">
        <f t="shared" si="291"/>
        <v>96319574.143327877</v>
      </c>
      <c r="K1827" s="24">
        <v>8000000</v>
      </c>
      <c r="L1827" s="24">
        <f t="shared" si="293"/>
        <v>8414669.4911708124</v>
      </c>
    </row>
    <row r="1828" spans="2:12" x14ac:dyDescent="0.35">
      <c r="B1828" s="1">
        <v>27</v>
      </c>
      <c r="C1828" s="22">
        <v>45536</v>
      </c>
      <c r="D1828" s="22">
        <v>45565</v>
      </c>
      <c r="E1828" s="23">
        <f t="shared" si="289"/>
        <v>30</v>
      </c>
      <c r="F1828" s="3">
        <f t="shared" si="292"/>
        <v>96319574.143327877</v>
      </c>
      <c r="G1828" s="3">
        <f t="shared" si="294"/>
        <v>4409117.8581979377</v>
      </c>
      <c r="H1828" s="3">
        <f t="shared" si="295"/>
        <v>2667249.5406523217</v>
      </c>
      <c r="I1828" s="3">
        <f t="shared" si="290"/>
        <v>1741868.3175456161</v>
      </c>
      <c r="J1828" s="3">
        <f t="shared" si="291"/>
        <v>94577705.825782254</v>
      </c>
      <c r="K1828" s="24"/>
      <c r="L1828" s="24">
        <f t="shared" si="293"/>
        <v>12823787.349368751</v>
      </c>
    </row>
    <row r="1829" spans="2:12" x14ac:dyDescent="0.35">
      <c r="B1829" s="1">
        <v>28</v>
      </c>
      <c r="C1829" s="22">
        <v>45566</v>
      </c>
      <c r="D1829" s="22">
        <v>45596</v>
      </c>
      <c r="E1829" s="23">
        <f t="shared" si="289"/>
        <v>31</v>
      </c>
      <c r="F1829" s="3">
        <f t="shared" si="292"/>
        <v>94577705.825782254</v>
      </c>
      <c r="G1829" s="3">
        <f t="shared" si="294"/>
        <v>4409117.8581979377</v>
      </c>
      <c r="H1829" s="3">
        <f t="shared" si="295"/>
        <v>2619014.303825621</v>
      </c>
      <c r="I1829" s="3">
        <f t="shared" si="290"/>
        <v>1790103.5543723167</v>
      </c>
      <c r="J1829" s="3">
        <f t="shared" si="291"/>
        <v>92787602.271409944</v>
      </c>
      <c r="K1829" s="24">
        <v>3000000</v>
      </c>
      <c r="L1829" s="204">
        <f t="shared" si="293"/>
        <v>14232905.20756669</v>
      </c>
    </row>
    <row r="1830" spans="2:12" x14ac:dyDescent="0.35">
      <c r="B1830" s="1">
        <v>29</v>
      </c>
      <c r="C1830" s="22">
        <v>45597</v>
      </c>
      <c r="D1830" s="22">
        <v>45626</v>
      </c>
      <c r="E1830" s="23">
        <f t="shared" si="289"/>
        <v>30</v>
      </c>
      <c r="F1830" s="3">
        <f t="shared" si="292"/>
        <v>92787602.271409944</v>
      </c>
      <c r="G1830" s="3">
        <f t="shared" si="294"/>
        <v>4409117.8581979377</v>
      </c>
      <c r="H1830" s="3">
        <f t="shared" si="295"/>
        <v>2569443.3528991276</v>
      </c>
      <c r="I1830" s="3">
        <f t="shared" si="290"/>
        <v>1839674.5052988101</v>
      </c>
      <c r="J1830" s="3">
        <f t="shared" si="291"/>
        <v>90947927.766111135</v>
      </c>
      <c r="K1830" s="24"/>
      <c r="L1830" s="24"/>
    </row>
    <row r="1831" spans="2:12" x14ac:dyDescent="0.35">
      <c r="B1831" s="1">
        <v>30</v>
      </c>
      <c r="C1831" s="22">
        <v>45627</v>
      </c>
      <c r="D1831" s="22">
        <v>45657</v>
      </c>
      <c r="E1831" s="23">
        <f t="shared" si="289"/>
        <v>31</v>
      </c>
      <c r="F1831" s="3">
        <f t="shared" si="292"/>
        <v>90947927.766111135</v>
      </c>
      <c r="G1831" s="3">
        <f t="shared" si="294"/>
        <v>4409117.8581979377</v>
      </c>
      <c r="H1831" s="3">
        <f t="shared" si="295"/>
        <v>2518499.6997232283</v>
      </c>
      <c r="I1831" s="3">
        <f t="shared" si="290"/>
        <v>1890618.1584747094</v>
      </c>
      <c r="J1831" s="3">
        <f t="shared" si="291"/>
        <v>89057309.607636422</v>
      </c>
      <c r="K1831" s="24"/>
      <c r="L1831" s="24"/>
    </row>
    <row r="1832" spans="2:12" x14ac:dyDescent="0.35">
      <c r="B1832" s="1">
        <v>31</v>
      </c>
      <c r="C1832" s="22">
        <v>45658</v>
      </c>
      <c r="D1832" s="22">
        <v>45688</v>
      </c>
      <c r="E1832" s="23">
        <f t="shared" si="289"/>
        <v>31</v>
      </c>
      <c r="F1832" s="3">
        <f t="shared" si="292"/>
        <v>89057309.607636422</v>
      </c>
      <c r="G1832" s="3">
        <f t="shared" si="294"/>
        <v>4409117.8581979377</v>
      </c>
      <c r="H1832" s="3">
        <f t="shared" si="295"/>
        <v>2466145.3318847991</v>
      </c>
      <c r="I1832" s="3">
        <f t="shared" si="290"/>
        <v>1942972.5263131387</v>
      </c>
      <c r="J1832" s="3">
        <f t="shared" si="291"/>
        <v>87114337.081323281</v>
      </c>
      <c r="K1832" s="24"/>
      <c r="L1832" s="24"/>
    </row>
    <row r="1833" spans="2:12" x14ac:dyDescent="0.35">
      <c r="B1833" s="1">
        <v>32</v>
      </c>
      <c r="C1833" s="22">
        <v>45689</v>
      </c>
      <c r="D1833" s="22">
        <v>45716</v>
      </c>
      <c r="E1833" s="23">
        <f t="shared" ref="E1833:E1861" si="296">D1833-C1833+1</f>
        <v>28</v>
      </c>
      <c r="F1833" s="3">
        <f t="shared" si="292"/>
        <v>87114337.081323281</v>
      </c>
      <c r="G1833" s="3">
        <f t="shared" si="294"/>
        <v>4409117.8581979377</v>
      </c>
      <c r="H1833" s="3">
        <f t="shared" si="295"/>
        <v>2412341.1843436444</v>
      </c>
      <c r="I1833" s="3">
        <f t="shared" ref="I1833:I1861" si="297">G1833-H1833</f>
        <v>1996776.6738542933</v>
      </c>
      <c r="J1833" s="3">
        <f t="shared" ref="J1833:J1861" si="298">F1833-I1833</f>
        <v>85117560.407468989</v>
      </c>
      <c r="K1833" s="24"/>
      <c r="L1833" s="24"/>
    </row>
    <row r="1834" spans="2:12" x14ac:dyDescent="0.35">
      <c r="B1834" s="1">
        <v>33</v>
      </c>
      <c r="C1834" s="22">
        <v>45717</v>
      </c>
      <c r="D1834" s="22">
        <v>45747</v>
      </c>
      <c r="E1834" s="23">
        <f t="shared" si="296"/>
        <v>31</v>
      </c>
      <c r="F1834" s="3">
        <f t="shared" si="292"/>
        <v>85117560.407468989</v>
      </c>
      <c r="G1834" s="3">
        <f t="shared" si="294"/>
        <v>4409117.8581979377</v>
      </c>
      <c r="H1834" s="3">
        <f t="shared" si="295"/>
        <v>2357047.1102834959</v>
      </c>
      <c r="I1834" s="3">
        <f t="shared" si="297"/>
        <v>2052070.7479144419</v>
      </c>
      <c r="J1834" s="3">
        <f t="shared" si="298"/>
        <v>83065489.659554541</v>
      </c>
      <c r="K1834" s="24"/>
      <c r="L1834" s="24"/>
    </row>
    <row r="1835" spans="2:12" x14ac:dyDescent="0.35">
      <c r="B1835" s="1">
        <v>34</v>
      </c>
      <c r="C1835" s="22">
        <v>45748</v>
      </c>
      <c r="D1835" s="22">
        <v>45777</v>
      </c>
      <c r="E1835" s="23">
        <f t="shared" si="296"/>
        <v>30</v>
      </c>
      <c r="F1835" s="3">
        <f t="shared" si="292"/>
        <v>83065489.659554541</v>
      </c>
      <c r="G1835" s="3">
        <f t="shared" si="294"/>
        <v>4409117.8581979377</v>
      </c>
      <c r="H1835" s="3">
        <f t="shared" si="295"/>
        <v>2300221.8511558319</v>
      </c>
      <c r="I1835" s="3">
        <f t="shared" si="297"/>
        <v>2108896.0070421058</v>
      </c>
      <c r="J1835" s="3">
        <f t="shared" si="298"/>
        <v>80956593.652512431</v>
      </c>
      <c r="K1835" s="24"/>
      <c r="L1835" s="24"/>
    </row>
    <row r="1836" spans="2:12" x14ac:dyDescent="0.35">
      <c r="B1836" s="1">
        <v>35</v>
      </c>
      <c r="C1836" s="22">
        <v>45778</v>
      </c>
      <c r="D1836" s="22">
        <v>45808</v>
      </c>
      <c r="E1836" s="23">
        <f t="shared" si="296"/>
        <v>31</v>
      </c>
      <c r="F1836" s="3">
        <f t="shared" si="292"/>
        <v>80956593.652512431</v>
      </c>
      <c r="G1836" s="3">
        <f t="shared" si="294"/>
        <v>4409117.8581979377</v>
      </c>
      <c r="H1836" s="3">
        <f t="shared" si="295"/>
        <v>2241823.0058941571</v>
      </c>
      <c r="I1836" s="3">
        <f t="shared" si="297"/>
        <v>2167294.8523037806</v>
      </c>
      <c r="J1836" s="3">
        <f t="shared" si="298"/>
        <v>78789298.800208658</v>
      </c>
      <c r="K1836" s="24"/>
      <c r="L1836" s="24"/>
    </row>
    <row r="1837" spans="2:12" x14ac:dyDescent="0.35">
      <c r="B1837" s="1">
        <v>36</v>
      </c>
      <c r="C1837" s="22">
        <v>45809</v>
      </c>
      <c r="D1837" s="22">
        <v>45838</v>
      </c>
      <c r="E1837" s="23">
        <f t="shared" si="296"/>
        <v>30</v>
      </c>
      <c r="F1837" s="3">
        <f t="shared" si="292"/>
        <v>78789298.800208658</v>
      </c>
      <c r="G1837" s="3">
        <f t="shared" si="294"/>
        <v>4409117.8581979377</v>
      </c>
      <c r="H1837" s="3">
        <f t="shared" si="295"/>
        <v>2181806.9992757784</v>
      </c>
      <c r="I1837" s="3">
        <f t="shared" si="297"/>
        <v>2227310.8589221593</v>
      </c>
      <c r="J1837" s="3">
        <f t="shared" si="298"/>
        <v>76561987.941286504</v>
      </c>
      <c r="K1837" s="24"/>
      <c r="L1837" s="24"/>
    </row>
    <row r="1838" spans="2:12" x14ac:dyDescent="0.35">
      <c r="B1838" s="1">
        <v>37</v>
      </c>
      <c r="C1838" s="22">
        <v>45839</v>
      </c>
      <c r="D1838" s="22">
        <v>45869</v>
      </c>
      <c r="E1838" s="23">
        <f t="shared" si="296"/>
        <v>31</v>
      </c>
      <c r="F1838" s="3">
        <f t="shared" si="292"/>
        <v>76561987.941286504</v>
      </c>
      <c r="G1838" s="3">
        <f t="shared" si="294"/>
        <v>4409117.8581979377</v>
      </c>
      <c r="H1838" s="3">
        <f t="shared" si="295"/>
        <v>2120129.0494074593</v>
      </c>
      <c r="I1838" s="3">
        <f t="shared" si="297"/>
        <v>2288988.8087904784</v>
      </c>
      <c r="J1838" s="3">
        <f t="shared" si="298"/>
        <v>74272999.132496029</v>
      </c>
      <c r="K1838" s="24"/>
      <c r="L1838" s="24"/>
    </row>
    <row r="1839" spans="2:12" x14ac:dyDescent="0.35">
      <c r="B1839" s="1">
        <v>38</v>
      </c>
      <c r="C1839" s="22">
        <v>45870</v>
      </c>
      <c r="D1839" s="22">
        <v>45900</v>
      </c>
      <c r="E1839" s="23">
        <f t="shared" si="296"/>
        <v>31</v>
      </c>
      <c r="F1839" s="3">
        <f t="shared" ref="F1839:F1861" si="299">J1838</f>
        <v>74272999.132496029</v>
      </c>
      <c r="G1839" s="3">
        <f t="shared" si="294"/>
        <v>4409117.8581979377</v>
      </c>
      <c r="H1839" s="3">
        <f t="shared" si="295"/>
        <v>2056743.134310703</v>
      </c>
      <c r="I1839" s="3">
        <f t="shared" si="297"/>
        <v>2352374.7238872349</v>
      </c>
      <c r="J1839" s="3">
        <f t="shared" si="298"/>
        <v>71920624.408608794</v>
      </c>
      <c r="K1839" s="24"/>
      <c r="L1839" s="24"/>
    </row>
    <row r="1840" spans="2:12" x14ac:dyDescent="0.35">
      <c r="B1840" s="1">
        <v>39</v>
      </c>
      <c r="C1840" s="22">
        <v>45901</v>
      </c>
      <c r="D1840" s="22">
        <v>45930</v>
      </c>
      <c r="E1840" s="23">
        <f t="shared" si="296"/>
        <v>30</v>
      </c>
      <c r="F1840" s="3">
        <f t="shared" si="299"/>
        <v>71920624.408608794</v>
      </c>
      <c r="G1840" s="3">
        <f t="shared" si="294"/>
        <v>4409117.8581979377</v>
      </c>
      <c r="H1840" s="3">
        <f t="shared" si="295"/>
        <v>1991601.9575817257</v>
      </c>
      <c r="I1840" s="3">
        <f t="shared" si="297"/>
        <v>2417515.9006162118</v>
      </c>
      <c r="J1840" s="3">
        <f t="shared" si="298"/>
        <v>69503108.507992581</v>
      </c>
      <c r="K1840" s="24"/>
      <c r="L1840" s="24"/>
    </row>
    <row r="1841" spans="2:12" x14ac:dyDescent="0.35">
      <c r="B1841" s="1">
        <v>40</v>
      </c>
      <c r="C1841" s="22">
        <v>45931</v>
      </c>
      <c r="D1841" s="22">
        <v>45961</v>
      </c>
      <c r="E1841" s="23">
        <f t="shared" si="296"/>
        <v>31</v>
      </c>
      <c r="F1841" s="3">
        <f t="shared" si="299"/>
        <v>69503108.507992581</v>
      </c>
      <c r="G1841" s="3">
        <f t="shared" si="294"/>
        <v>4409117.8581979377</v>
      </c>
      <c r="H1841" s="3">
        <f t="shared" si="295"/>
        <v>1924656.913100495</v>
      </c>
      <c r="I1841" s="3">
        <f t="shared" si="297"/>
        <v>2484460.9450974427</v>
      </c>
      <c r="J1841" s="3">
        <f t="shared" si="298"/>
        <v>67018647.562895134</v>
      </c>
      <c r="K1841" s="24"/>
      <c r="L1841" s="24"/>
    </row>
    <row r="1842" spans="2:12" x14ac:dyDescent="0.35">
      <c r="B1842" s="1">
        <v>41</v>
      </c>
      <c r="C1842" s="22">
        <v>45962</v>
      </c>
      <c r="D1842" s="22">
        <v>45991</v>
      </c>
      <c r="E1842" s="23">
        <f t="shared" si="296"/>
        <v>30</v>
      </c>
      <c r="F1842" s="3">
        <f t="shared" si="299"/>
        <v>67018647.562895134</v>
      </c>
      <c r="G1842" s="3">
        <f t="shared" si="294"/>
        <v>4409117.8581979377</v>
      </c>
      <c r="H1842" s="3">
        <f t="shared" si="295"/>
        <v>1855858.0487625049</v>
      </c>
      <c r="I1842" s="3">
        <f t="shared" si="297"/>
        <v>2553259.8094354328</v>
      </c>
      <c r="J1842" s="3">
        <f t="shared" si="298"/>
        <v>64465387.753459699</v>
      </c>
      <c r="K1842" s="24"/>
      <c r="L1842" s="24"/>
    </row>
    <row r="1843" spans="2:12" x14ac:dyDescent="0.35">
      <c r="B1843" s="1">
        <v>42</v>
      </c>
      <c r="C1843" s="22">
        <v>45992</v>
      </c>
      <c r="D1843" s="22">
        <v>46022</v>
      </c>
      <c r="E1843" s="23">
        <f t="shared" si="296"/>
        <v>31</v>
      </c>
      <c r="F1843" s="3">
        <f t="shared" si="299"/>
        <v>64465387.753459699</v>
      </c>
      <c r="G1843" s="3">
        <f t="shared" si="294"/>
        <v>4409117.8581979377</v>
      </c>
      <c r="H1843" s="3">
        <f t="shared" si="295"/>
        <v>1785154.0292062219</v>
      </c>
      <c r="I1843" s="3">
        <f t="shared" si="297"/>
        <v>2623963.8289917158</v>
      </c>
      <c r="J1843" s="3">
        <f t="shared" si="298"/>
        <v>61841423.924467981</v>
      </c>
      <c r="K1843" s="24"/>
      <c r="L1843" s="24"/>
    </row>
    <row r="1844" spans="2:12" x14ac:dyDescent="0.35">
      <c r="B1844" s="1">
        <v>43</v>
      </c>
      <c r="C1844" s="22">
        <v>46023</v>
      </c>
      <c r="D1844" s="22">
        <v>46053</v>
      </c>
      <c r="E1844" s="23">
        <f t="shared" si="296"/>
        <v>31</v>
      </c>
      <c r="F1844" s="3">
        <f t="shared" si="299"/>
        <v>61841423.924467981</v>
      </c>
      <c r="G1844" s="3">
        <f t="shared" si="294"/>
        <v>4409117.8581979377</v>
      </c>
      <c r="H1844" s="3">
        <f t="shared" si="295"/>
        <v>1712492.097508393</v>
      </c>
      <c r="I1844" s="3">
        <f t="shared" si="297"/>
        <v>2696625.7606895445</v>
      </c>
      <c r="J1844" s="3">
        <f t="shared" si="298"/>
        <v>59144798.163778439</v>
      </c>
      <c r="K1844" s="24"/>
      <c r="L1844" s="24"/>
    </row>
    <row r="1845" spans="2:12" x14ac:dyDescent="0.35">
      <c r="B1845" s="1">
        <v>44</v>
      </c>
      <c r="C1845" s="22">
        <v>46054</v>
      </c>
      <c r="D1845" s="22">
        <v>46081</v>
      </c>
      <c r="E1845" s="23">
        <f t="shared" si="296"/>
        <v>28</v>
      </c>
      <c r="F1845" s="3">
        <f t="shared" si="299"/>
        <v>59144798.163778439</v>
      </c>
      <c r="G1845" s="3">
        <f t="shared" si="294"/>
        <v>4409117.8581979377</v>
      </c>
      <c r="H1845" s="3">
        <f t="shared" si="295"/>
        <v>1637818.0358186318</v>
      </c>
      <c r="I1845" s="3">
        <f t="shared" si="297"/>
        <v>2771299.822379306</v>
      </c>
      <c r="J1845" s="3">
        <f t="shared" si="298"/>
        <v>56373498.341399133</v>
      </c>
      <c r="K1845" s="24"/>
      <c r="L1845" s="24"/>
    </row>
    <row r="1846" spans="2:12" x14ac:dyDescent="0.35">
      <c r="B1846" s="1">
        <v>45</v>
      </c>
      <c r="C1846" s="22">
        <v>46082</v>
      </c>
      <c r="D1846" s="22">
        <v>46112</v>
      </c>
      <c r="E1846" s="23">
        <f t="shared" si="296"/>
        <v>31</v>
      </c>
      <c r="F1846" s="3">
        <f t="shared" si="299"/>
        <v>56373498.341399133</v>
      </c>
      <c r="G1846" s="3">
        <f t="shared" si="294"/>
        <v>4409117.8581979377</v>
      </c>
      <c r="H1846" s="3">
        <f t="shared" si="295"/>
        <v>1561076.1249039115</v>
      </c>
      <c r="I1846" s="3">
        <f t="shared" si="297"/>
        <v>2848041.733294026</v>
      </c>
      <c r="J1846" s="3">
        <f t="shared" si="298"/>
        <v>53525456.608105108</v>
      </c>
      <c r="K1846" s="24"/>
      <c r="L1846" s="24"/>
    </row>
    <row r="1847" spans="2:12" x14ac:dyDescent="0.35">
      <c r="B1847" s="1">
        <v>46</v>
      </c>
      <c r="C1847" s="22">
        <v>46113</v>
      </c>
      <c r="D1847" s="22">
        <v>46142</v>
      </c>
      <c r="E1847" s="23">
        <f t="shared" si="296"/>
        <v>30</v>
      </c>
      <c r="F1847" s="3">
        <f t="shared" si="299"/>
        <v>53525456.608105108</v>
      </c>
      <c r="G1847" s="3">
        <f t="shared" si="294"/>
        <v>4409117.8581979377</v>
      </c>
      <c r="H1847" s="3">
        <f t="shared" si="295"/>
        <v>1482209.1025727775</v>
      </c>
      <c r="I1847" s="3">
        <f t="shared" si="297"/>
        <v>2926908.7556251604</v>
      </c>
      <c r="J1847" s="3">
        <f t="shared" si="298"/>
        <v>50598547.85247995</v>
      </c>
      <c r="K1847" s="24"/>
      <c r="L1847" s="24"/>
    </row>
    <row r="1848" spans="2:12" x14ac:dyDescent="0.35">
      <c r="B1848" s="1">
        <v>47</v>
      </c>
      <c r="C1848" s="22">
        <v>46143</v>
      </c>
      <c r="D1848" s="22">
        <v>46173</v>
      </c>
      <c r="E1848" s="23">
        <f t="shared" si="296"/>
        <v>31</v>
      </c>
      <c r="F1848" s="3">
        <f t="shared" si="299"/>
        <v>50598547.85247995</v>
      </c>
      <c r="G1848" s="3">
        <f t="shared" si="294"/>
        <v>4409117.8581979377</v>
      </c>
      <c r="H1848" s="3">
        <f t="shared" si="295"/>
        <v>1401158.1209482576</v>
      </c>
      <c r="I1848" s="3">
        <f t="shared" si="297"/>
        <v>3007959.7372496799</v>
      </c>
      <c r="J1848" s="3">
        <f t="shared" si="298"/>
        <v>47590588.11523027</v>
      </c>
      <c r="K1848" s="24"/>
      <c r="L1848" s="24"/>
    </row>
    <row r="1849" spans="2:12" x14ac:dyDescent="0.35">
      <c r="B1849" s="1">
        <v>48</v>
      </c>
      <c r="C1849" s="22">
        <v>46174</v>
      </c>
      <c r="D1849" s="22">
        <v>46203</v>
      </c>
      <c r="E1849" s="23">
        <f t="shared" si="296"/>
        <v>30</v>
      </c>
      <c r="F1849" s="3">
        <f t="shared" si="299"/>
        <v>47590588.11523027</v>
      </c>
      <c r="G1849" s="3">
        <f t="shared" si="294"/>
        <v>4409117.8581979377</v>
      </c>
      <c r="H1849" s="3">
        <f t="shared" si="295"/>
        <v>1317862.7025575852</v>
      </c>
      <c r="I1849" s="3">
        <f t="shared" si="297"/>
        <v>3091255.1556403525</v>
      </c>
      <c r="J1849" s="3">
        <f t="shared" si="298"/>
        <v>44499332.959589913</v>
      </c>
      <c r="K1849" s="24"/>
      <c r="L1849" s="24"/>
    </row>
    <row r="1850" spans="2:12" x14ac:dyDescent="0.35">
      <c r="B1850" s="1">
        <v>49</v>
      </c>
      <c r="C1850" s="22">
        <v>46204</v>
      </c>
      <c r="D1850" s="22">
        <v>46234</v>
      </c>
      <c r="E1850" s="23">
        <f t="shared" si="296"/>
        <v>31</v>
      </c>
      <c r="F1850" s="3">
        <f t="shared" si="299"/>
        <v>44499332.959589913</v>
      </c>
      <c r="G1850" s="3">
        <f t="shared" si="294"/>
        <v>4409117.8581979377</v>
      </c>
      <c r="H1850" s="3">
        <f t="shared" si="295"/>
        <v>1232260.6952059777</v>
      </c>
      <c r="I1850" s="3">
        <f t="shared" si="297"/>
        <v>3176857.1629919601</v>
      </c>
      <c r="J1850" s="3">
        <f t="shared" si="298"/>
        <v>41322475.79659795</v>
      </c>
      <c r="K1850" s="24"/>
      <c r="L1850" s="24"/>
    </row>
    <row r="1851" spans="2:12" x14ac:dyDescent="0.35">
      <c r="B1851" s="1">
        <v>50</v>
      </c>
      <c r="C1851" s="22">
        <v>46235</v>
      </c>
      <c r="D1851" s="22">
        <v>46265</v>
      </c>
      <c r="E1851" s="23">
        <f t="shared" si="296"/>
        <v>31</v>
      </c>
      <c r="F1851" s="3">
        <f t="shared" si="299"/>
        <v>41322475.79659795</v>
      </c>
      <c r="G1851" s="3">
        <f t="shared" si="294"/>
        <v>4409117.8581979377</v>
      </c>
      <c r="H1851" s="3">
        <f t="shared" si="295"/>
        <v>1144288.2256007919</v>
      </c>
      <c r="I1851" s="3">
        <f t="shared" si="297"/>
        <v>3264829.6325971456</v>
      </c>
      <c r="J1851" s="3">
        <f t="shared" si="298"/>
        <v>38057646.164000802</v>
      </c>
      <c r="K1851" s="24"/>
      <c r="L1851" s="24"/>
    </row>
    <row r="1852" spans="2:12" x14ac:dyDescent="0.35">
      <c r="B1852" s="1">
        <v>51</v>
      </c>
      <c r="C1852" s="22">
        <v>46266</v>
      </c>
      <c r="D1852" s="22">
        <v>46295</v>
      </c>
      <c r="E1852" s="23">
        <f t="shared" si="296"/>
        <v>30</v>
      </c>
      <c r="F1852" s="3">
        <f t="shared" si="299"/>
        <v>38057646.164000802</v>
      </c>
      <c r="G1852" s="3">
        <f t="shared" si="294"/>
        <v>4409117.8581979377</v>
      </c>
      <c r="H1852" s="3">
        <f t="shared" si="295"/>
        <v>1053879.6516914559</v>
      </c>
      <c r="I1852" s="3">
        <f t="shared" si="297"/>
        <v>3355238.2065064819</v>
      </c>
      <c r="J1852" s="3">
        <f t="shared" si="298"/>
        <v>34702407.957494318</v>
      </c>
      <c r="K1852" s="24"/>
      <c r="L1852" s="24"/>
    </row>
    <row r="1853" spans="2:12" x14ac:dyDescent="0.35">
      <c r="B1853" s="1">
        <v>52</v>
      </c>
      <c r="C1853" s="22">
        <v>46296</v>
      </c>
      <c r="D1853" s="22">
        <v>46326</v>
      </c>
      <c r="E1853" s="23">
        <f t="shared" si="296"/>
        <v>31</v>
      </c>
      <c r="F1853" s="3">
        <f t="shared" si="299"/>
        <v>34702407.957494318</v>
      </c>
      <c r="G1853" s="3">
        <f t="shared" si="294"/>
        <v>4409117.8581979377</v>
      </c>
      <c r="H1853" s="3">
        <f t="shared" si="295"/>
        <v>960967.51368961378</v>
      </c>
      <c r="I1853" s="3">
        <f t="shared" si="297"/>
        <v>3448150.3445083238</v>
      </c>
      <c r="J1853" s="3">
        <f t="shared" si="298"/>
        <v>31254257.612985995</v>
      </c>
      <c r="K1853" s="24"/>
      <c r="L1853" s="24"/>
    </row>
    <row r="1854" spans="2:12" x14ac:dyDescent="0.35">
      <c r="B1854" s="1">
        <v>53</v>
      </c>
      <c r="C1854" s="22">
        <v>46327</v>
      </c>
      <c r="D1854" s="22">
        <v>46356</v>
      </c>
      <c r="E1854" s="23">
        <f t="shared" si="296"/>
        <v>30</v>
      </c>
      <c r="F1854" s="3">
        <f t="shared" si="299"/>
        <v>31254257.612985995</v>
      </c>
      <c r="G1854" s="3">
        <f t="shared" si="294"/>
        <v>4409117.8581979377</v>
      </c>
      <c r="H1854" s="3">
        <f t="shared" si="295"/>
        <v>865482.48373293737</v>
      </c>
      <c r="I1854" s="3">
        <f t="shared" si="297"/>
        <v>3543635.3744650004</v>
      </c>
      <c r="J1854" s="3">
        <f t="shared" si="298"/>
        <v>27710622.238520995</v>
      </c>
      <c r="K1854" s="24"/>
      <c r="L1854" s="24"/>
    </row>
    <row r="1855" spans="2:12" x14ac:dyDescent="0.35">
      <c r="B1855" s="1">
        <v>54</v>
      </c>
      <c r="C1855" s="22">
        <v>46357</v>
      </c>
      <c r="D1855" s="22">
        <v>46387</v>
      </c>
      <c r="E1855" s="23">
        <f t="shared" si="296"/>
        <v>31</v>
      </c>
      <c r="F1855" s="3">
        <f t="shared" si="299"/>
        <v>27710622.238520995</v>
      </c>
      <c r="G1855" s="3">
        <f t="shared" si="294"/>
        <v>4409117.8581979377</v>
      </c>
      <c r="H1855" s="3">
        <f t="shared" si="295"/>
        <v>767353.31415504403</v>
      </c>
      <c r="I1855" s="3">
        <f t="shared" si="297"/>
        <v>3641764.5440428937</v>
      </c>
      <c r="J1855" s="3">
        <f t="shared" si="298"/>
        <v>24068857.694478102</v>
      </c>
      <c r="K1855" s="24"/>
      <c r="L1855" s="24"/>
    </row>
    <row r="1856" spans="2:12" x14ac:dyDescent="0.35">
      <c r="B1856" s="1">
        <v>55</v>
      </c>
      <c r="C1856" s="22">
        <v>46388</v>
      </c>
      <c r="D1856" s="22">
        <v>46418</v>
      </c>
      <c r="E1856" s="23">
        <f t="shared" si="296"/>
        <v>31</v>
      </c>
      <c r="F1856" s="3">
        <f t="shared" si="299"/>
        <v>24068857.694478102</v>
      </c>
      <c r="G1856" s="3">
        <f t="shared" si="294"/>
        <v>4409117.8581979377</v>
      </c>
      <c r="H1856" s="3">
        <f t="shared" si="295"/>
        <v>666506.78432292293</v>
      </c>
      <c r="I1856" s="3">
        <f t="shared" si="297"/>
        <v>3742611.0738750147</v>
      </c>
      <c r="J1856" s="3">
        <f t="shared" si="298"/>
        <v>20326246.620603088</v>
      </c>
      <c r="K1856" s="24"/>
      <c r="L1856" s="24"/>
    </row>
    <row r="1857" spans="2:19" x14ac:dyDescent="0.35">
      <c r="B1857" s="1">
        <v>56</v>
      </c>
      <c r="C1857" s="22">
        <v>46419</v>
      </c>
      <c r="D1857" s="22">
        <v>46446</v>
      </c>
      <c r="E1857" s="23">
        <f t="shared" si="296"/>
        <v>28</v>
      </c>
      <c r="F1857" s="3">
        <f t="shared" si="299"/>
        <v>20326246.620603088</v>
      </c>
      <c r="G1857" s="3">
        <f t="shared" si="294"/>
        <v>4409117.8581979377</v>
      </c>
      <c r="H1857" s="3">
        <f t="shared" si="295"/>
        <v>562867.64600220066</v>
      </c>
      <c r="I1857" s="3">
        <f t="shared" si="297"/>
        <v>3846250.2121957373</v>
      </c>
      <c r="J1857" s="3">
        <f t="shared" si="298"/>
        <v>16479996.408407351</v>
      </c>
      <c r="K1857" s="24"/>
      <c r="L1857" s="24"/>
    </row>
    <row r="1858" spans="2:19" x14ac:dyDescent="0.35">
      <c r="B1858" s="1">
        <v>57</v>
      </c>
      <c r="C1858" s="22">
        <v>46447</v>
      </c>
      <c r="D1858" s="22">
        <v>46477</v>
      </c>
      <c r="E1858" s="23">
        <f t="shared" si="296"/>
        <v>31</v>
      </c>
      <c r="F1858" s="3">
        <f t="shared" si="299"/>
        <v>16479996.408407351</v>
      </c>
      <c r="G1858" s="3">
        <f t="shared" si="294"/>
        <v>4409117.8581979377</v>
      </c>
      <c r="H1858" s="3">
        <f t="shared" si="295"/>
        <v>456358.56720948033</v>
      </c>
      <c r="I1858" s="3">
        <f t="shared" si="297"/>
        <v>3952759.2909884574</v>
      </c>
      <c r="J1858" s="3">
        <f t="shared" si="298"/>
        <v>12527237.117418893</v>
      </c>
      <c r="K1858" s="24"/>
      <c r="L1858" s="24"/>
    </row>
    <row r="1859" spans="2:19" x14ac:dyDescent="0.35">
      <c r="B1859" s="1">
        <v>58</v>
      </c>
      <c r="C1859" s="22">
        <v>46478</v>
      </c>
      <c r="D1859" s="22">
        <v>46507</v>
      </c>
      <c r="E1859" s="23">
        <f t="shared" si="296"/>
        <v>30</v>
      </c>
      <c r="F1859" s="3">
        <f t="shared" si="299"/>
        <v>12527237.117418893</v>
      </c>
      <c r="G1859" s="3">
        <f t="shared" si="294"/>
        <v>4409117.8581979377</v>
      </c>
      <c r="H1859" s="3">
        <f t="shared" si="295"/>
        <v>346900.07450985827</v>
      </c>
      <c r="I1859" s="3">
        <f t="shared" si="297"/>
        <v>4062217.7836880796</v>
      </c>
      <c r="J1859" s="3">
        <f t="shared" si="298"/>
        <v>8465019.3337308131</v>
      </c>
      <c r="K1859" s="24"/>
      <c r="L1859" s="24"/>
    </row>
    <row r="1860" spans="2:19" x14ac:dyDescent="0.35">
      <c r="B1860" s="1">
        <v>59</v>
      </c>
      <c r="C1860" s="22">
        <v>46508</v>
      </c>
      <c r="D1860" s="22">
        <v>46538</v>
      </c>
      <c r="E1860" s="23">
        <f t="shared" si="296"/>
        <v>31</v>
      </c>
      <c r="F1860" s="3">
        <f t="shared" si="299"/>
        <v>8465019.3337308131</v>
      </c>
      <c r="G1860" s="3">
        <f t="shared" si="294"/>
        <v>4409117.8581979377</v>
      </c>
      <c r="H1860" s="3">
        <f t="shared" si="295"/>
        <v>234410.49371656249</v>
      </c>
      <c r="I1860" s="3">
        <f t="shared" si="297"/>
        <v>4174707.3644813751</v>
      </c>
      <c r="J1860" s="3">
        <f t="shared" si="298"/>
        <v>4290311.9692494385</v>
      </c>
      <c r="K1860" s="24"/>
      <c r="L1860" s="24"/>
    </row>
    <row r="1861" spans="2:19" x14ac:dyDescent="0.35">
      <c r="B1861" s="1">
        <v>60</v>
      </c>
      <c r="C1861" s="22">
        <v>46539</v>
      </c>
      <c r="D1861" s="22">
        <v>46568</v>
      </c>
      <c r="E1861" s="23">
        <f t="shared" si="296"/>
        <v>30</v>
      </c>
      <c r="F1861" s="3">
        <f t="shared" si="299"/>
        <v>4290311.9692494385</v>
      </c>
      <c r="G1861" s="3">
        <f t="shared" si="294"/>
        <v>4409117.8581979377</v>
      </c>
      <c r="H1861" s="3">
        <f t="shared" si="295"/>
        <v>118805.88894846573</v>
      </c>
      <c r="I1861" s="3">
        <f t="shared" si="297"/>
        <v>4290311.969249472</v>
      </c>
      <c r="J1861" s="3">
        <f t="shared" si="298"/>
        <v>-3.3527612686157227E-8</v>
      </c>
      <c r="K1861" s="24"/>
      <c r="L1861" s="24"/>
    </row>
    <row r="1862" spans="2:19" x14ac:dyDescent="0.35">
      <c r="B1862" s="1"/>
      <c r="C1862" s="22"/>
      <c r="D1862" s="22"/>
      <c r="E1862" s="23"/>
      <c r="F1862" s="3"/>
      <c r="G1862" s="3"/>
      <c r="H1862" s="3"/>
      <c r="I1862" s="3"/>
      <c r="J1862" s="3"/>
      <c r="K1862" s="24"/>
      <c r="L1862" s="24"/>
    </row>
    <row r="1863" spans="2:19" x14ac:dyDescent="0.35">
      <c r="B1863" s="1"/>
      <c r="C1863" s="22"/>
      <c r="D1863" s="22"/>
      <c r="E1863" s="23"/>
      <c r="F1863" s="3"/>
      <c r="G1863" s="3"/>
      <c r="H1863" s="3"/>
      <c r="I1863" s="3"/>
      <c r="J1863" s="3"/>
      <c r="K1863" s="24"/>
      <c r="L1863" s="24"/>
    </row>
    <row r="1864" spans="2:19" ht="14.25" customHeight="1" x14ac:dyDescent="0.35">
      <c r="B1864" s="1"/>
      <c r="C1864" s="1"/>
      <c r="D1864" s="1"/>
      <c r="E1864" s="28">
        <f>SUM(E1801:E1824)</f>
        <v>703</v>
      </c>
      <c r="F1864" s="3"/>
      <c r="G1864" s="3"/>
      <c r="H1864" s="3"/>
      <c r="I1864" s="3"/>
      <c r="J1864" s="3"/>
      <c r="K1864" s="1"/>
      <c r="L1864" s="1"/>
    </row>
    <row r="1868" spans="2:19" x14ac:dyDescent="0.35">
      <c r="B1868" s="1"/>
      <c r="C1868" s="8" t="s">
        <v>599</v>
      </c>
      <c r="D1868" s="3"/>
      <c r="E1868" s="3"/>
      <c r="F1868" s="3"/>
      <c r="G1868" s="3"/>
      <c r="H1868" s="3"/>
      <c r="I1868" s="3"/>
      <c r="J1868" s="3"/>
      <c r="K1868" s="3"/>
      <c r="L1868" s="3"/>
      <c r="R1868" s="438" t="s">
        <v>832</v>
      </c>
      <c r="S1868" s="432" t="str">
        <f>IFERROR(INDEX(Blocks!$I$2:$I$101,MATCH(32,Blocks!$A$2:$A$101,0)),"")</f>
        <v>000104450000034</v>
      </c>
    </row>
    <row r="1869" spans="2:19" x14ac:dyDescent="0.35">
      <c r="B1869" s="1"/>
      <c r="C1869" s="1"/>
      <c r="D1869" s="3"/>
      <c r="E1869" s="3"/>
      <c r="F1869" s="3"/>
      <c r="G1869" s="3"/>
      <c r="H1869" s="3"/>
      <c r="I1869" s="3"/>
      <c r="J1869" s="3"/>
      <c r="K1869" s="3"/>
      <c r="L1869" s="3"/>
      <c r="R1869" s="438" t="s">
        <v>834</v>
      </c>
      <c r="S1869" s="432" t="str">
        <f>IFERROR(INDEX(Blocks!$H$2:$H$101,MATCH(32,Blocks!$A$2:$A$101,0)),"")</f>
        <v>MMM Investments</v>
      </c>
    </row>
    <row r="1870" spans="2:19" x14ac:dyDescent="0.35">
      <c r="B1870" s="1"/>
      <c r="C1870" s="9" t="s">
        <v>835</v>
      </c>
      <c r="D1870" s="10">
        <v>10000000</v>
      </c>
      <c r="E1870" s="3"/>
      <c r="F1870" s="3"/>
      <c r="G1870" s="3"/>
      <c r="H1870" s="3"/>
      <c r="I1870" s="3"/>
      <c r="J1870" s="3"/>
      <c r="K1870" s="3"/>
      <c r="L1870" s="3"/>
      <c r="R1870" s="438" t="s">
        <v>223</v>
      </c>
      <c r="S1870" s="433">
        <f>IFERROR(INDEX('E-Banker master'!$N$2:$N$186,MATCH(S1868,'E-Banker master'!$A$2:$A$186,0)),"")</f>
        <v>10000000</v>
      </c>
    </row>
    <row r="1871" spans="2:19" x14ac:dyDescent="0.35">
      <c r="B1871" s="1"/>
      <c r="C1871" s="11" t="s">
        <v>837</v>
      </c>
      <c r="D1871" s="12">
        <v>0.1</v>
      </c>
      <c r="E1871" s="13"/>
      <c r="F1871" s="3"/>
      <c r="G1871" s="3"/>
      <c r="H1871" s="3"/>
      <c r="I1871" s="3"/>
      <c r="J1871" s="3"/>
      <c r="K1871" s="3"/>
      <c r="L1871" s="3"/>
      <c r="R1871" s="438" t="s">
        <v>52</v>
      </c>
      <c r="S1871" s="433">
        <f>IFERROR(INDEX('E-Banker master'!$P$2:$P$186,MATCH(S1868,'E-Banker master'!$A$2:$A$186,0)),"")</f>
        <v>268800.7</v>
      </c>
    </row>
    <row r="1872" spans="2:19" x14ac:dyDescent="0.35">
      <c r="B1872" s="1"/>
      <c r="C1872" s="11" t="s">
        <v>838</v>
      </c>
      <c r="D1872" s="14">
        <v>1</v>
      </c>
      <c r="E1872" s="1"/>
      <c r="F1872" s="3"/>
      <c r="G1872" s="3"/>
      <c r="H1872" s="3"/>
      <c r="I1872" s="3"/>
      <c r="J1872" s="3"/>
      <c r="K1872" s="1"/>
      <c r="L1872" s="1"/>
    </row>
    <row r="1873" spans="2:12" x14ac:dyDescent="0.35">
      <c r="B1873" s="1"/>
      <c r="C1873" s="11" t="s">
        <v>839</v>
      </c>
      <c r="D1873" s="14">
        <v>12</v>
      </c>
      <c r="E1873" s="1"/>
      <c r="F1873" s="3"/>
      <c r="G1873" s="3"/>
      <c r="H1873" s="3"/>
      <c r="I1873" s="3"/>
      <c r="J1873" s="3"/>
      <c r="K1873" s="1"/>
      <c r="L1873" s="1"/>
    </row>
    <row r="1874" spans="2:12" x14ac:dyDescent="0.35">
      <c r="B1874" s="1"/>
      <c r="C1874" s="11" t="s">
        <v>843</v>
      </c>
      <c r="D1874" s="15">
        <f>D1872*D1873</f>
        <v>12</v>
      </c>
      <c r="E1874" s="1"/>
      <c r="F1874" s="3"/>
      <c r="G1874" s="3"/>
      <c r="H1874" s="3"/>
      <c r="I1874" s="3"/>
      <c r="J1874" s="3"/>
      <c r="K1874" s="1"/>
      <c r="L1874" s="1"/>
    </row>
    <row r="1875" spans="2:12" x14ac:dyDescent="0.35">
      <c r="B1875" s="1"/>
      <c r="C1875" s="11" t="s">
        <v>844</v>
      </c>
      <c r="D1875" s="16">
        <v>365</v>
      </c>
      <c r="E1875" s="1"/>
      <c r="F1875" s="3"/>
      <c r="G1875" s="3"/>
      <c r="H1875" s="3"/>
      <c r="I1875" s="3"/>
      <c r="J1875" s="3"/>
      <c r="K1875" s="1"/>
      <c r="L1875" s="1"/>
    </row>
    <row r="1876" spans="2:12" x14ac:dyDescent="0.35">
      <c r="B1876" s="1"/>
      <c r="C1876" s="17" t="s">
        <v>845</v>
      </c>
      <c r="D1876" s="18">
        <f>-PMT(D1871/D1873,D1874,D1870,0,0)</f>
        <v>879158.87230009597</v>
      </c>
      <c r="E1876" s="3"/>
      <c r="F1876" s="3"/>
      <c r="G1876" s="3"/>
      <c r="H1876" s="3"/>
      <c r="I1876" s="3"/>
      <c r="J1876" s="3"/>
      <c r="K1876" s="1"/>
      <c r="L1876" s="1"/>
    </row>
    <row r="1877" spans="2:12" x14ac:dyDescent="0.35">
      <c r="B1877" s="1"/>
      <c r="C1877" s="1"/>
      <c r="D1877" s="3"/>
      <c r="E1877" s="3"/>
      <c r="F1877" s="3"/>
      <c r="G1877" s="3"/>
      <c r="H1877" s="3"/>
      <c r="I1877" s="3"/>
      <c r="J1877" s="3"/>
      <c r="K1877" s="1"/>
      <c r="L1877" s="1"/>
    </row>
    <row r="1878" spans="2:12" x14ac:dyDescent="0.35">
      <c r="B1878" s="1"/>
      <c r="C1878" s="19" t="s">
        <v>846</v>
      </c>
      <c r="D1878" s="20" t="s">
        <v>847</v>
      </c>
      <c r="E1878" s="20" t="s">
        <v>764</v>
      </c>
      <c r="F1878" s="270" t="s">
        <v>848</v>
      </c>
      <c r="G1878" s="270" t="s">
        <v>849</v>
      </c>
      <c r="H1878" s="270" t="s">
        <v>742</v>
      </c>
      <c r="I1878" s="270" t="s">
        <v>740</v>
      </c>
      <c r="J1878" s="270" t="s">
        <v>850</v>
      </c>
      <c r="K1878" s="21" t="s">
        <v>851</v>
      </c>
      <c r="L1878" s="21" t="s">
        <v>852</v>
      </c>
    </row>
    <row r="1879" spans="2:12" x14ac:dyDescent="0.35">
      <c r="B1879" s="1">
        <v>0</v>
      </c>
      <c r="C1879" s="22">
        <v>44749</v>
      </c>
      <c r="D1879" s="22">
        <v>44773</v>
      </c>
      <c r="E1879" s="23">
        <f t="shared" ref="E1879:E1902" si="300">D1879-C1879+1</f>
        <v>25</v>
      </c>
      <c r="F1879" s="3">
        <f>D1870</f>
        <v>10000000</v>
      </c>
      <c r="G1879" s="3">
        <v>69444.44</v>
      </c>
      <c r="H1879" s="3">
        <f>$D$1871/$D$1873*F1879*E1879/30</f>
        <v>69444.444444444438</v>
      </c>
      <c r="I1879" s="3">
        <f t="shared" ref="I1879:I1902" si="301">G1879-H1879</f>
        <v>-4.4444444356486201E-3</v>
      </c>
      <c r="J1879" s="3">
        <f t="shared" ref="J1879:J1902" si="302">F1879-I1879</f>
        <v>10000000.004444445</v>
      </c>
      <c r="K1879" s="24"/>
      <c r="L1879" s="24"/>
    </row>
    <row r="1880" spans="2:12" x14ac:dyDescent="0.35">
      <c r="B1880" s="1">
        <v>1</v>
      </c>
      <c r="C1880" s="22">
        <v>44774</v>
      </c>
      <c r="D1880" s="22">
        <v>44804</v>
      </c>
      <c r="E1880" s="23">
        <f t="shared" si="300"/>
        <v>31</v>
      </c>
      <c r="F1880" s="3">
        <f t="shared" ref="F1880:F1902" si="303">J1879</f>
        <v>10000000.004444445</v>
      </c>
      <c r="G1880" s="3">
        <f t="shared" ref="G1880:G1887" si="304">-PMT($D$1871/$D$1873,12,$F$1880,,0)</f>
        <v>879158.87269083317</v>
      </c>
      <c r="H1880" s="3">
        <f t="shared" ref="H1880:H1902" si="305">$D$1871/$D$1873*F1880</f>
        <v>83333.333370370368</v>
      </c>
      <c r="I1880" s="3">
        <f t="shared" si="301"/>
        <v>795825.53932046285</v>
      </c>
      <c r="J1880" s="3">
        <f t="shared" si="302"/>
        <v>9204174.4651239812</v>
      </c>
      <c r="K1880" s="24"/>
      <c r="L1880" s="24"/>
    </row>
    <row r="1881" spans="2:12" x14ac:dyDescent="0.35">
      <c r="B1881" s="1">
        <v>2</v>
      </c>
      <c r="C1881" s="22">
        <v>44805</v>
      </c>
      <c r="D1881" s="22">
        <v>44834</v>
      </c>
      <c r="E1881" s="23">
        <f t="shared" si="300"/>
        <v>30</v>
      </c>
      <c r="F1881" s="3">
        <f t="shared" si="303"/>
        <v>9204174.4651239812</v>
      </c>
      <c r="G1881" s="3">
        <f t="shared" si="304"/>
        <v>879158.87269083317</v>
      </c>
      <c r="H1881" s="3">
        <f t="shared" si="305"/>
        <v>76701.453876033178</v>
      </c>
      <c r="I1881" s="3">
        <f t="shared" si="301"/>
        <v>802457.41881479998</v>
      </c>
      <c r="J1881" s="3">
        <f t="shared" si="302"/>
        <v>8401717.0463091806</v>
      </c>
    </row>
    <row r="1882" spans="2:12" x14ac:dyDescent="0.35">
      <c r="B1882" s="1">
        <v>3</v>
      </c>
      <c r="C1882" s="22">
        <v>44835</v>
      </c>
      <c r="D1882" s="22">
        <v>44865</v>
      </c>
      <c r="E1882" s="23">
        <f t="shared" si="300"/>
        <v>31</v>
      </c>
      <c r="F1882" s="3">
        <f t="shared" si="303"/>
        <v>8401717.0463091806</v>
      </c>
      <c r="G1882" s="3">
        <f t="shared" si="304"/>
        <v>879158.87269083317</v>
      </c>
      <c r="H1882" s="3">
        <f t="shared" si="305"/>
        <v>70014.30871924317</v>
      </c>
      <c r="I1882" s="3">
        <f t="shared" si="301"/>
        <v>809144.56397159002</v>
      </c>
      <c r="J1882" s="3">
        <f t="shared" si="302"/>
        <v>7592572.4823375903</v>
      </c>
      <c r="K1882" s="24"/>
      <c r="L1882" s="24"/>
    </row>
    <row r="1883" spans="2:12" x14ac:dyDescent="0.35">
      <c r="B1883" s="1">
        <v>4</v>
      </c>
      <c r="C1883" s="22">
        <v>44866</v>
      </c>
      <c r="D1883" s="22">
        <v>44895</v>
      </c>
      <c r="E1883" s="23">
        <f t="shared" si="300"/>
        <v>30</v>
      </c>
      <c r="F1883" s="3">
        <f t="shared" si="303"/>
        <v>7592572.4823375903</v>
      </c>
      <c r="G1883" s="3">
        <f t="shared" si="304"/>
        <v>879158.87269083317</v>
      </c>
      <c r="H1883" s="3">
        <f t="shared" si="305"/>
        <v>63271.437352813249</v>
      </c>
      <c r="I1883" s="3">
        <f t="shared" si="301"/>
        <v>815887.43533801998</v>
      </c>
      <c r="J1883" s="3">
        <f t="shared" si="302"/>
        <v>6776685.04699957</v>
      </c>
      <c r="K1883" s="24"/>
      <c r="L1883" s="24"/>
    </row>
    <row r="1884" spans="2:12" x14ac:dyDescent="0.35">
      <c r="B1884" s="1">
        <v>5</v>
      </c>
      <c r="C1884" s="22">
        <v>44896</v>
      </c>
      <c r="D1884" s="22">
        <v>44926</v>
      </c>
      <c r="E1884" s="23">
        <f t="shared" si="300"/>
        <v>31</v>
      </c>
      <c r="F1884" s="3">
        <f t="shared" si="303"/>
        <v>6776685.04699957</v>
      </c>
      <c r="G1884" s="3">
        <f t="shared" si="304"/>
        <v>879158.87269083317</v>
      </c>
      <c r="H1884" s="3">
        <f t="shared" si="305"/>
        <v>56472.375391663081</v>
      </c>
      <c r="I1884" s="3">
        <f t="shared" si="301"/>
        <v>822686.49729917012</v>
      </c>
      <c r="J1884" s="271">
        <f t="shared" si="302"/>
        <v>5953998.5497003999</v>
      </c>
      <c r="K1884" s="24"/>
      <c r="L1884" s="24">
        <f>SUM(G1879:G1884)</f>
        <v>4465238.8034541663</v>
      </c>
    </row>
    <row r="1885" spans="2:12" x14ac:dyDescent="0.35">
      <c r="B1885" s="1">
        <v>6</v>
      </c>
      <c r="C1885" s="22">
        <v>44927</v>
      </c>
      <c r="D1885" s="22">
        <v>44957</v>
      </c>
      <c r="E1885" s="23">
        <f t="shared" si="300"/>
        <v>31</v>
      </c>
      <c r="F1885" s="3">
        <f t="shared" si="303"/>
        <v>5953998.5497003999</v>
      </c>
      <c r="G1885" s="3">
        <f t="shared" si="304"/>
        <v>879158.87269083317</v>
      </c>
      <c r="H1885" s="3">
        <f t="shared" si="305"/>
        <v>49616.654580836665</v>
      </c>
      <c r="I1885" s="3">
        <f t="shared" si="301"/>
        <v>829542.21810999652</v>
      </c>
      <c r="J1885" s="3">
        <f t="shared" si="302"/>
        <v>5124456.3315904029</v>
      </c>
      <c r="K1885" s="24">
        <v>419237.35</v>
      </c>
      <c r="L1885" s="24">
        <f>L1884-K1885</f>
        <v>4046001.4534541662</v>
      </c>
    </row>
    <row r="1886" spans="2:12" x14ac:dyDescent="0.35">
      <c r="B1886" s="1">
        <v>7</v>
      </c>
      <c r="C1886" s="22">
        <v>44958</v>
      </c>
      <c r="D1886" s="22">
        <v>44985</v>
      </c>
      <c r="E1886" s="23">
        <f t="shared" si="300"/>
        <v>28</v>
      </c>
      <c r="F1886" s="3">
        <f t="shared" si="303"/>
        <v>5124456.3315904029</v>
      </c>
      <c r="G1886" s="3">
        <f t="shared" si="304"/>
        <v>879158.87269083317</v>
      </c>
      <c r="H1886" s="3">
        <f t="shared" si="305"/>
        <v>42703.802763253356</v>
      </c>
      <c r="I1886" s="3">
        <f t="shared" si="301"/>
        <v>836455.06992757984</v>
      </c>
      <c r="J1886" s="3">
        <f t="shared" si="302"/>
        <v>4288001.2616628231</v>
      </c>
      <c r="K1886" s="24"/>
      <c r="L1886" s="24">
        <f>L1885-K1886</f>
        <v>4046001.4534541662</v>
      </c>
    </row>
    <row r="1887" spans="2:12" x14ac:dyDescent="0.35">
      <c r="B1887" s="1">
        <v>8</v>
      </c>
      <c r="C1887" s="22">
        <v>44986</v>
      </c>
      <c r="D1887" s="22">
        <v>45016</v>
      </c>
      <c r="E1887" s="23">
        <f t="shared" si="300"/>
        <v>31</v>
      </c>
      <c r="F1887" s="3">
        <f t="shared" si="303"/>
        <v>4288001.2616628231</v>
      </c>
      <c r="G1887" s="3">
        <f t="shared" si="304"/>
        <v>879158.87269083317</v>
      </c>
      <c r="H1887" s="3">
        <f t="shared" si="305"/>
        <v>35733.34384719019</v>
      </c>
      <c r="I1887" s="3">
        <f t="shared" si="301"/>
        <v>843425.52884364303</v>
      </c>
      <c r="J1887" s="3">
        <f t="shared" si="302"/>
        <v>3444575.73281918</v>
      </c>
      <c r="K1887" s="24"/>
      <c r="L1887" s="24">
        <f>L1886-K1887</f>
        <v>4046001.4534541662</v>
      </c>
    </row>
    <row r="1888" spans="2:12" x14ac:dyDescent="0.35">
      <c r="B1888" s="1">
        <v>9</v>
      </c>
      <c r="C1888" s="22">
        <v>45017</v>
      </c>
      <c r="D1888" s="22">
        <v>45046</v>
      </c>
      <c r="E1888" s="23">
        <f t="shared" si="300"/>
        <v>30</v>
      </c>
      <c r="F1888" s="3">
        <f t="shared" si="303"/>
        <v>3444575.73281918</v>
      </c>
      <c r="G1888" s="3">
        <f t="shared" ref="G1888:G1902" si="306">-PMT($D$1871/$D$1873,15,$F$1888,,0)</f>
        <v>245243.97669572485</v>
      </c>
      <c r="H1888" s="3">
        <f t="shared" si="305"/>
        <v>28704.797773493166</v>
      </c>
      <c r="I1888" s="3">
        <f t="shared" si="301"/>
        <v>216539.17892223169</v>
      </c>
      <c r="J1888" s="3">
        <f t="shared" si="302"/>
        <v>3228036.5538969482</v>
      </c>
      <c r="K1888" s="24"/>
      <c r="L1888" s="26"/>
    </row>
    <row r="1889" spans="2:12" x14ac:dyDescent="0.35">
      <c r="B1889" s="1">
        <v>10</v>
      </c>
      <c r="C1889" s="22">
        <v>45047</v>
      </c>
      <c r="D1889" s="22">
        <v>45077</v>
      </c>
      <c r="E1889" s="23">
        <f t="shared" si="300"/>
        <v>31</v>
      </c>
      <c r="F1889" s="3">
        <f t="shared" si="303"/>
        <v>3228036.5538969482</v>
      </c>
      <c r="G1889" s="3">
        <f t="shared" si="306"/>
        <v>245243.97669572485</v>
      </c>
      <c r="H1889" s="3">
        <f t="shared" si="305"/>
        <v>26900.304615807901</v>
      </c>
      <c r="I1889" s="3">
        <f t="shared" si="301"/>
        <v>218343.67207991696</v>
      </c>
      <c r="J1889" s="3">
        <f t="shared" si="302"/>
        <v>3009692.8818170312</v>
      </c>
      <c r="K1889" s="24"/>
      <c r="L1889" s="24"/>
    </row>
    <row r="1890" spans="2:12" x14ac:dyDescent="0.35">
      <c r="B1890" s="1">
        <v>11</v>
      </c>
      <c r="C1890" s="22">
        <v>45078</v>
      </c>
      <c r="D1890" s="22">
        <v>45107</v>
      </c>
      <c r="E1890" s="23">
        <f t="shared" si="300"/>
        <v>30</v>
      </c>
      <c r="F1890" s="3">
        <f t="shared" si="303"/>
        <v>3009692.8818170312</v>
      </c>
      <c r="G1890" s="3">
        <f t="shared" si="306"/>
        <v>245243.97669572485</v>
      </c>
      <c r="H1890" s="3">
        <f t="shared" si="305"/>
        <v>25080.774015141928</v>
      </c>
      <c r="I1890" s="3">
        <f t="shared" si="301"/>
        <v>220163.20268058294</v>
      </c>
      <c r="J1890" s="3">
        <f t="shared" si="302"/>
        <v>2789529.6791364481</v>
      </c>
      <c r="K1890" s="24"/>
      <c r="L1890" s="24"/>
    </row>
    <row r="1891" spans="2:12" x14ac:dyDescent="0.35">
      <c r="B1891" s="1">
        <v>12</v>
      </c>
      <c r="C1891" s="22">
        <v>45108</v>
      </c>
      <c r="D1891" s="22">
        <v>45138</v>
      </c>
      <c r="E1891" s="23">
        <f t="shared" si="300"/>
        <v>31</v>
      </c>
      <c r="F1891" s="3">
        <f t="shared" si="303"/>
        <v>2789529.6791364481</v>
      </c>
      <c r="G1891" s="3">
        <f t="shared" si="306"/>
        <v>245243.97669572485</v>
      </c>
      <c r="H1891" s="3">
        <f t="shared" si="305"/>
        <v>23246.080659470401</v>
      </c>
      <c r="I1891" s="3">
        <f t="shared" si="301"/>
        <v>221997.89603625445</v>
      </c>
      <c r="J1891" s="3">
        <f t="shared" si="302"/>
        <v>2567531.7831001938</v>
      </c>
      <c r="K1891" s="24"/>
      <c r="L1891" s="24"/>
    </row>
    <row r="1892" spans="2:12" x14ac:dyDescent="0.35">
      <c r="B1892" s="1">
        <v>13</v>
      </c>
      <c r="C1892" s="22">
        <v>45139</v>
      </c>
      <c r="D1892" s="22">
        <v>45169</v>
      </c>
      <c r="E1892" s="23">
        <f t="shared" si="300"/>
        <v>31</v>
      </c>
      <c r="F1892" s="3">
        <f t="shared" si="303"/>
        <v>2567531.7831001938</v>
      </c>
      <c r="G1892" s="3">
        <f t="shared" si="306"/>
        <v>245243.97669572485</v>
      </c>
      <c r="H1892" s="3">
        <f t="shared" si="305"/>
        <v>21396.098192501617</v>
      </c>
      <c r="I1892" s="3">
        <f t="shared" si="301"/>
        <v>223847.87850322324</v>
      </c>
      <c r="J1892" s="3">
        <f t="shared" si="302"/>
        <v>2343683.9045969704</v>
      </c>
      <c r="K1892" s="24"/>
      <c r="L1892" s="24"/>
    </row>
    <row r="1893" spans="2:12" x14ac:dyDescent="0.35">
      <c r="B1893" s="1">
        <v>14</v>
      </c>
      <c r="C1893" s="22">
        <v>45170</v>
      </c>
      <c r="D1893" s="22">
        <v>45199</v>
      </c>
      <c r="E1893" s="23">
        <f t="shared" si="300"/>
        <v>30</v>
      </c>
      <c r="F1893" s="3">
        <f t="shared" si="303"/>
        <v>2343683.9045969704</v>
      </c>
      <c r="G1893" s="3">
        <f t="shared" si="306"/>
        <v>245243.97669572485</v>
      </c>
      <c r="H1893" s="3">
        <f t="shared" si="305"/>
        <v>19530.699204974753</v>
      </c>
      <c r="I1893" s="3">
        <f t="shared" si="301"/>
        <v>225713.2774907501</v>
      </c>
      <c r="J1893" s="3">
        <f t="shared" si="302"/>
        <v>2117970.6271062205</v>
      </c>
      <c r="K1893" s="24"/>
      <c r="L1893" s="24"/>
    </row>
    <row r="1894" spans="2:12" x14ac:dyDescent="0.35">
      <c r="B1894" s="1">
        <v>15</v>
      </c>
      <c r="C1894" s="22">
        <v>45200</v>
      </c>
      <c r="D1894" s="22">
        <v>45230</v>
      </c>
      <c r="E1894" s="23">
        <f t="shared" si="300"/>
        <v>31</v>
      </c>
      <c r="F1894" s="3">
        <f t="shared" si="303"/>
        <v>2117970.6271062205</v>
      </c>
      <c r="G1894" s="3">
        <f t="shared" si="306"/>
        <v>245243.97669572485</v>
      </c>
      <c r="H1894" s="3">
        <f t="shared" si="305"/>
        <v>17649.755225885172</v>
      </c>
      <c r="I1894" s="3">
        <f t="shared" si="301"/>
        <v>227594.22146983969</v>
      </c>
      <c r="J1894" s="3">
        <f t="shared" si="302"/>
        <v>1890376.4056363809</v>
      </c>
      <c r="K1894" s="24"/>
      <c r="L1894" s="24"/>
    </row>
    <row r="1895" spans="2:12" x14ac:dyDescent="0.35">
      <c r="B1895" s="1">
        <v>16</v>
      </c>
      <c r="C1895" s="22">
        <v>45231</v>
      </c>
      <c r="D1895" s="22">
        <v>45260</v>
      </c>
      <c r="E1895" s="23">
        <f t="shared" si="300"/>
        <v>30</v>
      </c>
      <c r="F1895" s="3">
        <f t="shared" si="303"/>
        <v>1890376.4056363809</v>
      </c>
      <c r="G1895" s="3">
        <f t="shared" si="306"/>
        <v>245243.97669572485</v>
      </c>
      <c r="H1895" s="3">
        <f t="shared" si="305"/>
        <v>15753.136713636508</v>
      </c>
      <c r="I1895" s="3">
        <f t="shared" si="301"/>
        <v>229490.83998208834</v>
      </c>
      <c r="J1895" s="3">
        <f t="shared" si="302"/>
        <v>1660885.5656542925</v>
      </c>
      <c r="K1895" s="24"/>
      <c r="L1895" s="24"/>
    </row>
    <row r="1896" spans="2:12" x14ac:dyDescent="0.35">
      <c r="B1896" s="1">
        <v>17</v>
      </c>
      <c r="C1896" s="22">
        <v>45261</v>
      </c>
      <c r="D1896" s="22">
        <v>45291</v>
      </c>
      <c r="E1896" s="23">
        <f t="shared" si="300"/>
        <v>31</v>
      </c>
      <c r="F1896" s="3">
        <f t="shared" si="303"/>
        <v>1660885.5656542925</v>
      </c>
      <c r="G1896" s="3">
        <f t="shared" si="306"/>
        <v>245243.97669572485</v>
      </c>
      <c r="H1896" s="3">
        <f t="shared" si="305"/>
        <v>13840.713047119103</v>
      </c>
      <c r="I1896" s="3">
        <f t="shared" si="301"/>
        <v>231403.26364860576</v>
      </c>
      <c r="J1896" s="3">
        <f t="shared" si="302"/>
        <v>1429482.3020056868</v>
      </c>
      <c r="K1896" s="24">
        <v>4400000</v>
      </c>
      <c r="L1896" s="205">
        <f>SUM(G1879:G1902)/2</f>
        <v>5390687.5359812733</v>
      </c>
    </row>
    <row r="1897" spans="2:12" x14ac:dyDescent="0.35">
      <c r="B1897" s="1">
        <v>18</v>
      </c>
      <c r="C1897" s="22">
        <v>45292</v>
      </c>
      <c r="D1897" s="22">
        <v>45322</v>
      </c>
      <c r="E1897" s="23">
        <f t="shared" si="300"/>
        <v>31</v>
      </c>
      <c r="F1897" s="3">
        <f t="shared" si="303"/>
        <v>1429482.3020056868</v>
      </c>
      <c r="G1897" s="3">
        <f t="shared" si="306"/>
        <v>245243.97669572485</v>
      </c>
      <c r="H1897" s="3">
        <f t="shared" si="305"/>
        <v>11912.352516714056</v>
      </c>
      <c r="I1897" s="3">
        <f t="shared" si="301"/>
        <v>233331.6241790108</v>
      </c>
      <c r="J1897" s="3">
        <f t="shared" si="302"/>
        <v>1196150.6778266761</v>
      </c>
      <c r="K1897" s="24"/>
      <c r="L1897" s="24"/>
    </row>
    <row r="1898" spans="2:12" x14ac:dyDescent="0.35">
      <c r="B1898" s="1">
        <v>19</v>
      </c>
      <c r="C1898" s="22">
        <v>45323</v>
      </c>
      <c r="D1898" s="22">
        <v>45351</v>
      </c>
      <c r="E1898" s="23">
        <f t="shared" si="300"/>
        <v>29</v>
      </c>
      <c r="F1898" s="3">
        <f t="shared" si="303"/>
        <v>1196150.6778266761</v>
      </c>
      <c r="G1898" s="3">
        <f t="shared" si="306"/>
        <v>245243.97669572485</v>
      </c>
      <c r="H1898" s="3">
        <f t="shared" si="305"/>
        <v>9967.9223152223003</v>
      </c>
      <c r="I1898" s="3">
        <f t="shared" si="301"/>
        <v>235276.05438050255</v>
      </c>
      <c r="J1898" s="3">
        <f t="shared" si="302"/>
        <v>960874.6234461735</v>
      </c>
      <c r="K1898" s="24"/>
      <c r="L1898" s="24"/>
    </row>
    <row r="1899" spans="2:12" x14ac:dyDescent="0.35">
      <c r="B1899" s="1">
        <v>20</v>
      </c>
      <c r="C1899" s="22">
        <v>45352</v>
      </c>
      <c r="D1899" s="22">
        <v>45382</v>
      </c>
      <c r="E1899" s="23">
        <f t="shared" si="300"/>
        <v>31</v>
      </c>
      <c r="F1899" s="3">
        <f t="shared" si="303"/>
        <v>960874.6234461735</v>
      </c>
      <c r="G1899" s="3">
        <f t="shared" si="306"/>
        <v>245243.97669572485</v>
      </c>
      <c r="H1899" s="3">
        <f t="shared" si="305"/>
        <v>8007.2885287181125</v>
      </c>
      <c r="I1899" s="3">
        <f t="shared" si="301"/>
        <v>237236.68816700674</v>
      </c>
      <c r="J1899" s="3">
        <f t="shared" si="302"/>
        <v>723637.93527916679</v>
      </c>
      <c r="K1899" s="24"/>
      <c r="L1899" s="24"/>
    </row>
    <row r="1900" spans="2:12" x14ac:dyDescent="0.35">
      <c r="B1900" s="1">
        <v>21</v>
      </c>
      <c r="C1900" s="22">
        <v>45383</v>
      </c>
      <c r="D1900" s="22">
        <v>45412</v>
      </c>
      <c r="E1900" s="23">
        <f t="shared" si="300"/>
        <v>30</v>
      </c>
      <c r="F1900" s="3">
        <f t="shared" si="303"/>
        <v>723637.93527916679</v>
      </c>
      <c r="G1900" s="3">
        <f t="shared" si="306"/>
        <v>245243.97669572485</v>
      </c>
      <c r="H1900" s="3">
        <f t="shared" si="305"/>
        <v>6030.3161273263895</v>
      </c>
      <c r="I1900" s="3">
        <f t="shared" si="301"/>
        <v>239213.66056839845</v>
      </c>
      <c r="J1900" s="3">
        <f t="shared" si="302"/>
        <v>484424.27471076837</v>
      </c>
      <c r="K1900" s="24"/>
      <c r="L1900" s="24"/>
    </row>
    <row r="1901" spans="2:12" x14ac:dyDescent="0.35">
      <c r="B1901" s="1">
        <v>22</v>
      </c>
      <c r="C1901" s="22">
        <v>45413</v>
      </c>
      <c r="D1901" s="22">
        <v>45443</v>
      </c>
      <c r="E1901" s="23">
        <f t="shared" si="300"/>
        <v>31</v>
      </c>
      <c r="F1901" s="3">
        <f t="shared" si="303"/>
        <v>484424.27471076837</v>
      </c>
      <c r="G1901" s="3">
        <f t="shared" si="306"/>
        <v>245243.97669572485</v>
      </c>
      <c r="H1901" s="3">
        <f t="shared" si="305"/>
        <v>4036.8689559230697</v>
      </c>
      <c r="I1901" s="3">
        <f t="shared" si="301"/>
        <v>241207.10773980178</v>
      </c>
      <c r="J1901" s="3">
        <f t="shared" si="302"/>
        <v>243217.16697096659</v>
      </c>
      <c r="K1901" s="24"/>
      <c r="L1901" s="24"/>
    </row>
    <row r="1902" spans="2:12" x14ac:dyDescent="0.35">
      <c r="B1902" s="1">
        <v>23</v>
      </c>
      <c r="C1902" s="22">
        <v>45444</v>
      </c>
      <c r="D1902" s="22">
        <v>45473</v>
      </c>
      <c r="E1902" s="23">
        <f t="shared" si="300"/>
        <v>30</v>
      </c>
      <c r="F1902" s="3">
        <f t="shared" si="303"/>
        <v>243217.16697096659</v>
      </c>
      <c r="G1902" s="3">
        <f t="shared" si="306"/>
        <v>245243.97669572485</v>
      </c>
      <c r="H1902" s="3">
        <f t="shared" si="305"/>
        <v>2026.8097247580549</v>
      </c>
      <c r="I1902" s="3">
        <f t="shared" si="301"/>
        <v>243217.16697096679</v>
      </c>
      <c r="J1902" s="3">
        <f t="shared" si="302"/>
        <v>0</v>
      </c>
      <c r="K1902" s="24">
        <v>5700000</v>
      </c>
      <c r="L1902" s="205">
        <f>SUM(G1879:G1902)-SUM(K1879:K1902)</f>
        <v>262137.72196254693</v>
      </c>
    </row>
    <row r="1903" spans="2:12" x14ac:dyDescent="0.35">
      <c r="B1903" s="1"/>
      <c r="C1903" s="22"/>
      <c r="D1903" s="22"/>
      <c r="E1903" s="23"/>
      <c r="F1903" s="3"/>
      <c r="G1903" s="3"/>
      <c r="H1903" s="3"/>
      <c r="I1903" s="3"/>
      <c r="J1903" s="3"/>
      <c r="K1903" s="24"/>
      <c r="L1903" s="24"/>
    </row>
    <row r="1904" spans="2:12" x14ac:dyDescent="0.35">
      <c r="B1904" s="1"/>
      <c r="C1904" s="22"/>
      <c r="D1904" s="22"/>
      <c r="E1904" s="23"/>
      <c r="F1904" s="3"/>
      <c r="G1904" s="3"/>
      <c r="H1904" s="3"/>
      <c r="I1904" s="3"/>
      <c r="J1904" s="3"/>
      <c r="K1904" s="24"/>
      <c r="L1904" s="24"/>
    </row>
    <row r="1905" spans="2:19" x14ac:dyDescent="0.35">
      <c r="B1905" s="1"/>
      <c r="C1905" s="22"/>
      <c r="D1905" s="22"/>
      <c r="E1905" s="23"/>
      <c r="F1905" s="3"/>
      <c r="G1905" s="3"/>
      <c r="H1905" s="3"/>
      <c r="I1905" s="3"/>
      <c r="J1905" s="3"/>
      <c r="K1905" s="24"/>
      <c r="L1905" s="24"/>
    </row>
    <row r="1906" spans="2:19" x14ac:dyDescent="0.35">
      <c r="B1906" s="1"/>
      <c r="C1906" s="22"/>
      <c r="D1906" s="22"/>
      <c r="E1906" s="23"/>
      <c r="F1906" s="3"/>
      <c r="G1906" s="3"/>
      <c r="H1906" s="3"/>
      <c r="I1906" s="3"/>
      <c r="J1906" s="3"/>
      <c r="K1906" s="24"/>
      <c r="L1906" s="24"/>
    </row>
    <row r="1907" spans="2:19" x14ac:dyDescent="0.35">
      <c r="B1907" s="1"/>
      <c r="C1907" s="22"/>
      <c r="D1907" s="22"/>
      <c r="E1907" s="23"/>
      <c r="F1907" s="3"/>
      <c r="G1907" s="3"/>
      <c r="H1907" s="3"/>
      <c r="I1907" s="3"/>
      <c r="J1907" s="3"/>
      <c r="K1907" s="24"/>
      <c r="L1907" s="24"/>
    </row>
    <row r="1908" spans="2:19" ht="14.25" customHeight="1" x14ac:dyDescent="0.35">
      <c r="B1908" s="1"/>
      <c r="C1908" s="1"/>
      <c r="D1908" s="1"/>
      <c r="E1908" s="28">
        <f>SUM(E1879:E1891)</f>
        <v>390</v>
      </c>
      <c r="F1908" s="3"/>
      <c r="G1908" s="3"/>
      <c r="H1908" s="3"/>
      <c r="I1908" s="3"/>
      <c r="J1908" s="3"/>
      <c r="K1908" s="1"/>
      <c r="L1908" s="1"/>
    </row>
    <row r="1915" spans="2:19" x14ac:dyDescent="0.35">
      <c r="B1915" s="1"/>
      <c r="C1915" s="8" t="s">
        <v>600</v>
      </c>
      <c r="D1915" s="3"/>
      <c r="E1915" s="3"/>
      <c r="F1915" s="3"/>
      <c r="G1915" s="3"/>
      <c r="H1915" s="3"/>
      <c r="I1915" s="3"/>
      <c r="J1915" s="3"/>
      <c r="K1915" s="3"/>
      <c r="L1915" s="3"/>
      <c r="R1915" s="438" t="s">
        <v>832</v>
      </c>
      <c r="S1915" s="432" t="str">
        <f>IFERROR(INDEX(Blocks!$I$2:$I$101,MATCH(33,Blocks!$A$2:$A$101,0)),"")</f>
        <v>000104450000035</v>
      </c>
    </row>
    <row r="1916" spans="2:19" x14ac:dyDescent="0.35">
      <c r="B1916" s="1"/>
      <c r="C1916" s="1"/>
      <c r="D1916" s="3"/>
      <c r="E1916" s="3"/>
      <c r="F1916" s="3"/>
      <c r="G1916" s="3"/>
      <c r="H1916" s="3"/>
      <c r="I1916" s="3"/>
      <c r="J1916" s="3"/>
      <c r="K1916" s="3"/>
      <c r="L1916" s="3"/>
      <c r="R1916" s="438" t="s">
        <v>834</v>
      </c>
      <c r="S1916" s="432" t="str">
        <f>IFERROR(INDEX(Blocks!$H$2:$H$101,MATCH(33,Blocks!$A$2:$A$101,0)),"")</f>
        <v>Sekuru Enterprise</v>
      </c>
    </row>
    <row r="1917" spans="2:19" x14ac:dyDescent="0.35">
      <c r="B1917" s="1"/>
      <c r="C1917" s="9" t="s">
        <v>835</v>
      </c>
      <c r="D1917" s="10">
        <v>10000000</v>
      </c>
      <c r="E1917" s="3"/>
      <c r="F1917" s="3"/>
      <c r="G1917" s="3"/>
      <c r="H1917" s="3"/>
      <c r="I1917" s="3"/>
      <c r="J1917" s="3"/>
      <c r="K1917" s="3"/>
      <c r="L1917" s="3"/>
      <c r="R1917" s="438" t="s">
        <v>223</v>
      </c>
      <c r="S1917" s="433">
        <f>IFERROR(INDEX('E-Banker master'!$N$2:$N$186,MATCH(S1915,'E-Banker master'!$A$2:$A$186,0)),"")</f>
        <v>0</v>
      </c>
    </row>
    <row r="1918" spans="2:19" x14ac:dyDescent="0.35">
      <c r="B1918" s="1"/>
      <c r="C1918" s="11" t="s">
        <v>837</v>
      </c>
      <c r="D1918" s="12">
        <v>0.1</v>
      </c>
      <c r="E1918" s="13"/>
      <c r="F1918" s="3"/>
      <c r="G1918" s="3"/>
      <c r="H1918" s="3"/>
      <c r="I1918" s="3"/>
      <c r="J1918" s="3"/>
      <c r="K1918" s="3"/>
      <c r="L1918" s="3"/>
      <c r="R1918" s="438" t="s">
        <v>52</v>
      </c>
      <c r="S1918" s="433">
        <f>IFERROR(INDEX('E-Banker master'!$P$2:$P$186,MATCH(S1915,'E-Banker master'!$A$2:$A$186,0)),"")</f>
        <v>0</v>
      </c>
    </row>
    <row r="1919" spans="2:19" x14ac:dyDescent="0.35">
      <c r="B1919" s="1"/>
      <c r="C1919" s="11" t="s">
        <v>838</v>
      </c>
      <c r="D1919" s="14">
        <v>2</v>
      </c>
      <c r="E1919" s="1"/>
      <c r="F1919" s="3"/>
      <c r="G1919" s="3"/>
      <c r="H1919" s="3"/>
      <c r="I1919" s="3"/>
      <c r="J1919" s="3"/>
      <c r="K1919" s="1"/>
      <c r="L1919" s="1"/>
    </row>
    <row r="1920" spans="2:19" x14ac:dyDescent="0.35">
      <c r="B1920" s="1"/>
      <c r="C1920" s="11" t="s">
        <v>839</v>
      </c>
      <c r="D1920" s="14">
        <v>12</v>
      </c>
      <c r="E1920" s="1"/>
      <c r="F1920" s="3"/>
      <c r="G1920" s="3"/>
      <c r="H1920" s="3"/>
      <c r="I1920" s="3"/>
      <c r="J1920" s="3"/>
      <c r="K1920" s="1"/>
      <c r="L1920" s="1"/>
    </row>
    <row r="1921" spans="2:12" x14ac:dyDescent="0.35">
      <c r="B1921" s="1"/>
      <c r="C1921" s="11" t="s">
        <v>843</v>
      </c>
      <c r="D1921" s="15">
        <f>D1919*D1920</f>
        <v>24</v>
      </c>
      <c r="E1921" s="1"/>
      <c r="F1921" s="3"/>
      <c r="G1921" s="3"/>
      <c r="H1921" s="3"/>
      <c r="I1921" s="3"/>
      <c r="J1921" s="3"/>
      <c r="K1921" s="1"/>
      <c r="L1921" s="1"/>
    </row>
    <row r="1922" spans="2:12" x14ac:dyDescent="0.35">
      <c r="B1922" s="1"/>
      <c r="C1922" s="11" t="s">
        <v>844</v>
      </c>
      <c r="D1922" s="16">
        <v>365</v>
      </c>
      <c r="E1922" s="1"/>
      <c r="F1922" s="3"/>
      <c r="G1922" s="3"/>
      <c r="H1922" s="3"/>
      <c r="I1922" s="3"/>
      <c r="J1922" s="3"/>
      <c r="K1922" s="1"/>
      <c r="L1922" s="1"/>
    </row>
    <row r="1923" spans="2:12" x14ac:dyDescent="0.35">
      <c r="B1923" s="1"/>
      <c r="C1923" s="17" t="s">
        <v>845</v>
      </c>
      <c r="D1923" s="18">
        <f>-PMT(D1918/D1920,D1921,D1917,0,0)</f>
        <v>461449.26337516506</v>
      </c>
      <c r="E1923" s="3"/>
      <c r="F1923" s="3"/>
      <c r="G1923" s="3"/>
      <c r="H1923" s="3"/>
      <c r="I1923" s="3"/>
      <c r="J1923" s="3"/>
      <c r="K1923" s="1"/>
      <c r="L1923" s="1"/>
    </row>
    <row r="1924" spans="2:12" x14ac:dyDescent="0.35">
      <c r="B1924" s="1"/>
      <c r="C1924" s="1"/>
      <c r="D1924" s="3"/>
      <c r="E1924" s="3"/>
      <c r="F1924" s="3"/>
      <c r="G1924" s="3"/>
      <c r="H1924" s="3"/>
      <c r="I1924" s="3"/>
      <c r="J1924" s="3"/>
      <c r="K1924" s="1"/>
      <c r="L1924" s="1"/>
    </row>
    <row r="1925" spans="2:12" x14ac:dyDescent="0.35">
      <c r="B1925" s="1"/>
      <c r="C1925" s="19" t="s">
        <v>846</v>
      </c>
      <c r="D1925" s="20" t="s">
        <v>847</v>
      </c>
      <c r="E1925" s="20" t="s">
        <v>764</v>
      </c>
      <c r="F1925" s="270" t="s">
        <v>848</v>
      </c>
      <c r="G1925" s="270" t="s">
        <v>849</v>
      </c>
      <c r="H1925" s="270" t="s">
        <v>742</v>
      </c>
      <c r="I1925" s="270" t="s">
        <v>740</v>
      </c>
      <c r="J1925" s="270" t="s">
        <v>850</v>
      </c>
      <c r="K1925" s="21" t="s">
        <v>851</v>
      </c>
      <c r="L1925" s="21" t="s">
        <v>852</v>
      </c>
    </row>
    <row r="1926" spans="2:12" x14ac:dyDescent="0.35">
      <c r="B1926" s="1">
        <v>0</v>
      </c>
      <c r="C1926" s="22">
        <v>44749</v>
      </c>
      <c r="D1926" s="22">
        <v>44773</v>
      </c>
      <c r="E1926" s="23">
        <f t="shared" ref="E1926:E1950" si="307">D1926-C1926+1</f>
        <v>25</v>
      </c>
      <c r="F1926" s="3">
        <f>D1917</f>
        <v>10000000</v>
      </c>
      <c r="G1926" s="3"/>
      <c r="H1926" s="3">
        <f>$D$1918/$D$1920*F1926*E1926/31</f>
        <v>67204.301075268813</v>
      </c>
      <c r="I1926" s="3">
        <f t="shared" ref="I1926:I1950" si="308">G1926-H1926</f>
        <v>-67204.301075268813</v>
      </c>
      <c r="J1926" s="3">
        <f t="shared" ref="J1926:J1950" si="309">F1926-I1926</f>
        <v>10067204.301075269</v>
      </c>
      <c r="K1926" s="24"/>
      <c r="L1926" s="24"/>
    </row>
    <row r="1927" spans="2:12" x14ac:dyDescent="0.35">
      <c r="B1927" s="1">
        <v>1</v>
      </c>
      <c r="C1927" s="22">
        <v>44774</v>
      </c>
      <c r="D1927" s="22">
        <v>44804</v>
      </c>
      <c r="E1927" s="23">
        <f t="shared" si="307"/>
        <v>31</v>
      </c>
      <c r="F1927" s="3">
        <f t="shared" ref="F1927:F1950" si="310">J1926</f>
        <v>10067204.301075269</v>
      </c>
      <c r="G1927" s="3"/>
      <c r="H1927" s="3">
        <f t="shared" ref="H1927:H1950" si="311">$D$1918/$D$1920*F1927</f>
        <v>83893.369175627231</v>
      </c>
      <c r="I1927" s="3">
        <f t="shared" si="308"/>
        <v>-83893.369175627231</v>
      </c>
      <c r="J1927" s="3">
        <f t="shared" si="309"/>
        <v>10151097.670250896</v>
      </c>
      <c r="K1927" s="24"/>
      <c r="L1927" s="24"/>
    </row>
    <row r="1928" spans="2:12" x14ac:dyDescent="0.35">
      <c r="B1928" s="1">
        <v>2</v>
      </c>
      <c r="C1928" s="22">
        <v>44805</v>
      </c>
      <c r="D1928" s="22">
        <v>44834</v>
      </c>
      <c r="E1928" s="23">
        <f t="shared" si="307"/>
        <v>30</v>
      </c>
      <c r="F1928" s="3">
        <f t="shared" si="310"/>
        <v>10151097.670250896</v>
      </c>
      <c r="G1928" s="3"/>
      <c r="H1928" s="3">
        <f t="shared" si="311"/>
        <v>84592.480585424142</v>
      </c>
      <c r="I1928" s="3">
        <f t="shared" si="308"/>
        <v>-84592.480585424142</v>
      </c>
      <c r="J1928" s="3">
        <f t="shared" si="309"/>
        <v>10235690.150836321</v>
      </c>
    </row>
    <row r="1929" spans="2:12" x14ac:dyDescent="0.35">
      <c r="B1929" s="1">
        <v>3</v>
      </c>
      <c r="C1929" s="22">
        <v>44835</v>
      </c>
      <c r="D1929" s="22">
        <v>44865</v>
      </c>
      <c r="E1929" s="23">
        <f t="shared" si="307"/>
        <v>31</v>
      </c>
      <c r="F1929" s="3">
        <f t="shared" si="310"/>
        <v>10235690.150836321</v>
      </c>
      <c r="G1929" s="3"/>
      <c r="H1929" s="3">
        <f t="shared" si="311"/>
        <v>85297.417923636007</v>
      </c>
      <c r="I1929" s="3">
        <f t="shared" si="308"/>
        <v>-85297.417923636007</v>
      </c>
      <c r="J1929" s="3">
        <f t="shared" si="309"/>
        <v>10320987.568759957</v>
      </c>
      <c r="K1929" s="24"/>
      <c r="L1929" s="24"/>
    </row>
    <row r="1930" spans="2:12" x14ac:dyDescent="0.35">
      <c r="B1930" s="1">
        <v>4</v>
      </c>
      <c r="C1930" s="22">
        <v>44866</v>
      </c>
      <c r="D1930" s="22">
        <v>44895</v>
      </c>
      <c r="E1930" s="23">
        <f t="shared" si="307"/>
        <v>30</v>
      </c>
      <c r="F1930" s="3">
        <f t="shared" si="310"/>
        <v>10320987.568759957</v>
      </c>
      <c r="G1930" s="3">
        <f t="shared" ref="G1930:G1950" si="312">-PMT($D$1918/$D$1920,21,$F$1930,,0)</f>
        <v>537773.15349401208</v>
      </c>
      <c r="H1930" s="3">
        <f t="shared" si="311"/>
        <v>86008.229739666305</v>
      </c>
      <c r="I1930" s="3">
        <f t="shared" si="308"/>
        <v>451764.92375434574</v>
      </c>
      <c r="J1930" s="3">
        <f t="shared" si="309"/>
        <v>9869222.6450056117</v>
      </c>
      <c r="K1930" s="24">
        <f>600000+1000000</f>
        <v>1600000</v>
      </c>
      <c r="L1930" s="24">
        <f>G1930-K1930</f>
        <v>-1062226.8465059879</v>
      </c>
    </row>
    <row r="1931" spans="2:12" x14ac:dyDescent="0.35">
      <c r="B1931" s="1">
        <v>5</v>
      </c>
      <c r="C1931" s="22">
        <v>44896</v>
      </c>
      <c r="D1931" s="22">
        <v>44926</v>
      </c>
      <c r="E1931" s="23">
        <f t="shared" si="307"/>
        <v>31</v>
      </c>
      <c r="F1931" s="3">
        <f t="shared" si="310"/>
        <v>9869222.6450056117</v>
      </c>
      <c r="G1931" s="3">
        <f t="shared" si="312"/>
        <v>537773.15349401208</v>
      </c>
      <c r="H1931" s="3">
        <f t="shared" si="311"/>
        <v>82243.522041713426</v>
      </c>
      <c r="I1931" s="3">
        <f t="shared" si="308"/>
        <v>455529.63145229866</v>
      </c>
      <c r="J1931" s="3">
        <f t="shared" si="309"/>
        <v>9413693.0135533139</v>
      </c>
      <c r="K1931" s="24"/>
      <c r="L1931" s="24">
        <f>L1930+G1931</f>
        <v>-524453.69301197585</v>
      </c>
    </row>
    <row r="1932" spans="2:12" x14ac:dyDescent="0.35">
      <c r="B1932" s="1">
        <v>6</v>
      </c>
      <c r="C1932" s="22">
        <v>44927</v>
      </c>
      <c r="D1932" s="22">
        <v>44957</v>
      </c>
      <c r="E1932" s="23">
        <f t="shared" si="307"/>
        <v>31</v>
      </c>
      <c r="F1932" s="3">
        <f t="shared" si="310"/>
        <v>9413693.0135533139</v>
      </c>
      <c r="G1932" s="3">
        <f t="shared" si="312"/>
        <v>537773.15349401208</v>
      </c>
      <c r="H1932" s="3">
        <f t="shared" si="311"/>
        <v>78447.441779610948</v>
      </c>
      <c r="I1932" s="3">
        <f t="shared" si="308"/>
        <v>459325.71171440114</v>
      </c>
      <c r="J1932" s="3">
        <f t="shared" si="309"/>
        <v>8954367.3018389121</v>
      </c>
      <c r="K1932" s="24">
        <v>0</v>
      </c>
      <c r="L1932" s="24">
        <f>L1931+G1932</f>
        <v>13319.460482036229</v>
      </c>
    </row>
    <row r="1933" spans="2:12" x14ac:dyDescent="0.35">
      <c r="B1933" s="1">
        <v>7</v>
      </c>
      <c r="C1933" s="22">
        <v>44958</v>
      </c>
      <c r="D1933" s="22">
        <v>44985</v>
      </c>
      <c r="E1933" s="23">
        <f t="shared" si="307"/>
        <v>28</v>
      </c>
      <c r="F1933" s="3">
        <f t="shared" si="310"/>
        <v>8954367.3018389121</v>
      </c>
      <c r="G1933" s="3">
        <f t="shared" si="312"/>
        <v>537773.15349401208</v>
      </c>
      <c r="H1933" s="3">
        <f t="shared" si="311"/>
        <v>74619.727515324266</v>
      </c>
      <c r="I1933" s="3">
        <f t="shared" si="308"/>
        <v>463153.42597868782</v>
      </c>
      <c r="J1933" s="3">
        <f t="shared" si="309"/>
        <v>8491213.8758602235</v>
      </c>
      <c r="K1933" s="24">
        <v>0</v>
      </c>
      <c r="L1933" s="24">
        <f>L1932+G1933</f>
        <v>551092.61397604831</v>
      </c>
    </row>
    <row r="1934" spans="2:12" x14ac:dyDescent="0.35">
      <c r="B1934" s="1">
        <v>8</v>
      </c>
      <c r="C1934" s="22">
        <v>44986</v>
      </c>
      <c r="D1934" s="22">
        <v>45016</v>
      </c>
      <c r="E1934" s="23">
        <f t="shared" si="307"/>
        <v>31</v>
      </c>
      <c r="F1934" s="3">
        <f t="shared" si="310"/>
        <v>8491213.8758602235</v>
      </c>
      <c r="G1934" s="3">
        <f t="shared" si="312"/>
        <v>537773.15349401208</v>
      </c>
      <c r="H1934" s="3">
        <f t="shared" si="311"/>
        <v>70760.115632168527</v>
      </c>
      <c r="I1934" s="3">
        <f t="shared" si="308"/>
        <v>467013.03786184354</v>
      </c>
      <c r="J1934" s="3">
        <f t="shared" si="309"/>
        <v>8024200.83799838</v>
      </c>
      <c r="K1934" s="24">
        <v>0</v>
      </c>
      <c r="L1934" s="24">
        <f>L1933+G1934</f>
        <v>1088865.7674700604</v>
      </c>
    </row>
    <row r="1935" spans="2:12" x14ac:dyDescent="0.35">
      <c r="B1935" s="1">
        <v>9</v>
      </c>
      <c r="C1935" s="22">
        <v>45017</v>
      </c>
      <c r="D1935" s="22">
        <v>45046</v>
      </c>
      <c r="E1935" s="23">
        <f t="shared" si="307"/>
        <v>30</v>
      </c>
      <c r="F1935" s="3">
        <f t="shared" si="310"/>
        <v>8024200.83799838</v>
      </c>
      <c r="G1935" s="3">
        <f t="shared" si="312"/>
        <v>537773.15349401208</v>
      </c>
      <c r="H1935" s="3">
        <f t="shared" si="311"/>
        <v>66868.340316653164</v>
      </c>
      <c r="I1935" s="3">
        <f t="shared" si="308"/>
        <v>470904.81317735894</v>
      </c>
      <c r="J1935" s="3">
        <f t="shared" si="309"/>
        <v>7553296.0248210207</v>
      </c>
      <c r="K1935" s="24">
        <v>1000000</v>
      </c>
      <c r="L1935" s="24">
        <f t="shared" ref="L1935:L1949" si="313">L1934+G1935-K1935</f>
        <v>626638.92096407246</v>
      </c>
    </row>
    <row r="1936" spans="2:12" x14ac:dyDescent="0.35">
      <c r="B1936" s="1">
        <v>10</v>
      </c>
      <c r="C1936" s="22">
        <v>45047</v>
      </c>
      <c r="D1936" s="22">
        <v>45077</v>
      </c>
      <c r="E1936" s="23">
        <f t="shared" si="307"/>
        <v>31</v>
      </c>
      <c r="F1936" s="3">
        <f t="shared" si="310"/>
        <v>7553296.0248210207</v>
      </c>
      <c r="G1936" s="3">
        <f t="shared" si="312"/>
        <v>537773.15349401208</v>
      </c>
      <c r="H1936" s="3">
        <f t="shared" si="311"/>
        <v>62944.133540175171</v>
      </c>
      <c r="I1936" s="3">
        <f t="shared" si="308"/>
        <v>474829.01995383692</v>
      </c>
      <c r="J1936" s="3">
        <f t="shared" si="309"/>
        <v>7078467.004867184</v>
      </c>
      <c r="K1936" s="24">
        <v>1000000</v>
      </c>
      <c r="L1936" s="24">
        <f t="shared" si="313"/>
        <v>164412.07445808453</v>
      </c>
    </row>
    <row r="1937" spans="2:12" x14ac:dyDescent="0.35">
      <c r="B1937" s="1">
        <v>11</v>
      </c>
      <c r="C1937" s="22">
        <v>45078</v>
      </c>
      <c r="D1937" s="22">
        <v>45107</v>
      </c>
      <c r="E1937" s="23">
        <f t="shared" si="307"/>
        <v>30</v>
      </c>
      <c r="F1937" s="3">
        <f t="shared" si="310"/>
        <v>7078467.004867184</v>
      </c>
      <c r="G1937" s="3">
        <f t="shared" si="312"/>
        <v>537773.15349401208</v>
      </c>
      <c r="H1937" s="3">
        <f t="shared" si="311"/>
        <v>58987.225040559868</v>
      </c>
      <c r="I1937" s="3">
        <f t="shared" si="308"/>
        <v>478785.92845345219</v>
      </c>
      <c r="J1937" s="3">
        <f t="shared" si="309"/>
        <v>6599681.076413732</v>
      </c>
      <c r="K1937" s="24">
        <v>0</v>
      </c>
      <c r="L1937" s="26">
        <f t="shared" si="313"/>
        <v>702185.22795209661</v>
      </c>
    </row>
    <row r="1938" spans="2:12" x14ac:dyDescent="0.35">
      <c r="B1938" s="1">
        <v>12</v>
      </c>
      <c r="C1938" s="22">
        <v>45108</v>
      </c>
      <c r="D1938" s="22">
        <v>45138</v>
      </c>
      <c r="E1938" s="23">
        <f t="shared" si="307"/>
        <v>31</v>
      </c>
      <c r="F1938" s="3">
        <f t="shared" si="310"/>
        <v>6599681.076413732</v>
      </c>
      <c r="G1938" s="3">
        <f t="shared" si="312"/>
        <v>537773.15349401208</v>
      </c>
      <c r="H1938" s="3">
        <f t="shared" si="311"/>
        <v>54997.342303447767</v>
      </c>
      <c r="I1938" s="3">
        <f t="shared" si="308"/>
        <v>482775.8111905643</v>
      </c>
      <c r="J1938" s="3">
        <f t="shared" si="309"/>
        <v>6116905.2652231678</v>
      </c>
      <c r="K1938" s="24">
        <v>1000000</v>
      </c>
      <c r="L1938" s="24">
        <f t="shared" si="313"/>
        <v>239958.38144610869</v>
      </c>
    </row>
    <row r="1939" spans="2:12" x14ac:dyDescent="0.35">
      <c r="B1939" s="1">
        <v>13</v>
      </c>
      <c r="C1939" s="22">
        <v>45139</v>
      </c>
      <c r="D1939" s="22">
        <v>45169</v>
      </c>
      <c r="E1939" s="23">
        <f t="shared" si="307"/>
        <v>31</v>
      </c>
      <c r="F1939" s="3">
        <f t="shared" si="310"/>
        <v>6116905.2652231678</v>
      </c>
      <c r="G1939" s="3">
        <f t="shared" si="312"/>
        <v>537773.15349401208</v>
      </c>
      <c r="H1939" s="3">
        <f t="shared" si="311"/>
        <v>50974.210543526395</v>
      </c>
      <c r="I1939" s="3">
        <f t="shared" si="308"/>
        <v>486798.94295048568</v>
      </c>
      <c r="J1939" s="3">
        <f t="shared" si="309"/>
        <v>5630106.3222726826</v>
      </c>
      <c r="K1939" s="24">
        <v>1000000</v>
      </c>
      <c r="L1939" s="24">
        <f t="shared" si="313"/>
        <v>-222268.46505987924</v>
      </c>
    </row>
    <row r="1940" spans="2:12" x14ac:dyDescent="0.35">
      <c r="B1940" s="1">
        <v>14</v>
      </c>
      <c r="C1940" s="22">
        <v>45170</v>
      </c>
      <c r="D1940" s="22">
        <v>45199</v>
      </c>
      <c r="E1940" s="23">
        <f t="shared" si="307"/>
        <v>30</v>
      </c>
      <c r="F1940" s="3">
        <f t="shared" si="310"/>
        <v>5630106.3222726826</v>
      </c>
      <c r="G1940" s="3">
        <f t="shared" si="312"/>
        <v>537773.15349401208</v>
      </c>
      <c r="H1940" s="3">
        <f t="shared" si="311"/>
        <v>46917.552685605689</v>
      </c>
      <c r="I1940" s="3">
        <f t="shared" si="308"/>
        <v>490855.60080840637</v>
      </c>
      <c r="J1940" s="3">
        <f t="shared" si="309"/>
        <v>5139250.7214642763</v>
      </c>
      <c r="K1940" s="24"/>
      <c r="L1940" s="24">
        <f t="shared" si="313"/>
        <v>315504.68843413284</v>
      </c>
    </row>
    <row r="1941" spans="2:12" x14ac:dyDescent="0.35">
      <c r="B1941" s="1">
        <v>15</v>
      </c>
      <c r="C1941" s="22">
        <v>45200</v>
      </c>
      <c r="D1941" s="22">
        <v>45230</v>
      </c>
      <c r="E1941" s="23">
        <f t="shared" si="307"/>
        <v>31</v>
      </c>
      <c r="F1941" s="3">
        <f t="shared" si="310"/>
        <v>5139250.7214642763</v>
      </c>
      <c r="G1941" s="3">
        <f t="shared" si="312"/>
        <v>537773.15349401208</v>
      </c>
      <c r="H1941" s="3">
        <f t="shared" si="311"/>
        <v>42827.089345535634</v>
      </c>
      <c r="I1941" s="3">
        <f t="shared" si="308"/>
        <v>494946.06414847646</v>
      </c>
      <c r="J1941" s="3">
        <f t="shared" si="309"/>
        <v>4644304.6573158</v>
      </c>
      <c r="K1941" s="24"/>
      <c r="L1941" s="24">
        <f t="shared" si="313"/>
        <v>853277.84192814492</v>
      </c>
    </row>
    <row r="1942" spans="2:12" x14ac:dyDescent="0.35">
      <c r="B1942" s="1">
        <v>16</v>
      </c>
      <c r="C1942" s="22">
        <v>45231</v>
      </c>
      <c r="D1942" s="22">
        <v>45260</v>
      </c>
      <c r="E1942" s="23">
        <f t="shared" si="307"/>
        <v>30</v>
      </c>
      <c r="F1942" s="3">
        <f t="shared" si="310"/>
        <v>4644304.6573158</v>
      </c>
      <c r="G1942" s="3">
        <f t="shared" si="312"/>
        <v>537773.15349401208</v>
      </c>
      <c r="H1942" s="3">
        <f t="shared" si="311"/>
        <v>38702.538810965001</v>
      </c>
      <c r="I1942" s="3">
        <f t="shared" si="308"/>
        <v>499070.61468304705</v>
      </c>
      <c r="J1942" s="3">
        <f t="shared" si="309"/>
        <v>4145234.042632753</v>
      </c>
      <c r="K1942" s="24"/>
      <c r="L1942" s="24">
        <f t="shared" si="313"/>
        <v>1391050.995422157</v>
      </c>
    </row>
    <row r="1943" spans="2:12" x14ac:dyDescent="0.35">
      <c r="B1943" s="1">
        <v>17</v>
      </c>
      <c r="C1943" s="22">
        <v>45261</v>
      </c>
      <c r="D1943" s="22">
        <v>45291</v>
      </c>
      <c r="E1943" s="23">
        <f t="shared" si="307"/>
        <v>31</v>
      </c>
      <c r="F1943" s="3">
        <f t="shared" si="310"/>
        <v>4145234.042632753</v>
      </c>
      <c r="G1943" s="3">
        <f t="shared" si="312"/>
        <v>537773.15349401208</v>
      </c>
      <c r="H1943" s="3">
        <f t="shared" si="311"/>
        <v>34543.617021939608</v>
      </c>
      <c r="I1943" s="3">
        <f t="shared" si="308"/>
        <v>503229.53647207248</v>
      </c>
      <c r="J1943" s="3">
        <f t="shared" si="309"/>
        <v>3642004.5061606807</v>
      </c>
      <c r="K1943" s="24">
        <v>1000000</v>
      </c>
      <c r="L1943" s="24">
        <f t="shared" si="313"/>
        <v>928824.14891616907</v>
      </c>
    </row>
    <row r="1944" spans="2:12" x14ac:dyDescent="0.35">
      <c r="B1944" s="1">
        <v>18</v>
      </c>
      <c r="C1944" s="22">
        <v>45292</v>
      </c>
      <c r="D1944" s="22">
        <v>45322</v>
      </c>
      <c r="E1944" s="23">
        <f t="shared" si="307"/>
        <v>31</v>
      </c>
      <c r="F1944" s="3">
        <f t="shared" si="310"/>
        <v>3642004.5061606807</v>
      </c>
      <c r="G1944" s="3">
        <f t="shared" si="312"/>
        <v>537773.15349401208</v>
      </c>
      <c r="H1944" s="3">
        <f t="shared" si="311"/>
        <v>30350.037551339006</v>
      </c>
      <c r="I1944" s="3">
        <f t="shared" si="308"/>
        <v>507423.11594267306</v>
      </c>
      <c r="J1944" s="3">
        <f t="shared" si="309"/>
        <v>3134581.3902180074</v>
      </c>
      <c r="K1944" s="24">
        <v>1600000</v>
      </c>
      <c r="L1944" s="24">
        <f t="shared" si="313"/>
        <v>-133402.69758981885</v>
      </c>
    </row>
    <row r="1945" spans="2:12" x14ac:dyDescent="0.35">
      <c r="B1945" s="1">
        <v>19</v>
      </c>
      <c r="C1945" s="22">
        <v>45323</v>
      </c>
      <c r="D1945" s="22">
        <v>45351</v>
      </c>
      <c r="E1945" s="23">
        <f t="shared" si="307"/>
        <v>29</v>
      </c>
      <c r="F1945" s="3">
        <f t="shared" si="310"/>
        <v>3134581.3902180074</v>
      </c>
      <c r="G1945" s="3">
        <f t="shared" si="312"/>
        <v>537773.15349401208</v>
      </c>
      <c r="H1945" s="3">
        <f t="shared" si="311"/>
        <v>26121.51158515006</v>
      </c>
      <c r="I1945" s="3">
        <f t="shared" si="308"/>
        <v>511651.64190886205</v>
      </c>
      <c r="J1945" s="3">
        <f t="shared" si="309"/>
        <v>2622929.7483091452</v>
      </c>
      <c r="K1945" s="24">
        <v>1000000</v>
      </c>
      <c r="L1945" s="24">
        <f t="shared" si="313"/>
        <v>-595629.54409580678</v>
      </c>
    </row>
    <row r="1946" spans="2:12" x14ac:dyDescent="0.35">
      <c r="B1946" s="1">
        <v>20</v>
      </c>
      <c r="C1946" s="22">
        <v>45352</v>
      </c>
      <c r="D1946" s="22">
        <v>45382</v>
      </c>
      <c r="E1946" s="23">
        <f t="shared" si="307"/>
        <v>31</v>
      </c>
      <c r="F1946" s="3">
        <f t="shared" si="310"/>
        <v>2622929.7483091452</v>
      </c>
      <c r="G1946" s="3">
        <f t="shared" si="312"/>
        <v>537773.15349401208</v>
      </c>
      <c r="H1946" s="3">
        <f t="shared" si="311"/>
        <v>21857.747902576211</v>
      </c>
      <c r="I1946" s="3">
        <f t="shared" si="308"/>
        <v>515915.40559143585</v>
      </c>
      <c r="J1946" s="3">
        <f t="shared" si="309"/>
        <v>2107014.3427177095</v>
      </c>
      <c r="K1946" s="24">
        <v>600000</v>
      </c>
      <c r="L1946" s="24">
        <f t="shared" si="313"/>
        <v>-657856.3906017947</v>
      </c>
    </row>
    <row r="1947" spans="2:12" x14ac:dyDescent="0.35">
      <c r="B1947" s="1">
        <v>21</v>
      </c>
      <c r="C1947" s="22">
        <v>45383</v>
      </c>
      <c r="D1947" s="22">
        <v>45412</v>
      </c>
      <c r="E1947" s="23">
        <f t="shared" si="307"/>
        <v>30</v>
      </c>
      <c r="F1947" s="3">
        <f t="shared" si="310"/>
        <v>2107014.3427177095</v>
      </c>
      <c r="G1947" s="3">
        <f t="shared" si="312"/>
        <v>537773.15349401208</v>
      </c>
      <c r="H1947" s="3">
        <f t="shared" si="311"/>
        <v>17558.452855980911</v>
      </c>
      <c r="I1947" s="3">
        <f t="shared" si="308"/>
        <v>520214.70063803118</v>
      </c>
      <c r="J1947" s="3">
        <f t="shared" si="309"/>
        <v>1586799.6420796784</v>
      </c>
      <c r="K1947" s="24"/>
      <c r="L1947" s="24">
        <f t="shared" si="313"/>
        <v>-120083.23710778262</v>
      </c>
    </row>
    <row r="1948" spans="2:12" x14ac:dyDescent="0.35">
      <c r="B1948" s="1">
        <v>22</v>
      </c>
      <c r="C1948" s="22">
        <v>45413</v>
      </c>
      <c r="D1948" s="22">
        <v>45443</v>
      </c>
      <c r="E1948" s="23">
        <f t="shared" si="307"/>
        <v>31</v>
      </c>
      <c r="F1948" s="3">
        <f t="shared" si="310"/>
        <v>1586799.6420796784</v>
      </c>
      <c r="G1948" s="3">
        <f t="shared" si="312"/>
        <v>537773.15349401208</v>
      </c>
      <c r="H1948" s="3">
        <f t="shared" si="311"/>
        <v>13223.330350663986</v>
      </c>
      <c r="I1948" s="3">
        <f t="shared" si="308"/>
        <v>524549.8231433481</v>
      </c>
      <c r="J1948" s="3">
        <f t="shared" si="309"/>
        <v>1062249.8189363303</v>
      </c>
      <c r="K1948" s="24">
        <v>700000</v>
      </c>
      <c r="L1948" s="24">
        <f t="shared" si="313"/>
        <v>-282310.08361377055</v>
      </c>
    </row>
    <row r="1949" spans="2:12" x14ac:dyDescent="0.35">
      <c r="B1949" s="1">
        <v>23</v>
      </c>
      <c r="C1949" s="22">
        <v>45444</v>
      </c>
      <c r="D1949" s="22">
        <v>45473</v>
      </c>
      <c r="E1949" s="23">
        <f t="shared" si="307"/>
        <v>30</v>
      </c>
      <c r="F1949" s="3">
        <f t="shared" si="310"/>
        <v>1062249.8189363303</v>
      </c>
      <c r="G1949" s="3">
        <f t="shared" si="312"/>
        <v>537773.15349401208</v>
      </c>
      <c r="H1949" s="3">
        <f t="shared" si="311"/>
        <v>8852.0818244694183</v>
      </c>
      <c r="I1949" s="3">
        <f t="shared" si="308"/>
        <v>528921.0716695427</v>
      </c>
      <c r="J1949" s="3">
        <f t="shared" si="309"/>
        <v>533328.74726678757</v>
      </c>
      <c r="K1949" s="24">
        <v>780000</v>
      </c>
      <c r="L1949" s="24">
        <f t="shared" si="313"/>
        <v>-524536.93011975847</v>
      </c>
    </row>
    <row r="1950" spans="2:12" x14ac:dyDescent="0.35">
      <c r="B1950" s="1">
        <v>24</v>
      </c>
      <c r="C1950" s="22">
        <v>45474</v>
      </c>
      <c r="D1950" s="22">
        <v>45504</v>
      </c>
      <c r="E1950" s="23">
        <f t="shared" si="307"/>
        <v>31</v>
      </c>
      <c r="F1950" s="3">
        <f t="shared" si="310"/>
        <v>533328.74726678757</v>
      </c>
      <c r="G1950" s="3">
        <f t="shared" si="312"/>
        <v>537773.15349401208</v>
      </c>
      <c r="H1950" s="3">
        <f t="shared" si="311"/>
        <v>4444.4062272232295</v>
      </c>
      <c r="I1950" s="3">
        <f t="shared" si="308"/>
        <v>533328.74726678885</v>
      </c>
      <c r="J1950" s="3">
        <f t="shared" si="309"/>
        <v>-1.280568540096283E-9</v>
      </c>
      <c r="K1950" s="24"/>
      <c r="L1950" s="24"/>
    </row>
    <row r="1951" spans="2:12" x14ac:dyDescent="0.35">
      <c r="B1951" s="1"/>
      <c r="C1951" s="22"/>
      <c r="D1951" s="22"/>
      <c r="E1951" s="23"/>
      <c r="F1951" s="3"/>
      <c r="G1951" s="3"/>
      <c r="H1951" s="3"/>
      <c r="I1951" s="3"/>
      <c r="J1951" s="3"/>
      <c r="K1951" s="24"/>
      <c r="L1951" s="24"/>
    </row>
    <row r="1952" spans="2:12" ht="14.25" customHeight="1" x14ac:dyDescent="0.35">
      <c r="B1952" s="1"/>
      <c r="C1952" s="1"/>
      <c r="D1952" s="1"/>
      <c r="E1952" s="28">
        <f>SUM(E1926:E1938)</f>
        <v>390</v>
      </c>
      <c r="F1952" s="3"/>
      <c r="G1952" s="3"/>
      <c r="H1952" s="3"/>
      <c r="I1952" s="3"/>
      <c r="J1952" s="3"/>
      <c r="K1952" s="1"/>
      <c r="L1952" s="1"/>
    </row>
    <row r="1958" spans="2:19" x14ac:dyDescent="0.35">
      <c r="B1958" s="1"/>
      <c r="C1958" s="8" t="s">
        <v>790</v>
      </c>
      <c r="D1958" s="3"/>
      <c r="E1958" s="3"/>
      <c r="F1958" s="3"/>
      <c r="G1958" s="3"/>
      <c r="H1958" s="3"/>
      <c r="I1958" s="3"/>
      <c r="J1958" s="3"/>
      <c r="K1958" s="3"/>
      <c r="L1958" s="3"/>
      <c r="R1958" s="438" t="s">
        <v>832</v>
      </c>
      <c r="S1958" s="432" t="str">
        <f>IFERROR(INDEX(Blocks!$I$2:$I$101,MATCH(34,Blocks!$A$2:$A$101,0)),"")</f>
        <v>000104450000036</v>
      </c>
    </row>
    <row r="1959" spans="2:19" x14ac:dyDescent="0.35">
      <c r="B1959" s="1"/>
      <c r="C1959" s="1"/>
      <c r="D1959" s="3"/>
      <c r="E1959" s="3"/>
      <c r="F1959" s="3"/>
      <c r="G1959" s="3"/>
      <c r="H1959" s="3"/>
      <c r="I1959" s="3"/>
      <c r="J1959" s="3"/>
      <c r="K1959" s="3"/>
      <c r="L1959" s="3"/>
      <c r="R1959" s="438" t="s">
        <v>834</v>
      </c>
      <c r="S1959" s="432" t="str">
        <f>IFERROR(INDEX(Blocks!$H$2:$H$101,MATCH(34,Blocks!$A$2:$A$101,0)),"")</f>
        <v>Agribusiness Solutions Ltd</v>
      </c>
    </row>
    <row r="1960" spans="2:19" x14ac:dyDescent="0.35">
      <c r="B1960" s="1"/>
      <c r="C1960" s="9" t="s">
        <v>835</v>
      </c>
      <c r="D1960" s="10">
        <v>24000000</v>
      </c>
      <c r="E1960" s="3"/>
      <c r="F1960" s="3"/>
      <c r="G1960" s="3"/>
      <c r="H1960" s="3"/>
      <c r="I1960" s="3"/>
      <c r="J1960" s="3"/>
      <c r="K1960" s="3"/>
      <c r="L1960" s="3"/>
      <c r="R1960" s="438" t="s">
        <v>223</v>
      </c>
      <c r="S1960" s="433">
        <f>IFERROR(INDEX('E-Banker master'!$N$2:$N$186,MATCH(S1958,'E-Banker master'!$A$2:$A$186,0)),"")</f>
        <v>0</v>
      </c>
    </row>
    <row r="1961" spans="2:19" x14ac:dyDescent="0.35">
      <c r="B1961" s="1"/>
      <c r="C1961" s="11" t="s">
        <v>837</v>
      </c>
      <c r="D1961" s="12">
        <v>0.1</v>
      </c>
      <c r="E1961" s="13"/>
      <c r="F1961" s="3"/>
      <c r="G1961" s="3"/>
      <c r="H1961" s="3"/>
      <c r="I1961" s="3"/>
      <c r="J1961" s="3"/>
      <c r="K1961" s="3"/>
      <c r="L1961" s="3"/>
      <c r="R1961" s="438" t="s">
        <v>52</v>
      </c>
      <c r="S1961" s="433">
        <f>IFERROR(INDEX('E-Banker master'!$P$2:$P$186,MATCH(S1958,'E-Banker master'!$A$2:$A$186,0)),"")</f>
        <v>0</v>
      </c>
    </row>
    <row r="1962" spans="2:19" x14ac:dyDescent="0.35">
      <c r="B1962" s="1"/>
      <c r="C1962" s="11" t="s">
        <v>838</v>
      </c>
      <c r="D1962" s="14">
        <v>2</v>
      </c>
      <c r="E1962" s="1"/>
      <c r="F1962" s="3"/>
      <c r="G1962" s="3"/>
      <c r="H1962" s="3"/>
      <c r="I1962" s="3"/>
      <c r="J1962" s="3"/>
      <c r="K1962" s="1"/>
      <c r="L1962" s="1"/>
    </row>
    <row r="1963" spans="2:19" x14ac:dyDescent="0.35">
      <c r="B1963" s="1"/>
      <c r="C1963" s="11" t="s">
        <v>839</v>
      </c>
      <c r="D1963" s="14">
        <v>12</v>
      </c>
      <c r="E1963" s="1"/>
      <c r="F1963" s="3"/>
      <c r="G1963" s="3"/>
      <c r="H1963" s="3"/>
      <c r="I1963" s="3"/>
      <c r="J1963" s="3"/>
      <c r="K1963" s="1"/>
      <c r="L1963" s="1"/>
    </row>
    <row r="1964" spans="2:19" x14ac:dyDescent="0.35">
      <c r="B1964" s="1"/>
      <c r="C1964" s="11" t="s">
        <v>843</v>
      </c>
      <c r="D1964" s="15">
        <f>D1962*D1963</f>
        <v>24</v>
      </c>
      <c r="E1964" s="1"/>
      <c r="F1964" s="3"/>
      <c r="G1964" s="3"/>
      <c r="H1964" s="3"/>
      <c r="I1964" s="3"/>
      <c r="J1964" s="3"/>
      <c r="K1964" s="1"/>
      <c r="L1964" s="1"/>
    </row>
    <row r="1965" spans="2:19" x14ac:dyDescent="0.35">
      <c r="B1965" s="1"/>
      <c r="C1965" s="11" t="s">
        <v>844</v>
      </c>
      <c r="D1965" s="16">
        <v>365</v>
      </c>
      <c r="E1965" s="1"/>
      <c r="F1965" s="3"/>
      <c r="G1965" s="3"/>
      <c r="H1965" s="3"/>
      <c r="I1965" s="3"/>
      <c r="J1965" s="3"/>
      <c r="K1965" s="1"/>
      <c r="L1965" s="1"/>
    </row>
    <row r="1966" spans="2:19" x14ac:dyDescent="0.35">
      <c r="B1966" s="1"/>
      <c r="C1966" s="17" t="s">
        <v>845</v>
      </c>
      <c r="D1966" s="18">
        <f>-PMT(D1961/D1963,D1964,D1960,0,0)</f>
        <v>1107478.2321003962</v>
      </c>
      <c r="E1966" s="3"/>
      <c r="F1966" s="3"/>
      <c r="G1966" s="3"/>
      <c r="H1966" s="3"/>
      <c r="I1966" s="3"/>
      <c r="J1966" s="3"/>
      <c r="K1966" s="1"/>
      <c r="L1966" s="1"/>
    </row>
    <row r="1967" spans="2:19" x14ac:dyDescent="0.35">
      <c r="B1967" s="1"/>
      <c r="C1967" s="1"/>
      <c r="D1967" s="3"/>
      <c r="E1967" s="3"/>
      <c r="F1967" s="3"/>
      <c r="G1967" s="3"/>
      <c r="H1967" s="3"/>
      <c r="I1967" s="3"/>
      <c r="J1967" s="3"/>
      <c r="K1967" s="1"/>
      <c r="L1967" s="1"/>
    </row>
    <row r="1968" spans="2:19" x14ac:dyDescent="0.35">
      <c r="B1968" s="1"/>
      <c r="C1968" s="19" t="s">
        <v>846</v>
      </c>
      <c r="D1968" s="20" t="s">
        <v>847</v>
      </c>
      <c r="E1968" s="20" t="s">
        <v>764</v>
      </c>
      <c r="F1968" s="270" t="s">
        <v>848</v>
      </c>
      <c r="G1968" s="270" t="s">
        <v>849</v>
      </c>
      <c r="H1968" s="270" t="s">
        <v>742</v>
      </c>
      <c r="I1968" s="270" t="s">
        <v>740</v>
      </c>
      <c r="J1968" s="270" t="s">
        <v>850</v>
      </c>
      <c r="K1968" s="21" t="s">
        <v>851</v>
      </c>
      <c r="L1968" s="21" t="s">
        <v>852</v>
      </c>
    </row>
    <row r="1969" spans="2:12" x14ac:dyDescent="0.35">
      <c r="B1969" s="1">
        <v>0</v>
      </c>
      <c r="C1969" s="22">
        <v>44755</v>
      </c>
      <c r="D1969" s="22">
        <v>44773</v>
      </c>
      <c r="E1969" s="23">
        <f t="shared" ref="E1969:E1993" si="314">D1969-C1969+1</f>
        <v>19</v>
      </c>
      <c r="F1969" s="3">
        <f>D1960</f>
        <v>24000000</v>
      </c>
      <c r="G1969" s="3"/>
      <c r="H1969" s="3">
        <f>$D$1961/$D$1963*F1969*E1969/30</f>
        <v>126666.66666666667</v>
      </c>
      <c r="I1969" s="3">
        <f t="shared" ref="I1969:I1993" si="315">G1969-H1969</f>
        <v>-126666.66666666667</v>
      </c>
      <c r="J1969" s="3">
        <f t="shared" ref="J1969:J1993" si="316">F1969-I1969</f>
        <v>24126666.666666668</v>
      </c>
      <c r="K1969" s="24"/>
      <c r="L1969" s="24"/>
    </row>
    <row r="1970" spans="2:12" x14ac:dyDescent="0.35">
      <c r="B1970" s="1">
        <v>1</v>
      </c>
      <c r="C1970" s="22">
        <v>44774</v>
      </c>
      <c r="D1970" s="22">
        <v>44804</v>
      </c>
      <c r="E1970" s="23">
        <f t="shared" si="314"/>
        <v>31</v>
      </c>
      <c r="F1970" s="3">
        <f t="shared" ref="F1970:F1993" si="317">J1969</f>
        <v>24126666.666666668</v>
      </c>
      <c r="G1970" s="3"/>
      <c r="H1970" s="3">
        <f t="shared" ref="H1970:H1993" si="318">$D$1961/$D$1963*F1970</f>
        <v>201055.55555555556</v>
      </c>
      <c r="I1970" s="3">
        <f t="shared" si="315"/>
        <v>-201055.55555555556</v>
      </c>
      <c r="J1970" s="3">
        <f t="shared" si="316"/>
        <v>24327722.222222224</v>
      </c>
      <c r="K1970" s="24"/>
      <c r="L1970" s="24"/>
    </row>
    <row r="1971" spans="2:12" x14ac:dyDescent="0.35">
      <c r="B1971" s="1">
        <v>2</v>
      </c>
      <c r="C1971" s="22">
        <v>44805</v>
      </c>
      <c r="D1971" s="22">
        <v>44834</v>
      </c>
      <c r="E1971" s="23">
        <f t="shared" si="314"/>
        <v>30</v>
      </c>
      <c r="F1971" s="3">
        <f t="shared" si="317"/>
        <v>24327722.222222224</v>
      </c>
      <c r="G1971" s="3"/>
      <c r="H1971" s="3">
        <f t="shared" si="318"/>
        <v>202731.01851851854</v>
      </c>
      <c r="I1971" s="3">
        <f t="shared" si="315"/>
        <v>-202731.01851851854</v>
      </c>
      <c r="J1971" s="3">
        <f t="shared" si="316"/>
        <v>24530453.240740743</v>
      </c>
    </row>
    <row r="1972" spans="2:12" x14ac:dyDescent="0.35">
      <c r="B1972" s="1">
        <v>3</v>
      </c>
      <c r="C1972" s="22">
        <v>44835</v>
      </c>
      <c r="D1972" s="22">
        <v>44865</v>
      </c>
      <c r="E1972" s="23">
        <f t="shared" si="314"/>
        <v>31</v>
      </c>
      <c r="F1972" s="3">
        <f t="shared" si="317"/>
        <v>24530453.240740743</v>
      </c>
      <c r="G1972" s="3"/>
      <c r="H1972" s="3">
        <f t="shared" si="318"/>
        <v>204420.44367283952</v>
      </c>
      <c r="I1972" s="3">
        <f t="shared" si="315"/>
        <v>-204420.44367283952</v>
      </c>
      <c r="J1972" s="3">
        <f t="shared" si="316"/>
        <v>24734873.684413582</v>
      </c>
      <c r="K1972" s="24"/>
      <c r="L1972" s="24"/>
    </row>
    <row r="1973" spans="2:12" x14ac:dyDescent="0.35">
      <c r="B1973" s="1">
        <v>4</v>
      </c>
      <c r="C1973" s="22">
        <v>44866</v>
      </c>
      <c r="D1973" s="22">
        <v>44895</v>
      </c>
      <c r="E1973" s="23">
        <f t="shared" si="314"/>
        <v>30</v>
      </c>
      <c r="F1973" s="3">
        <f t="shared" si="317"/>
        <v>24734873.684413582</v>
      </c>
      <c r="G1973" s="3">
        <f t="shared" ref="G1973:G1993" si="319">-PMT($D$1961/$D$1963,21,$F$1973,,0)</f>
        <v>1288806.030810995</v>
      </c>
      <c r="H1973" s="3">
        <f t="shared" si="318"/>
        <v>206123.94737011319</v>
      </c>
      <c r="I1973" s="3">
        <f t="shared" si="315"/>
        <v>1082682.0834408819</v>
      </c>
      <c r="J1973" s="3">
        <f t="shared" si="316"/>
        <v>23652191.600972701</v>
      </c>
      <c r="K1973" s="24">
        <v>1282040</v>
      </c>
      <c r="L1973" s="24">
        <f>G1973-K1973</f>
        <v>6766.0308109950274</v>
      </c>
    </row>
    <row r="1974" spans="2:12" x14ac:dyDescent="0.35">
      <c r="B1974" s="1">
        <v>5</v>
      </c>
      <c r="C1974" s="22">
        <v>44896</v>
      </c>
      <c r="D1974" s="22">
        <v>44926</v>
      </c>
      <c r="E1974" s="23">
        <f t="shared" si="314"/>
        <v>31</v>
      </c>
      <c r="F1974" s="3">
        <f t="shared" si="317"/>
        <v>23652191.600972701</v>
      </c>
      <c r="G1974" s="3">
        <f t="shared" si="319"/>
        <v>1288806.030810995</v>
      </c>
      <c r="H1974" s="3">
        <f t="shared" si="318"/>
        <v>197101.5966747725</v>
      </c>
      <c r="I1974" s="3">
        <f t="shared" si="315"/>
        <v>1091704.4341362226</v>
      </c>
      <c r="J1974" s="3">
        <f t="shared" si="316"/>
        <v>22560487.166836478</v>
      </c>
      <c r="K1974" s="24">
        <v>1300000</v>
      </c>
      <c r="L1974" s="24">
        <f t="shared" ref="L1974:L1993" si="320">L1973+G1974-K1974</f>
        <v>-4427.9383780099452</v>
      </c>
    </row>
    <row r="1975" spans="2:12" x14ac:dyDescent="0.35">
      <c r="B1975" s="1">
        <v>6</v>
      </c>
      <c r="C1975" s="22">
        <v>44927</v>
      </c>
      <c r="D1975" s="22">
        <v>44957</v>
      </c>
      <c r="E1975" s="23">
        <f t="shared" si="314"/>
        <v>31</v>
      </c>
      <c r="F1975" s="3">
        <f t="shared" si="317"/>
        <v>22560487.166836478</v>
      </c>
      <c r="G1975" s="3">
        <f t="shared" si="319"/>
        <v>1288806.030810995</v>
      </c>
      <c r="H1975" s="3">
        <f t="shared" si="318"/>
        <v>188004.0597236373</v>
      </c>
      <c r="I1975" s="3">
        <f t="shared" si="315"/>
        <v>1100801.9710873577</v>
      </c>
      <c r="J1975" s="3">
        <f t="shared" si="316"/>
        <v>21459685.195749119</v>
      </c>
      <c r="K1975" s="24">
        <v>1500000</v>
      </c>
      <c r="L1975" s="24">
        <f t="shared" si="320"/>
        <v>-215621.90756701492</v>
      </c>
    </row>
    <row r="1976" spans="2:12" x14ac:dyDescent="0.35">
      <c r="B1976" s="1">
        <v>7</v>
      </c>
      <c r="C1976" s="22">
        <v>44958</v>
      </c>
      <c r="D1976" s="22">
        <v>44985</v>
      </c>
      <c r="E1976" s="23">
        <f t="shared" si="314"/>
        <v>28</v>
      </c>
      <c r="F1976" s="3">
        <f t="shared" si="317"/>
        <v>21459685.195749119</v>
      </c>
      <c r="G1976" s="3">
        <f t="shared" si="319"/>
        <v>1288806.030810995</v>
      </c>
      <c r="H1976" s="3">
        <f t="shared" si="318"/>
        <v>178830.709964576</v>
      </c>
      <c r="I1976" s="3">
        <f t="shared" si="315"/>
        <v>1109975.3208464191</v>
      </c>
      <c r="J1976" s="3">
        <f t="shared" si="316"/>
        <v>20349709.874902699</v>
      </c>
      <c r="K1976" s="24">
        <v>1100000</v>
      </c>
      <c r="L1976" s="24">
        <f t="shared" si="320"/>
        <v>-26815.87675601989</v>
      </c>
    </row>
    <row r="1977" spans="2:12" x14ac:dyDescent="0.35">
      <c r="B1977" s="1">
        <v>8</v>
      </c>
      <c r="C1977" s="22">
        <v>44986</v>
      </c>
      <c r="D1977" s="22">
        <v>45016</v>
      </c>
      <c r="E1977" s="23">
        <f t="shared" si="314"/>
        <v>31</v>
      </c>
      <c r="F1977" s="3">
        <f t="shared" si="317"/>
        <v>20349709.874902699</v>
      </c>
      <c r="G1977" s="3">
        <f t="shared" si="319"/>
        <v>1288806.030810995</v>
      </c>
      <c r="H1977" s="3">
        <f t="shared" si="318"/>
        <v>169580.91562418916</v>
      </c>
      <c r="I1977" s="3">
        <f t="shared" si="315"/>
        <v>1119225.1151868058</v>
      </c>
      <c r="J1977" s="3">
        <f t="shared" si="316"/>
        <v>19230484.759715892</v>
      </c>
      <c r="K1977" s="24">
        <v>1300000</v>
      </c>
      <c r="L1977" s="24">
        <f t="shared" si="320"/>
        <v>-38009.845945024863</v>
      </c>
    </row>
    <row r="1978" spans="2:12" x14ac:dyDescent="0.35">
      <c r="B1978" s="1">
        <v>9</v>
      </c>
      <c r="C1978" s="22">
        <v>45017</v>
      </c>
      <c r="D1978" s="22">
        <v>45046</v>
      </c>
      <c r="E1978" s="23">
        <f t="shared" si="314"/>
        <v>30</v>
      </c>
      <c r="F1978" s="3">
        <f t="shared" si="317"/>
        <v>19230484.759715892</v>
      </c>
      <c r="G1978" s="3">
        <f t="shared" si="319"/>
        <v>1288806.030810995</v>
      </c>
      <c r="H1978" s="3">
        <f t="shared" si="318"/>
        <v>160254.03966429911</v>
      </c>
      <c r="I1978" s="3">
        <f t="shared" si="315"/>
        <v>1128551.9911466958</v>
      </c>
      <c r="J1978" s="3">
        <f t="shared" si="316"/>
        <v>18101932.768569198</v>
      </c>
      <c r="K1978" s="24"/>
      <c r="L1978" s="24">
        <f t="shared" si="320"/>
        <v>1250796.1848659702</v>
      </c>
    </row>
    <row r="1979" spans="2:12" x14ac:dyDescent="0.35">
      <c r="B1979" s="1">
        <v>10</v>
      </c>
      <c r="C1979" s="22">
        <v>45047</v>
      </c>
      <c r="D1979" s="22">
        <v>45077</v>
      </c>
      <c r="E1979" s="23">
        <f t="shared" si="314"/>
        <v>31</v>
      </c>
      <c r="F1979" s="3">
        <f t="shared" si="317"/>
        <v>18101932.768569198</v>
      </c>
      <c r="G1979" s="3">
        <f t="shared" si="319"/>
        <v>1288806.030810995</v>
      </c>
      <c r="H1979" s="3">
        <f t="shared" si="318"/>
        <v>150849.43973807665</v>
      </c>
      <c r="I1979" s="3">
        <f t="shared" si="315"/>
        <v>1137956.5910729184</v>
      </c>
      <c r="J1979" s="3">
        <f t="shared" si="316"/>
        <v>16963976.177496281</v>
      </c>
      <c r="K1979" s="24">
        <v>0</v>
      </c>
      <c r="L1979" s="24">
        <f t="shared" si="320"/>
        <v>2539602.2156769652</v>
      </c>
    </row>
    <row r="1980" spans="2:12" x14ac:dyDescent="0.35">
      <c r="B1980" s="1">
        <v>11</v>
      </c>
      <c r="C1980" s="22">
        <v>45078</v>
      </c>
      <c r="D1980" s="22">
        <v>45107</v>
      </c>
      <c r="E1980" s="23">
        <f t="shared" si="314"/>
        <v>30</v>
      </c>
      <c r="F1980" s="3">
        <f t="shared" si="317"/>
        <v>16963976.177496281</v>
      </c>
      <c r="G1980" s="3">
        <f t="shared" si="319"/>
        <v>1288806.030810995</v>
      </c>
      <c r="H1980" s="3">
        <f t="shared" si="318"/>
        <v>141366.46814580233</v>
      </c>
      <c r="I1980" s="3">
        <f t="shared" si="315"/>
        <v>1147439.5626651926</v>
      </c>
      <c r="J1980" s="3">
        <f t="shared" si="316"/>
        <v>15816536.614831088</v>
      </c>
      <c r="K1980" s="24">
        <v>1300000</v>
      </c>
      <c r="L1980" s="26">
        <f t="shared" si="320"/>
        <v>2528408.2464879602</v>
      </c>
    </row>
    <row r="1981" spans="2:12" x14ac:dyDescent="0.35">
      <c r="B1981" s="1">
        <v>12</v>
      </c>
      <c r="C1981" s="22">
        <v>45108</v>
      </c>
      <c r="D1981" s="22">
        <v>45138</v>
      </c>
      <c r="E1981" s="23">
        <f t="shared" si="314"/>
        <v>31</v>
      </c>
      <c r="F1981" s="3">
        <f t="shared" si="317"/>
        <v>15816536.614831088</v>
      </c>
      <c r="G1981" s="3">
        <f t="shared" si="319"/>
        <v>1288806.030810995</v>
      </c>
      <c r="H1981" s="3">
        <f t="shared" si="318"/>
        <v>131804.47179025906</v>
      </c>
      <c r="I1981" s="3">
        <f t="shared" si="315"/>
        <v>1157001.559020736</v>
      </c>
      <c r="J1981" s="3">
        <f t="shared" si="316"/>
        <v>14659535.055810353</v>
      </c>
      <c r="K1981" s="24">
        <v>1300000</v>
      </c>
      <c r="L1981" s="24">
        <f t="shared" si="320"/>
        <v>2517214.2772989552</v>
      </c>
    </row>
    <row r="1982" spans="2:12" x14ac:dyDescent="0.35">
      <c r="B1982" s="1">
        <v>13</v>
      </c>
      <c r="C1982" s="22">
        <v>45139</v>
      </c>
      <c r="D1982" s="22">
        <v>45169</v>
      </c>
      <c r="E1982" s="23">
        <f t="shared" si="314"/>
        <v>31</v>
      </c>
      <c r="F1982" s="3">
        <f t="shared" si="317"/>
        <v>14659535.055810353</v>
      </c>
      <c r="G1982" s="3">
        <f t="shared" si="319"/>
        <v>1288806.030810995</v>
      </c>
      <c r="H1982" s="3">
        <f t="shared" si="318"/>
        <v>122162.79213175294</v>
      </c>
      <c r="I1982" s="3">
        <f t="shared" si="315"/>
        <v>1166643.2386792421</v>
      </c>
      <c r="J1982" s="3">
        <f t="shared" si="316"/>
        <v>13492891.817131111</v>
      </c>
      <c r="K1982" s="24">
        <v>1000000</v>
      </c>
      <c r="L1982" s="24">
        <f t="shared" si="320"/>
        <v>2806020.3081099503</v>
      </c>
    </row>
    <row r="1983" spans="2:12" x14ac:dyDescent="0.35">
      <c r="B1983" s="1">
        <v>14</v>
      </c>
      <c r="C1983" s="22">
        <v>45170</v>
      </c>
      <c r="D1983" s="22">
        <v>45199</v>
      </c>
      <c r="E1983" s="23">
        <f t="shared" si="314"/>
        <v>30</v>
      </c>
      <c r="F1983" s="3">
        <f t="shared" si="317"/>
        <v>13492891.817131111</v>
      </c>
      <c r="G1983" s="3">
        <f t="shared" si="319"/>
        <v>1288806.030810995</v>
      </c>
      <c r="H1983" s="3">
        <f t="shared" si="318"/>
        <v>112440.76514275926</v>
      </c>
      <c r="I1983" s="3">
        <f t="shared" si="315"/>
        <v>1176365.2656682357</v>
      </c>
      <c r="J1983" s="3">
        <f t="shared" si="316"/>
        <v>12316526.551462876</v>
      </c>
      <c r="K1983" s="24"/>
      <c r="L1983" s="24">
        <f t="shared" si="320"/>
        <v>4094826.3389209453</v>
      </c>
    </row>
    <row r="1984" spans="2:12" x14ac:dyDescent="0.35">
      <c r="B1984" s="1">
        <v>15</v>
      </c>
      <c r="C1984" s="22">
        <v>45200</v>
      </c>
      <c r="D1984" s="22">
        <v>45230</v>
      </c>
      <c r="E1984" s="23">
        <f t="shared" si="314"/>
        <v>31</v>
      </c>
      <c r="F1984" s="3">
        <f t="shared" si="317"/>
        <v>12316526.551462876</v>
      </c>
      <c r="G1984" s="3">
        <f t="shared" si="319"/>
        <v>1288806.030810995</v>
      </c>
      <c r="H1984" s="3">
        <f t="shared" si="318"/>
        <v>102637.72126219064</v>
      </c>
      <c r="I1984" s="3">
        <f t="shared" si="315"/>
        <v>1186168.3095488043</v>
      </c>
      <c r="J1984" s="3">
        <f t="shared" si="316"/>
        <v>11130358.241914071</v>
      </c>
      <c r="K1984" s="24"/>
      <c r="L1984" s="24">
        <f t="shared" si="320"/>
        <v>5383632.3697319403</v>
      </c>
    </row>
    <row r="1985" spans="2:12" x14ac:dyDescent="0.35">
      <c r="B1985" s="1">
        <v>16</v>
      </c>
      <c r="C1985" s="22">
        <v>45231</v>
      </c>
      <c r="D1985" s="22">
        <v>45260</v>
      </c>
      <c r="E1985" s="23">
        <f t="shared" si="314"/>
        <v>30</v>
      </c>
      <c r="F1985" s="3">
        <f t="shared" si="317"/>
        <v>11130358.241914071</v>
      </c>
      <c r="G1985" s="3">
        <f t="shared" si="319"/>
        <v>1288806.030810995</v>
      </c>
      <c r="H1985" s="3">
        <f t="shared" si="318"/>
        <v>92752.985349283932</v>
      </c>
      <c r="I1985" s="3">
        <f t="shared" si="315"/>
        <v>1196053.045461711</v>
      </c>
      <c r="J1985" s="3">
        <f t="shared" si="316"/>
        <v>9934305.1964523606</v>
      </c>
      <c r="K1985" s="24">
        <v>800000</v>
      </c>
      <c r="L1985" s="24">
        <f t="shared" si="320"/>
        <v>5872438.4005429354</v>
      </c>
    </row>
    <row r="1986" spans="2:12" x14ac:dyDescent="0.35">
      <c r="B1986" s="1">
        <v>17</v>
      </c>
      <c r="C1986" s="22">
        <v>45261</v>
      </c>
      <c r="D1986" s="22">
        <v>45291</v>
      </c>
      <c r="E1986" s="23">
        <f t="shared" si="314"/>
        <v>31</v>
      </c>
      <c r="F1986" s="3">
        <f t="shared" si="317"/>
        <v>9934305.1964523606</v>
      </c>
      <c r="G1986" s="3">
        <f t="shared" si="319"/>
        <v>1288806.030810995</v>
      </c>
      <c r="H1986" s="3">
        <f t="shared" si="318"/>
        <v>82785.876637103007</v>
      </c>
      <c r="I1986" s="3">
        <f t="shared" si="315"/>
        <v>1206020.154173892</v>
      </c>
      <c r="J1986" s="3">
        <f t="shared" si="316"/>
        <v>8728285.0422784686</v>
      </c>
      <c r="K1986" s="24">
        <v>1200000</v>
      </c>
      <c r="L1986" s="24">
        <f t="shared" si="320"/>
        <v>5961244.4313539304</v>
      </c>
    </row>
    <row r="1987" spans="2:12" x14ac:dyDescent="0.35">
      <c r="B1987" s="1">
        <v>18</v>
      </c>
      <c r="C1987" s="22">
        <v>45292</v>
      </c>
      <c r="D1987" s="22">
        <v>45322</v>
      </c>
      <c r="E1987" s="23">
        <f t="shared" si="314"/>
        <v>31</v>
      </c>
      <c r="F1987" s="3">
        <f t="shared" si="317"/>
        <v>8728285.0422784686</v>
      </c>
      <c r="G1987" s="3">
        <f t="shared" si="319"/>
        <v>1288806.030810995</v>
      </c>
      <c r="H1987" s="3">
        <f t="shared" si="318"/>
        <v>72735.70868565391</v>
      </c>
      <c r="I1987" s="3">
        <f t="shared" si="315"/>
        <v>1216070.322125341</v>
      </c>
      <c r="J1987" s="3">
        <f t="shared" si="316"/>
        <v>7512214.7201531278</v>
      </c>
      <c r="K1987" s="24">
        <v>5000000</v>
      </c>
      <c r="L1987" s="24">
        <f t="shared" si="320"/>
        <v>2250050.4621649254</v>
      </c>
    </row>
    <row r="1988" spans="2:12" x14ac:dyDescent="0.35">
      <c r="B1988" s="1">
        <v>19</v>
      </c>
      <c r="C1988" s="22">
        <v>45323</v>
      </c>
      <c r="D1988" s="22">
        <v>45351</v>
      </c>
      <c r="E1988" s="23">
        <f t="shared" si="314"/>
        <v>29</v>
      </c>
      <c r="F1988" s="3">
        <f t="shared" si="317"/>
        <v>7512214.7201531278</v>
      </c>
      <c r="G1988" s="3">
        <f t="shared" si="319"/>
        <v>1288806.030810995</v>
      </c>
      <c r="H1988" s="3">
        <f t="shared" si="318"/>
        <v>62601.789334609399</v>
      </c>
      <c r="I1988" s="3">
        <f t="shared" si="315"/>
        <v>1226204.2414763856</v>
      </c>
      <c r="J1988" s="3">
        <f t="shared" si="316"/>
        <v>6286010.4786767419</v>
      </c>
      <c r="K1988" s="24"/>
      <c r="L1988" s="24">
        <f t="shared" si="320"/>
        <v>3538856.4929759204</v>
      </c>
    </row>
    <row r="1989" spans="2:12" x14ac:dyDescent="0.35">
      <c r="B1989" s="1">
        <v>20</v>
      </c>
      <c r="C1989" s="22">
        <v>45352</v>
      </c>
      <c r="D1989" s="22">
        <v>45382</v>
      </c>
      <c r="E1989" s="23">
        <f t="shared" si="314"/>
        <v>31</v>
      </c>
      <c r="F1989" s="3">
        <f t="shared" si="317"/>
        <v>6286010.4786767419</v>
      </c>
      <c r="G1989" s="3">
        <f t="shared" si="319"/>
        <v>1288806.030810995</v>
      </c>
      <c r="H1989" s="3">
        <f t="shared" si="318"/>
        <v>52383.420655639515</v>
      </c>
      <c r="I1989" s="3">
        <f t="shared" si="315"/>
        <v>1236422.6101553554</v>
      </c>
      <c r="J1989" s="3">
        <f t="shared" si="316"/>
        <v>5049587.8685213868</v>
      </c>
      <c r="K1989" s="24">
        <f>1300000+2000000+500000</f>
        <v>3800000</v>
      </c>
      <c r="L1989" s="24">
        <f t="shared" si="320"/>
        <v>1027662.5237869155</v>
      </c>
    </row>
    <row r="1990" spans="2:12" x14ac:dyDescent="0.35">
      <c r="B1990" s="1">
        <v>21</v>
      </c>
      <c r="C1990" s="22">
        <v>45383</v>
      </c>
      <c r="D1990" s="22">
        <v>45412</v>
      </c>
      <c r="E1990" s="23">
        <f t="shared" si="314"/>
        <v>30</v>
      </c>
      <c r="F1990" s="3">
        <f t="shared" si="317"/>
        <v>5049587.8685213868</v>
      </c>
      <c r="G1990" s="3">
        <f t="shared" si="319"/>
        <v>1288806.030810995</v>
      </c>
      <c r="H1990" s="3">
        <f t="shared" si="318"/>
        <v>42079.898904344889</v>
      </c>
      <c r="I1990" s="3">
        <f t="shared" si="315"/>
        <v>1246726.13190665</v>
      </c>
      <c r="J1990" s="3">
        <f t="shared" si="316"/>
        <v>3802861.7366147367</v>
      </c>
      <c r="K1990" s="24"/>
      <c r="L1990" s="24">
        <f t="shared" si="320"/>
        <v>2316468.5545979105</v>
      </c>
    </row>
    <row r="1991" spans="2:12" x14ac:dyDescent="0.35">
      <c r="B1991" s="1">
        <v>22</v>
      </c>
      <c r="C1991" s="22">
        <v>45413</v>
      </c>
      <c r="D1991" s="22">
        <v>45443</v>
      </c>
      <c r="E1991" s="23">
        <f t="shared" si="314"/>
        <v>31</v>
      </c>
      <c r="F1991" s="3">
        <f t="shared" si="317"/>
        <v>3802861.7366147367</v>
      </c>
      <c r="G1991" s="3">
        <f t="shared" si="319"/>
        <v>1288806.030810995</v>
      </c>
      <c r="H1991" s="3">
        <f t="shared" si="318"/>
        <v>31690.514471789473</v>
      </c>
      <c r="I1991" s="3">
        <f t="shared" si="315"/>
        <v>1257115.5163392057</v>
      </c>
      <c r="J1991" s="3">
        <f t="shared" si="316"/>
        <v>2545746.2202755311</v>
      </c>
      <c r="K1991" s="24">
        <f>700000+700000</f>
        <v>1400000</v>
      </c>
      <c r="L1991" s="24">
        <f t="shared" si="320"/>
        <v>2205274.5854089055</v>
      </c>
    </row>
    <row r="1992" spans="2:12" x14ac:dyDescent="0.35">
      <c r="B1992" s="1">
        <v>23</v>
      </c>
      <c r="C1992" s="22">
        <v>45444</v>
      </c>
      <c r="D1992" s="22">
        <v>45473</v>
      </c>
      <c r="E1992" s="23">
        <f t="shared" si="314"/>
        <v>30</v>
      </c>
      <c r="F1992" s="3">
        <f t="shared" si="317"/>
        <v>2545746.2202755311</v>
      </c>
      <c r="G1992" s="3">
        <f t="shared" si="319"/>
        <v>1288806.030810995</v>
      </c>
      <c r="H1992" s="3">
        <f t="shared" si="318"/>
        <v>21214.551835629427</v>
      </c>
      <c r="I1992" s="3">
        <f t="shared" si="315"/>
        <v>1267591.4789753656</v>
      </c>
      <c r="J1992" s="3">
        <f t="shared" si="316"/>
        <v>1278154.7413001654</v>
      </c>
      <c r="K1992" s="24">
        <v>2205274.59</v>
      </c>
      <c r="L1992" s="24">
        <f t="shared" si="320"/>
        <v>1288806.0262199007</v>
      </c>
    </row>
    <row r="1993" spans="2:12" x14ac:dyDescent="0.35">
      <c r="B1993" s="1">
        <v>24</v>
      </c>
      <c r="C1993" s="22">
        <v>45474</v>
      </c>
      <c r="D1993" s="22">
        <v>45504</v>
      </c>
      <c r="E1993" s="23">
        <f t="shared" si="314"/>
        <v>31</v>
      </c>
      <c r="F1993" s="3">
        <f t="shared" si="317"/>
        <v>1278154.7413001654</v>
      </c>
      <c r="G1993" s="3">
        <f t="shared" si="319"/>
        <v>1288806.030810995</v>
      </c>
      <c r="H1993" s="3">
        <f t="shared" si="318"/>
        <v>10651.289510834711</v>
      </c>
      <c r="I1993" s="3">
        <f t="shared" si="315"/>
        <v>1278154.7413001603</v>
      </c>
      <c r="J1993" s="3">
        <f t="shared" si="316"/>
        <v>5.1222741603851318E-9</v>
      </c>
      <c r="K1993" s="24">
        <v>2585000</v>
      </c>
      <c r="L1993" s="204">
        <f t="shared" si="320"/>
        <v>-7387.9429691042751</v>
      </c>
    </row>
    <row r="1994" spans="2:12" x14ac:dyDescent="0.35">
      <c r="B1994" s="1"/>
      <c r="C1994" s="22"/>
      <c r="D1994" s="22"/>
      <c r="E1994" s="23"/>
      <c r="F1994" s="3"/>
      <c r="G1994" s="3"/>
      <c r="H1994" s="3"/>
      <c r="I1994" s="3"/>
      <c r="J1994" s="3"/>
      <c r="K1994" s="24"/>
      <c r="L1994" s="24"/>
    </row>
    <row r="1995" spans="2:12" ht="14.25" customHeight="1" x14ac:dyDescent="0.35">
      <c r="B1995" s="1"/>
      <c r="C1995" s="1"/>
      <c r="D1995" s="1"/>
      <c r="E1995" s="28">
        <f>SUM(E1969:E1981)</f>
        <v>384</v>
      </c>
      <c r="F1995" s="3"/>
      <c r="G1995" s="3"/>
      <c r="H1995" s="3"/>
      <c r="I1995" s="3"/>
      <c r="J1995" s="3"/>
      <c r="K1995" s="1"/>
      <c r="L1995" s="1"/>
    </row>
    <row r="2002" spans="2:19" x14ac:dyDescent="0.35">
      <c r="B2002" s="1"/>
      <c r="C2002" s="8" t="s">
        <v>177</v>
      </c>
      <c r="D2002" s="3"/>
      <c r="E2002" s="3"/>
      <c r="F2002" s="3"/>
      <c r="G2002" s="3"/>
      <c r="H2002" s="3"/>
      <c r="I2002" s="3"/>
      <c r="J2002" s="3"/>
      <c r="K2002" s="3"/>
      <c r="L2002" s="3"/>
      <c r="R2002" s="438" t="s">
        <v>832</v>
      </c>
      <c r="S2002" s="432">
        <f>IFERROR(INDEX(Blocks!$I$2:$I$101,MATCH(35,Blocks!$A$2:$A$101,0)),"")</f>
        <v>0</v>
      </c>
    </row>
    <row r="2003" spans="2:19" x14ac:dyDescent="0.35">
      <c r="B2003" s="1"/>
      <c r="C2003" s="1"/>
      <c r="D2003" s="3"/>
      <c r="E2003" s="3"/>
      <c r="F2003" s="3"/>
      <c r="G2003" s="3"/>
      <c r="H2003" s="3"/>
      <c r="I2003" s="3"/>
      <c r="J2003" s="3"/>
      <c r="K2003" s="3"/>
      <c r="L2003" s="3"/>
      <c r="R2003" s="438" t="s">
        <v>834</v>
      </c>
      <c r="S2003" s="432" t="str">
        <f>IFERROR(INDEX(Blocks!$H$2:$H$101,MATCH(35,Blocks!$A$2:$A$101,0)),"")</f>
        <v>Favoured Farms</v>
      </c>
    </row>
    <row r="2004" spans="2:19" x14ac:dyDescent="0.35">
      <c r="B2004" s="1"/>
      <c r="C2004" s="9" t="s">
        <v>835</v>
      </c>
      <c r="D2004" s="10">
        <v>10000000</v>
      </c>
      <c r="E2004" s="3"/>
      <c r="F2004" s="3"/>
      <c r="G2004" s="3"/>
      <c r="H2004" s="3"/>
      <c r="I2004" s="3"/>
      <c r="J2004" s="3"/>
      <c r="K2004" s="3"/>
      <c r="L2004" s="3"/>
      <c r="R2004" s="438" t="s">
        <v>223</v>
      </c>
      <c r="S2004" s="433" t="str">
        <f>IFERROR(INDEX('E-Banker master'!$N$2:$N$186,MATCH(S2002,'E-Banker master'!$A$2:$A$186,0)),"")</f>
        <v/>
      </c>
    </row>
    <row r="2005" spans="2:19" x14ac:dyDescent="0.35">
      <c r="B2005" s="1"/>
      <c r="C2005" s="11" t="s">
        <v>837</v>
      </c>
      <c r="D2005" s="12">
        <v>0.1</v>
      </c>
      <c r="E2005" s="13"/>
      <c r="F2005" s="3"/>
      <c r="G2005" s="3"/>
      <c r="H2005" s="3"/>
      <c r="I2005" s="3"/>
      <c r="J2005" s="3"/>
      <c r="K2005" s="3"/>
      <c r="L2005" s="3"/>
      <c r="R2005" s="438" t="s">
        <v>52</v>
      </c>
      <c r="S2005" s="433" t="str">
        <f>IFERROR(INDEX('E-Banker master'!$P$2:$P$186,MATCH(S2002,'E-Banker master'!$A$2:$A$186,0)),"")</f>
        <v/>
      </c>
    </row>
    <row r="2006" spans="2:19" x14ac:dyDescent="0.35">
      <c r="B2006" s="1"/>
      <c r="C2006" s="11" t="s">
        <v>838</v>
      </c>
      <c r="D2006" s="14">
        <v>2</v>
      </c>
      <c r="E2006" s="1"/>
      <c r="F2006" s="3"/>
      <c r="G2006" s="3"/>
      <c r="H2006" s="3"/>
      <c r="I2006" s="3"/>
      <c r="J2006" s="3"/>
      <c r="K2006" s="1"/>
      <c r="L2006" s="1"/>
    </row>
    <row r="2007" spans="2:19" x14ac:dyDescent="0.35">
      <c r="B2007" s="1"/>
      <c r="C2007" s="11" t="s">
        <v>839</v>
      </c>
      <c r="D2007" s="14">
        <v>12</v>
      </c>
      <c r="E2007" s="1"/>
      <c r="F2007" s="3"/>
      <c r="G2007" s="3"/>
      <c r="H2007" s="3"/>
      <c r="I2007" s="3"/>
      <c r="J2007" s="3"/>
      <c r="K2007" s="1"/>
      <c r="L2007" s="1"/>
    </row>
    <row r="2008" spans="2:19" x14ac:dyDescent="0.35">
      <c r="B2008" s="1"/>
      <c r="C2008" s="11" t="s">
        <v>843</v>
      </c>
      <c r="D2008" s="15">
        <f>D2006*D2007</f>
        <v>24</v>
      </c>
      <c r="E2008" s="1"/>
      <c r="F2008" s="3"/>
      <c r="G2008" s="3"/>
      <c r="H2008" s="3"/>
      <c r="I2008" s="3"/>
      <c r="J2008" s="3"/>
      <c r="K2008" s="1"/>
      <c r="L2008" s="1"/>
    </row>
    <row r="2009" spans="2:19" x14ac:dyDescent="0.35">
      <c r="B2009" s="1"/>
      <c r="C2009" s="11" t="s">
        <v>844</v>
      </c>
      <c r="D2009" s="16">
        <v>365</v>
      </c>
      <c r="E2009" s="1"/>
      <c r="F2009" s="3"/>
      <c r="G2009" s="3"/>
      <c r="H2009" s="3"/>
      <c r="I2009" s="3"/>
      <c r="J2009" s="3"/>
      <c r="K2009" s="1"/>
      <c r="L2009" s="1"/>
    </row>
    <row r="2010" spans="2:19" x14ac:dyDescent="0.35">
      <c r="B2010" s="1"/>
      <c r="C2010" s="17" t="s">
        <v>845</v>
      </c>
      <c r="D2010" s="18">
        <f>-PMT(D2005/D2007,D2008,D2004,0,0)</f>
        <v>461449.26337516506</v>
      </c>
      <c r="E2010" s="3"/>
      <c r="F2010" s="3"/>
      <c r="G2010" s="3"/>
      <c r="H2010" s="3"/>
      <c r="I2010" s="3"/>
      <c r="J2010" s="3"/>
      <c r="K2010" s="1"/>
      <c r="L2010" s="1"/>
    </row>
    <row r="2011" spans="2:19" x14ac:dyDescent="0.35">
      <c r="B2011" s="1"/>
      <c r="C2011" s="1"/>
      <c r="D2011" s="3"/>
      <c r="E2011" s="3"/>
      <c r="F2011" s="3"/>
      <c r="G2011" s="3"/>
      <c r="H2011" s="3"/>
      <c r="I2011" s="3"/>
      <c r="J2011" s="3"/>
      <c r="K2011" s="1"/>
      <c r="L2011" s="1"/>
    </row>
    <row r="2012" spans="2:19" x14ac:dyDescent="0.35">
      <c r="B2012" s="1"/>
      <c r="C2012" s="19" t="s">
        <v>846</v>
      </c>
      <c r="D2012" s="20" t="s">
        <v>847</v>
      </c>
      <c r="E2012" s="20" t="s">
        <v>764</v>
      </c>
      <c r="F2012" s="270" t="s">
        <v>848</v>
      </c>
      <c r="G2012" s="270" t="s">
        <v>849</v>
      </c>
      <c r="H2012" s="270" t="s">
        <v>742</v>
      </c>
      <c r="I2012" s="270" t="s">
        <v>740</v>
      </c>
      <c r="J2012" s="270" t="s">
        <v>850</v>
      </c>
      <c r="K2012" s="21" t="s">
        <v>851</v>
      </c>
      <c r="L2012" s="21" t="s">
        <v>852</v>
      </c>
    </row>
    <row r="2013" spans="2:19" x14ac:dyDescent="0.35">
      <c r="B2013" s="1">
        <v>0</v>
      </c>
      <c r="C2013" s="22">
        <v>44755</v>
      </c>
      <c r="D2013" s="22">
        <v>44773</v>
      </c>
      <c r="E2013" s="23">
        <f t="shared" ref="E2013:E2037" si="321">D2013-C2013+1</f>
        <v>19</v>
      </c>
      <c r="F2013" s="3">
        <f>D2004</f>
        <v>10000000</v>
      </c>
      <c r="G2013" s="3"/>
      <c r="H2013" s="3">
        <f>$D$2005/$D$2007*F2013*E2013/30</f>
        <v>52777.777777777774</v>
      </c>
      <c r="I2013" s="3">
        <f t="shared" ref="I2013:I2037" si="322">G2013-H2013</f>
        <v>-52777.777777777774</v>
      </c>
      <c r="J2013" s="3">
        <f t="shared" ref="J2013:J2037" si="323">F2013-I2013</f>
        <v>10052777.777777778</v>
      </c>
      <c r="K2013" s="24"/>
      <c r="L2013" s="24"/>
    </row>
    <row r="2014" spans="2:19" x14ac:dyDescent="0.35">
      <c r="B2014" s="1">
        <v>1</v>
      </c>
      <c r="C2014" s="22">
        <v>44774</v>
      </c>
      <c r="D2014" s="22">
        <v>44804</v>
      </c>
      <c r="E2014" s="23">
        <f t="shared" si="321"/>
        <v>31</v>
      </c>
      <c r="F2014" s="3">
        <f t="shared" ref="F2014:F2037" si="324">J2013</f>
        <v>10052777.777777778</v>
      </c>
      <c r="G2014" s="3"/>
      <c r="H2014" s="3">
        <f t="shared" ref="H2014:H2032" si="325">$D$2005/$D$2007*F2014</f>
        <v>83773.148148148146</v>
      </c>
      <c r="I2014" s="3">
        <f t="shared" si="322"/>
        <v>-83773.148148148146</v>
      </c>
      <c r="J2014" s="3">
        <f t="shared" si="323"/>
        <v>10136550.925925925</v>
      </c>
      <c r="K2014" s="24"/>
      <c r="L2014" s="24"/>
    </row>
    <row r="2015" spans="2:19" x14ac:dyDescent="0.35">
      <c r="B2015" s="1">
        <v>2</v>
      </c>
      <c r="C2015" s="22">
        <v>44805</v>
      </c>
      <c r="D2015" s="22">
        <v>44834</v>
      </c>
      <c r="E2015" s="23">
        <f t="shared" si="321"/>
        <v>30</v>
      </c>
      <c r="F2015" s="3">
        <f t="shared" si="324"/>
        <v>10136550.925925925</v>
      </c>
      <c r="G2015" s="3"/>
      <c r="H2015" s="3">
        <f t="shared" si="325"/>
        <v>84471.257716049382</v>
      </c>
      <c r="I2015" s="3">
        <f t="shared" si="322"/>
        <v>-84471.257716049382</v>
      </c>
      <c r="J2015" s="3">
        <f t="shared" si="323"/>
        <v>10221022.183641974</v>
      </c>
    </row>
    <row r="2016" spans="2:19" x14ac:dyDescent="0.35">
      <c r="B2016" s="1">
        <v>3</v>
      </c>
      <c r="C2016" s="22">
        <v>44835</v>
      </c>
      <c r="D2016" s="22">
        <v>44865</v>
      </c>
      <c r="E2016" s="23">
        <f t="shared" si="321"/>
        <v>31</v>
      </c>
      <c r="F2016" s="3">
        <f t="shared" si="324"/>
        <v>10221022.183641974</v>
      </c>
      <c r="G2016" s="3"/>
      <c r="H2016" s="3">
        <f t="shared" si="325"/>
        <v>85175.184863683113</v>
      </c>
      <c r="I2016" s="3">
        <f t="shared" si="322"/>
        <v>-85175.184863683113</v>
      </c>
      <c r="J2016" s="3">
        <f t="shared" si="323"/>
        <v>10306197.368505657</v>
      </c>
      <c r="K2016" s="24"/>
      <c r="L2016" s="24"/>
    </row>
    <row r="2017" spans="2:12" x14ac:dyDescent="0.35">
      <c r="B2017" s="1">
        <v>4</v>
      </c>
      <c r="C2017" s="22">
        <v>44866</v>
      </c>
      <c r="D2017" s="22">
        <v>44895</v>
      </c>
      <c r="E2017" s="23">
        <f t="shared" si="321"/>
        <v>30</v>
      </c>
      <c r="F2017" s="3">
        <f t="shared" si="324"/>
        <v>10306197.368505657</v>
      </c>
      <c r="G2017" s="3">
        <f t="shared" ref="G2017:G2037" si="326">-PMT($D$2005/$D$2007,21,$F$2017,,0)</f>
        <v>537002.51283791452</v>
      </c>
      <c r="H2017" s="3">
        <f t="shared" si="325"/>
        <v>85884.978070880476</v>
      </c>
      <c r="I2017" s="3">
        <f t="shared" si="322"/>
        <v>451117.53476703406</v>
      </c>
      <c r="J2017" s="3">
        <f t="shared" si="323"/>
        <v>9855079.8337386232</v>
      </c>
      <c r="K2017" s="24">
        <v>537200</v>
      </c>
      <c r="L2017" s="24">
        <f>G2017-K2017</f>
        <v>-197.48716208548285</v>
      </c>
    </row>
    <row r="2018" spans="2:12" x14ac:dyDescent="0.35">
      <c r="B2018" s="1">
        <v>5</v>
      </c>
      <c r="C2018" s="22">
        <v>44896</v>
      </c>
      <c r="D2018" s="22">
        <v>44926</v>
      </c>
      <c r="E2018" s="23">
        <f t="shared" si="321"/>
        <v>31</v>
      </c>
      <c r="F2018" s="3">
        <f t="shared" si="324"/>
        <v>9855079.8337386232</v>
      </c>
      <c r="G2018" s="3">
        <f t="shared" si="326"/>
        <v>537002.51283791452</v>
      </c>
      <c r="H2018" s="3">
        <f t="shared" si="325"/>
        <v>82125.66528115519</v>
      </c>
      <c r="I2018" s="3">
        <f t="shared" si="322"/>
        <v>454876.84755675931</v>
      </c>
      <c r="J2018" s="3">
        <f t="shared" si="323"/>
        <v>9400202.9861818645</v>
      </c>
      <c r="K2018" s="24">
        <v>538000</v>
      </c>
      <c r="L2018" s="24">
        <f t="shared" ref="L2018:L2033" si="327">L2017+G2018-K2018</f>
        <v>-1194.9743241709657</v>
      </c>
    </row>
    <row r="2019" spans="2:12" x14ac:dyDescent="0.35">
      <c r="B2019" s="1">
        <v>6</v>
      </c>
      <c r="C2019" s="22">
        <v>44927</v>
      </c>
      <c r="D2019" s="22">
        <v>44957</v>
      </c>
      <c r="E2019" s="23">
        <f t="shared" si="321"/>
        <v>31</v>
      </c>
      <c r="F2019" s="3">
        <f t="shared" si="324"/>
        <v>9400202.9861818645</v>
      </c>
      <c r="G2019" s="3">
        <f t="shared" si="326"/>
        <v>537002.51283791452</v>
      </c>
      <c r="H2019" s="3">
        <f t="shared" si="325"/>
        <v>78335.02488484887</v>
      </c>
      <c r="I2019" s="3">
        <f t="shared" si="322"/>
        <v>458667.48795306566</v>
      </c>
      <c r="J2019" s="3">
        <f t="shared" si="323"/>
        <v>8941535.4982287996</v>
      </c>
      <c r="K2019" s="24">
        <v>540000</v>
      </c>
      <c r="L2019" s="24">
        <f t="shared" si="327"/>
        <v>-4192.4614862564486</v>
      </c>
    </row>
    <row r="2020" spans="2:12" x14ac:dyDescent="0.35">
      <c r="B2020" s="1">
        <v>7</v>
      </c>
      <c r="C2020" s="22">
        <v>44958</v>
      </c>
      <c r="D2020" s="22">
        <v>44985</v>
      </c>
      <c r="E2020" s="23">
        <f t="shared" si="321"/>
        <v>28</v>
      </c>
      <c r="F2020" s="3">
        <f t="shared" si="324"/>
        <v>8941535.4982287996</v>
      </c>
      <c r="G2020" s="3">
        <f t="shared" si="326"/>
        <v>537002.51283791452</v>
      </c>
      <c r="H2020" s="3">
        <f t="shared" si="325"/>
        <v>74512.79581857333</v>
      </c>
      <c r="I2020" s="3">
        <f t="shared" si="322"/>
        <v>462489.71701934119</v>
      </c>
      <c r="J2020" s="3">
        <f t="shared" si="323"/>
        <v>8479045.7812094577</v>
      </c>
      <c r="K2020" s="24">
        <v>540000</v>
      </c>
      <c r="L2020" s="24">
        <f t="shared" si="327"/>
        <v>-7189.9486483419314</v>
      </c>
    </row>
    <row r="2021" spans="2:12" x14ac:dyDescent="0.35">
      <c r="B2021" s="1">
        <v>8</v>
      </c>
      <c r="C2021" s="22">
        <v>44986</v>
      </c>
      <c r="D2021" s="22">
        <v>45016</v>
      </c>
      <c r="E2021" s="23">
        <f t="shared" si="321"/>
        <v>31</v>
      </c>
      <c r="F2021" s="3">
        <f t="shared" si="324"/>
        <v>8479045.7812094577</v>
      </c>
      <c r="G2021" s="3">
        <f t="shared" si="326"/>
        <v>537002.51283791452</v>
      </c>
      <c r="H2021" s="3">
        <f t="shared" si="325"/>
        <v>70658.714843412148</v>
      </c>
      <c r="I2021" s="3">
        <f t="shared" si="322"/>
        <v>466343.79799450235</v>
      </c>
      <c r="J2021" s="3">
        <f t="shared" si="323"/>
        <v>8012701.9832149558</v>
      </c>
      <c r="K2021" s="24">
        <v>540000</v>
      </c>
      <c r="L2021" s="24">
        <f t="shared" si="327"/>
        <v>-10187.435810427414</v>
      </c>
    </row>
    <row r="2022" spans="2:12" x14ac:dyDescent="0.35">
      <c r="B2022" s="1">
        <v>9</v>
      </c>
      <c r="C2022" s="22">
        <v>45017</v>
      </c>
      <c r="D2022" s="22">
        <v>45046</v>
      </c>
      <c r="E2022" s="23">
        <f t="shared" si="321"/>
        <v>30</v>
      </c>
      <c r="F2022" s="3">
        <f t="shared" si="324"/>
        <v>8012701.9832149558</v>
      </c>
      <c r="G2022" s="3">
        <f t="shared" si="326"/>
        <v>537002.51283791452</v>
      </c>
      <c r="H2022" s="3">
        <f t="shared" si="325"/>
        <v>66772.516526791296</v>
      </c>
      <c r="I2022" s="3">
        <f t="shared" si="322"/>
        <v>470229.99631112325</v>
      </c>
      <c r="J2022" s="3">
        <f t="shared" si="323"/>
        <v>7542471.9869038323</v>
      </c>
      <c r="K2022" s="24">
        <v>540000</v>
      </c>
      <c r="L2022" s="24">
        <f t="shared" si="327"/>
        <v>-13184.922972512897</v>
      </c>
    </row>
    <row r="2023" spans="2:12" x14ac:dyDescent="0.35">
      <c r="B2023" s="1">
        <v>10</v>
      </c>
      <c r="C2023" s="22">
        <v>45047</v>
      </c>
      <c r="D2023" s="22">
        <v>45077</v>
      </c>
      <c r="E2023" s="23">
        <f t="shared" si="321"/>
        <v>31</v>
      </c>
      <c r="F2023" s="3">
        <f t="shared" si="324"/>
        <v>7542471.9869038323</v>
      </c>
      <c r="G2023" s="3">
        <f t="shared" si="326"/>
        <v>537002.51283791452</v>
      </c>
      <c r="H2023" s="3">
        <f t="shared" si="325"/>
        <v>62853.933224198605</v>
      </c>
      <c r="I2023" s="3">
        <f t="shared" si="322"/>
        <v>474148.57961371593</v>
      </c>
      <c r="J2023" s="3">
        <f t="shared" si="323"/>
        <v>7068323.407290116</v>
      </c>
      <c r="K2023" s="24">
        <v>540000</v>
      </c>
      <c r="L2023" s="24">
        <f t="shared" si="327"/>
        <v>-16182.41013459838</v>
      </c>
    </row>
    <row r="2024" spans="2:12" x14ac:dyDescent="0.35">
      <c r="B2024" s="1">
        <v>11</v>
      </c>
      <c r="C2024" s="22">
        <v>45078</v>
      </c>
      <c r="D2024" s="22">
        <v>45107</v>
      </c>
      <c r="E2024" s="23">
        <f t="shared" si="321"/>
        <v>30</v>
      </c>
      <c r="F2024" s="3">
        <f t="shared" si="324"/>
        <v>7068323.407290116</v>
      </c>
      <c r="G2024" s="3">
        <f t="shared" si="326"/>
        <v>537002.51283791452</v>
      </c>
      <c r="H2024" s="3">
        <f t="shared" si="325"/>
        <v>58902.695060750964</v>
      </c>
      <c r="I2024" s="3">
        <f t="shared" si="322"/>
        <v>478099.81777716358</v>
      </c>
      <c r="J2024" s="3">
        <f t="shared" si="323"/>
        <v>6590223.5895129526</v>
      </c>
      <c r="K2024" s="24">
        <v>540000</v>
      </c>
      <c r="L2024" s="24">
        <f t="shared" si="327"/>
        <v>-19179.897296683863</v>
      </c>
    </row>
    <row r="2025" spans="2:12" x14ac:dyDescent="0.35">
      <c r="B2025" s="1">
        <v>12</v>
      </c>
      <c r="C2025" s="22">
        <v>45108</v>
      </c>
      <c r="D2025" s="22">
        <v>45138</v>
      </c>
      <c r="E2025" s="23">
        <f t="shared" si="321"/>
        <v>31</v>
      </c>
      <c r="F2025" s="3">
        <f t="shared" si="324"/>
        <v>6590223.5895129526</v>
      </c>
      <c r="G2025" s="3">
        <f t="shared" si="326"/>
        <v>537002.51283791452</v>
      </c>
      <c r="H2025" s="3">
        <f t="shared" si="325"/>
        <v>54918.529912607941</v>
      </c>
      <c r="I2025" s="3">
        <f t="shared" si="322"/>
        <v>482083.9829253066</v>
      </c>
      <c r="J2025" s="3">
        <f t="shared" si="323"/>
        <v>6108139.6065876456</v>
      </c>
      <c r="K2025" s="24">
        <v>540000</v>
      </c>
      <c r="L2025" s="24">
        <f t="shared" si="327"/>
        <v>-22177.384458769346</v>
      </c>
    </row>
    <row r="2026" spans="2:12" x14ac:dyDescent="0.35">
      <c r="B2026" s="1">
        <v>13</v>
      </c>
      <c r="C2026" s="22">
        <v>45139</v>
      </c>
      <c r="D2026" s="22">
        <v>45169</v>
      </c>
      <c r="E2026" s="23">
        <f t="shared" si="321"/>
        <v>31</v>
      </c>
      <c r="F2026" s="3">
        <f t="shared" si="324"/>
        <v>6108139.6065876456</v>
      </c>
      <c r="G2026" s="3">
        <f t="shared" si="326"/>
        <v>537002.51283791452</v>
      </c>
      <c r="H2026" s="3">
        <f t="shared" si="325"/>
        <v>50901.163388230379</v>
      </c>
      <c r="I2026" s="3">
        <f t="shared" si="322"/>
        <v>486101.34944968414</v>
      </c>
      <c r="J2026" s="3">
        <f t="shared" si="323"/>
        <v>5622038.2571379617</v>
      </c>
      <c r="K2026" s="24">
        <v>540000</v>
      </c>
      <c r="L2026" s="24">
        <f t="shared" si="327"/>
        <v>-25174.871620854829</v>
      </c>
    </row>
    <row r="2027" spans="2:12" x14ac:dyDescent="0.35">
      <c r="B2027" s="1">
        <v>14</v>
      </c>
      <c r="C2027" s="22">
        <v>45170</v>
      </c>
      <c r="D2027" s="22">
        <v>45199</v>
      </c>
      <c r="E2027" s="23">
        <f t="shared" si="321"/>
        <v>30</v>
      </c>
      <c r="F2027" s="3">
        <f t="shared" si="324"/>
        <v>5622038.2571379617</v>
      </c>
      <c r="G2027" s="3">
        <f t="shared" si="326"/>
        <v>537002.51283791452</v>
      </c>
      <c r="H2027" s="3">
        <f t="shared" si="325"/>
        <v>46850.318809483011</v>
      </c>
      <c r="I2027" s="3">
        <f t="shared" si="322"/>
        <v>490152.19402843149</v>
      </c>
      <c r="J2027" s="3">
        <f t="shared" si="323"/>
        <v>5131886.0631095301</v>
      </c>
      <c r="K2027" s="24">
        <v>540000</v>
      </c>
      <c r="L2027" s="24">
        <f t="shared" si="327"/>
        <v>-28172.358782940311</v>
      </c>
    </row>
    <row r="2028" spans="2:12" x14ac:dyDescent="0.35">
      <c r="B2028" s="1">
        <v>15</v>
      </c>
      <c r="C2028" s="22">
        <v>45200</v>
      </c>
      <c r="D2028" s="22">
        <v>45230</v>
      </c>
      <c r="E2028" s="23">
        <f t="shared" si="321"/>
        <v>31</v>
      </c>
      <c r="F2028" s="3">
        <f t="shared" si="324"/>
        <v>5131886.0631095301</v>
      </c>
      <c r="G2028" s="3">
        <f t="shared" si="326"/>
        <v>537002.51283791452</v>
      </c>
      <c r="H2028" s="3">
        <f t="shared" si="325"/>
        <v>42765.717192579417</v>
      </c>
      <c r="I2028" s="3">
        <f t="shared" si="322"/>
        <v>494236.79564533511</v>
      </c>
      <c r="J2028" s="3">
        <f t="shared" si="323"/>
        <v>4637649.2674641954</v>
      </c>
      <c r="K2028" s="24">
        <v>540000</v>
      </c>
      <c r="L2028" s="24">
        <f t="shared" si="327"/>
        <v>-31169.845945025794</v>
      </c>
    </row>
    <row r="2029" spans="2:12" x14ac:dyDescent="0.35">
      <c r="B2029" s="1">
        <v>16</v>
      </c>
      <c r="C2029" s="22">
        <v>45231</v>
      </c>
      <c r="D2029" s="22">
        <v>45260</v>
      </c>
      <c r="E2029" s="23">
        <f t="shared" si="321"/>
        <v>30</v>
      </c>
      <c r="F2029" s="3">
        <f t="shared" si="324"/>
        <v>4637649.2674641954</v>
      </c>
      <c r="G2029" s="3">
        <f t="shared" si="326"/>
        <v>537002.51283791452</v>
      </c>
      <c r="H2029" s="3">
        <f t="shared" si="325"/>
        <v>38647.077228868293</v>
      </c>
      <c r="I2029" s="3">
        <f t="shared" si="322"/>
        <v>498355.43560904625</v>
      </c>
      <c r="J2029" s="3">
        <f t="shared" si="323"/>
        <v>4139293.831855149</v>
      </c>
      <c r="K2029" s="24">
        <v>540000</v>
      </c>
      <c r="L2029" s="24">
        <f t="shared" si="327"/>
        <v>-34167.333107111277</v>
      </c>
    </row>
    <row r="2030" spans="2:12" x14ac:dyDescent="0.35">
      <c r="B2030" s="1">
        <v>17</v>
      </c>
      <c r="C2030" s="22">
        <v>45261</v>
      </c>
      <c r="D2030" s="22">
        <v>45291</v>
      </c>
      <c r="E2030" s="23">
        <f t="shared" si="321"/>
        <v>31</v>
      </c>
      <c r="F2030" s="3">
        <f t="shared" si="324"/>
        <v>4139293.831855149</v>
      </c>
      <c r="G2030" s="3">
        <f t="shared" si="326"/>
        <v>537002.51283791452</v>
      </c>
      <c r="H2030" s="3">
        <f t="shared" si="325"/>
        <v>34494.115265459572</v>
      </c>
      <c r="I2030" s="3">
        <f t="shared" si="322"/>
        <v>502508.39757245494</v>
      </c>
      <c r="J2030" s="3">
        <f t="shared" si="323"/>
        <v>3636785.434282694</v>
      </c>
      <c r="K2030" s="24"/>
      <c r="L2030" s="24">
        <f t="shared" si="327"/>
        <v>502835.17973080324</v>
      </c>
    </row>
    <row r="2031" spans="2:12" x14ac:dyDescent="0.35">
      <c r="B2031" s="1">
        <v>18</v>
      </c>
      <c r="C2031" s="22">
        <v>45292</v>
      </c>
      <c r="D2031" s="22">
        <v>45322</v>
      </c>
      <c r="E2031" s="23">
        <f t="shared" si="321"/>
        <v>31</v>
      </c>
      <c r="F2031" s="3">
        <f t="shared" si="324"/>
        <v>3636785.434282694</v>
      </c>
      <c r="G2031" s="3">
        <f t="shared" si="326"/>
        <v>537002.51283791452</v>
      </c>
      <c r="H2031" s="3">
        <f t="shared" si="325"/>
        <v>30306.545285689117</v>
      </c>
      <c r="I2031" s="3">
        <f t="shared" si="322"/>
        <v>506695.9675522254</v>
      </c>
      <c r="J2031" s="3">
        <f t="shared" si="323"/>
        <v>3130089.4667304684</v>
      </c>
      <c r="K2031" s="24"/>
      <c r="L2031" s="24">
        <f t="shared" si="327"/>
        <v>1039837.6925687178</v>
      </c>
    </row>
    <row r="2032" spans="2:12" x14ac:dyDescent="0.35">
      <c r="B2032" s="1">
        <v>19</v>
      </c>
      <c r="C2032" s="22">
        <v>45323</v>
      </c>
      <c r="D2032" s="22">
        <v>45351</v>
      </c>
      <c r="E2032" s="23">
        <f t="shared" si="321"/>
        <v>29</v>
      </c>
      <c r="F2032" s="3">
        <f t="shared" si="324"/>
        <v>3130089.4667304684</v>
      </c>
      <c r="G2032" s="3">
        <f t="shared" si="326"/>
        <v>537002.51283791452</v>
      </c>
      <c r="H2032" s="3">
        <f t="shared" si="325"/>
        <v>26084.078889420569</v>
      </c>
      <c r="I2032" s="3">
        <f t="shared" si="322"/>
        <v>510918.43394849397</v>
      </c>
      <c r="J2032" s="3">
        <f t="shared" si="323"/>
        <v>2619171.0327819744</v>
      </c>
      <c r="K2032" s="24">
        <v>3099000</v>
      </c>
      <c r="L2032" s="24">
        <f t="shared" si="327"/>
        <v>-1522159.7945933677</v>
      </c>
    </row>
    <row r="2033" spans="2:19" x14ac:dyDescent="0.35">
      <c r="B2033" s="1">
        <v>20</v>
      </c>
      <c r="C2033" s="22">
        <v>45352</v>
      </c>
      <c r="D2033" s="22">
        <v>45382</v>
      </c>
      <c r="E2033" s="23">
        <f t="shared" si="321"/>
        <v>31</v>
      </c>
      <c r="F2033" s="3">
        <f t="shared" si="324"/>
        <v>2619171.0327819744</v>
      </c>
      <c r="G2033" s="3">
        <f t="shared" si="326"/>
        <v>537002.51283791452</v>
      </c>
      <c r="H2033" s="325">
        <f>$D$2005/$D$2007*F2033*8/31</f>
        <v>5632.6258769504821</v>
      </c>
      <c r="I2033" s="3">
        <f t="shared" si="322"/>
        <v>531369.88696096407</v>
      </c>
      <c r="J2033" s="3">
        <f t="shared" si="323"/>
        <v>2087801.1458210102</v>
      </c>
      <c r="K2033" s="24">
        <f>1071000+30000</f>
        <v>1101000</v>
      </c>
      <c r="L2033" s="205">
        <f t="shared" si="327"/>
        <v>-2086157.2817554532</v>
      </c>
    </row>
    <row r="2034" spans="2:19" x14ac:dyDescent="0.35">
      <c r="B2034" s="1">
        <v>21</v>
      </c>
      <c r="C2034" s="22">
        <v>45383</v>
      </c>
      <c r="D2034" s="22">
        <v>45412</v>
      </c>
      <c r="E2034" s="23">
        <f t="shared" si="321"/>
        <v>30</v>
      </c>
      <c r="F2034" s="3">
        <f t="shared" si="324"/>
        <v>2087801.1458210102</v>
      </c>
      <c r="G2034" s="3">
        <f t="shared" si="326"/>
        <v>537002.51283791452</v>
      </c>
      <c r="H2034" s="3">
        <f>$D$2005/$D$2007*F2034</f>
        <v>17398.342881841752</v>
      </c>
      <c r="I2034" s="3">
        <f t="shared" si="322"/>
        <v>519604.16995607276</v>
      </c>
      <c r="J2034" s="3">
        <f t="shared" si="323"/>
        <v>1568196.9758649375</v>
      </c>
      <c r="K2034" s="24"/>
      <c r="L2034" s="24"/>
    </row>
    <row r="2035" spans="2:19" x14ac:dyDescent="0.35">
      <c r="B2035" s="1">
        <v>22</v>
      </c>
      <c r="C2035" s="22">
        <v>45413</v>
      </c>
      <c r="D2035" s="22">
        <v>45443</v>
      </c>
      <c r="E2035" s="23">
        <f t="shared" si="321"/>
        <v>31</v>
      </c>
      <c r="F2035" s="3">
        <f t="shared" si="324"/>
        <v>1568196.9758649375</v>
      </c>
      <c r="G2035" s="3">
        <f t="shared" si="326"/>
        <v>537002.51283791452</v>
      </c>
      <c r="H2035" s="3">
        <f>$D$2005/$D$2007*F2035</f>
        <v>13068.308132207812</v>
      </c>
      <c r="I2035" s="3">
        <f t="shared" si="322"/>
        <v>523934.20470570668</v>
      </c>
      <c r="J2035" s="3">
        <f t="shared" si="323"/>
        <v>1044262.7711592308</v>
      </c>
      <c r="K2035" s="24"/>
      <c r="L2035" s="24"/>
    </row>
    <row r="2036" spans="2:19" x14ac:dyDescent="0.35">
      <c r="B2036" s="1">
        <v>23</v>
      </c>
      <c r="C2036" s="22">
        <v>45444</v>
      </c>
      <c r="D2036" s="22">
        <v>45473</v>
      </c>
      <c r="E2036" s="23">
        <f t="shared" si="321"/>
        <v>30</v>
      </c>
      <c r="F2036" s="3">
        <f t="shared" si="324"/>
        <v>1044262.7711592308</v>
      </c>
      <c r="G2036" s="3">
        <f t="shared" si="326"/>
        <v>537002.51283791452</v>
      </c>
      <c r="H2036" s="3">
        <f>$D$2005/$D$2007*F2036</f>
        <v>8702.1897596602576</v>
      </c>
      <c r="I2036" s="3">
        <f t="shared" si="322"/>
        <v>528300.32307825424</v>
      </c>
      <c r="J2036" s="3">
        <f t="shared" si="323"/>
        <v>515962.44808097661</v>
      </c>
      <c r="K2036" s="24"/>
      <c r="L2036" s="24"/>
    </row>
    <row r="2037" spans="2:19" x14ac:dyDescent="0.35">
      <c r="B2037" s="1">
        <v>24</v>
      </c>
      <c r="C2037" s="22">
        <v>45474</v>
      </c>
      <c r="D2037" s="22">
        <v>45504</v>
      </c>
      <c r="E2037" s="23">
        <f t="shared" si="321"/>
        <v>31</v>
      </c>
      <c r="F2037" s="3">
        <f t="shared" si="324"/>
        <v>515962.44808097661</v>
      </c>
      <c r="G2037" s="3">
        <f t="shared" si="326"/>
        <v>537002.51283791452</v>
      </c>
      <c r="H2037" s="3">
        <f>$D$2005/$D$2007*F2037</f>
        <v>4299.6870673414714</v>
      </c>
      <c r="I2037" s="3">
        <f t="shared" si="322"/>
        <v>532702.82577057299</v>
      </c>
      <c r="J2037" s="3">
        <f t="shared" si="323"/>
        <v>-16740.377689596382</v>
      </c>
      <c r="K2037" s="24"/>
      <c r="L2037" s="24"/>
    </row>
    <row r="2038" spans="2:19" x14ac:dyDescent="0.35">
      <c r="B2038" s="1"/>
      <c r="C2038" s="22"/>
      <c r="D2038" s="22"/>
      <c r="E2038" s="23"/>
      <c r="F2038" s="3"/>
      <c r="G2038" s="3"/>
      <c r="H2038" s="3"/>
      <c r="I2038" s="3"/>
      <c r="J2038" s="3"/>
      <c r="K2038" s="24"/>
      <c r="L2038" s="24"/>
    </row>
    <row r="2039" spans="2:19" ht="14.25" customHeight="1" x14ac:dyDescent="0.35">
      <c r="B2039" s="1"/>
      <c r="C2039" s="1"/>
      <c r="D2039" s="1"/>
      <c r="E2039" s="28">
        <f>SUM(E2013:E2025)</f>
        <v>384</v>
      </c>
      <c r="F2039" s="3"/>
      <c r="G2039" s="3"/>
      <c r="H2039" s="3"/>
      <c r="I2039" s="3"/>
      <c r="J2039" s="3"/>
      <c r="K2039" s="1"/>
      <c r="L2039" s="1"/>
    </row>
    <row r="2043" spans="2:19" x14ac:dyDescent="0.35">
      <c r="B2043" s="1"/>
      <c r="C2043" s="8" t="s">
        <v>902</v>
      </c>
      <c r="D2043" s="3"/>
      <c r="E2043" s="3"/>
      <c r="F2043" s="3"/>
      <c r="G2043" s="3"/>
      <c r="H2043" s="3"/>
      <c r="I2043" s="3"/>
      <c r="J2043" s="3"/>
      <c r="K2043" s="3"/>
      <c r="L2043" s="3"/>
      <c r="R2043" s="438" t="s">
        <v>832</v>
      </c>
      <c r="S2043" s="432" t="str">
        <f>IFERROR(INDEX(Blocks!$I$2:$I$101,MATCH(36,Blocks!$A$2:$A$101,0)),"")</f>
        <v>000104450000038</v>
      </c>
    </row>
    <row r="2044" spans="2:19" x14ac:dyDescent="0.35">
      <c r="B2044" s="1"/>
      <c r="C2044" s="1"/>
      <c r="D2044" s="3"/>
      <c r="E2044" s="3"/>
      <c r="F2044" s="3"/>
      <c r="G2044" s="3"/>
      <c r="H2044" s="3"/>
      <c r="I2044" s="3"/>
      <c r="J2044" s="3"/>
      <c r="K2044" s="3"/>
      <c r="L2044" s="3"/>
      <c r="R2044" s="438" t="s">
        <v>834</v>
      </c>
      <c r="S2044" s="432" t="str">
        <f>IFERROR(INDEX(Blocks!$H$2:$H$101,MATCH(36,Blocks!$A$2:$A$101,0)),"")</f>
        <v>Tac-Maz Investment</v>
      </c>
    </row>
    <row r="2045" spans="2:19" x14ac:dyDescent="0.35">
      <c r="B2045" s="1"/>
      <c r="C2045" s="9" t="s">
        <v>835</v>
      </c>
      <c r="D2045" s="10">
        <v>10000000</v>
      </c>
      <c r="E2045" s="3"/>
      <c r="F2045" s="3"/>
      <c r="G2045" s="3"/>
      <c r="H2045" s="3"/>
      <c r="I2045" s="3"/>
      <c r="J2045" s="3"/>
      <c r="K2045" s="3"/>
      <c r="L2045" s="3"/>
      <c r="R2045" s="438" t="s">
        <v>223</v>
      </c>
      <c r="S2045" s="433">
        <f>IFERROR(INDEX('E-Banker master'!$N$2:$N$186,MATCH(S2043,'E-Banker master'!$A$2:$A$186,0)),"")</f>
        <v>10000000</v>
      </c>
    </row>
    <row r="2046" spans="2:19" x14ac:dyDescent="0.35">
      <c r="B2046" s="1"/>
      <c r="C2046" s="11" t="s">
        <v>837</v>
      </c>
      <c r="D2046" s="12">
        <v>0.1</v>
      </c>
      <c r="E2046" s="13"/>
      <c r="F2046" s="3"/>
      <c r="G2046" s="3"/>
      <c r="H2046" s="3"/>
      <c r="I2046" s="3"/>
      <c r="J2046" s="3"/>
      <c r="K2046" s="3"/>
      <c r="L2046" s="3"/>
      <c r="R2046" s="438" t="s">
        <v>52</v>
      </c>
      <c r="S2046" s="433">
        <f>IFERROR(INDEX('E-Banker master'!$P$2:$P$186,MATCH(S2043,'E-Banker master'!$A$2:$A$186,0)),"")</f>
        <v>5917617.5</v>
      </c>
    </row>
    <row r="2047" spans="2:19" x14ac:dyDescent="0.35">
      <c r="B2047" s="1"/>
      <c r="C2047" s="11" t="s">
        <v>838</v>
      </c>
      <c r="D2047" s="14">
        <v>2</v>
      </c>
      <c r="E2047" s="1"/>
      <c r="F2047" s="3"/>
      <c r="G2047" s="3"/>
      <c r="H2047" s="3"/>
      <c r="I2047" s="3"/>
      <c r="J2047" s="3"/>
      <c r="K2047" s="1"/>
      <c r="L2047" s="1"/>
    </row>
    <row r="2048" spans="2:19" x14ac:dyDescent="0.35">
      <c r="B2048" s="1"/>
      <c r="C2048" s="11" t="s">
        <v>839</v>
      </c>
      <c r="D2048" s="14">
        <v>12</v>
      </c>
      <c r="E2048" s="1"/>
      <c r="F2048" s="3"/>
      <c r="G2048" s="3"/>
      <c r="H2048" s="3"/>
      <c r="I2048" s="3"/>
      <c r="J2048" s="3"/>
      <c r="K2048" s="1"/>
      <c r="L2048" s="1"/>
    </row>
    <row r="2049" spans="2:12" x14ac:dyDescent="0.35">
      <c r="B2049" s="1"/>
      <c r="C2049" s="11" t="s">
        <v>843</v>
      </c>
      <c r="D2049" s="15">
        <f>D2047*D2048</f>
        <v>24</v>
      </c>
      <c r="E2049" s="1"/>
      <c r="F2049" s="3"/>
      <c r="G2049" s="3"/>
      <c r="H2049" s="3"/>
      <c r="I2049" s="3"/>
      <c r="J2049" s="3"/>
      <c r="K2049" s="1"/>
      <c r="L2049" s="1"/>
    </row>
    <row r="2050" spans="2:12" x14ac:dyDescent="0.35">
      <c r="B2050" s="1"/>
      <c r="C2050" s="11" t="s">
        <v>844</v>
      </c>
      <c r="D2050" s="16">
        <v>365</v>
      </c>
      <c r="E2050" s="1"/>
      <c r="F2050" s="3"/>
      <c r="G2050" s="3"/>
      <c r="H2050" s="3"/>
      <c r="I2050" s="3"/>
      <c r="J2050" s="3"/>
      <c r="K2050" s="1"/>
      <c r="L2050" s="1"/>
    </row>
    <row r="2051" spans="2:12" x14ac:dyDescent="0.35">
      <c r="B2051" s="1"/>
      <c r="C2051" s="17" t="s">
        <v>845</v>
      </c>
      <c r="D2051" s="18">
        <f>-PMT(D2046/D2048,D2049,D2045,0,0)</f>
        <v>461449.26337516506</v>
      </c>
      <c r="E2051" s="3"/>
      <c r="F2051" s="3"/>
      <c r="G2051" s="3"/>
      <c r="H2051" s="3"/>
      <c r="I2051" s="3"/>
      <c r="J2051" s="3"/>
      <c r="K2051" s="1"/>
      <c r="L2051" s="1"/>
    </row>
    <row r="2052" spans="2:12" x14ac:dyDescent="0.35">
      <c r="B2052" s="1"/>
      <c r="C2052" s="1"/>
      <c r="D2052" s="3"/>
      <c r="E2052" s="3"/>
      <c r="F2052" s="3"/>
      <c r="G2052" s="3"/>
      <c r="H2052" s="3"/>
      <c r="I2052" s="3"/>
      <c r="J2052" s="3"/>
      <c r="K2052" s="1"/>
      <c r="L2052" s="1"/>
    </row>
    <row r="2053" spans="2:12" x14ac:dyDescent="0.35">
      <c r="B2053" s="1"/>
      <c r="C2053" s="19" t="s">
        <v>846</v>
      </c>
      <c r="D2053" s="20" t="s">
        <v>847</v>
      </c>
      <c r="E2053" s="20" t="s">
        <v>764</v>
      </c>
      <c r="F2053" s="270" t="s">
        <v>848</v>
      </c>
      <c r="G2053" s="270" t="s">
        <v>849</v>
      </c>
      <c r="H2053" s="270" t="s">
        <v>742</v>
      </c>
      <c r="I2053" s="270" t="s">
        <v>740</v>
      </c>
      <c r="J2053" s="270" t="s">
        <v>850</v>
      </c>
      <c r="K2053" s="21" t="s">
        <v>851</v>
      </c>
      <c r="L2053" s="21" t="s">
        <v>852</v>
      </c>
    </row>
    <row r="2054" spans="2:12" x14ac:dyDescent="0.35">
      <c r="B2054" s="1">
        <v>0</v>
      </c>
      <c r="C2054" s="22">
        <v>44755</v>
      </c>
      <c r="D2054" s="22">
        <v>44773</v>
      </c>
      <c r="E2054" s="23">
        <f t="shared" ref="E2054:E2085" si="328">D2054-C2054+1</f>
        <v>19</v>
      </c>
      <c r="F2054" s="3">
        <f>D2045</f>
        <v>10000000</v>
      </c>
      <c r="G2054" s="3"/>
      <c r="H2054" s="3">
        <f>$D$2046/$D$2048*F2054*E2054/30</f>
        <v>52777.777777777774</v>
      </c>
      <c r="I2054" s="3">
        <f t="shared" ref="I2054:I2069" si="329">G2054-H2054</f>
        <v>-52777.777777777774</v>
      </c>
      <c r="J2054" s="3">
        <f t="shared" ref="J2054:J2068" si="330">F2054-I2054</f>
        <v>10052777.777777778</v>
      </c>
      <c r="K2054" s="24"/>
      <c r="L2054" s="24"/>
    </row>
    <row r="2055" spans="2:12" x14ac:dyDescent="0.35">
      <c r="B2055" s="1">
        <v>1</v>
      </c>
      <c r="C2055" s="22">
        <v>44774</v>
      </c>
      <c r="D2055" s="22">
        <v>44804</v>
      </c>
      <c r="E2055" s="23">
        <f t="shared" si="328"/>
        <v>31</v>
      </c>
      <c r="F2055" s="3">
        <f t="shared" ref="F2055:F2061" si="331">J2054</f>
        <v>10052777.777777778</v>
      </c>
      <c r="G2055" s="3"/>
      <c r="H2055" s="3">
        <f t="shared" ref="H2055:H2085" si="332">$D$2046/$D$2048*F2055</f>
        <v>83773.148148148146</v>
      </c>
      <c r="I2055" s="3">
        <f t="shared" si="329"/>
        <v>-83773.148148148146</v>
      </c>
      <c r="J2055" s="3">
        <f t="shared" si="330"/>
        <v>10136550.925925925</v>
      </c>
      <c r="K2055" s="24"/>
      <c r="L2055" s="24"/>
    </row>
    <row r="2056" spans="2:12" x14ac:dyDescent="0.35">
      <c r="B2056" s="1">
        <v>2</v>
      </c>
      <c r="C2056" s="22">
        <v>44805</v>
      </c>
      <c r="D2056" s="22">
        <v>44834</v>
      </c>
      <c r="E2056" s="23">
        <f t="shared" si="328"/>
        <v>30</v>
      </c>
      <c r="F2056" s="3">
        <f t="shared" si="331"/>
        <v>10136550.925925925</v>
      </c>
      <c r="G2056" s="3"/>
      <c r="H2056" s="3">
        <f t="shared" si="332"/>
        <v>84471.257716049382</v>
      </c>
      <c r="I2056" s="3">
        <f t="shared" si="329"/>
        <v>-84471.257716049382</v>
      </c>
      <c r="J2056" s="3">
        <f t="shared" si="330"/>
        <v>10221022.183641974</v>
      </c>
    </row>
    <row r="2057" spans="2:12" x14ac:dyDescent="0.35">
      <c r="B2057" s="1">
        <v>3</v>
      </c>
      <c r="C2057" s="22">
        <v>44835</v>
      </c>
      <c r="D2057" s="22">
        <v>44865</v>
      </c>
      <c r="E2057" s="23">
        <f t="shared" si="328"/>
        <v>31</v>
      </c>
      <c r="F2057" s="3">
        <f t="shared" si="331"/>
        <v>10221022.183641974</v>
      </c>
      <c r="G2057" s="3"/>
      <c r="H2057" s="3">
        <f t="shared" si="332"/>
        <v>85175.184863683113</v>
      </c>
      <c r="I2057" s="3">
        <f t="shared" si="329"/>
        <v>-85175.184863683113</v>
      </c>
      <c r="J2057" s="3">
        <f t="shared" si="330"/>
        <v>10306197.368505657</v>
      </c>
      <c r="K2057" s="24"/>
      <c r="L2057" s="24"/>
    </row>
    <row r="2058" spans="2:12" x14ac:dyDescent="0.35">
      <c r="B2058" s="1">
        <v>4</v>
      </c>
      <c r="C2058" s="22">
        <v>44866</v>
      </c>
      <c r="D2058" s="22">
        <v>44895</v>
      </c>
      <c r="E2058" s="23">
        <f t="shared" si="328"/>
        <v>30</v>
      </c>
      <c r="F2058" s="3">
        <f t="shared" si="331"/>
        <v>10306197.368505657</v>
      </c>
      <c r="G2058" s="3">
        <f>-PMT($D$2046/$D$2048,21,$F$2058,,0)</f>
        <v>537002.51283791452</v>
      </c>
      <c r="H2058" s="3">
        <f t="shared" si="332"/>
        <v>85884.978070880476</v>
      </c>
      <c r="I2058" s="3">
        <f t="shared" si="329"/>
        <v>451117.53476703406</v>
      </c>
      <c r="J2058" s="3">
        <f t="shared" si="330"/>
        <v>9855079.8337386232</v>
      </c>
      <c r="K2058" s="24">
        <v>534000</v>
      </c>
      <c r="L2058" s="24">
        <f>G2058-K2058</f>
        <v>3002.5128379145171</v>
      </c>
    </row>
    <row r="2059" spans="2:12" x14ac:dyDescent="0.35">
      <c r="B2059" s="1">
        <v>5</v>
      </c>
      <c r="C2059" s="22">
        <v>44896</v>
      </c>
      <c r="D2059" s="22">
        <v>44926</v>
      </c>
      <c r="E2059" s="23">
        <f t="shared" si="328"/>
        <v>31</v>
      </c>
      <c r="F2059" s="3">
        <f t="shared" si="331"/>
        <v>9855079.8337386232</v>
      </c>
      <c r="G2059" s="3">
        <f>-PMT($D$2046/$D$2048,21,$F$2058,,0)</f>
        <v>537002.51283791452</v>
      </c>
      <c r="H2059" s="3">
        <f t="shared" si="332"/>
        <v>82125.66528115519</v>
      </c>
      <c r="I2059" s="3">
        <f t="shared" si="329"/>
        <v>454876.84755675931</v>
      </c>
      <c r="J2059" s="3">
        <f t="shared" si="330"/>
        <v>9400202.9861818645</v>
      </c>
      <c r="K2059" s="24">
        <v>0</v>
      </c>
      <c r="L2059" s="24">
        <f>L2058+G2059-K2059</f>
        <v>540005.02567582903</v>
      </c>
    </row>
    <row r="2060" spans="2:12" x14ac:dyDescent="0.35">
      <c r="B2060" s="1">
        <v>6</v>
      </c>
      <c r="C2060" s="22">
        <v>44927</v>
      </c>
      <c r="D2060" s="22">
        <v>44957</v>
      </c>
      <c r="E2060" s="23">
        <f t="shared" si="328"/>
        <v>31</v>
      </c>
      <c r="F2060" s="3">
        <f t="shared" si="331"/>
        <v>9400202.9861818645</v>
      </c>
      <c r="G2060" s="3">
        <f>-PMT($D$2046/$D$2048,21,$F$2058,,0)</f>
        <v>537002.51283791452</v>
      </c>
      <c r="H2060" s="3">
        <f t="shared" si="332"/>
        <v>78335.02488484887</v>
      </c>
      <c r="I2060" s="3">
        <f t="shared" si="329"/>
        <v>458667.48795306566</v>
      </c>
      <c r="J2060" s="3">
        <f t="shared" si="330"/>
        <v>8941535.4982287996</v>
      </c>
      <c r="K2060" s="24">
        <v>0</v>
      </c>
      <c r="L2060" s="24">
        <f>L2059+G2060-K2060</f>
        <v>1077007.5385137436</v>
      </c>
    </row>
    <row r="2061" spans="2:12" x14ac:dyDescent="0.35">
      <c r="B2061" s="1">
        <v>7</v>
      </c>
      <c r="C2061" s="22">
        <v>44958</v>
      </c>
      <c r="D2061" s="22">
        <v>44985</v>
      </c>
      <c r="E2061" s="23">
        <f t="shared" si="328"/>
        <v>28</v>
      </c>
      <c r="F2061" s="3">
        <f t="shared" si="331"/>
        <v>8941535.4982287996</v>
      </c>
      <c r="G2061" s="3">
        <f>-PMT($D$2046/$D$2048,21,$F$2058,,0)</f>
        <v>537002.51283791452</v>
      </c>
      <c r="H2061" s="3">
        <f t="shared" si="332"/>
        <v>74512.79581857333</v>
      </c>
      <c r="I2061" s="3">
        <f t="shared" si="329"/>
        <v>462489.71701934119</v>
      </c>
      <c r="J2061" s="3">
        <f t="shared" si="330"/>
        <v>8479045.7812094577</v>
      </c>
      <c r="K2061" s="24">
        <v>540000</v>
      </c>
      <c r="L2061" s="24">
        <f>L2060+G2061-K2061</f>
        <v>1074010.0513516581</v>
      </c>
    </row>
    <row r="2062" spans="2:12" x14ac:dyDescent="0.35">
      <c r="B2062" s="1">
        <v>8</v>
      </c>
      <c r="C2062" s="22">
        <v>44986</v>
      </c>
      <c r="D2062" s="22">
        <v>45016</v>
      </c>
      <c r="E2062" s="23">
        <f t="shared" si="328"/>
        <v>31</v>
      </c>
      <c r="F2062" s="3">
        <f>J2061+L2062</f>
        <v>9018055.8325611167</v>
      </c>
      <c r="G2062" s="3"/>
      <c r="H2062" s="293">
        <f t="shared" si="332"/>
        <v>75150.465271342633</v>
      </c>
      <c r="I2062" s="3">
        <f t="shared" si="329"/>
        <v>-75150.465271342633</v>
      </c>
      <c r="J2062" s="3">
        <f t="shared" si="330"/>
        <v>9093206.2978324592</v>
      </c>
      <c r="K2062" s="24">
        <v>535000</v>
      </c>
      <c r="L2062" s="24">
        <f>L2061+G2062-K2062</f>
        <v>539010.05135165807</v>
      </c>
    </row>
    <row r="2063" spans="2:12" x14ac:dyDescent="0.35">
      <c r="B2063" s="1">
        <v>9</v>
      </c>
      <c r="C2063" s="22">
        <v>45017</v>
      </c>
      <c r="D2063" s="22">
        <v>45046</v>
      </c>
      <c r="E2063" s="23">
        <f t="shared" si="328"/>
        <v>30</v>
      </c>
      <c r="F2063" s="3">
        <f t="shared" ref="F2063:F2085" si="333">J2062</f>
        <v>9093206.2978324592</v>
      </c>
      <c r="G2063" s="3"/>
      <c r="H2063" s="293">
        <f t="shared" si="332"/>
        <v>75776.719148603821</v>
      </c>
      <c r="I2063" s="3">
        <f t="shared" si="329"/>
        <v>-75776.719148603821</v>
      </c>
      <c r="J2063" s="3">
        <f t="shared" si="330"/>
        <v>9168983.0169810634</v>
      </c>
      <c r="K2063" s="24"/>
      <c r="L2063" s="26"/>
    </row>
    <row r="2064" spans="2:12" x14ac:dyDescent="0.35">
      <c r="B2064" s="1">
        <v>10</v>
      </c>
      <c r="C2064" s="22">
        <v>45047</v>
      </c>
      <c r="D2064" s="22">
        <v>45077</v>
      </c>
      <c r="E2064" s="23">
        <f t="shared" si="328"/>
        <v>31</v>
      </c>
      <c r="F2064" s="3">
        <f t="shared" si="333"/>
        <v>9168983.0169810634</v>
      </c>
      <c r="G2064" s="3"/>
      <c r="H2064" s="3">
        <f t="shared" si="332"/>
        <v>76408.191808175528</v>
      </c>
      <c r="I2064" s="3">
        <f t="shared" si="329"/>
        <v>-76408.191808175528</v>
      </c>
      <c r="J2064" s="3">
        <f t="shared" si="330"/>
        <v>9245391.2087892387</v>
      </c>
      <c r="K2064" s="24"/>
      <c r="L2064" s="24"/>
    </row>
    <row r="2065" spans="2:12" x14ac:dyDescent="0.35">
      <c r="B2065" s="1">
        <v>11</v>
      </c>
      <c r="C2065" s="22">
        <v>45078</v>
      </c>
      <c r="D2065" s="22">
        <v>45107</v>
      </c>
      <c r="E2065" s="23">
        <f t="shared" si="328"/>
        <v>30</v>
      </c>
      <c r="F2065" s="3">
        <f t="shared" si="333"/>
        <v>9245391.2087892387</v>
      </c>
      <c r="G2065" s="3"/>
      <c r="H2065" s="3">
        <f t="shared" si="332"/>
        <v>77044.926739910326</v>
      </c>
      <c r="I2065" s="3">
        <f t="shared" si="329"/>
        <v>-77044.926739910326</v>
      </c>
      <c r="J2065" s="3">
        <f t="shared" si="330"/>
        <v>9322436.1355291493</v>
      </c>
      <c r="K2065" s="24"/>
      <c r="L2065" s="24"/>
    </row>
    <row r="2066" spans="2:12" x14ac:dyDescent="0.35">
      <c r="B2066" s="1">
        <v>12</v>
      </c>
      <c r="C2066" s="22">
        <v>45108</v>
      </c>
      <c r="D2066" s="22">
        <v>45138</v>
      </c>
      <c r="E2066" s="23">
        <f t="shared" si="328"/>
        <v>31</v>
      </c>
      <c r="F2066" s="3">
        <f t="shared" si="333"/>
        <v>9322436.1355291493</v>
      </c>
      <c r="G2066" s="3">
        <f>-PMT($D$2046/$D$2048,17,$F$2066,,0)</f>
        <v>590416.86526146415</v>
      </c>
      <c r="H2066" s="3">
        <f t="shared" si="332"/>
        <v>77686.967796076249</v>
      </c>
      <c r="I2066" s="3">
        <f t="shared" si="329"/>
        <v>512729.89746538788</v>
      </c>
      <c r="J2066" s="3">
        <f t="shared" si="330"/>
        <v>8809706.238063762</v>
      </c>
      <c r="K2066" s="204" t="s">
        <v>903</v>
      </c>
      <c r="L2066" s="24">
        <f>L2065+G2066</f>
        <v>590416.86526146415</v>
      </c>
    </row>
    <row r="2067" spans="2:12" x14ac:dyDescent="0.35">
      <c r="B2067" s="1">
        <v>13</v>
      </c>
      <c r="C2067" s="22">
        <v>45139</v>
      </c>
      <c r="D2067" s="22">
        <v>45169</v>
      </c>
      <c r="E2067" s="23">
        <f t="shared" si="328"/>
        <v>31</v>
      </c>
      <c r="F2067" s="3">
        <f t="shared" si="333"/>
        <v>8809706.238063762</v>
      </c>
      <c r="G2067" s="3">
        <f>-PMT($D$2046/$D$2048,17,$F$2066,,0)</f>
        <v>590416.86526146415</v>
      </c>
      <c r="H2067" s="3">
        <f t="shared" si="332"/>
        <v>73414.218650531344</v>
      </c>
      <c r="I2067" s="3">
        <f t="shared" si="329"/>
        <v>517002.64661093277</v>
      </c>
      <c r="J2067" s="3">
        <f t="shared" si="330"/>
        <v>8292703.5914528295</v>
      </c>
      <c r="K2067" s="24">
        <v>560000</v>
      </c>
      <c r="L2067" s="24">
        <f>L2066+G2067-K2067</f>
        <v>620833.73052292829</v>
      </c>
    </row>
    <row r="2068" spans="2:12" x14ac:dyDescent="0.35">
      <c r="B2068" s="1">
        <v>14</v>
      </c>
      <c r="C2068" s="22">
        <v>45170</v>
      </c>
      <c r="D2068" s="22">
        <v>45199</v>
      </c>
      <c r="E2068" s="23">
        <f t="shared" si="328"/>
        <v>30</v>
      </c>
      <c r="F2068" s="3">
        <f t="shared" si="333"/>
        <v>8292703.5914528295</v>
      </c>
      <c r="G2068" s="3">
        <f>-PMT($D$2046/$D$2048,17,$F$2066,,0)</f>
        <v>590416.86526146415</v>
      </c>
      <c r="H2068" s="3">
        <f t="shared" si="332"/>
        <v>69105.863262106912</v>
      </c>
      <c r="I2068" s="3">
        <f t="shared" si="329"/>
        <v>521311.00199935725</v>
      </c>
      <c r="J2068" s="3">
        <f t="shared" si="330"/>
        <v>7771392.5894534718</v>
      </c>
      <c r="K2068" s="24"/>
      <c r="L2068" s="24">
        <f>L2067+G2068-K2068</f>
        <v>1211250.5957843924</v>
      </c>
    </row>
    <row r="2069" spans="2:12" x14ac:dyDescent="0.35">
      <c r="B2069" s="1">
        <v>15</v>
      </c>
      <c r="C2069" s="22">
        <v>45200</v>
      </c>
      <c r="D2069" s="22">
        <v>45230</v>
      </c>
      <c r="E2069" s="23">
        <f t="shared" si="328"/>
        <v>31</v>
      </c>
      <c r="F2069" s="3">
        <f t="shared" si="333"/>
        <v>7771392.5894534718</v>
      </c>
      <c r="G2069" s="3">
        <f>-PMT($D$2046/$D$2048,17,$F$2066,,0)</f>
        <v>590416.86526146415</v>
      </c>
      <c r="H2069" s="3">
        <f t="shared" si="332"/>
        <v>64761.604912112263</v>
      </c>
      <c r="I2069" s="3">
        <f t="shared" si="329"/>
        <v>525655.26034935191</v>
      </c>
      <c r="J2069" s="3">
        <f>F2069-I2069+L2069</f>
        <v>8447404.7901499756</v>
      </c>
      <c r="K2069" s="24">
        <v>600000</v>
      </c>
      <c r="L2069" s="24">
        <f>L2068+G2069-K2069</f>
        <v>1201667.4610458566</v>
      </c>
    </row>
    <row r="2070" spans="2:12" x14ac:dyDescent="0.35">
      <c r="B2070" s="1">
        <v>16</v>
      </c>
      <c r="C2070" s="22">
        <v>45231</v>
      </c>
      <c r="D2070" s="22">
        <v>45260</v>
      </c>
      <c r="E2070" s="23">
        <f t="shared" si="328"/>
        <v>30</v>
      </c>
      <c r="F2070" s="3">
        <f t="shared" si="333"/>
        <v>8447404.7901499756</v>
      </c>
      <c r="G2070" s="3"/>
      <c r="H2070" s="3">
        <f t="shared" si="332"/>
        <v>70395.039917916467</v>
      </c>
      <c r="I2070" s="3">
        <v>0</v>
      </c>
      <c r="J2070" s="3">
        <f t="shared" ref="J2070:J2085" si="334">F2070-I2070</f>
        <v>8447404.7901499756</v>
      </c>
      <c r="K2070" s="24"/>
      <c r="L2070" s="24">
        <f>H2070</f>
        <v>70395.039917916467</v>
      </c>
    </row>
    <row r="2071" spans="2:12" x14ac:dyDescent="0.35">
      <c r="B2071" s="1">
        <v>17</v>
      </c>
      <c r="C2071" s="22">
        <v>45261</v>
      </c>
      <c r="D2071" s="22">
        <v>45291</v>
      </c>
      <c r="E2071" s="23">
        <f t="shared" si="328"/>
        <v>31</v>
      </c>
      <c r="F2071" s="3">
        <f t="shared" si="333"/>
        <v>8447404.7901499756</v>
      </c>
      <c r="G2071" s="3"/>
      <c r="H2071" s="3">
        <f t="shared" si="332"/>
        <v>70395.039917916467</v>
      </c>
      <c r="I2071" s="3">
        <v>0</v>
      </c>
      <c r="J2071" s="3">
        <f t="shared" si="334"/>
        <v>8447404.7901499756</v>
      </c>
      <c r="K2071" s="24">
        <v>150000</v>
      </c>
      <c r="L2071" s="24">
        <f>L2070+H2071-K2071</f>
        <v>-9209.9201641670661</v>
      </c>
    </row>
    <row r="2072" spans="2:12" x14ac:dyDescent="0.35">
      <c r="B2072" s="1">
        <v>18</v>
      </c>
      <c r="C2072" s="22">
        <v>45292</v>
      </c>
      <c r="D2072" s="22">
        <v>45322</v>
      </c>
      <c r="E2072" s="23">
        <f t="shared" si="328"/>
        <v>31</v>
      </c>
      <c r="F2072" s="3">
        <f t="shared" si="333"/>
        <v>8447404.7901499756</v>
      </c>
      <c r="G2072" s="3"/>
      <c r="H2072" s="3">
        <f t="shared" si="332"/>
        <v>70395.039917916467</v>
      </c>
      <c r="I2072" s="3">
        <v>0</v>
      </c>
      <c r="J2072" s="3">
        <f t="shared" si="334"/>
        <v>8447404.7901499756</v>
      </c>
      <c r="K2072" s="24"/>
      <c r="L2072" s="24">
        <f>L2071+H2072-K2072</f>
        <v>61185.119753749401</v>
      </c>
    </row>
    <row r="2073" spans="2:12" x14ac:dyDescent="0.35">
      <c r="B2073" s="1">
        <v>19</v>
      </c>
      <c r="C2073" s="22">
        <v>45323</v>
      </c>
      <c r="D2073" s="22">
        <v>45351</v>
      </c>
      <c r="E2073" s="23">
        <f t="shared" si="328"/>
        <v>29</v>
      </c>
      <c r="F2073" s="3">
        <f t="shared" si="333"/>
        <v>8447404.7901499756</v>
      </c>
      <c r="G2073" s="3">
        <f t="shared" ref="G2073:G2085" si="335">-PMT($D$2046/$D$2048,13,$F$2073,,0)</f>
        <v>688334.39983556396</v>
      </c>
      <c r="H2073" s="3">
        <f t="shared" si="332"/>
        <v>70395.039917916467</v>
      </c>
      <c r="I2073" s="3">
        <f t="shared" ref="I2073:I2085" si="336">G2073-H2073</f>
        <v>617939.35991764744</v>
      </c>
      <c r="J2073" s="3">
        <f t="shared" si="334"/>
        <v>7829465.4302323284</v>
      </c>
      <c r="K2073" s="24"/>
      <c r="L2073" s="24">
        <f t="shared" ref="L2073:L2081" si="337">L2072+G2073-K2073</f>
        <v>749519.51958931331</v>
      </c>
    </row>
    <row r="2074" spans="2:12" x14ac:dyDescent="0.35">
      <c r="B2074" s="1">
        <v>20</v>
      </c>
      <c r="C2074" s="22">
        <v>45352</v>
      </c>
      <c r="D2074" s="22">
        <v>45382</v>
      </c>
      <c r="E2074" s="23">
        <f t="shared" si="328"/>
        <v>31</v>
      </c>
      <c r="F2074" s="3">
        <f t="shared" si="333"/>
        <v>7829465.4302323284</v>
      </c>
      <c r="G2074" s="3">
        <f t="shared" si="335"/>
        <v>688334.39983556396</v>
      </c>
      <c r="H2074" s="3">
        <f t="shared" si="332"/>
        <v>65245.54525193607</v>
      </c>
      <c r="I2074" s="3">
        <f t="shared" si="336"/>
        <v>623088.85458362789</v>
      </c>
      <c r="J2074" s="3">
        <f t="shared" si="334"/>
        <v>7206376.5756487008</v>
      </c>
      <c r="K2074" s="24">
        <v>300000</v>
      </c>
      <c r="L2074" s="24">
        <f t="shared" si="337"/>
        <v>1137853.9194248773</v>
      </c>
    </row>
    <row r="2075" spans="2:12" x14ac:dyDescent="0.35">
      <c r="B2075" s="1">
        <v>21</v>
      </c>
      <c r="C2075" s="22">
        <v>45383</v>
      </c>
      <c r="D2075" s="22">
        <v>45412</v>
      </c>
      <c r="E2075" s="23">
        <f t="shared" si="328"/>
        <v>30</v>
      </c>
      <c r="F2075" s="3">
        <f t="shared" si="333"/>
        <v>7206376.5756487008</v>
      </c>
      <c r="G2075" s="3">
        <f t="shared" si="335"/>
        <v>688334.39983556396</v>
      </c>
      <c r="H2075" s="3">
        <f t="shared" si="332"/>
        <v>60053.138130405838</v>
      </c>
      <c r="I2075" s="3">
        <f t="shared" si="336"/>
        <v>628281.26170515816</v>
      </c>
      <c r="J2075" s="3">
        <f t="shared" si="334"/>
        <v>6578095.3139435425</v>
      </c>
      <c r="K2075" s="24">
        <v>400000</v>
      </c>
      <c r="L2075" s="24">
        <f t="shared" si="337"/>
        <v>1426188.3192604412</v>
      </c>
    </row>
    <row r="2076" spans="2:12" x14ac:dyDescent="0.35">
      <c r="B2076" s="1">
        <v>22</v>
      </c>
      <c r="C2076" s="22">
        <v>45413</v>
      </c>
      <c r="D2076" s="22">
        <v>45443</v>
      </c>
      <c r="E2076" s="23">
        <f t="shared" si="328"/>
        <v>31</v>
      </c>
      <c r="F2076" s="3">
        <f t="shared" si="333"/>
        <v>6578095.3139435425</v>
      </c>
      <c r="G2076" s="3">
        <f t="shared" si="335"/>
        <v>688334.39983556396</v>
      </c>
      <c r="H2076" s="3">
        <f t="shared" si="332"/>
        <v>54817.460949529523</v>
      </c>
      <c r="I2076" s="3">
        <f t="shared" si="336"/>
        <v>633516.93888603442</v>
      </c>
      <c r="J2076" s="3">
        <f t="shared" si="334"/>
        <v>5944578.3750575082</v>
      </c>
      <c r="K2076" s="24">
        <v>400000</v>
      </c>
      <c r="L2076" s="24">
        <f t="shared" si="337"/>
        <v>1714522.719096005</v>
      </c>
    </row>
    <row r="2077" spans="2:12" x14ac:dyDescent="0.35">
      <c r="B2077" s="1">
        <v>23</v>
      </c>
      <c r="C2077" s="22">
        <v>45444</v>
      </c>
      <c r="D2077" s="22">
        <v>45473</v>
      </c>
      <c r="E2077" s="23">
        <f t="shared" si="328"/>
        <v>30</v>
      </c>
      <c r="F2077" s="3">
        <f t="shared" si="333"/>
        <v>5944578.3750575082</v>
      </c>
      <c r="G2077" s="3">
        <f t="shared" si="335"/>
        <v>688334.39983556396</v>
      </c>
      <c r="H2077" s="3">
        <f t="shared" si="332"/>
        <v>49538.153125479235</v>
      </c>
      <c r="I2077" s="3">
        <f t="shared" si="336"/>
        <v>638796.24671008473</v>
      </c>
      <c r="J2077" s="3">
        <f t="shared" si="334"/>
        <v>5305782.1283474239</v>
      </c>
      <c r="K2077" s="24">
        <v>400000</v>
      </c>
      <c r="L2077" s="24">
        <f t="shared" si="337"/>
        <v>2002857.1189315692</v>
      </c>
    </row>
    <row r="2078" spans="2:12" x14ac:dyDescent="0.35">
      <c r="B2078" s="1">
        <v>24</v>
      </c>
      <c r="C2078" s="22">
        <v>45474</v>
      </c>
      <c r="D2078" s="22">
        <v>45504</v>
      </c>
      <c r="E2078" s="23">
        <f t="shared" si="328"/>
        <v>31</v>
      </c>
      <c r="F2078" s="3">
        <f t="shared" si="333"/>
        <v>5305782.1283474239</v>
      </c>
      <c r="G2078" s="3">
        <f t="shared" si="335"/>
        <v>688334.39983556396</v>
      </c>
      <c r="H2078" s="3">
        <f t="shared" si="332"/>
        <v>44214.851069561868</v>
      </c>
      <c r="I2078" s="3">
        <f t="shared" si="336"/>
        <v>644119.54876600206</v>
      </c>
      <c r="J2078" s="3">
        <f t="shared" si="334"/>
        <v>4661662.5795814218</v>
      </c>
      <c r="K2078" s="24">
        <v>400000</v>
      </c>
      <c r="L2078" s="24">
        <f t="shared" si="337"/>
        <v>2291191.5187671334</v>
      </c>
    </row>
    <row r="2079" spans="2:12" x14ac:dyDescent="0.35">
      <c r="B2079" s="1">
        <v>25</v>
      </c>
      <c r="C2079" s="22">
        <v>45505</v>
      </c>
      <c r="D2079" s="22">
        <v>45535</v>
      </c>
      <c r="E2079" s="23">
        <f t="shared" si="328"/>
        <v>31</v>
      </c>
      <c r="F2079" s="3">
        <f t="shared" si="333"/>
        <v>4661662.5795814218</v>
      </c>
      <c r="G2079" s="3">
        <f t="shared" si="335"/>
        <v>688334.39983556396</v>
      </c>
      <c r="H2079" s="3">
        <f t="shared" si="332"/>
        <v>38847.188163178515</v>
      </c>
      <c r="I2079" s="3">
        <f t="shared" si="336"/>
        <v>649487.21167238546</v>
      </c>
      <c r="J2079" s="3">
        <f t="shared" si="334"/>
        <v>4012175.3679090366</v>
      </c>
      <c r="K2079" s="24">
        <v>400000</v>
      </c>
      <c r="L2079" s="24">
        <f t="shared" si="337"/>
        <v>2579525.9186026976</v>
      </c>
    </row>
    <row r="2080" spans="2:12" x14ac:dyDescent="0.35">
      <c r="B2080" s="1">
        <v>26</v>
      </c>
      <c r="C2080" s="22">
        <v>45536</v>
      </c>
      <c r="D2080" s="22">
        <v>45565</v>
      </c>
      <c r="E2080" s="23">
        <f t="shared" si="328"/>
        <v>30</v>
      </c>
      <c r="F2080" s="3">
        <f t="shared" si="333"/>
        <v>4012175.3679090366</v>
      </c>
      <c r="G2080" s="3">
        <f t="shared" si="335"/>
        <v>688334.39983556396</v>
      </c>
      <c r="H2080" s="3">
        <f t="shared" si="332"/>
        <v>33434.794732575305</v>
      </c>
      <c r="I2080" s="3">
        <f t="shared" si="336"/>
        <v>654899.60510298866</v>
      </c>
      <c r="J2080" s="3">
        <f t="shared" si="334"/>
        <v>3357275.7628060477</v>
      </c>
      <c r="K2080" s="24">
        <v>400000</v>
      </c>
      <c r="L2080" s="24">
        <f t="shared" si="337"/>
        <v>2867860.3184382617</v>
      </c>
    </row>
    <row r="2081" spans="2:19" x14ac:dyDescent="0.35">
      <c r="B2081" s="1">
        <v>27</v>
      </c>
      <c r="C2081" s="22">
        <v>45566</v>
      </c>
      <c r="D2081" s="22">
        <v>45596</v>
      </c>
      <c r="E2081" s="23">
        <f t="shared" si="328"/>
        <v>31</v>
      </c>
      <c r="F2081" s="3">
        <f t="shared" si="333"/>
        <v>3357275.7628060477</v>
      </c>
      <c r="G2081" s="3">
        <f t="shared" si="335"/>
        <v>688334.39983556396</v>
      </c>
      <c r="H2081" s="3">
        <f t="shared" si="332"/>
        <v>27977.29802338373</v>
      </c>
      <c r="I2081" s="3">
        <f t="shared" si="336"/>
        <v>660357.10181218025</v>
      </c>
      <c r="J2081" s="3">
        <f t="shared" si="334"/>
        <v>2696918.6609938676</v>
      </c>
      <c r="K2081" s="24">
        <v>400000</v>
      </c>
      <c r="L2081" s="204">
        <f t="shared" si="337"/>
        <v>3156194.7182738259</v>
      </c>
    </row>
    <row r="2082" spans="2:19" x14ac:dyDescent="0.35">
      <c r="B2082" s="1">
        <v>28</v>
      </c>
      <c r="C2082" s="22">
        <v>45597</v>
      </c>
      <c r="D2082" s="22">
        <v>45626</v>
      </c>
      <c r="E2082" s="23">
        <f t="shared" si="328"/>
        <v>30</v>
      </c>
      <c r="F2082" s="3">
        <f t="shared" si="333"/>
        <v>2696918.6609938676</v>
      </c>
      <c r="G2082" s="3">
        <f t="shared" si="335"/>
        <v>688334.39983556396</v>
      </c>
      <c r="H2082" s="3">
        <f t="shared" si="332"/>
        <v>22474.322174948895</v>
      </c>
      <c r="I2082" s="3">
        <f t="shared" si="336"/>
        <v>665860.07766061509</v>
      </c>
      <c r="J2082" s="3">
        <f t="shared" si="334"/>
        <v>2031058.5833332525</v>
      </c>
      <c r="K2082" s="24"/>
      <c r="L2082" s="24"/>
    </row>
    <row r="2083" spans="2:19" x14ac:dyDescent="0.35">
      <c r="B2083" s="1">
        <v>29</v>
      </c>
      <c r="C2083" s="22">
        <v>45627</v>
      </c>
      <c r="D2083" s="22">
        <v>45657</v>
      </c>
      <c r="E2083" s="23">
        <f t="shared" si="328"/>
        <v>31</v>
      </c>
      <c r="F2083" s="3">
        <f t="shared" si="333"/>
        <v>2031058.5833332525</v>
      </c>
      <c r="G2083" s="3">
        <f t="shared" si="335"/>
        <v>688334.39983556396</v>
      </c>
      <c r="H2083" s="3">
        <f t="shared" si="332"/>
        <v>16925.488194443769</v>
      </c>
      <c r="I2083" s="3">
        <f t="shared" si="336"/>
        <v>671408.91164112021</v>
      </c>
      <c r="J2083" s="3">
        <f t="shared" si="334"/>
        <v>1359649.6716921323</v>
      </c>
      <c r="K2083" s="24"/>
      <c r="L2083" s="24"/>
    </row>
    <row r="2084" spans="2:19" x14ac:dyDescent="0.35">
      <c r="B2084" s="1">
        <v>30</v>
      </c>
      <c r="C2084" s="22">
        <v>45658</v>
      </c>
      <c r="D2084" s="22">
        <v>45688</v>
      </c>
      <c r="E2084" s="23">
        <f t="shared" si="328"/>
        <v>31</v>
      </c>
      <c r="F2084" s="3">
        <f t="shared" si="333"/>
        <v>1359649.6716921323</v>
      </c>
      <c r="G2084" s="3">
        <f t="shared" si="335"/>
        <v>688334.39983556396</v>
      </c>
      <c r="H2084" s="3">
        <f t="shared" si="332"/>
        <v>11330.413930767769</v>
      </c>
      <c r="I2084" s="3">
        <f t="shared" si="336"/>
        <v>677003.98590479617</v>
      </c>
      <c r="J2084" s="3">
        <f t="shared" si="334"/>
        <v>682645.68578733609</v>
      </c>
      <c r="K2084" s="24"/>
      <c r="L2084" s="24"/>
    </row>
    <row r="2085" spans="2:19" x14ac:dyDescent="0.35">
      <c r="B2085" s="1">
        <v>31</v>
      </c>
      <c r="C2085" s="22">
        <v>45689</v>
      </c>
      <c r="D2085" s="22">
        <v>45716</v>
      </c>
      <c r="E2085" s="23">
        <f t="shared" si="328"/>
        <v>28</v>
      </c>
      <c r="F2085" s="3">
        <f t="shared" si="333"/>
        <v>682645.68578733609</v>
      </c>
      <c r="G2085" s="3">
        <f t="shared" si="335"/>
        <v>688334.39983556396</v>
      </c>
      <c r="H2085" s="3">
        <f t="shared" si="332"/>
        <v>5688.714048227801</v>
      </c>
      <c r="I2085" s="3">
        <f t="shared" si="336"/>
        <v>682645.6857873362</v>
      </c>
      <c r="J2085" s="3">
        <f t="shared" si="334"/>
        <v>0</v>
      </c>
      <c r="K2085" s="24"/>
      <c r="L2085" s="24"/>
    </row>
    <row r="2086" spans="2:19" x14ac:dyDescent="0.35">
      <c r="B2086" s="1"/>
      <c r="C2086" s="22"/>
      <c r="D2086" s="22"/>
      <c r="E2086" s="23"/>
      <c r="F2086" s="3"/>
      <c r="G2086" s="3"/>
      <c r="H2086" s="3"/>
      <c r="I2086" s="3"/>
      <c r="J2086" s="3"/>
      <c r="K2086" s="24"/>
      <c r="L2086" s="24"/>
    </row>
    <row r="2087" spans="2:19" ht="14.25" customHeight="1" x14ac:dyDescent="0.35">
      <c r="B2087" s="1"/>
      <c r="C2087" s="1"/>
      <c r="D2087" s="1"/>
      <c r="E2087" s="28">
        <f>SUM(E2054:E2066)</f>
        <v>384</v>
      </c>
      <c r="F2087" s="3"/>
      <c r="G2087" s="3"/>
      <c r="H2087" s="3"/>
      <c r="I2087" s="3"/>
      <c r="J2087" s="3"/>
      <c r="K2087" s="1"/>
      <c r="L2087" s="1"/>
    </row>
    <row r="2091" spans="2:19" x14ac:dyDescent="0.35">
      <c r="B2091" s="1"/>
      <c r="C2091" s="8" t="s">
        <v>904</v>
      </c>
      <c r="D2091" s="3"/>
      <c r="E2091" s="3"/>
      <c r="F2091" s="3"/>
      <c r="G2091" s="3"/>
      <c r="H2091" s="3"/>
      <c r="I2091" s="3"/>
      <c r="J2091" s="3"/>
      <c r="K2091" s="3"/>
      <c r="L2091" s="3"/>
      <c r="R2091" s="438" t="s">
        <v>832</v>
      </c>
      <c r="S2091" s="432" t="str">
        <f>IFERROR(INDEX(Blocks!$I$2:$I$101,MATCH(37,Blocks!$A$2:$A$101,0)),"")</f>
        <v>000104450000039</v>
      </c>
    </row>
    <row r="2092" spans="2:19" x14ac:dyDescent="0.35">
      <c r="B2092" s="1"/>
      <c r="C2092" s="1"/>
      <c r="D2092" s="3"/>
      <c r="E2092" s="3"/>
      <c r="F2092" s="3"/>
      <c r="G2092" s="3"/>
      <c r="H2092" s="3"/>
      <c r="I2092" s="3"/>
      <c r="J2092" s="3"/>
      <c r="K2092" s="3"/>
      <c r="L2092" s="3"/>
      <c r="R2092" s="438" t="s">
        <v>834</v>
      </c>
      <c r="S2092" s="432" t="str">
        <f>IFERROR(INDEX(Blocks!$H$2:$H$101,MATCH(37,Blocks!$A$2:$A$101,0)),"")</f>
        <v>G &amp; S Home Mart &amp; Agrodealer</v>
      </c>
    </row>
    <row r="2093" spans="2:19" x14ac:dyDescent="0.35">
      <c r="B2093" s="1"/>
      <c r="C2093" s="9" t="s">
        <v>835</v>
      </c>
      <c r="D2093" s="10">
        <v>7000000</v>
      </c>
      <c r="E2093" s="3"/>
      <c r="F2093" s="3"/>
      <c r="G2093" s="3"/>
      <c r="H2093" s="3"/>
      <c r="I2093" s="3"/>
      <c r="J2093" s="3"/>
      <c r="K2093" s="3"/>
      <c r="L2093" s="3"/>
      <c r="R2093" s="438" t="s">
        <v>223</v>
      </c>
      <c r="S2093" s="433">
        <f>IFERROR(INDEX('E-Banker master'!$N$2:$N$186,MATCH(S2091,'E-Banker master'!$A$2:$A$186,0)),"")</f>
        <v>0</v>
      </c>
    </row>
    <row r="2094" spans="2:19" x14ac:dyDescent="0.35">
      <c r="B2094" s="1"/>
      <c r="C2094" s="11" t="s">
        <v>837</v>
      </c>
      <c r="D2094" s="12">
        <v>0.1</v>
      </c>
      <c r="E2094" s="13"/>
      <c r="F2094" s="3"/>
      <c r="G2094" s="3"/>
      <c r="H2094" s="3"/>
      <c r="I2094" s="3"/>
      <c r="J2094" s="3"/>
      <c r="K2094" s="3"/>
      <c r="L2094" s="3"/>
      <c r="R2094" s="438" t="s">
        <v>52</v>
      </c>
      <c r="S2094" s="433">
        <f>IFERROR(INDEX('E-Banker master'!$P$2:$P$186,MATCH(S2091,'E-Banker master'!$A$2:$A$186,0)),"")</f>
        <v>0</v>
      </c>
    </row>
    <row r="2095" spans="2:19" x14ac:dyDescent="0.35">
      <c r="B2095" s="1"/>
      <c r="C2095" s="11" t="s">
        <v>838</v>
      </c>
      <c r="D2095" s="14">
        <v>2</v>
      </c>
      <c r="E2095" s="1"/>
      <c r="F2095" s="3"/>
      <c r="G2095" s="3"/>
      <c r="H2095" s="3"/>
      <c r="I2095" s="3"/>
      <c r="J2095" s="3"/>
      <c r="K2095" s="1"/>
      <c r="L2095" s="1"/>
    </row>
    <row r="2096" spans="2:19" x14ac:dyDescent="0.35">
      <c r="B2096" s="1"/>
      <c r="C2096" s="11" t="s">
        <v>839</v>
      </c>
      <c r="D2096" s="14">
        <v>12</v>
      </c>
      <c r="E2096" s="1"/>
      <c r="F2096" s="3"/>
      <c r="G2096" s="3"/>
      <c r="H2096" s="3"/>
      <c r="I2096" s="3"/>
      <c r="J2096" s="3"/>
      <c r="K2096" s="1"/>
      <c r="L2096" s="1"/>
    </row>
    <row r="2097" spans="2:12" x14ac:dyDescent="0.35">
      <c r="B2097" s="1"/>
      <c r="C2097" s="11" t="s">
        <v>843</v>
      </c>
      <c r="D2097" s="15">
        <f>D2095*D2096</f>
        <v>24</v>
      </c>
      <c r="E2097" s="1"/>
      <c r="F2097" s="3"/>
      <c r="G2097" s="3"/>
      <c r="H2097" s="3"/>
      <c r="I2097" s="3"/>
      <c r="J2097" s="3"/>
      <c r="K2097" s="1"/>
      <c r="L2097" s="1"/>
    </row>
    <row r="2098" spans="2:12" x14ac:dyDescent="0.35">
      <c r="B2098" s="1"/>
      <c r="C2098" s="11" t="s">
        <v>844</v>
      </c>
      <c r="D2098" s="16">
        <v>365</v>
      </c>
      <c r="E2098" s="1"/>
      <c r="F2098" s="3"/>
      <c r="G2098" s="3"/>
      <c r="H2098" s="3"/>
      <c r="I2098" s="3"/>
      <c r="J2098" s="3"/>
      <c r="K2098" s="1"/>
      <c r="L2098" s="1"/>
    </row>
    <row r="2099" spans="2:12" x14ac:dyDescent="0.35">
      <c r="B2099" s="1"/>
      <c r="C2099" s="17" t="s">
        <v>845</v>
      </c>
      <c r="D2099" s="18">
        <f>-PMT(D2094/D2096,D2097,D2093,0,0)</f>
        <v>323014.48436261551</v>
      </c>
      <c r="E2099" s="3"/>
      <c r="F2099" s="3"/>
      <c r="G2099" s="3"/>
      <c r="H2099" s="3"/>
      <c r="I2099" s="3"/>
      <c r="J2099" s="3"/>
      <c r="K2099" s="1"/>
      <c r="L2099" s="1"/>
    </row>
    <row r="2100" spans="2:12" x14ac:dyDescent="0.35">
      <c r="B2100" s="1"/>
      <c r="C2100" s="1"/>
      <c r="D2100" s="3"/>
      <c r="E2100" s="3"/>
      <c r="F2100" s="3"/>
      <c r="G2100" s="3"/>
      <c r="H2100" s="3"/>
      <c r="I2100" s="3"/>
      <c r="J2100" s="3"/>
      <c r="K2100" s="1"/>
      <c r="L2100" s="1"/>
    </row>
    <row r="2101" spans="2:12" x14ac:dyDescent="0.35">
      <c r="B2101" s="1"/>
      <c r="C2101" s="19" t="s">
        <v>846</v>
      </c>
      <c r="D2101" s="20" t="s">
        <v>847</v>
      </c>
      <c r="E2101" s="20" t="s">
        <v>764</v>
      </c>
      <c r="F2101" s="270" t="s">
        <v>848</v>
      </c>
      <c r="G2101" s="270" t="s">
        <v>849</v>
      </c>
      <c r="H2101" s="270" t="s">
        <v>742</v>
      </c>
      <c r="I2101" s="270" t="s">
        <v>740</v>
      </c>
      <c r="J2101" s="270" t="s">
        <v>850</v>
      </c>
      <c r="K2101" s="21" t="s">
        <v>851</v>
      </c>
      <c r="L2101" s="21" t="s">
        <v>852</v>
      </c>
    </row>
    <row r="2102" spans="2:12" x14ac:dyDescent="0.35">
      <c r="B2102" s="1">
        <v>0</v>
      </c>
      <c r="C2102" s="22">
        <v>44755</v>
      </c>
      <c r="D2102" s="22">
        <v>44773</v>
      </c>
      <c r="E2102" s="23">
        <f t="shared" ref="E2102:E2126" si="338">D2102-C2102+1</f>
        <v>19</v>
      </c>
      <c r="F2102" s="3">
        <f>D2093</f>
        <v>7000000</v>
      </c>
      <c r="G2102" s="3"/>
      <c r="H2102" s="3">
        <f>$D$2094/$D$2096*F2102*E2102/30</f>
        <v>36944.444444444453</v>
      </c>
      <c r="I2102" s="3">
        <f t="shared" ref="I2102:I2126" si="339">G2102-H2102</f>
        <v>-36944.444444444453</v>
      </c>
      <c r="J2102" s="3">
        <f t="shared" ref="J2102:J2126" si="340">F2102-I2102</f>
        <v>7036944.444444444</v>
      </c>
      <c r="K2102" s="24"/>
      <c r="L2102" s="24"/>
    </row>
    <row r="2103" spans="2:12" x14ac:dyDescent="0.35">
      <c r="B2103" s="1">
        <v>1</v>
      </c>
      <c r="C2103" s="22">
        <v>44774</v>
      </c>
      <c r="D2103" s="22">
        <v>44804</v>
      </c>
      <c r="E2103" s="23">
        <f t="shared" si="338"/>
        <v>31</v>
      </c>
      <c r="F2103" s="3">
        <f t="shared" ref="F2103:F2126" si="341">J2102</f>
        <v>7036944.444444444</v>
      </c>
      <c r="G2103" s="3"/>
      <c r="H2103" s="3">
        <f t="shared" ref="H2103:H2126" si="342">$D$2094/$D$2096*F2103</f>
        <v>58641.203703703701</v>
      </c>
      <c r="I2103" s="3">
        <f t="shared" si="339"/>
        <v>-58641.203703703701</v>
      </c>
      <c r="J2103" s="3">
        <f t="shared" si="340"/>
        <v>7095585.6481481474</v>
      </c>
      <c r="K2103" s="24"/>
      <c r="L2103" s="24"/>
    </row>
    <row r="2104" spans="2:12" x14ac:dyDescent="0.35">
      <c r="B2104" s="1">
        <v>2</v>
      </c>
      <c r="C2104" s="22">
        <v>44805</v>
      </c>
      <c r="D2104" s="22">
        <v>44834</v>
      </c>
      <c r="E2104" s="23">
        <f t="shared" si="338"/>
        <v>30</v>
      </c>
      <c r="F2104" s="3">
        <f t="shared" si="341"/>
        <v>7095585.6481481474</v>
      </c>
      <c r="G2104" s="3"/>
      <c r="H2104" s="3">
        <f t="shared" si="342"/>
        <v>59129.880401234557</v>
      </c>
      <c r="I2104" s="3">
        <f t="shared" si="339"/>
        <v>-59129.880401234557</v>
      </c>
      <c r="J2104" s="3">
        <f t="shared" si="340"/>
        <v>7154715.5285493815</v>
      </c>
    </row>
    <row r="2105" spans="2:12" x14ac:dyDescent="0.35">
      <c r="B2105" s="1">
        <v>3</v>
      </c>
      <c r="C2105" s="22">
        <v>44835</v>
      </c>
      <c r="D2105" s="22">
        <v>44865</v>
      </c>
      <c r="E2105" s="23">
        <f t="shared" si="338"/>
        <v>31</v>
      </c>
      <c r="F2105" s="3">
        <f t="shared" si="341"/>
        <v>7154715.5285493815</v>
      </c>
      <c r="G2105" s="3"/>
      <c r="H2105" s="3">
        <f t="shared" si="342"/>
        <v>59622.629404578176</v>
      </c>
      <c r="I2105" s="3">
        <f t="shared" si="339"/>
        <v>-59622.629404578176</v>
      </c>
      <c r="J2105" s="3">
        <f t="shared" si="340"/>
        <v>7214338.1579539599</v>
      </c>
      <c r="K2105" s="24"/>
      <c r="L2105" s="24"/>
    </row>
    <row r="2106" spans="2:12" x14ac:dyDescent="0.35">
      <c r="B2106" s="1">
        <v>4</v>
      </c>
      <c r="C2106" s="22">
        <v>44866</v>
      </c>
      <c r="D2106" s="22">
        <v>44895</v>
      </c>
      <c r="E2106" s="23">
        <f t="shared" si="338"/>
        <v>30</v>
      </c>
      <c r="F2106" s="3">
        <f t="shared" si="341"/>
        <v>7214338.1579539599</v>
      </c>
      <c r="G2106" s="3">
        <f t="shared" ref="G2106:G2126" si="343">-PMT($D$2094/$D$2096,21,$F$2106,,0)</f>
        <v>375901.7589865402</v>
      </c>
      <c r="H2106" s="3">
        <f t="shared" si="342"/>
        <v>60119.48464961633</v>
      </c>
      <c r="I2106" s="3">
        <f t="shared" si="339"/>
        <v>315782.27433692385</v>
      </c>
      <c r="J2106" s="3">
        <f t="shared" si="340"/>
        <v>6898555.883617036</v>
      </c>
      <c r="K2106" s="24">
        <v>0</v>
      </c>
      <c r="L2106" s="24">
        <f>G2106</f>
        <v>375901.7589865402</v>
      </c>
    </row>
    <row r="2107" spans="2:12" x14ac:dyDescent="0.35">
      <c r="B2107" s="1">
        <v>5</v>
      </c>
      <c r="C2107" s="22">
        <v>44896</v>
      </c>
      <c r="D2107" s="22">
        <v>44926</v>
      </c>
      <c r="E2107" s="23">
        <f t="shared" si="338"/>
        <v>31</v>
      </c>
      <c r="F2107" s="3">
        <f t="shared" si="341"/>
        <v>6898555.883617036</v>
      </c>
      <c r="G2107" s="3">
        <f t="shared" si="343"/>
        <v>375901.7589865402</v>
      </c>
      <c r="H2107" s="3">
        <f t="shared" si="342"/>
        <v>57487.965696808635</v>
      </c>
      <c r="I2107" s="3">
        <f t="shared" si="339"/>
        <v>318413.79328973155</v>
      </c>
      <c r="J2107" s="3">
        <f t="shared" si="340"/>
        <v>6580142.0903273048</v>
      </c>
      <c r="K2107" s="24"/>
      <c r="L2107" s="24">
        <f>L2106+G2107</f>
        <v>751803.51797308039</v>
      </c>
    </row>
    <row r="2108" spans="2:12" x14ac:dyDescent="0.35">
      <c r="B2108" s="1">
        <v>6</v>
      </c>
      <c r="C2108" s="22">
        <v>44927</v>
      </c>
      <c r="D2108" s="22">
        <v>44957</v>
      </c>
      <c r="E2108" s="23">
        <f t="shared" si="338"/>
        <v>31</v>
      </c>
      <c r="F2108" s="3">
        <f t="shared" si="341"/>
        <v>6580142.0903273048</v>
      </c>
      <c r="G2108" s="3">
        <f t="shared" si="343"/>
        <v>375901.7589865402</v>
      </c>
      <c r="H2108" s="3">
        <f t="shared" si="342"/>
        <v>54834.517419394208</v>
      </c>
      <c r="I2108" s="3">
        <f t="shared" si="339"/>
        <v>321067.24156714597</v>
      </c>
      <c r="J2108" s="3">
        <f t="shared" si="340"/>
        <v>6259074.8487601588</v>
      </c>
      <c r="K2108" s="24">
        <v>2269000</v>
      </c>
      <c r="L2108" s="24">
        <f t="shared" ref="L2108:L2125" si="344">L2107+G2108-K2108</f>
        <v>-1141294.7230403794</v>
      </c>
    </row>
    <row r="2109" spans="2:12" x14ac:dyDescent="0.35">
      <c r="B2109" s="1">
        <v>7</v>
      </c>
      <c r="C2109" s="22">
        <v>44958</v>
      </c>
      <c r="D2109" s="22">
        <v>44985</v>
      </c>
      <c r="E2109" s="23">
        <f t="shared" si="338"/>
        <v>28</v>
      </c>
      <c r="F2109" s="3">
        <f t="shared" si="341"/>
        <v>6259074.8487601588</v>
      </c>
      <c r="G2109" s="3">
        <f t="shared" si="343"/>
        <v>375901.7589865402</v>
      </c>
      <c r="H2109" s="3">
        <f t="shared" si="342"/>
        <v>52158.957073001322</v>
      </c>
      <c r="I2109" s="3">
        <f t="shared" si="339"/>
        <v>323742.80191353889</v>
      </c>
      <c r="J2109" s="3">
        <f t="shared" si="340"/>
        <v>5935332.0468466198</v>
      </c>
      <c r="K2109" s="24"/>
      <c r="L2109" s="24">
        <f t="shared" si="344"/>
        <v>-765392.96405383921</v>
      </c>
    </row>
    <row r="2110" spans="2:12" x14ac:dyDescent="0.35">
      <c r="B2110" s="1">
        <v>8</v>
      </c>
      <c r="C2110" s="22">
        <v>44986</v>
      </c>
      <c r="D2110" s="22">
        <v>45016</v>
      </c>
      <c r="E2110" s="23">
        <f t="shared" si="338"/>
        <v>31</v>
      </c>
      <c r="F2110" s="3">
        <f t="shared" si="341"/>
        <v>5935332.0468466198</v>
      </c>
      <c r="G2110" s="3">
        <f t="shared" si="343"/>
        <v>375901.7589865402</v>
      </c>
      <c r="H2110" s="3">
        <f t="shared" si="342"/>
        <v>49461.100390388499</v>
      </c>
      <c r="I2110" s="3">
        <f t="shared" si="339"/>
        <v>326440.65859615168</v>
      </c>
      <c r="J2110" s="3">
        <f t="shared" si="340"/>
        <v>5608891.3882504683</v>
      </c>
      <c r="K2110" s="24"/>
      <c r="L2110" s="24">
        <f t="shared" si="344"/>
        <v>-389491.20506729902</v>
      </c>
    </row>
    <row r="2111" spans="2:12" x14ac:dyDescent="0.35">
      <c r="B2111" s="1">
        <v>9</v>
      </c>
      <c r="C2111" s="22">
        <v>45017</v>
      </c>
      <c r="D2111" s="22">
        <v>45046</v>
      </c>
      <c r="E2111" s="23">
        <f t="shared" si="338"/>
        <v>30</v>
      </c>
      <c r="F2111" s="3">
        <f t="shared" si="341"/>
        <v>5608891.3882504683</v>
      </c>
      <c r="G2111" s="3">
        <f t="shared" si="343"/>
        <v>375901.7589865402</v>
      </c>
      <c r="H2111" s="3">
        <f t="shared" si="342"/>
        <v>46740.7615687539</v>
      </c>
      <c r="I2111" s="3">
        <f t="shared" si="339"/>
        <v>329160.99741778628</v>
      </c>
      <c r="J2111" s="3">
        <f t="shared" si="340"/>
        <v>5279730.3908326821</v>
      </c>
      <c r="K2111" s="24"/>
      <c r="L2111" s="24">
        <f t="shared" si="344"/>
        <v>-13589.446080758818</v>
      </c>
    </row>
    <row r="2112" spans="2:12" x14ac:dyDescent="0.35">
      <c r="B2112" s="1">
        <v>10</v>
      </c>
      <c r="C2112" s="22">
        <v>45047</v>
      </c>
      <c r="D2112" s="22">
        <v>45077</v>
      </c>
      <c r="E2112" s="23">
        <f t="shared" si="338"/>
        <v>31</v>
      </c>
      <c r="F2112" s="3">
        <f t="shared" si="341"/>
        <v>5279730.3908326821</v>
      </c>
      <c r="G2112" s="3">
        <f t="shared" si="343"/>
        <v>375901.7589865402</v>
      </c>
      <c r="H2112" s="3">
        <f t="shared" si="342"/>
        <v>43997.753256939017</v>
      </c>
      <c r="I2112" s="3">
        <f t="shared" si="339"/>
        <v>331904.00572960119</v>
      </c>
      <c r="J2112" s="3">
        <f t="shared" si="340"/>
        <v>4947826.3851030814</v>
      </c>
      <c r="K2112" s="24">
        <v>1100000</v>
      </c>
      <c r="L2112" s="24">
        <f t="shared" si="344"/>
        <v>-737687.68709421856</v>
      </c>
    </row>
    <row r="2113" spans="2:12" x14ac:dyDescent="0.35">
      <c r="B2113" s="1">
        <v>11</v>
      </c>
      <c r="C2113" s="22">
        <v>45078</v>
      </c>
      <c r="D2113" s="22">
        <v>45107</v>
      </c>
      <c r="E2113" s="23">
        <f t="shared" si="338"/>
        <v>30</v>
      </c>
      <c r="F2113" s="3">
        <f t="shared" si="341"/>
        <v>4947826.3851030814</v>
      </c>
      <c r="G2113" s="3">
        <f t="shared" si="343"/>
        <v>375901.7589865402</v>
      </c>
      <c r="H2113" s="3">
        <f t="shared" si="342"/>
        <v>41231.886542525681</v>
      </c>
      <c r="I2113" s="3">
        <f t="shared" si="339"/>
        <v>334669.87244401453</v>
      </c>
      <c r="J2113" s="3">
        <f t="shared" si="340"/>
        <v>4613156.5126590673</v>
      </c>
      <c r="K2113" s="24"/>
      <c r="L2113" s="24">
        <f t="shared" si="344"/>
        <v>-361785.92810767837</v>
      </c>
    </row>
    <row r="2114" spans="2:12" x14ac:dyDescent="0.35">
      <c r="B2114" s="1">
        <v>12</v>
      </c>
      <c r="C2114" s="22">
        <v>45108</v>
      </c>
      <c r="D2114" s="22">
        <v>45138</v>
      </c>
      <c r="E2114" s="23">
        <f t="shared" si="338"/>
        <v>31</v>
      </c>
      <c r="F2114" s="3">
        <f t="shared" si="341"/>
        <v>4613156.5126590673</v>
      </c>
      <c r="G2114" s="3">
        <f t="shared" si="343"/>
        <v>375901.7589865402</v>
      </c>
      <c r="H2114" s="3">
        <f t="shared" si="342"/>
        <v>38442.970938825558</v>
      </c>
      <c r="I2114" s="3">
        <f t="shared" si="339"/>
        <v>337458.78804771462</v>
      </c>
      <c r="J2114" s="3">
        <f t="shared" si="340"/>
        <v>4275697.7246113531</v>
      </c>
      <c r="K2114" s="24"/>
      <c r="L2114" s="24">
        <f t="shared" si="344"/>
        <v>14115.830878861831</v>
      </c>
    </row>
    <row r="2115" spans="2:12" x14ac:dyDescent="0.35">
      <c r="B2115" s="1">
        <v>13</v>
      </c>
      <c r="C2115" s="22">
        <v>45139</v>
      </c>
      <c r="D2115" s="22">
        <v>45169</v>
      </c>
      <c r="E2115" s="23">
        <f t="shared" si="338"/>
        <v>31</v>
      </c>
      <c r="F2115" s="3">
        <f t="shared" si="341"/>
        <v>4275697.7246113531</v>
      </c>
      <c r="G2115" s="3">
        <f t="shared" si="343"/>
        <v>375901.7589865402</v>
      </c>
      <c r="H2115" s="3">
        <f t="shared" si="342"/>
        <v>35630.814371761277</v>
      </c>
      <c r="I2115" s="3">
        <f t="shared" si="339"/>
        <v>340270.94461477891</v>
      </c>
      <c r="J2115" s="3">
        <f t="shared" si="340"/>
        <v>3935426.7799965744</v>
      </c>
      <c r="K2115" s="24"/>
      <c r="L2115" s="24">
        <f t="shared" si="344"/>
        <v>390017.58986540203</v>
      </c>
    </row>
    <row r="2116" spans="2:12" x14ac:dyDescent="0.35">
      <c r="B2116" s="1">
        <v>14</v>
      </c>
      <c r="C2116" s="22">
        <v>45170</v>
      </c>
      <c r="D2116" s="22">
        <v>45199</v>
      </c>
      <c r="E2116" s="23">
        <f t="shared" si="338"/>
        <v>30</v>
      </c>
      <c r="F2116" s="3">
        <f t="shared" si="341"/>
        <v>3935426.7799965744</v>
      </c>
      <c r="G2116" s="3">
        <f t="shared" si="343"/>
        <v>375901.7589865402</v>
      </c>
      <c r="H2116" s="3">
        <f t="shared" si="342"/>
        <v>32795.223166638119</v>
      </c>
      <c r="I2116" s="3">
        <f t="shared" si="339"/>
        <v>343106.53581990208</v>
      </c>
      <c r="J2116" s="3">
        <f t="shared" si="340"/>
        <v>3592320.2441766723</v>
      </c>
      <c r="K2116" s="24"/>
      <c r="L2116" s="24">
        <f t="shared" si="344"/>
        <v>765919.34885194222</v>
      </c>
    </row>
    <row r="2117" spans="2:12" x14ac:dyDescent="0.35">
      <c r="B2117" s="1">
        <v>15</v>
      </c>
      <c r="C2117" s="22">
        <v>45200</v>
      </c>
      <c r="D2117" s="22">
        <v>45230</v>
      </c>
      <c r="E2117" s="23">
        <f t="shared" si="338"/>
        <v>31</v>
      </c>
      <c r="F2117" s="3">
        <f t="shared" si="341"/>
        <v>3592320.2441766723</v>
      </c>
      <c r="G2117" s="3">
        <f t="shared" si="343"/>
        <v>375901.7589865402</v>
      </c>
      <c r="H2117" s="3">
        <f t="shared" si="342"/>
        <v>29936.002034805602</v>
      </c>
      <c r="I2117" s="3">
        <f t="shared" si="339"/>
        <v>345965.7569517346</v>
      </c>
      <c r="J2117" s="3">
        <f t="shared" si="340"/>
        <v>3246354.4872249379</v>
      </c>
      <c r="K2117" s="24"/>
      <c r="L2117" s="24">
        <f t="shared" si="344"/>
        <v>1141821.1078384824</v>
      </c>
    </row>
    <row r="2118" spans="2:12" x14ac:dyDescent="0.35">
      <c r="B2118" s="1">
        <v>16</v>
      </c>
      <c r="C2118" s="22">
        <v>45231</v>
      </c>
      <c r="D2118" s="22">
        <v>45260</v>
      </c>
      <c r="E2118" s="23">
        <f t="shared" si="338"/>
        <v>30</v>
      </c>
      <c r="F2118" s="3">
        <f t="shared" si="341"/>
        <v>3246354.4872249379</v>
      </c>
      <c r="G2118" s="3">
        <f t="shared" si="343"/>
        <v>375901.7589865402</v>
      </c>
      <c r="H2118" s="3">
        <f t="shared" si="342"/>
        <v>27052.954060207816</v>
      </c>
      <c r="I2118" s="3">
        <f t="shared" si="339"/>
        <v>348848.80492633238</v>
      </c>
      <c r="J2118" s="3">
        <f t="shared" si="340"/>
        <v>2897505.6822986053</v>
      </c>
      <c r="K2118" s="24"/>
      <c r="L2118" s="24">
        <f t="shared" si="344"/>
        <v>1517722.8668250225</v>
      </c>
    </row>
    <row r="2119" spans="2:12" x14ac:dyDescent="0.35">
      <c r="B2119" s="1">
        <v>17</v>
      </c>
      <c r="C2119" s="22">
        <v>45261</v>
      </c>
      <c r="D2119" s="22">
        <v>45291</v>
      </c>
      <c r="E2119" s="23">
        <f t="shared" si="338"/>
        <v>31</v>
      </c>
      <c r="F2119" s="3">
        <f t="shared" si="341"/>
        <v>2897505.6822986053</v>
      </c>
      <c r="G2119" s="3">
        <f t="shared" si="343"/>
        <v>375901.7589865402</v>
      </c>
      <c r="H2119" s="3">
        <f t="shared" si="342"/>
        <v>24145.88068582171</v>
      </c>
      <c r="I2119" s="3">
        <f t="shared" si="339"/>
        <v>351755.8783007185</v>
      </c>
      <c r="J2119" s="3">
        <f t="shared" si="340"/>
        <v>2545749.8039978868</v>
      </c>
      <c r="K2119" s="24"/>
      <c r="L2119" s="24">
        <f t="shared" si="344"/>
        <v>1893624.6258115626</v>
      </c>
    </row>
    <row r="2120" spans="2:12" x14ac:dyDescent="0.35">
      <c r="B2120" s="1">
        <v>18</v>
      </c>
      <c r="C2120" s="22">
        <v>45292</v>
      </c>
      <c r="D2120" s="22">
        <v>45322</v>
      </c>
      <c r="E2120" s="23">
        <f t="shared" si="338"/>
        <v>31</v>
      </c>
      <c r="F2120" s="3">
        <f t="shared" si="341"/>
        <v>2545749.8039978868</v>
      </c>
      <c r="G2120" s="3">
        <f t="shared" si="343"/>
        <v>375901.7589865402</v>
      </c>
      <c r="H2120" s="3">
        <f t="shared" si="342"/>
        <v>21214.581699982391</v>
      </c>
      <c r="I2120" s="3">
        <f t="shared" si="339"/>
        <v>354687.1772865578</v>
      </c>
      <c r="J2120" s="3">
        <f t="shared" si="340"/>
        <v>2191062.626711329</v>
      </c>
      <c r="K2120" s="24">
        <v>1000000</v>
      </c>
      <c r="L2120" s="24">
        <f t="shared" si="344"/>
        <v>1269526.384798103</v>
      </c>
    </row>
    <row r="2121" spans="2:12" x14ac:dyDescent="0.35">
      <c r="B2121" s="1">
        <v>19</v>
      </c>
      <c r="C2121" s="22">
        <f>+C2120+31</f>
        <v>45323</v>
      </c>
      <c r="D2121" s="22">
        <f>+C2121+28</f>
        <v>45351</v>
      </c>
      <c r="E2121" s="23">
        <f t="shared" si="338"/>
        <v>29</v>
      </c>
      <c r="F2121" s="3">
        <f t="shared" si="341"/>
        <v>2191062.626711329</v>
      </c>
      <c r="G2121" s="3">
        <f t="shared" si="343"/>
        <v>375901.7589865402</v>
      </c>
      <c r="H2121" s="3">
        <f t="shared" si="342"/>
        <v>18258.855222594408</v>
      </c>
      <c r="I2121" s="3">
        <f t="shared" si="339"/>
        <v>357642.9037639458</v>
      </c>
      <c r="J2121" s="3">
        <f t="shared" si="340"/>
        <v>1833419.7229473833</v>
      </c>
      <c r="K2121" s="24">
        <v>500000</v>
      </c>
      <c r="L2121" s="24">
        <f t="shared" si="344"/>
        <v>1145428.1437846432</v>
      </c>
    </row>
    <row r="2122" spans="2:12" x14ac:dyDescent="0.35">
      <c r="B2122" s="1">
        <v>20</v>
      </c>
      <c r="C2122" s="22">
        <f>+C2121+29</f>
        <v>45352</v>
      </c>
      <c r="D2122" s="22">
        <f>+C2122+30</f>
        <v>45382</v>
      </c>
      <c r="E2122" s="23">
        <f t="shared" si="338"/>
        <v>31</v>
      </c>
      <c r="F2122" s="3">
        <f t="shared" si="341"/>
        <v>1833419.7229473833</v>
      </c>
      <c r="G2122" s="3">
        <f t="shared" si="343"/>
        <v>375901.7589865402</v>
      </c>
      <c r="H2122" s="3">
        <f t="shared" si="342"/>
        <v>15278.497691228195</v>
      </c>
      <c r="I2122" s="3">
        <f t="shared" si="339"/>
        <v>360623.26129531203</v>
      </c>
      <c r="J2122" s="3">
        <f t="shared" si="340"/>
        <v>1472796.4616520712</v>
      </c>
      <c r="K2122" s="24"/>
      <c r="L2122" s="24">
        <f t="shared" si="344"/>
        <v>1521329.9027711833</v>
      </c>
    </row>
    <row r="2123" spans="2:12" x14ac:dyDescent="0.35">
      <c r="B2123" s="1">
        <v>21</v>
      </c>
      <c r="C2123" s="22">
        <f>+C2122+31</f>
        <v>45383</v>
      </c>
      <c r="D2123" s="22">
        <f>+C2123+29</f>
        <v>45412</v>
      </c>
      <c r="E2123" s="23">
        <f t="shared" si="338"/>
        <v>30</v>
      </c>
      <c r="F2123" s="3">
        <f t="shared" si="341"/>
        <v>1472796.4616520712</v>
      </c>
      <c r="G2123" s="3">
        <f t="shared" si="343"/>
        <v>375901.7589865402</v>
      </c>
      <c r="H2123" s="3">
        <f t="shared" si="342"/>
        <v>12273.303847100593</v>
      </c>
      <c r="I2123" s="3">
        <f t="shared" si="339"/>
        <v>363628.45513943961</v>
      </c>
      <c r="J2123" s="3">
        <f t="shared" si="340"/>
        <v>1109168.0065126317</v>
      </c>
      <c r="K2123" s="24">
        <v>500000</v>
      </c>
      <c r="L2123" s="24">
        <f t="shared" si="344"/>
        <v>1397231.6617577234</v>
      </c>
    </row>
    <row r="2124" spans="2:12" x14ac:dyDescent="0.35">
      <c r="B2124" s="1">
        <v>22</v>
      </c>
      <c r="C2124" s="22">
        <f>+C2123+30</f>
        <v>45413</v>
      </c>
      <c r="D2124" s="22">
        <f>+C2124+30</f>
        <v>45443</v>
      </c>
      <c r="E2124" s="23">
        <f t="shared" si="338"/>
        <v>31</v>
      </c>
      <c r="F2124" s="3">
        <f t="shared" si="341"/>
        <v>1109168.0065126317</v>
      </c>
      <c r="G2124" s="3">
        <f t="shared" si="343"/>
        <v>375901.7589865402</v>
      </c>
      <c r="H2124" s="3">
        <f t="shared" si="342"/>
        <v>9243.0667209385974</v>
      </c>
      <c r="I2124" s="3">
        <f t="shared" si="339"/>
        <v>366658.6922656016</v>
      </c>
      <c r="J2124" s="3">
        <f t="shared" si="340"/>
        <v>742509.31424703007</v>
      </c>
      <c r="K2124" s="24">
        <f>1390000+500000</f>
        <v>1890000</v>
      </c>
      <c r="L2124" s="24">
        <f t="shared" si="344"/>
        <v>-116866.57925573643</v>
      </c>
    </row>
    <row r="2125" spans="2:12" x14ac:dyDescent="0.35">
      <c r="B2125" s="1">
        <v>23</v>
      </c>
      <c r="C2125" s="22">
        <f>+C2124+31</f>
        <v>45444</v>
      </c>
      <c r="D2125" s="22">
        <f>+C2125+29</f>
        <v>45473</v>
      </c>
      <c r="E2125" s="23">
        <f t="shared" si="338"/>
        <v>30</v>
      </c>
      <c r="F2125" s="3">
        <f t="shared" si="341"/>
        <v>742509.31424703007</v>
      </c>
      <c r="G2125" s="3">
        <f t="shared" si="343"/>
        <v>375901.7589865402</v>
      </c>
      <c r="H2125" s="3">
        <f t="shared" si="342"/>
        <v>6187.5776187252504</v>
      </c>
      <c r="I2125" s="3">
        <f t="shared" si="339"/>
        <v>369714.18136781495</v>
      </c>
      <c r="J2125" s="3">
        <f t="shared" si="340"/>
        <v>372795.13287921512</v>
      </c>
      <c r="K2125" s="24">
        <f>614000+22000</f>
        <v>636000</v>
      </c>
      <c r="L2125" s="204">
        <f t="shared" si="344"/>
        <v>-376964.82026919624</v>
      </c>
    </row>
    <row r="2126" spans="2:12" x14ac:dyDescent="0.35">
      <c r="B2126" s="1">
        <v>24</v>
      </c>
      <c r="C2126" s="22">
        <f>+C2125+30</f>
        <v>45474</v>
      </c>
      <c r="D2126" s="22">
        <f>+C2126+30</f>
        <v>45504</v>
      </c>
      <c r="E2126" s="23">
        <f t="shared" si="338"/>
        <v>31</v>
      </c>
      <c r="F2126" s="3">
        <f t="shared" si="341"/>
        <v>372795.13287921512</v>
      </c>
      <c r="G2126" s="3">
        <f t="shared" si="343"/>
        <v>375901.7589865402</v>
      </c>
      <c r="H2126" s="3">
        <f t="shared" si="342"/>
        <v>3106.6261073267924</v>
      </c>
      <c r="I2126" s="3">
        <f t="shared" si="339"/>
        <v>372795.13287921343</v>
      </c>
      <c r="J2126" s="3">
        <f t="shared" si="340"/>
        <v>1.6880221664905548E-9</v>
      </c>
      <c r="K2126" s="24"/>
      <c r="L2126" s="24"/>
    </row>
    <row r="2127" spans="2:12" x14ac:dyDescent="0.35">
      <c r="B2127" s="1"/>
      <c r="C2127" s="22"/>
      <c r="D2127" s="22"/>
      <c r="E2127" s="23"/>
      <c r="F2127" s="3"/>
      <c r="G2127" s="3"/>
      <c r="H2127" s="3"/>
      <c r="I2127" s="3"/>
      <c r="J2127" s="3"/>
      <c r="K2127" s="24"/>
      <c r="L2127" s="24"/>
    </row>
    <row r="2128" spans="2:12" ht="14.25" customHeight="1" x14ac:dyDescent="0.35">
      <c r="B2128" s="1"/>
      <c r="C2128" s="1"/>
      <c r="D2128" s="1"/>
      <c r="E2128" s="28">
        <f>SUM(E2102:E2114)</f>
        <v>384</v>
      </c>
      <c r="F2128" s="3"/>
      <c r="G2128" s="3"/>
      <c r="H2128" s="3"/>
      <c r="I2128" s="3"/>
      <c r="J2128" s="3"/>
      <c r="K2128" s="1"/>
      <c r="L2128" s="1"/>
    </row>
    <row r="2133" spans="2:19" x14ac:dyDescent="0.35">
      <c r="B2133" s="1"/>
      <c r="C2133" s="8" t="s">
        <v>500</v>
      </c>
      <c r="D2133" s="3"/>
      <c r="E2133" s="3"/>
      <c r="F2133" s="3"/>
      <c r="G2133" s="231" t="s">
        <v>827</v>
      </c>
      <c r="H2133" s="3" t="s">
        <v>828</v>
      </c>
      <c r="I2133" s="231" t="s">
        <v>829</v>
      </c>
      <c r="J2133" s="231" t="s">
        <v>830</v>
      </c>
      <c r="K2133" s="231" t="s">
        <v>831</v>
      </c>
      <c r="L2133" s="231" t="s">
        <v>840</v>
      </c>
      <c r="R2133" s="438" t="s">
        <v>832</v>
      </c>
      <c r="S2133" s="432" t="str">
        <f>IFERROR(INDEX(Blocks!$I$2:$I$101,MATCH(38,Blocks!$A$2:$A$101,0)),"")</f>
        <v>000104420000040</v>
      </c>
    </row>
    <row r="2134" spans="2:19" x14ac:dyDescent="0.35">
      <c r="B2134" s="1"/>
      <c r="C2134" s="1"/>
      <c r="D2134" s="3"/>
      <c r="E2134" s="3"/>
      <c r="F2134" s="230">
        <v>44805</v>
      </c>
      <c r="G2134" s="231">
        <v>44866</v>
      </c>
      <c r="H2134" s="230">
        <v>44896</v>
      </c>
      <c r="I2134" s="231">
        <v>45047</v>
      </c>
      <c r="J2134" s="230">
        <v>45108</v>
      </c>
      <c r="K2134" s="230">
        <v>45139</v>
      </c>
      <c r="L2134" s="230">
        <v>45170</v>
      </c>
      <c r="R2134" s="438" t="s">
        <v>834</v>
      </c>
      <c r="S2134" s="432" t="str">
        <f>IFERROR(INDEX(Blocks!$H$2:$H$101,MATCH(38,Blocks!$A$2:$A$101,0)),"")</f>
        <v>Ziweto Enterprise</v>
      </c>
    </row>
    <row r="2135" spans="2:19" x14ac:dyDescent="0.35">
      <c r="B2135" s="1"/>
      <c r="C2135" s="9" t="s">
        <v>835</v>
      </c>
      <c r="D2135" s="10">
        <v>152910000</v>
      </c>
      <c r="E2135" s="3"/>
      <c r="F2135" s="231" t="s">
        <v>836</v>
      </c>
      <c r="G2135" s="231" t="s">
        <v>836</v>
      </c>
      <c r="H2135" s="231" t="s">
        <v>836</v>
      </c>
      <c r="I2135" s="231" t="s">
        <v>836</v>
      </c>
      <c r="J2135" s="231" t="s">
        <v>836</v>
      </c>
      <c r="K2135" s="231" t="s">
        <v>836</v>
      </c>
      <c r="L2135" s="231" t="s">
        <v>836</v>
      </c>
      <c r="R2135" s="438" t="s">
        <v>223</v>
      </c>
      <c r="S2135" s="433">
        <f>IFERROR(INDEX('E-Banker master'!$N$2:$N$186,MATCH(S2133,'E-Banker master'!$A$2:$A$186,0)),"")</f>
        <v>0</v>
      </c>
    </row>
    <row r="2136" spans="2:19" x14ac:dyDescent="0.35">
      <c r="B2136" s="1"/>
      <c r="C2136" s="11" t="s">
        <v>837</v>
      </c>
      <c r="D2136" s="12">
        <v>0.20749999999999999</v>
      </c>
      <c r="E2136" s="13"/>
      <c r="F2136" s="13">
        <f>D2136+0.4%</f>
        <v>0.21149999999999999</v>
      </c>
      <c r="G2136" s="3">
        <f>F2136+2.7%</f>
        <v>0.23849999999999999</v>
      </c>
      <c r="H2136" s="13">
        <f>G2136+0.7%</f>
        <v>0.2455</v>
      </c>
      <c r="I2136" s="3">
        <f>H2136+2.7%</f>
        <v>0.27250000000000002</v>
      </c>
      <c r="J2136" s="13">
        <f>I2136+1.4%</f>
        <v>0.28650000000000003</v>
      </c>
      <c r="K2136" s="13">
        <f>J2136+1.3%</f>
        <v>0.29950000000000004</v>
      </c>
      <c r="L2136" s="257">
        <f>K2136+0.7%</f>
        <v>0.30650000000000005</v>
      </c>
      <c r="R2136" s="438" t="s">
        <v>52</v>
      </c>
      <c r="S2136" s="433">
        <f>IFERROR(INDEX('E-Banker master'!$P$2:$P$186,MATCH(S2133,'E-Banker master'!$A$2:$A$186,0)),"")</f>
        <v>0</v>
      </c>
    </row>
    <row r="2137" spans="2:19" x14ac:dyDescent="0.35">
      <c r="B2137" s="1"/>
      <c r="C2137" s="11" t="s">
        <v>838</v>
      </c>
      <c r="D2137" s="14">
        <v>4</v>
      </c>
      <c r="E2137" s="1"/>
      <c r="F2137" s="3"/>
      <c r="G2137" s="3"/>
      <c r="H2137" s="3"/>
      <c r="I2137" s="3"/>
      <c r="J2137" s="3"/>
      <c r="K2137" s="1"/>
      <c r="L2137" s="1"/>
    </row>
    <row r="2138" spans="2:19" x14ac:dyDescent="0.35">
      <c r="B2138" s="1"/>
      <c r="C2138" s="11" t="s">
        <v>839</v>
      </c>
      <c r="D2138" s="14">
        <v>12</v>
      </c>
      <c r="E2138" s="1"/>
      <c r="F2138" s="231" t="s">
        <v>841</v>
      </c>
      <c r="G2138" s="231" t="s">
        <v>842</v>
      </c>
      <c r="H2138" s="354" t="s">
        <v>856</v>
      </c>
      <c r="I2138" s="3"/>
      <c r="J2138" s="3"/>
      <c r="K2138" s="1"/>
      <c r="L2138" s="1"/>
    </row>
    <row r="2139" spans="2:19" x14ac:dyDescent="0.35">
      <c r="B2139" s="1"/>
      <c r="C2139" s="11" t="s">
        <v>843</v>
      </c>
      <c r="D2139" s="15">
        <f>D2137*D2138</f>
        <v>48</v>
      </c>
      <c r="E2139" s="1"/>
      <c r="F2139" s="230">
        <v>45200</v>
      </c>
      <c r="G2139" s="231">
        <v>45261</v>
      </c>
      <c r="H2139" s="355">
        <v>45413</v>
      </c>
      <c r="I2139" s="3"/>
      <c r="J2139" s="3"/>
      <c r="K2139" s="1"/>
      <c r="L2139" s="1"/>
    </row>
    <row r="2140" spans="2:19" x14ac:dyDescent="0.35">
      <c r="B2140" s="1"/>
      <c r="C2140" s="11" t="s">
        <v>844</v>
      </c>
      <c r="D2140" s="16">
        <v>365</v>
      </c>
      <c r="E2140" s="1"/>
      <c r="F2140" s="231" t="s">
        <v>836</v>
      </c>
      <c r="G2140" s="231" t="s">
        <v>836</v>
      </c>
      <c r="H2140" s="354" t="s">
        <v>836</v>
      </c>
      <c r="I2140" s="3"/>
      <c r="J2140" s="3"/>
      <c r="K2140" s="1"/>
      <c r="L2140" s="1"/>
    </row>
    <row r="2141" spans="2:19" x14ac:dyDescent="0.35">
      <c r="B2141" s="1"/>
      <c r="C2141" s="17" t="s">
        <v>845</v>
      </c>
      <c r="D2141" s="18">
        <f>-PMT(D2136/D2138,D2139,D2135,0,0)</f>
        <v>4714427.360920175</v>
      </c>
      <c r="E2141" s="3"/>
      <c r="F2141" s="257">
        <f>L2136+0.1%</f>
        <v>0.30750000000000005</v>
      </c>
      <c r="G2141" s="3">
        <f>F2141+0.1%</f>
        <v>0.30850000000000005</v>
      </c>
      <c r="H2141" s="350">
        <f>+G2141+0.1%</f>
        <v>0.30950000000000005</v>
      </c>
      <c r="I2141" s="3"/>
      <c r="J2141" s="3"/>
      <c r="K2141" s="1"/>
      <c r="L2141" s="1"/>
    </row>
    <row r="2142" spans="2:19" x14ac:dyDescent="0.35">
      <c r="B2142" s="1"/>
      <c r="C2142" s="1"/>
      <c r="D2142" s="3"/>
      <c r="E2142" s="3"/>
      <c r="F2142" s="3"/>
      <c r="G2142" s="3"/>
      <c r="H2142" s="3"/>
      <c r="I2142" s="3"/>
      <c r="J2142" s="3"/>
      <c r="K2142" s="1"/>
      <c r="L2142" s="1"/>
    </row>
    <row r="2143" spans="2:19" x14ac:dyDescent="0.35">
      <c r="B2143" s="1"/>
      <c r="C2143" s="19" t="s">
        <v>846</v>
      </c>
      <c r="D2143" s="20" t="s">
        <v>847</v>
      </c>
      <c r="E2143" s="20" t="s">
        <v>764</v>
      </c>
      <c r="F2143" s="270" t="s">
        <v>848</v>
      </c>
      <c r="G2143" s="270" t="s">
        <v>849</v>
      </c>
      <c r="H2143" s="270" t="s">
        <v>742</v>
      </c>
      <c r="I2143" s="270" t="s">
        <v>740</v>
      </c>
      <c r="J2143" s="270" t="s">
        <v>850</v>
      </c>
      <c r="K2143" s="21" t="s">
        <v>851</v>
      </c>
      <c r="L2143" s="21" t="s">
        <v>852</v>
      </c>
    </row>
    <row r="2144" spans="2:19" x14ac:dyDescent="0.35">
      <c r="B2144" s="1">
        <v>0</v>
      </c>
      <c r="C2144" s="22">
        <v>44761</v>
      </c>
      <c r="D2144" s="22">
        <v>44773</v>
      </c>
      <c r="E2144" s="23">
        <f t="shared" ref="E2144:E2175" si="345">D2144-C2144+1</f>
        <v>13</v>
      </c>
      <c r="F2144" s="3">
        <f>D2135</f>
        <v>152910000</v>
      </c>
      <c r="G2144" s="271">
        <f t="shared" ref="G2144:G2156" si="346">H2144</f>
        <v>1108803.0241935484</v>
      </c>
      <c r="H2144" s="271">
        <f>$D$2136/$D$2138*F2144*E2144/31</f>
        <v>1108803.0241935484</v>
      </c>
      <c r="I2144" s="271">
        <f t="shared" ref="I2144:I2157" si="347">G2144-H2144</f>
        <v>0</v>
      </c>
      <c r="J2144" s="271">
        <f t="shared" ref="J2144:J2157" si="348">F2144-I2144</f>
        <v>152910000</v>
      </c>
      <c r="K2144" s="31"/>
      <c r="L2144" s="31">
        <f>G2144</f>
        <v>1108803.0241935484</v>
      </c>
    </row>
    <row r="2145" spans="2:12" x14ac:dyDescent="0.35">
      <c r="B2145" s="1">
        <v>1</v>
      </c>
      <c r="C2145" s="22">
        <v>44774</v>
      </c>
      <c r="D2145" s="22">
        <v>44804</v>
      </c>
      <c r="E2145" s="23">
        <f t="shared" si="345"/>
        <v>31</v>
      </c>
      <c r="F2145" s="3">
        <f t="shared" ref="F2145:F2157" si="349">J2144</f>
        <v>152910000</v>
      </c>
      <c r="G2145" s="271">
        <f t="shared" si="346"/>
        <v>2644068.75</v>
      </c>
      <c r="H2145" s="271">
        <f>$D$2136/$D$2138*F2145</f>
        <v>2644068.75</v>
      </c>
      <c r="I2145" s="271">
        <f t="shared" si="347"/>
        <v>0</v>
      </c>
      <c r="J2145" s="271">
        <f t="shared" si="348"/>
        <v>152910000</v>
      </c>
      <c r="K2145" s="31"/>
      <c r="L2145" s="31">
        <f>L2144+G2145</f>
        <v>3752871.7741935486</v>
      </c>
    </row>
    <row r="2146" spans="2:12" x14ac:dyDescent="0.35">
      <c r="B2146" s="1">
        <v>2</v>
      </c>
      <c r="C2146" s="22">
        <v>44805</v>
      </c>
      <c r="D2146" s="22">
        <v>44834</v>
      </c>
      <c r="E2146" s="23">
        <f t="shared" si="345"/>
        <v>30</v>
      </c>
      <c r="F2146" s="3">
        <f t="shared" si="349"/>
        <v>152910000</v>
      </c>
      <c r="G2146" s="271">
        <f t="shared" si="346"/>
        <v>2695038.7499999995</v>
      </c>
      <c r="H2146" s="271">
        <f>$F$2136/$D$2138*F2146</f>
        <v>2695038.7499999995</v>
      </c>
      <c r="I2146" s="271">
        <f t="shared" si="347"/>
        <v>0</v>
      </c>
      <c r="J2146" s="271">
        <f t="shared" si="348"/>
        <v>152910000</v>
      </c>
      <c r="K2146" s="31">
        <v>3752871.77</v>
      </c>
      <c r="L2146" s="31">
        <f t="shared" ref="L2146:L2157" si="350">L2145+G2146-K2146</f>
        <v>2695038.7541935476</v>
      </c>
    </row>
    <row r="2147" spans="2:12" x14ac:dyDescent="0.35">
      <c r="B2147" s="1">
        <v>3</v>
      </c>
      <c r="C2147" s="22">
        <v>44835</v>
      </c>
      <c r="D2147" s="22">
        <v>44865</v>
      </c>
      <c r="E2147" s="23">
        <f t="shared" si="345"/>
        <v>31</v>
      </c>
      <c r="F2147" s="3">
        <f t="shared" si="349"/>
        <v>152910000</v>
      </c>
      <c r="G2147" s="271">
        <f t="shared" si="346"/>
        <v>2695038.7499999995</v>
      </c>
      <c r="H2147" s="271">
        <f>$F$2136/$D$2138*F2147</f>
        <v>2695038.7499999995</v>
      </c>
      <c r="I2147" s="271">
        <f t="shared" si="347"/>
        <v>0</v>
      </c>
      <c r="J2147" s="271">
        <f t="shared" si="348"/>
        <v>152910000</v>
      </c>
      <c r="K2147" s="31">
        <v>2695038</v>
      </c>
      <c r="L2147" s="31">
        <f t="shared" si="350"/>
        <v>2695039.5041935472</v>
      </c>
    </row>
    <row r="2148" spans="2:12" x14ac:dyDescent="0.35">
      <c r="B2148" s="1">
        <v>4</v>
      </c>
      <c r="C2148" s="22">
        <v>44866</v>
      </c>
      <c r="D2148" s="22">
        <v>44895</v>
      </c>
      <c r="E2148" s="23">
        <f t="shared" si="345"/>
        <v>30</v>
      </c>
      <c r="F2148" s="3">
        <f t="shared" si="349"/>
        <v>152910000</v>
      </c>
      <c r="G2148" s="271">
        <f t="shared" si="346"/>
        <v>3039086.25</v>
      </c>
      <c r="H2148" s="271">
        <f>$G$2136/$D$2138*F2148</f>
        <v>3039086.25</v>
      </c>
      <c r="I2148" s="271">
        <f t="shared" si="347"/>
        <v>0</v>
      </c>
      <c r="J2148" s="271">
        <f t="shared" si="348"/>
        <v>152910000</v>
      </c>
      <c r="K2148" s="31">
        <v>2695039.5</v>
      </c>
      <c r="L2148" s="31">
        <f t="shared" si="350"/>
        <v>3039086.2541935472</v>
      </c>
    </row>
    <row r="2149" spans="2:12" x14ac:dyDescent="0.35">
      <c r="B2149" s="1">
        <v>5</v>
      </c>
      <c r="C2149" s="22">
        <v>44896</v>
      </c>
      <c r="D2149" s="22">
        <v>44926</v>
      </c>
      <c r="E2149" s="23">
        <f t="shared" si="345"/>
        <v>31</v>
      </c>
      <c r="F2149" s="3">
        <f t="shared" si="349"/>
        <v>152910000</v>
      </c>
      <c r="G2149" s="271">
        <f t="shared" si="346"/>
        <v>3128283.75</v>
      </c>
      <c r="H2149" s="271">
        <f>$H$2136/$D$2138*F2149</f>
        <v>3128283.75</v>
      </c>
      <c r="I2149" s="271">
        <f t="shared" si="347"/>
        <v>0</v>
      </c>
      <c r="J2149" s="271">
        <f t="shared" si="348"/>
        <v>152910000</v>
      </c>
      <c r="K2149" s="31">
        <v>3039086.25</v>
      </c>
      <c r="L2149" s="31">
        <f t="shared" si="350"/>
        <v>3128283.7541935472</v>
      </c>
    </row>
    <row r="2150" spans="2:12" x14ac:dyDescent="0.35">
      <c r="B2150" s="1">
        <v>6</v>
      </c>
      <c r="C2150" s="22">
        <v>44927</v>
      </c>
      <c r="D2150" s="22">
        <v>44957</v>
      </c>
      <c r="E2150" s="23">
        <f t="shared" si="345"/>
        <v>31</v>
      </c>
      <c r="F2150" s="3">
        <f t="shared" si="349"/>
        <v>152910000</v>
      </c>
      <c r="G2150" s="271">
        <f t="shared" si="346"/>
        <v>3128283.75</v>
      </c>
      <c r="H2150" s="271">
        <f>$H$2136/$D$2138*F2150</f>
        <v>3128283.75</v>
      </c>
      <c r="I2150" s="271">
        <f t="shared" si="347"/>
        <v>0</v>
      </c>
      <c r="J2150" s="271">
        <f t="shared" si="348"/>
        <v>152910000</v>
      </c>
      <c r="K2150" s="31">
        <v>2695038.75</v>
      </c>
      <c r="L2150" s="31">
        <f t="shared" si="350"/>
        <v>3561528.7541935472</v>
      </c>
    </row>
    <row r="2151" spans="2:12" x14ac:dyDescent="0.35">
      <c r="B2151" s="1">
        <v>7</v>
      </c>
      <c r="C2151" s="22">
        <v>44958</v>
      </c>
      <c r="D2151" s="22">
        <v>44985</v>
      </c>
      <c r="E2151" s="23">
        <f t="shared" si="345"/>
        <v>28</v>
      </c>
      <c r="F2151" s="3">
        <f t="shared" si="349"/>
        <v>152910000</v>
      </c>
      <c r="G2151" s="271">
        <f t="shared" si="346"/>
        <v>3128283.75</v>
      </c>
      <c r="H2151" s="271">
        <f>$H$2136/$D$2138*F2151</f>
        <v>3128283.75</v>
      </c>
      <c r="I2151" s="271">
        <f t="shared" si="347"/>
        <v>0</v>
      </c>
      <c r="J2151" s="271">
        <f t="shared" si="348"/>
        <v>152910000</v>
      </c>
      <c r="K2151" s="31">
        <v>3561528.75</v>
      </c>
      <c r="L2151" s="31">
        <f t="shared" si="350"/>
        <v>3128283.7541935472</v>
      </c>
    </row>
    <row r="2152" spans="2:12" x14ac:dyDescent="0.35">
      <c r="B2152" s="1">
        <v>8</v>
      </c>
      <c r="C2152" s="22">
        <v>44986</v>
      </c>
      <c r="D2152" s="22">
        <v>45016</v>
      </c>
      <c r="E2152" s="23">
        <f t="shared" si="345"/>
        <v>31</v>
      </c>
      <c r="F2152" s="3">
        <f t="shared" si="349"/>
        <v>152910000</v>
      </c>
      <c r="G2152" s="271">
        <f t="shared" si="346"/>
        <v>3128283.75</v>
      </c>
      <c r="H2152" s="271">
        <f>$H$2136/$D$2138*F2152</f>
        <v>3128283.75</v>
      </c>
      <c r="I2152" s="271">
        <f t="shared" si="347"/>
        <v>0</v>
      </c>
      <c r="J2152" s="271">
        <f t="shared" si="348"/>
        <v>152910000</v>
      </c>
      <c r="K2152" s="31">
        <v>3128283.75</v>
      </c>
      <c r="L2152" s="31">
        <f t="shared" si="350"/>
        <v>3128283.7541935472</v>
      </c>
    </row>
    <row r="2153" spans="2:12" x14ac:dyDescent="0.35">
      <c r="B2153" s="1">
        <v>9</v>
      </c>
      <c r="C2153" s="22">
        <v>45017</v>
      </c>
      <c r="D2153" s="22">
        <v>45046</v>
      </c>
      <c r="E2153" s="23">
        <f t="shared" si="345"/>
        <v>30</v>
      </c>
      <c r="F2153" s="3">
        <f t="shared" si="349"/>
        <v>152910000</v>
      </c>
      <c r="G2153" s="271">
        <f t="shared" si="346"/>
        <v>3128283.75</v>
      </c>
      <c r="H2153" s="271">
        <f>$H$2136/$D$2138*F2153</f>
        <v>3128283.75</v>
      </c>
      <c r="I2153" s="271">
        <f t="shared" si="347"/>
        <v>0</v>
      </c>
      <c r="J2153" s="271">
        <f t="shared" si="348"/>
        <v>152910000</v>
      </c>
      <c r="K2153" s="31"/>
      <c r="L2153" s="31">
        <f t="shared" si="350"/>
        <v>6256567.5041935472</v>
      </c>
    </row>
    <row r="2154" spans="2:12" x14ac:dyDescent="0.35">
      <c r="B2154" s="1">
        <v>10</v>
      </c>
      <c r="C2154" s="22">
        <v>45047</v>
      </c>
      <c r="D2154" s="22">
        <v>45077</v>
      </c>
      <c r="E2154" s="23">
        <f t="shared" si="345"/>
        <v>31</v>
      </c>
      <c r="F2154" s="3">
        <f t="shared" si="349"/>
        <v>152910000</v>
      </c>
      <c r="G2154" s="271">
        <f t="shared" si="346"/>
        <v>3472331.25</v>
      </c>
      <c r="H2154" s="271">
        <f>$I$2136/$D$2138*F2154</f>
        <v>3472331.25</v>
      </c>
      <c r="I2154" s="271">
        <f t="shared" si="347"/>
        <v>0</v>
      </c>
      <c r="J2154" s="271">
        <f t="shared" si="348"/>
        <v>152910000</v>
      </c>
      <c r="K2154" s="31">
        <v>3128283.75</v>
      </c>
      <c r="L2154" s="31">
        <f t="shared" si="350"/>
        <v>6600615.0041935481</v>
      </c>
    </row>
    <row r="2155" spans="2:12" x14ac:dyDescent="0.35">
      <c r="B2155" s="1">
        <v>11</v>
      </c>
      <c r="C2155" s="22">
        <v>45078</v>
      </c>
      <c r="D2155" s="22">
        <v>45107</v>
      </c>
      <c r="E2155" s="23">
        <f t="shared" si="345"/>
        <v>30</v>
      </c>
      <c r="F2155" s="3">
        <f t="shared" si="349"/>
        <v>152910000</v>
      </c>
      <c r="G2155" s="3">
        <f t="shared" si="346"/>
        <v>3472331.25</v>
      </c>
      <c r="H2155" s="3">
        <f>$I$2136/$D$2138*F2155</f>
        <v>3472331.25</v>
      </c>
      <c r="I2155" s="3">
        <f t="shared" si="347"/>
        <v>0</v>
      </c>
      <c r="J2155" s="3">
        <f t="shared" si="348"/>
        <v>152910000</v>
      </c>
      <c r="K2155" s="24">
        <f>3472331.25+3493360.41</f>
        <v>6965691.6600000001</v>
      </c>
      <c r="L2155" s="26">
        <f t="shared" si="350"/>
        <v>3107254.594193548</v>
      </c>
    </row>
    <row r="2156" spans="2:12" x14ac:dyDescent="0.35">
      <c r="B2156" s="1">
        <v>12</v>
      </c>
      <c r="C2156" s="22">
        <v>45108</v>
      </c>
      <c r="D2156" s="22">
        <v>45138</v>
      </c>
      <c r="E2156" s="23">
        <f t="shared" si="345"/>
        <v>31</v>
      </c>
      <c r="F2156" s="3">
        <f t="shared" si="349"/>
        <v>152910000</v>
      </c>
      <c r="G2156" s="3">
        <f t="shared" si="346"/>
        <v>3650726.2500000005</v>
      </c>
      <c r="H2156" s="3">
        <f>$J$2136/$D$2138*F2156</f>
        <v>3650726.2500000005</v>
      </c>
      <c r="I2156" s="3">
        <f t="shared" si="347"/>
        <v>0</v>
      </c>
      <c r="J2156" s="3">
        <f t="shared" si="348"/>
        <v>152910000</v>
      </c>
      <c r="K2156" s="31">
        <v>3128283.75</v>
      </c>
      <c r="L2156" s="26">
        <f t="shared" si="350"/>
        <v>3629697.094193548</v>
      </c>
    </row>
    <row r="2157" spans="2:12" x14ac:dyDescent="0.35">
      <c r="B2157" s="1">
        <v>13</v>
      </c>
      <c r="C2157" s="22">
        <v>45139</v>
      </c>
      <c r="D2157" s="22">
        <v>45169</v>
      </c>
      <c r="E2157" s="23">
        <f t="shared" si="345"/>
        <v>31</v>
      </c>
      <c r="F2157" s="3">
        <f t="shared" si="349"/>
        <v>152910000</v>
      </c>
      <c r="G2157" s="3">
        <f>-PMT($K$2136/$D$2138,36,$F$2157,,0)</f>
        <v>6487083.719163713</v>
      </c>
      <c r="H2157" s="3">
        <f>$K$2136/$D$2138*F2157</f>
        <v>3816378.7500000005</v>
      </c>
      <c r="I2157" s="3">
        <f t="shared" si="347"/>
        <v>2670704.9691637126</v>
      </c>
      <c r="J2157" s="3">
        <f t="shared" si="348"/>
        <v>150239295.03083628</v>
      </c>
      <c r="K2157" s="24">
        <v>6269481.2199999997</v>
      </c>
      <c r="L2157" s="24">
        <f t="shared" si="350"/>
        <v>3847299.5933572603</v>
      </c>
    </row>
    <row r="2158" spans="2:12" x14ac:dyDescent="0.35">
      <c r="B2158" s="1">
        <v>14</v>
      </c>
      <c r="C2158" s="22">
        <v>45170</v>
      </c>
      <c r="D2158" s="22">
        <v>45199</v>
      </c>
      <c r="E2158" s="23">
        <f t="shared" si="345"/>
        <v>30</v>
      </c>
      <c r="F2158" s="3">
        <f>J2157+L2157</f>
        <v>154086594.62419355</v>
      </c>
      <c r="G2158" s="3"/>
      <c r="H2158" s="3">
        <f>($L$2136/$D$2138*F2158)/30*19</f>
        <v>2492564.6772055319</v>
      </c>
      <c r="I2158" s="3"/>
      <c r="J2158" s="3">
        <f>F2158+H2158</f>
        <v>156579159.30139908</v>
      </c>
      <c r="K2158" s="24">
        <f>141863975.21+14000000+715184.09</f>
        <v>156579159.30000001</v>
      </c>
      <c r="L2158" s="205">
        <f>J2158-K2158</f>
        <v>1.3990700244903564E-3</v>
      </c>
    </row>
    <row r="2159" spans="2:12" x14ac:dyDescent="0.35">
      <c r="B2159" s="1">
        <v>15</v>
      </c>
      <c r="C2159" s="22">
        <v>45200</v>
      </c>
      <c r="D2159" s="22">
        <v>45230</v>
      </c>
      <c r="E2159" s="23">
        <f t="shared" si="345"/>
        <v>31</v>
      </c>
      <c r="F2159" s="3">
        <f t="shared" ref="F2159:F2192" si="351">J2158</f>
        <v>156579159.30139908</v>
      </c>
      <c r="G2159" s="3">
        <f t="shared" ref="G2159:G2192" si="352">-PMT($L$2136/$D$2138,35,$F$2158,,0)</f>
        <v>6712092.7938590907</v>
      </c>
      <c r="H2159" s="3">
        <f t="shared" ref="H2159:H2192" si="353">$L$2136/$D$2138*F2159</f>
        <v>3999292.6938232356</v>
      </c>
      <c r="I2159" s="3">
        <f t="shared" ref="I2159:I2192" si="354">G2159-H2159</f>
        <v>2712800.1000358551</v>
      </c>
      <c r="J2159" s="3">
        <f t="shared" ref="J2159:J2192" si="355">F2159-I2159</f>
        <v>153866359.20136324</v>
      </c>
      <c r="K2159" s="24"/>
      <c r="L2159" s="24"/>
    </row>
    <row r="2160" spans="2:12" x14ac:dyDescent="0.35">
      <c r="B2160" s="1">
        <v>16</v>
      </c>
      <c r="C2160" s="22">
        <v>45231</v>
      </c>
      <c r="D2160" s="22">
        <v>45260</v>
      </c>
      <c r="E2160" s="23">
        <f t="shared" si="345"/>
        <v>30</v>
      </c>
      <c r="F2160" s="3">
        <f t="shared" si="351"/>
        <v>153866359.20136324</v>
      </c>
      <c r="G2160" s="3">
        <f t="shared" si="352"/>
        <v>6712092.7938590907</v>
      </c>
      <c r="H2160" s="3">
        <f t="shared" si="353"/>
        <v>3930003.2579348199</v>
      </c>
      <c r="I2160" s="3">
        <f t="shared" si="354"/>
        <v>2782089.5359242707</v>
      </c>
      <c r="J2160" s="3">
        <f t="shared" si="355"/>
        <v>151084269.66543895</v>
      </c>
      <c r="K2160" s="24"/>
      <c r="L2160" s="24"/>
    </row>
    <row r="2161" spans="2:12" x14ac:dyDescent="0.35">
      <c r="B2161" s="1">
        <v>17</v>
      </c>
      <c r="C2161" s="22">
        <v>45261</v>
      </c>
      <c r="D2161" s="22">
        <v>45291</v>
      </c>
      <c r="E2161" s="23">
        <f t="shared" si="345"/>
        <v>31</v>
      </c>
      <c r="F2161" s="3">
        <f t="shared" si="351"/>
        <v>151084269.66543895</v>
      </c>
      <c r="G2161" s="3">
        <f t="shared" si="352"/>
        <v>6712092.7938590907</v>
      </c>
      <c r="H2161" s="3">
        <f t="shared" si="353"/>
        <v>3858944.0543714203</v>
      </c>
      <c r="I2161" s="3">
        <f t="shared" si="354"/>
        <v>2853148.7394876704</v>
      </c>
      <c r="J2161" s="3">
        <f t="shared" si="355"/>
        <v>148231120.92595127</v>
      </c>
      <c r="K2161" s="24"/>
      <c r="L2161" s="24"/>
    </row>
    <row r="2162" spans="2:12" x14ac:dyDescent="0.35">
      <c r="B2162" s="1">
        <v>18</v>
      </c>
      <c r="C2162" s="22">
        <v>45292</v>
      </c>
      <c r="D2162" s="22">
        <v>45322</v>
      </c>
      <c r="E2162" s="23">
        <f t="shared" si="345"/>
        <v>31</v>
      </c>
      <c r="F2162" s="3">
        <f t="shared" si="351"/>
        <v>148231120.92595127</v>
      </c>
      <c r="G2162" s="3">
        <f t="shared" si="352"/>
        <v>6712092.7938590907</v>
      </c>
      <c r="H2162" s="3">
        <f t="shared" si="353"/>
        <v>3786069.8803170063</v>
      </c>
      <c r="I2162" s="3">
        <f t="shared" si="354"/>
        <v>2926022.9135420844</v>
      </c>
      <c r="J2162" s="3">
        <f t="shared" si="355"/>
        <v>145305098.01240918</v>
      </c>
      <c r="K2162" s="24"/>
      <c r="L2162" s="24"/>
    </row>
    <row r="2163" spans="2:12" x14ac:dyDescent="0.35">
      <c r="B2163" s="1">
        <v>19</v>
      </c>
      <c r="C2163" s="22">
        <v>45323</v>
      </c>
      <c r="D2163" s="22">
        <v>45351</v>
      </c>
      <c r="E2163" s="23">
        <f t="shared" si="345"/>
        <v>29</v>
      </c>
      <c r="F2163" s="3">
        <f t="shared" si="351"/>
        <v>145305098.01240918</v>
      </c>
      <c r="G2163" s="3">
        <f t="shared" si="352"/>
        <v>6712092.7938590907</v>
      </c>
      <c r="H2163" s="3">
        <f t="shared" si="353"/>
        <v>3711334.3784002853</v>
      </c>
      <c r="I2163" s="3">
        <f t="shared" si="354"/>
        <v>3000758.4154588054</v>
      </c>
      <c r="J2163" s="3">
        <f t="shared" si="355"/>
        <v>142304339.59695038</v>
      </c>
      <c r="K2163" s="24"/>
      <c r="L2163" s="24"/>
    </row>
    <row r="2164" spans="2:12" x14ac:dyDescent="0.35">
      <c r="B2164" s="1">
        <v>20</v>
      </c>
      <c r="C2164" s="22">
        <v>45352</v>
      </c>
      <c r="D2164" s="22">
        <v>45382</v>
      </c>
      <c r="E2164" s="23">
        <f t="shared" si="345"/>
        <v>31</v>
      </c>
      <c r="F2164" s="3">
        <f t="shared" si="351"/>
        <v>142304339.59695038</v>
      </c>
      <c r="G2164" s="3">
        <f t="shared" si="352"/>
        <v>6712092.7938590907</v>
      </c>
      <c r="H2164" s="3">
        <f t="shared" si="353"/>
        <v>3634690.0072054416</v>
      </c>
      <c r="I2164" s="3">
        <f t="shared" si="354"/>
        <v>3077402.7866536491</v>
      </c>
      <c r="J2164" s="3">
        <f t="shared" si="355"/>
        <v>139226936.81029674</v>
      </c>
      <c r="K2164" s="24"/>
      <c r="L2164" s="24"/>
    </row>
    <row r="2165" spans="2:12" x14ac:dyDescent="0.35">
      <c r="B2165" s="1">
        <v>21</v>
      </c>
      <c r="C2165" s="22">
        <v>45383</v>
      </c>
      <c r="D2165" s="22">
        <v>45412</v>
      </c>
      <c r="E2165" s="23">
        <f t="shared" si="345"/>
        <v>30</v>
      </c>
      <c r="F2165" s="3">
        <f t="shared" si="351"/>
        <v>139226936.81029674</v>
      </c>
      <c r="G2165" s="3">
        <f t="shared" si="352"/>
        <v>6712092.7938590907</v>
      </c>
      <c r="H2165" s="3">
        <f t="shared" si="353"/>
        <v>3556088.011029663</v>
      </c>
      <c r="I2165" s="3">
        <f t="shared" si="354"/>
        <v>3156004.7828294276</v>
      </c>
      <c r="J2165" s="3">
        <f t="shared" si="355"/>
        <v>136070932.02746731</v>
      </c>
      <c r="K2165" s="24"/>
      <c r="L2165" s="24"/>
    </row>
    <row r="2166" spans="2:12" x14ac:dyDescent="0.35">
      <c r="B2166" s="1">
        <v>22</v>
      </c>
      <c r="C2166" s="22">
        <v>45413</v>
      </c>
      <c r="D2166" s="22">
        <v>45443</v>
      </c>
      <c r="E2166" s="23">
        <f t="shared" si="345"/>
        <v>31</v>
      </c>
      <c r="F2166" s="3">
        <f t="shared" si="351"/>
        <v>136070932.02746731</v>
      </c>
      <c r="G2166" s="3">
        <f t="shared" si="352"/>
        <v>6712092.7938590907</v>
      </c>
      <c r="H2166" s="3">
        <f t="shared" si="353"/>
        <v>3475478.3888682281</v>
      </c>
      <c r="I2166" s="3">
        <f t="shared" si="354"/>
        <v>3236614.4049908626</v>
      </c>
      <c r="J2166" s="3">
        <f t="shared" si="355"/>
        <v>132834317.62247644</v>
      </c>
      <c r="K2166" s="24"/>
      <c r="L2166" s="24"/>
    </row>
    <row r="2167" spans="2:12" x14ac:dyDescent="0.35">
      <c r="B2167" s="1">
        <v>23</v>
      </c>
      <c r="C2167" s="22">
        <v>45444</v>
      </c>
      <c r="D2167" s="22">
        <v>45473</v>
      </c>
      <c r="E2167" s="23">
        <f t="shared" si="345"/>
        <v>30</v>
      </c>
      <c r="F2167" s="3">
        <f t="shared" si="351"/>
        <v>132834317.62247644</v>
      </c>
      <c r="G2167" s="3">
        <f t="shared" si="352"/>
        <v>6712092.7938590907</v>
      </c>
      <c r="H2167" s="3">
        <f t="shared" si="353"/>
        <v>3392809.8626074195</v>
      </c>
      <c r="I2167" s="3">
        <f t="shared" si="354"/>
        <v>3319282.9312516712</v>
      </c>
      <c r="J2167" s="3">
        <f t="shared" si="355"/>
        <v>129515034.69122477</v>
      </c>
      <c r="K2167" s="24"/>
      <c r="L2167" s="24"/>
    </row>
    <row r="2168" spans="2:12" x14ac:dyDescent="0.35">
      <c r="B2168" s="1">
        <v>24</v>
      </c>
      <c r="C2168" s="22">
        <v>45474</v>
      </c>
      <c r="D2168" s="22">
        <v>45504</v>
      </c>
      <c r="E2168" s="23">
        <f t="shared" si="345"/>
        <v>31</v>
      </c>
      <c r="F2168" s="3">
        <f t="shared" si="351"/>
        <v>129515034.69122477</v>
      </c>
      <c r="G2168" s="3">
        <f t="shared" si="352"/>
        <v>6712092.7938590907</v>
      </c>
      <c r="H2168" s="3">
        <f t="shared" si="353"/>
        <v>3308029.8444050332</v>
      </c>
      <c r="I2168" s="3">
        <f t="shared" si="354"/>
        <v>3404062.9494540575</v>
      </c>
      <c r="J2168" s="3">
        <f t="shared" si="355"/>
        <v>126110971.74177071</v>
      </c>
      <c r="K2168" s="24"/>
      <c r="L2168" s="24"/>
    </row>
    <row r="2169" spans="2:12" x14ac:dyDescent="0.35">
      <c r="B2169" s="1">
        <v>25</v>
      </c>
      <c r="C2169" s="22">
        <v>45505</v>
      </c>
      <c r="D2169" s="22">
        <v>45535</v>
      </c>
      <c r="E2169" s="23">
        <f t="shared" si="345"/>
        <v>31</v>
      </c>
      <c r="F2169" s="3">
        <f t="shared" si="351"/>
        <v>126110971.74177071</v>
      </c>
      <c r="G2169" s="3">
        <f t="shared" si="352"/>
        <v>6712092.7938590907</v>
      </c>
      <c r="H2169" s="3">
        <f t="shared" si="353"/>
        <v>3221084.4032377275</v>
      </c>
      <c r="I2169" s="3">
        <f t="shared" si="354"/>
        <v>3491008.3906213632</v>
      </c>
      <c r="J2169" s="3">
        <f t="shared" si="355"/>
        <v>122619963.35114935</v>
      </c>
      <c r="K2169" s="24"/>
      <c r="L2169" s="24"/>
    </row>
    <row r="2170" spans="2:12" x14ac:dyDescent="0.35">
      <c r="B2170" s="1">
        <v>26</v>
      </c>
      <c r="C2170" s="22">
        <v>45536</v>
      </c>
      <c r="D2170" s="22">
        <v>45565</v>
      </c>
      <c r="E2170" s="23">
        <f t="shared" si="345"/>
        <v>30</v>
      </c>
      <c r="F2170" s="3">
        <f t="shared" si="351"/>
        <v>122619963.35114935</v>
      </c>
      <c r="G2170" s="3">
        <f t="shared" si="352"/>
        <v>6712092.7938590907</v>
      </c>
      <c r="H2170" s="3">
        <f t="shared" si="353"/>
        <v>3131918.2305939402</v>
      </c>
      <c r="I2170" s="3">
        <f t="shared" si="354"/>
        <v>3580174.5632651504</v>
      </c>
      <c r="J2170" s="3">
        <f t="shared" si="355"/>
        <v>119039788.78788421</v>
      </c>
      <c r="K2170" s="24"/>
      <c r="L2170" s="24"/>
    </row>
    <row r="2171" spans="2:12" x14ac:dyDescent="0.35">
      <c r="B2171" s="1">
        <v>27</v>
      </c>
      <c r="C2171" s="22">
        <v>45566</v>
      </c>
      <c r="D2171" s="22">
        <v>45596</v>
      </c>
      <c r="E2171" s="23">
        <f t="shared" si="345"/>
        <v>31</v>
      </c>
      <c r="F2171" s="3">
        <f t="shared" si="351"/>
        <v>119039788.78788421</v>
      </c>
      <c r="G2171" s="3">
        <f t="shared" si="352"/>
        <v>6712092.7938590907</v>
      </c>
      <c r="H2171" s="3">
        <f t="shared" si="353"/>
        <v>3040474.6052905428</v>
      </c>
      <c r="I2171" s="3">
        <f t="shared" si="354"/>
        <v>3671618.1885685478</v>
      </c>
      <c r="J2171" s="3">
        <f t="shared" si="355"/>
        <v>115368170.59931566</v>
      </c>
      <c r="K2171" s="24"/>
      <c r="L2171" s="24"/>
    </row>
    <row r="2172" spans="2:12" x14ac:dyDescent="0.35">
      <c r="B2172" s="1">
        <v>28</v>
      </c>
      <c r="C2172" s="22">
        <v>45597</v>
      </c>
      <c r="D2172" s="22">
        <v>45626</v>
      </c>
      <c r="E2172" s="23">
        <f t="shared" si="345"/>
        <v>30</v>
      </c>
      <c r="F2172" s="3">
        <f t="shared" si="351"/>
        <v>115368170.59931566</v>
      </c>
      <c r="G2172" s="3">
        <f t="shared" si="352"/>
        <v>6712092.7938590907</v>
      </c>
      <c r="H2172" s="3">
        <f t="shared" si="353"/>
        <v>2946695.3573908545</v>
      </c>
      <c r="I2172" s="3">
        <f t="shared" si="354"/>
        <v>3765397.4364682361</v>
      </c>
      <c r="J2172" s="3">
        <f t="shared" si="355"/>
        <v>111602773.16284743</v>
      </c>
      <c r="K2172" s="24"/>
      <c r="L2172" s="24"/>
    </row>
    <row r="2173" spans="2:12" x14ac:dyDescent="0.35">
      <c r="B2173" s="1">
        <v>29</v>
      </c>
      <c r="C2173" s="22">
        <v>45627</v>
      </c>
      <c r="D2173" s="22">
        <v>45657</v>
      </c>
      <c r="E2173" s="23">
        <f t="shared" si="345"/>
        <v>31</v>
      </c>
      <c r="F2173" s="3">
        <f t="shared" si="351"/>
        <v>111602773.16284743</v>
      </c>
      <c r="G2173" s="3">
        <f t="shared" si="352"/>
        <v>6712092.7938590907</v>
      </c>
      <c r="H2173" s="3">
        <f t="shared" si="353"/>
        <v>2850520.8312010621</v>
      </c>
      <c r="I2173" s="3">
        <f t="shared" si="354"/>
        <v>3861571.9626580286</v>
      </c>
      <c r="J2173" s="3">
        <f t="shared" si="355"/>
        <v>107741201.2001894</v>
      </c>
      <c r="K2173" s="24"/>
      <c r="L2173" s="24"/>
    </row>
    <row r="2174" spans="2:12" x14ac:dyDescent="0.35">
      <c r="B2174" s="1">
        <v>30</v>
      </c>
      <c r="C2174" s="22">
        <v>45658</v>
      </c>
      <c r="D2174" s="22">
        <v>45688</v>
      </c>
      <c r="E2174" s="23">
        <f t="shared" si="345"/>
        <v>31</v>
      </c>
      <c r="F2174" s="3">
        <f t="shared" si="351"/>
        <v>107741201.2001894</v>
      </c>
      <c r="G2174" s="3">
        <f t="shared" si="352"/>
        <v>6712092.7938590907</v>
      </c>
      <c r="H2174" s="3">
        <f t="shared" si="353"/>
        <v>2751889.8473215047</v>
      </c>
      <c r="I2174" s="3">
        <f t="shared" si="354"/>
        <v>3960202.9465375859</v>
      </c>
      <c r="J2174" s="3">
        <f t="shared" si="355"/>
        <v>103780998.25365181</v>
      </c>
      <c r="K2174" s="24"/>
      <c r="L2174" s="24"/>
    </row>
    <row r="2175" spans="2:12" x14ac:dyDescent="0.35">
      <c r="B2175" s="1">
        <v>31</v>
      </c>
      <c r="C2175" s="22">
        <v>45689</v>
      </c>
      <c r="D2175" s="22">
        <v>45716</v>
      </c>
      <c r="E2175" s="23">
        <f t="shared" si="345"/>
        <v>28</v>
      </c>
      <c r="F2175" s="3">
        <f t="shared" si="351"/>
        <v>103780998.25365181</v>
      </c>
      <c r="G2175" s="3">
        <f t="shared" si="352"/>
        <v>6712092.7938590907</v>
      </c>
      <c r="H2175" s="3">
        <f t="shared" si="353"/>
        <v>2650739.6637286907</v>
      </c>
      <c r="I2175" s="3">
        <f t="shared" si="354"/>
        <v>4061353.1301303999</v>
      </c>
      <c r="J2175" s="3">
        <f t="shared" si="355"/>
        <v>99719645.123521417</v>
      </c>
      <c r="K2175" s="24"/>
      <c r="L2175" s="24"/>
    </row>
    <row r="2176" spans="2:12" x14ac:dyDescent="0.35">
      <c r="B2176" s="1">
        <v>32</v>
      </c>
      <c r="C2176" s="22">
        <v>45717</v>
      </c>
      <c r="D2176" s="22">
        <v>45747</v>
      </c>
      <c r="E2176" s="23">
        <f t="shared" ref="E2176:E2192" si="356">D2176-C2176+1</f>
        <v>31</v>
      </c>
      <c r="F2176" s="3">
        <f t="shared" si="351"/>
        <v>99719645.123521417</v>
      </c>
      <c r="G2176" s="3">
        <f t="shared" si="352"/>
        <v>6712092.7938590907</v>
      </c>
      <c r="H2176" s="3">
        <f t="shared" si="353"/>
        <v>2547005.9358632765</v>
      </c>
      <c r="I2176" s="3">
        <f t="shared" si="354"/>
        <v>4165086.8579958142</v>
      </c>
      <c r="J2176" s="3">
        <f t="shared" si="355"/>
        <v>95554558.265525609</v>
      </c>
      <c r="K2176" s="24"/>
      <c r="L2176" s="24"/>
    </row>
    <row r="2177" spans="2:12" x14ac:dyDescent="0.35">
      <c r="B2177" s="1">
        <v>33</v>
      </c>
      <c r="C2177" s="22">
        <v>45748</v>
      </c>
      <c r="D2177" s="22">
        <v>45777</v>
      </c>
      <c r="E2177" s="23">
        <f t="shared" si="356"/>
        <v>30</v>
      </c>
      <c r="F2177" s="3">
        <f t="shared" si="351"/>
        <v>95554558.265525609</v>
      </c>
      <c r="G2177" s="3">
        <f t="shared" si="352"/>
        <v>6712092.7938590907</v>
      </c>
      <c r="H2177" s="3">
        <f t="shared" si="353"/>
        <v>2440622.6756986338</v>
      </c>
      <c r="I2177" s="3">
        <f t="shared" si="354"/>
        <v>4271470.1181604564</v>
      </c>
      <c r="J2177" s="3">
        <f t="shared" si="355"/>
        <v>91283088.147365153</v>
      </c>
      <c r="K2177" s="24"/>
      <c r="L2177" s="24"/>
    </row>
    <row r="2178" spans="2:12" x14ac:dyDescent="0.35">
      <c r="B2178" s="1">
        <v>34</v>
      </c>
      <c r="C2178" s="22">
        <v>45778</v>
      </c>
      <c r="D2178" s="22">
        <v>45808</v>
      </c>
      <c r="E2178" s="23">
        <f t="shared" si="356"/>
        <v>31</v>
      </c>
      <c r="F2178" s="3">
        <f t="shared" si="351"/>
        <v>91283088.147365153</v>
      </c>
      <c r="G2178" s="3">
        <f t="shared" si="352"/>
        <v>6712092.7938590907</v>
      </c>
      <c r="H2178" s="3">
        <f t="shared" si="353"/>
        <v>2331522.2097639521</v>
      </c>
      <c r="I2178" s="3">
        <f t="shared" si="354"/>
        <v>4380570.5840951391</v>
      </c>
      <c r="J2178" s="3">
        <f t="shared" si="355"/>
        <v>86902517.563270018</v>
      </c>
      <c r="K2178" s="24"/>
      <c r="L2178" s="24"/>
    </row>
    <row r="2179" spans="2:12" x14ac:dyDescent="0.35">
      <c r="B2179" s="1">
        <v>35</v>
      </c>
      <c r="C2179" s="22">
        <v>45809</v>
      </c>
      <c r="D2179" s="22">
        <v>45838</v>
      </c>
      <c r="E2179" s="23">
        <f t="shared" si="356"/>
        <v>30</v>
      </c>
      <c r="F2179" s="3">
        <f t="shared" si="351"/>
        <v>86902517.563270018</v>
      </c>
      <c r="G2179" s="3">
        <f t="shared" si="352"/>
        <v>6712092.7938590907</v>
      </c>
      <c r="H2179" s="3">
        <f t="shared" si="353"/>
        <v>2219635.1360951886</v>
      </c>
      <c r="I2179" s="3">
        <f t="shared" si="354"/>
        <v>4492457.6577639021</v>
      </c>
      <c r="J2179" s="3">
        <f t="shared" si="355"/>
        <v>82410059.905506119</v>
      </c>
      <c r="K2179" s="24"/>
      <c r="L2179" s="24"/>
    </row>
    <row r="2180" spans="2:12" x14ac:dyDescent="0.35">
      <c r="B2180" s="1">
        <v>36</v>
      </c>
      <c r="C2180" s="22">
        <v>45839</v>
      </c>
      <c r="D2180" s="22">
        <v>45869</v>
      </c>
      <c r="E2180" s="23">
        <f t="shared" si="356"/>
        <v>31</v>
      </c>
      <c r="F2180" s="3">
        <f t="shared" si="351"/>
        <v>82410059.905506119</v>
      </c>
      <c r="G2180" s="3">
        <f t="shared" si="352"/>
        <v>6712092.7938590907</v>
      </c>
      <c r="H2180" s="3">
        <f t="shared" si="353"/>
        <v>2104890.2800864689</v>
      </c>
      <c r="I2180" s="3">
        <f t="shared" si="354"/>
        <v>4607202.5137726218</v>
      </c>
      <c r="J2180" s="3">
        <f t="shared" si="355"/>
        <v>77802857.391733497</v>
      </c>
      <c r="K2180" s="24"/>
      <c r="L2180" s="24"/>
    </row>
    <row r="2181" spans="2:12" x14ac:dyDescent="0.35">
      <c r="B2181" s="1">
        <v>37</v>
      </c>
      <c r="C2181" s="22">
        <v>45870</v>
      </c>
      <c r="D2181" s="22">
        <v>45900</v>
      </c>
      <c r="E2181" s="23">
        <f t="shared" si="356"/>
        <v>31</v>
      </c>
      <c r="F2181" s="3">
        <f t="shared" si="351"/>
        <v>77802857.391733497</v>
      </c>
      <c r="G2181" s="3">
        <f t="shared" si="352"/>
        <v>6712092.7938590907</v>
      </c>
      <c r="H2181" s="3">
        <f t="shared" si="353"/>
        <v>1987214.64921386</v>
      </c>
      <c r="I2181" s="3">
        <f t="shared" si="354"/>
        <v>4724878.1446452308</v>
      </c>
      <c r="J2181" s="3">
        <f t="shared" si="355"/>
        <v>73077979.247088268</v>
      </c>
      <c r="K2181" s="24"/>
      <c r="L2181" s="24"/>
    </row>
    <row r="2182" spans="2:12" x14ac:dyDescent="0.35">
      <c r="B2182" s="1">
        <v>38</v>
      </c>
      <c r="C2182" s="22">
        <v>45901</v>
      </c>
      <c r="D2182" s="22">
        <v>45930</v>
      </c>
      <c r="E2182" s="23">
        <f t="shared" si="356"/>
        <v>30</v>
      </c>
      <c r="F2182" s="3">
        <f t="shared" si="351"/>
        <v>73077979.247088268</v>
      </c>
      <c r="G2182" s="3">
        <f t="shared" si="352"/>
        <v>6712092.7938590907</v>
      </c>
      <c r="H2182" s="3">
        <f t="shared" si="353"/>
        <v>1866533.3866027133</v>
      </c>
      <c r="I2182" s="3">
        <f t="shared" si="354"/>
        <v>4845559.4072563779</v>
      </c>
      <c r="J2182" s="3">
        <f t="shared" si="355"/>
        <v>68232419.839831889</v>
      </c>
      <c r="K2182" s="24"/>
      <c r="L2182" s="24"/>
    </row>
    <row r="2183" spans="2:12" x14ac:dyDescent="0.35">
      <c r="B2183" s="1">
        <v>39</v>
      </c>
      <c r="C2183" s="22">
        <v>45931</v>
      </c>
      <c r="D2183" s="22">
        <v>45961</v>
      </c>
      <c r="E2183" s="23">
        <f t="shared" si="356"/>
        <v>31</v>
      </c>
      <c r="F2183" s="3">
        <f t="shared" si="351"/>
        <v>68232419.839831889</v>
      </c>
      <c r="G2183" s="3">
        <f t="shared" si="352"/>
        <v>6712092.7938590907</v>
      </c>
      <c r="H2183" s="3">
        <f t="shared" si="353"/>
        <v>1742769.7234090397</v>
      </c>
      <c r="I2183" s="3">
        <f t="shared" si="354"/>
        <v>4969323.0704500508</v>
      </c>
      <c r="J2183" s="3">
        <f t="shared" si="355"/>
        <v>63263096.769381836</v>
      </c>
      <c r="K2183" s="24"/>
      <c r="L2183" s="24"/>
    </row>
    <row r="2184" spans="2:12" x14ac:dyDescent="0.35">
      <c r="B2184" s="1">
        <v>40</v>
      </c>
      <c r="C2184" s="22">
        <v>45962</v>
      </c>
      <c r="D2184" s="22">
        <v>45991</v>
      </c>
      <c r="E2184" s="23">
        <f t="shared" si="356"/>
        <v>30</v>
      </c>
      <c r="F2184" s="3">
        <f t="shared" si="351"/>
        <v>63263096.769381836</v>
      </c>
      <c r="G2184" s="3">
        <f t="shared" si="352"/>
        <v>6712092.7938590907</v>
      </c>
      <c r="H2184" s="3">
        <f t="shared" si="353"/>
        <v>1615844.929984628</v>
      </c>
      <c r="I2184" s="3">
        <f t="shared" si="354"/>
        <v>5096247.8638744624</v>
      </c>
      <c r="J2184" s="3">
        <f t="shared" si="355"/>
        <v>58166848.905507371</v>
      </c>
      <c r="K2184" s="24"/>
      <c r="L2184" s="24"/>
    </row>
    <row r="2185" spans="2:12" x14ac:dyDescent="0.35">
      <c r="B2185" s="1">
        <v>41</v>
      </c>
      <c r="C2185" s="22">
        <v>45992</v>
      </c>
      <c r="D2185" s="22">
        <v>46022</v>
      </c>
      <c r="E2185" s="23">
        <f t="shared" si="356"/>
        <v>31</v>
      </c>
      <c r="F2185" s="3">
        <f t="shared" si="351"/>
        <v>58166848.905507371</v>
      </c>
      <c r="G2185" s="3">
        <f t="shared" si="352"/>
        <v>6712092.7938590907</v>
      </c>
      <c r="H2185" s="3">
        <f t="shared" si="353"/>
        <v>1485678.2657948344</v>
      </c>
      <c r="I2185" s="3">
        <f t="shared" si="354"/>
        <v>5226414.5280642565</v>
      </c>
      <c r="J2185" s="3">
        <f t="shared" si="355"/>
        <v>52940434.377443112</v>
      </c>
      <c r="K2185" s="24"/>
      <c r="L2185" s="24"/>
    </row>
    <row r="2186" spans="2:12" x14ac:dyDescent="0.35">
      <c r="B2186" s="1">
        <v>42</v>
      </c>
      <c r="C2186" s="22">
        <v>46023</v>
      </c>
      <c r="D2186" s="22">
        <v>46053</v>
      </c>
      <c r="E2186" s="23">
        <f t="shared" si="356"/>
        <v>31</v>
      </c>
      <c r="F2186" s="3">
        <f t="shared" si="351"/>
        <v>52940434.377443112</v>
      </c>
      <c r="G2186" s="3">
        <f t="shared" si="352"/>
        <v>6712092.7938590907</v>
      </c>
      <c r="H2186" s="3">
        <f t="shared" si="353"/>
        <v>1352186.9280571931</v>
      </c>
      <c r="I2186" s="3">
        <f t="shared" si="354"/>
        <v>5359905.8658018978</v>
      </c>
      <c r="J2186" s="3">
        <f t="shared" si="355"/>
        <v>47580528.511641212</v>
      </c>
      <c r="K2186" s="24"/>
      <c r="L2186" s="24"/>
    </row>
    <row r="2187" spans="2:12" x14ac:dyDescent="0.35">
      <c r="B2187" s="1">
        <v>43</v>
      </c>
      <c r="C2187" s="22">
        <v>46054</v>
      </c>
      <c r="D2187" s="22">
        <v>46081</v>
      </c>
      <c r="E2187" s="23">
        <f t="shared" si="356"/>
        <v>28</v>
      </c>
      <c r="F2187" s="3">
        <f t="shared" si="351"/>
        <v>47580528.511641212</v>
      </c>
      <c r="G2187" s="3">
        <f t="shared" si="352"/>
        <v>6712092.7938590907</v>
      </c>
      <c r="H2187" s="3">
        <f t="shared" si="353"/>
        <v>1215285.9990681694</v>
      </c>
      <c r="I2187" s="3">
        <f t="shared" si="354"/>
        <v>5496806.7947909217</v>
      </c>
      <c r="J2187" s="3">
        <f t="shared" si="355"/>
        <v>42083721.716850288</v>
      </c>
      <c r="K2187" s="24"/>
      <c r="L2187" s="24"/>
    </row>
    <row r="2188" spans="2:12" x14ac:dyDescent="0.35">
      <c r="B2188" s="1">
        <v>44</v>
      </c>
      <c r="C2188" s="22">
        <v>46082</v>
      </c>
      <c r="D2188" s="22">
        <v>46112</v>
      </c>
      <c r="E2188" s="23">
        <f t="shared" si="356"/>
        <v>31</v>
      </c>
      <c r="F2188" s="3">
        <f t="shared" si="351"/>
        <v>42083721.716850288</v>
      </c>
      <c r="G2188" s="3">
        <f t="shared" si="352"/>
        <v>6712092.7938590907</v>
      </c>
      <c r="H2188" s="3">
        <f t="shared" si="353"/>
        <v>1074888.3921845513</v>
      </c>
      <c r="I2188" s="3">
        <f t="shared" si="354"/>
        <v>5637204.4016745389</v>
      </c>
      <c r="J2188" s="3">
        <f t="shared" si="355"/>
        <v>36446517.315175749</v>
      </c>
      <c r="K2188" s="24"/>
      <c r="L2188" s="24"/>
    </row>
    <row r="2189" spans="2:12" x14ac:dyDescent="0.35">
      <c r="B2189" s="1">
        <v>45</v>
      </c>
      <c r="C2189" s="22">
        <v>46113</v>
      </c>
      <c r="D2189" s="22">
        <v>46142</v>
      </c>
      <c r="E2189" s="23">
        <f t="shared" si="356"/>
        <v>30</v>
      </c>
      <c r="F2189" s="3">
        <f t="shared" si="351"/>
        <v>36446517.315175749</v>
      </c>
      <c r="G2189" s="3">
        <f t="shared" si="352"/>
        <v>6712092.7938590907</v>
      </c>
      <c r="H2189" s="3">
        <f t="shared" si="353"/>
        <v>930904.79642511404</v>
      </c>
      <c r="I2189" s="3">
        <f t="shared" si="354"/>
        <v>5781187.9974339763</v>
      </c>
      <c r="J2189" s="3">
        <f t="shared" si="355"/>
        <v>30665329.317741774</v>
      </c>
      <c r="K2189" s="24"/>
      <c r="L2189" s="24"/>
    </row>
    <row r="2190" spans="2:12" x14ac:dyDescent="0.35">
      <c r="B2190" s="1">
        <v>46</v>
      </c>
      <c r="C2190" s="22">
        <v>46143</v>
      </c>
      <c r="D2190" s="22">
        <v>46173</v>
      </c>
      <c r="E2190" s="23">
        <f t="shared" si="356"/>
        <v>31</v>
      </c>
      <c r="F2190" s="3">
        <f t="shared" si="351"/>
        <v>30665329.317741774</v>
      </c>
      <c r="G2190" s="3">
        <f t="shared" si="352"/>
        <v>6712092.7938590907</v>
      </c>
      <c r="H2190" s="3">
        <f t="shared" si="353"/>
        <v>783243.61965732125</v>
      </c>
      <c r="I2190" s="3">
        <f t="shared" si="354"/>
        <v>5928849.1742017698</v>
      </c>
      <c r="J2190" s="3">
        <f t="shared" si="355"/>
        <v>24736480.143540002</v>
      </c>
      <c r="K2190" s="24"/>
      <c r="L2190" s="24"/>
    </row>
    <row r="2191" spans="2:12" x14ac:dyDescent="0.35">
      <c r="B2191" s="1">
        <v>47</v>
      </c>
      <c r="C2191" s="22">
        <v>46174</v>
      </c>
      <c r="D2191" s="22">
        <v>46203</v>
      </c>
      <c r="E2191" s="23">
        <f t="shared" si="356"/>
        <v>30</v>
      </c>
      <c r="F2191" s="3">
        <f t="shared" si="351"/>
        <v>24736480.143540002</v>
      </c>
      <c r="G2191" s="3">
        <f t="shared" si="352"/>
        <v>6712092.7938590907</v>
      </c>
      <c r="H2191" s="3">
        <f t="shared" si="353"/>
        <v>631810.93033291772</v>
      </c>
      <c r="I2191" s="3">
        <f t="shared" si="354"/>
        <v>6080281.8635261729</v>
      </c>
      <c r="J2191" s="3">
        <f t="shared" si="355"/>
        <v>18656198.280013829</v>
      </c>
      <c r="K2191" s="24"/>
      <c r="L2191" s="24"/>
    </row>
    <row r="2192" spans="2:12" x14ac:dyDescent="0.35">
      <c r="B2192" s="1">
        <v>48</v>
      </c>
      <c r="C2192" s="22">
        <v>46204</v>
      </c>
      <c r="D2192" s="22">
        <v>46234</v>
      </c>
      <c r="E2192" s="23">
        <f t="shared" si="356"/>
        <v>31</v>
      </c>
      <c r="F2192" s="3">
        <f t="shared" si="351"/>
        <v>18656198.280013829</v>
      </c>
      <c r="G2192" s="3">
        <f t="shared" si="352"/>
        <v>6712092.7938590907</v>
      </c>
      <c r="H2192" s="3">
        <f t="shared" si="353"/>
        <v>476510.39773535333</v>
      </c>
      <c r="I2192" s="3">
        <f t="shared" si="354"/>
        <v>6235582.3961237371</v>
      </c>
      <c r="J2192" s="3">
        <f t="shared" si="355"/>
        <v>12420615.883890092</v>
      </c>
      <c r="K2192" s="24"/>
      <c r="L2192" s="24"/>
    </row>
    <row r="2193" spans="2:19" x14ac:dyDescent="0.35">
      <c r="B2193" s="1"/>
      <c r="C2193" s="22"/>
      <c r="D2193" s="22"/>
      <c r="E2193" s="23"/>
      <c r="F2193" s="3"/>
      <c r="G2193" s="3"/>
      <c r="H2193" s="3"/>
      <c r="I2193" s="3"/>
      <c r="J2193" s="3"/>
      <c r="K2193" s="24"/>
      <c r="L2193" s="24"/>
    </row>
    <row r="2194" spans="2:19" ht="14.25" customHeight="1" x14ac:dyDescent="0.35">
      <c r="B2194" s="1"/>
      <c r="C2194" s="1"/>
      <c r="D2194" s="1"/>
      <c r="E2194" s="28">
        <f>SUM(E2144:E2156)</f>
        <v>378</v>
      </c>
      <c r="F2194" s="3"/>
      <c r="G2194" s="3"/>
      <c r="H2194" s="3"/>
      <c r="I2194" s="3"/>
      <c r="J2194" s="3"/>
      <c r="K2194" s="1"/>
      <c r="L2194" s="1"/>
    </row>
    <row r="2197" spans="2:19" x14ac:dyDescent="0.35">
      <c r="B2197" s="1"/>
      <c r="C2197" s="8" t="s">
        <v>789</v>
      </c>
      <c r="D2197" s="3"/>
      <c r="E2197" s="3"/>
      <c r="F2197" s="3"/>
      <c r="G2197" s="3"/>
      <c r="H2197" s="3"/>
      <c r="I2197" s="3"/>
      <c r="J2197" s="3"/>
      <c r="K2197" s="3"/>
      <c r="L2197" s="3"/>
    </row>
    <row r="2198" spans="2:19" x14ac:dyDescent="0.35">
      <c r="B2198" s="1"/>
      <c r="C2198" s="1" t="s">
        <v>905</v>
      </c>
      <c r="D2198" s="3"/>
      <c r="E2198" s="3"/>
      <c r="F2198" s="3" t="s">
        <v>901</v>
      </c>
      <c r="G2198" s="3" t="s">
        <v>906</v>
      </c>
      <c r="H2198" s="3"/>
      <c r="I2198" s="3"/>
      <c r="J2198" s="3"/>
      <c r="K2198" s="3"/>
      <c r="L2198" s="3"/>
      <c r="R2198" s="438" t="s">
        <v>832</v>
      </c>
      <c r="S2198" s="432">
        <f>IFERROR(INDEX(Blocks!$I$2:$I$101,MATCH(39,Blocks!$A$2:$A$101,0)),"")</f>
        <v>0</v>
      </c>
    </row>
    <row r="2199" spans="2:19" x14ac:dyDescent="0.35">
      <c r="B2199" s="1"/>
      <c r="C2199" s="9" t="s">
        <v>835</v>
      </c>
      <c r="D2199" s="10">
        <v>4546920</v>
      </c>
      <c r="E2199" s="3"/>
      <c r="F2199" s="3">
        <v>3100000</v>
      </c>
      <c r="G2199" s="3">
        <v>4353080</v>
      </c>
      <c r="H2199" s="3"/>
      <c r="I2199" s="3"/>
      <c r="J2199" s="3"/>
      <c r="K2199" s="3"/>
      <c r="L2199" s="3"/>
      <c r="R2199" s="438" t="s">
        <v>834</v>
      </c>
      <c r="S2199" s="432">
        <f>IFERROR(INDEX(Blocks!$H$2:$H$101,MATCH(39,Blocks!$A$2:$A$101,0)),"")</f>
        <v>0</v>
      </c>
    </row>
    <row r="2200" spans="2:19" x14ac:dyDescent="0.35">
      <c r="B2200" s="1"/>
      <c r="C2200" s="11" t="s">
        <v>837</v>
      </c>
      <c r="D2200" s="12">
        <v>0.1</v>
      </c>
      <c r="E2200" s="13"/>
      <c r="F2200" s="3"/>
      <c r="G2200" s="3"/>
      <c r="H2200" s="3"/>
      <c r="I2200" s="3"/>
      <c r="J2200" s="3"/>
      <c r="K2200" s="3"/>
      <c r="L2200" s="3"/>
      <c r="R2200" s="438" t="s">
        <v>223</v>
      </c>
      <c r="S2200" s="433" t="str">
        <f>IFERROR(INDEX('E-Banker master'!$N$2:$N$186,MATCH(S2198,'E-Banker master'!$A$2:$A$186,0)),"")</f>
        <v/>
      </c>
    </row>
    <row r="2201" spans="2:19" x14ac:dyDescent="0.35">
      <c r="B2201" s="1"/>
      <c r="C2201" s="11" t="s">
        <v>838</v>
      </c>
      <c r="D2201" s="14">
        <v>2</v>
      </c>
      <c r="E2201" s="1"/>
      <c r="F2201" s="3"/>
      <c r="G2201" s="3"/>
      <c r="H2201" s="3"/>
      <c r="I2201" s="3"/>
      <c r="J2201" s="3"/>
      <c r="K2201" s="1"/>
      <c r="L2201" s="1"/>
      <c r="R2201" s="438" t="s">
        <v>52</v>
      </c>
      <c r="S2201" s="433" t="str">
        <f>IFERROR(INDEX('E-Banker master'!$P$2:$P$186,MATCH(S2198,'E-Banker master'!$A$2:$A$186,0)),"")</f>
        <v/>
      </c>
    </row>
    <row r="2202" spans="2:19" x14ac:dyDescent="0.35">
      <c r="B2202" s="1"/>
      <c r="C2202" s="11" t="s">
        <v>839</v>
      </c>
      <c r="D2202" s="14">
        <v>12</v>
      </c>
      <c r="E2202" s="1"/>
      <c r="F2202" s="3"/>
      <c r="G2202" s="3"/>
      <c r="H2202" s="3"/>
      <c r="I2202" s="3"/>
      <c r="J2202" s="3"/>
      <c r="K2202" s="1"/>
      <c r="L2202" s="1"/>
    </row>
    <row r="2203" spans="2:19" x14ac:dyDescent="0.35">
      <c r="B2203" s="1"/>
      <c r="C2203" s="11" t="s">
        <v>843</v>
      </c>
      <c r="D2203" s="15">
        <f>D2201*D2202</f>
        <v>24</v>
      </c>
      <c r="E2203" s="1"/>
      <c r="F2203" s="3"/>
      <c r="G2203" s="3"/>
      <c r="H2203" s="3"/>
      <c r="I2203" s="3"/>
      <c r="J2203" s="3"/>
      <c r="K2203" s="1"/>
      <c r="L2203" s="1"/>
    </row>
    <row r="2204" spans="2:19" x14ac:dyDescent="0.35">
      <c r="B2204" s="1"/>
      <c r="C2204" s="11" t="s">
        <v>844</v>
      </c>
      <c r="D2204" s="16">
        <v>365</v>
      </c>
      <c r="E2204" s="1"/>
      <c r="F2204" s="3"/>
      <c r="G2204" s="3"/>
      <c r="H2204" s="3"/>
      <c r="I2204" s="3"/>
      <c r="J2204" s="3"/>
      <c r="K2204" s="1"/>
      <c r="L2204" s="1"/>
    </row>
    <row r="2205" spans="2:19" x14ac:dyDescent="0.35">
      <c r="B2205" s="1"/>
      <c r="C2205" s="17" t="s">
        <v>845</v>
      </c>
      <c r="D2205" s="18">
        <f>-PMT(D2200/D2202,D2203,D2199,0,0)</f>
        <v>209817.28846258056</v>
      </c>
      <c r="E2205" s="3"/>
      <c r="F2205" s="3"/>
      <c r="G2205" s="3"/>
      <c r="H2205" s="3"/>
      <c r="I2205" s="3"/>
      <c r="J2205" s="3"/>
      <c r="K2205" s="1"/>
      <c r="L2205" s="1"/>
    </row>
    <row r="2206" spans="2:19" x14ac:dyDescent="0.35">
      <c r="B2206" s="1"/>
      <c r="C2206" s="1"/>
      <c r="D2206" s="3"/>
      <c r="E2206" s="3"/>
      <c r="F2206" s="3"/>
      <c r="G2206" s="3"/>
      <c r="H2206" s="3"/>
      <c r="I2206" s="3"/>
      <c r="J2206" s="3"/>
      <c r="K2206" s="1"/>
      <c r="L2206" s="1"/>
    </row>
    <row r="2207" spans="2:19" x14ac:dyDescent="0.35">
      <c r="B2207" s="1"/>
      <c r="C2207" s="19" t="s">
        <v>846</v>
      </c>
      <c r="D2207" s="20" t="s">
        <v>847</v>
      </c>
      <c r="E2207" s="20" t="s">
        <v>764</v>
      </c>
      <c r="F2207" s="270" t="s">
        <v>848</v>
      </c>
      <c r="G2207" s="270" t="s">
        <v>849</v>
      </c>
      <c r="H2207" s="270" t="s">
        <v>742</v>
      </c>
      <c r="I2207" s="270" t="s">
        <v>740</v>
      </c>
      <c r="J2207" s="270" t="s">
        <v>850</v>
      </c>
      <c r="K2207" s="21" t="s">
        <v>851</v>
      </c>
      <c r="L2207" s="21" t="s">
        <v>852</v>
      </c>
    </row>
    <row r="2208" spans="2:19" x14ac:dyDescent="0.35">
      <c r="B2208" s="1">
        <v>0</v>
      </c>
      <c r="C2208" s="22">
        <v>44747</v>
      </c>
      <c r="D2208" s="22">
        <v>44773</v>
      </c>
      <c r="E2208" s="23">
        <f t="shared" ref="E2208:E2232" si="357">D2208-C2208+1</f>
        <v>27</v>
      </c>
      <c r="F2208" s="3">
        <f>D2199</f>
        <v>4546920</v>
      </c>
      <c r="G2208" s="3"/>
      <c r="H2208" s="3">
        <f>($D$2200/$D$2202*F2208*E2208/31)+(F2199*D2200/D2202*4/31)</f>
        <v>36335.172043010753</v>
      </c>
      <c r="I2208" s="3">
        <f t="shared" ref="I2208:I2232" si="358">G2208-H2208</f>
        <v>-36335.172043010753</v>
      </c>
      <c r="J2208" s="3">
        <f>F2208+F2199-I2208</f>
        <v>7683255.1720430106</v>
      </c>
      <c r="K2208" s="24"/>
      <c r="L2208" s="24"/>
    </row>
    <row r="2209" spans="2:12" x14ac:dyDescent="0.35">
      <c r="B2209" s="1">
        <v>1</v>
      </c>
      <c r="C2209" s="22">
        <v>44774</v>
      </c>
      <c r="D2209" s="22">
        <v>44804</v>
      </c>
      <c r="E2209" s="23">
        <f t="shared" si="357"/>
        <v>31</v>
      </c>
      <c r="F2209" s="3">
        <f t="shared" ref="F2209:F2232" si="359">J2208</f>
        <v>7683255.1720430106</v>
      </c>
      <c r="G2209" s="3"/>
      <c r="H2209" s="3">
        <f>($D$2200/$D$2202*F2209)+(G2199*D2200/D2202*16/31)</f>
        <v>82750.051164874545</v>
      </c>
      <c r="I2209" s="3">
        <f t="shared" si="358"/>
        <v>-82750.051164874545</v>
      </c>
      <c r="J2209" s="3">
        <f>F2209+G2199-I2209</f>
        <v>12119085.223207885</v>
      </c>
      <c r="K2209" s="24"/>
      <c r="L2209" s="24"/>
    </row>
    <row r="2210" spans="2:12" x14ac:dyDescent="0.35">
      <c r="B2210" s="1">
        <v>2</v>
      </c>
      <c r="C2210" s="22">
        <v>44805</v>
      </c>
      <c r="D2210" s="22">
        <v>44834</v>
      </c>
      <c r="E2210" s="23">
        <f t="shared" si="357"/>
        <v>30</v>
      </c>
      <c r="F2210" s="3">
        <f t="shared" si="359"/>
        <v>12119085.223207885</v>
      </c>
      <c r="G2210" s="3"/>
      <c r="H2210" s="3">
        <f t="shared" ref="H2210:H2232" si="360">$D$2200/$D$2202*F2210</f>
        <v>100992.37686006571</v>
      </c>
      <c r="I2210" s="3">
        <f t="shared" si="358"/>
        <v>-100992.37686006571</v>
      </c>
      <c r="J2210" s="3">
        <f t="shared" ref="J2210:J2232" si="361">F2210-I2210</f>
        <v>12220077.600067951</v>
      </c>
    </row>
    <row r="2211" spans="2:12" x14ac:dyDescent="0.35">
      <c r="B2211" s="1">
        <v>3</v>
      </c>
      <c r="C2211" s="22">
        <v>44835</v>
      </c>
      <c r="D2211" s="22">
        <v>44865</v>
      </c>
      <c r="E2211" s="23">
        <f t="shared" si="357"/>
        <v>31</v>
      </c>
      <c r="F2211" s="3">
        <f t="shared" si="359"/>
        <v>12220077.600067951</v>
      </c>
      <c r="G2211" s="3"/>
      <c r="H2211" s="3">
        <f t="shared" si="360"/>
        <v>101833.98000056625</v>
      </c>
      <c r="I2211" s="3">
        <f t="shared" si="358"/>
        <v>-101833.98000056625</v>
      </c>
      <c r="J2211" s="3">
        <f t="shared" si="361"/>
        <v>12321911.580068517</v>
      </c>
      <c r="K2211" s="24"/>
      <c r="L2211" s="24"/>
    </row>
    <row r="2212" spans="2:12" x14ac:dyDescent="0.35">
      <c r="B2212" s="1">
        <v>4</v>
      </c>
      <c r="C2212" s="22">
        <v>44866</v>
      </c>
      <c r="D2212" s="22">
        <v>44895</v>
      </c>
      <c r="E2212" s="23">
        <f t="shared" si="357"/>
        <v>30</v>
      </c>
      <c r="F2212" s="3">
        <f t="shared" si="359"/>
        <v>12321911.580068517</v>
      </c>
      <c r="G2212" s="3">
        <f t="shared" ref="G2212:G2232" si="362">-PMT($D$2200/$D$2202,21,$F$2212,,0)</f>
        <v>642030.93001922651</v>
      </c>
      <c r="H2212" s="3">
        <f t="shared" si="360"/>
        <v>102682.59650057097</v>
      </c>
      <c r="I2212" s="3">
        <f t="shared" si="358"/>
        <v>539348.33351865551</v>
      </c>
      <c r="J2212" s="3">
        <f t="shared" si="361"/>
        <v>11782563.246549862</v>
      </c>
      <c r="K2212" s="24">
        <v>0</v>
      </c>
      <c r="L2212" s="24">
        <f>G2212</f>
        <v>642030.93001922651</v>
      </c>
    </row>
    <row r="2213" spans="2:12" x14ac:dyDescent="0.35">
      <c r="B2213" s="1">
        <v>5</v>
      </c>
      <c r="C2213" s="22">
        <v>44896</v>
      </c>
      <c r="D2213" s="22">
        <v>44926</v>
      </c>
      <c r="E2213" s="23">
        <f t="shared" si="357"/>
        <v>31</v>
      </c>
      <c r="F2213" s="3">
        <f t="shared" si="359"/>
        <v>11782563.246549862</v>
      </c>
      <c r="G2213" s="3">
        <f t="shared" si="362"/>
        <v>642030.93001922651</v>
      </c>
      <c r="H2213" s="3">
        <f t="shared" si="360"/>
        <v>98188.027054582184</v>
      </c>
      <c r="I2213" s="3">
        <f t="shared" si="358"/>
        <v>543842.90296464437</v>
      </c>
      <c r="J2213" s="3">
        <f t="shared" si="361"/>
        <v>11238720.343585217</v>
      </c>
      <c r="K2213" s="24"/>
      <c r="L2213" s="24">
        <f>L2212+G2213</f>
        <v>1284061.860038453</v>
      </c>
    </row>
    <row r="2214" spans="2:12" x14ac:dyDescent="0.35">
      <c r="B2214" s="1">
        <v>6</v>
      </c>
      <c r="C2214" s="22">
        <v>44927</v>
      </c>
      <c r="D2214" s="22">
        <v>44957</v>
      </c>
      <c r="E2214" s="23">
        <f t="shared" si="357"/>
        <v>31</v>
      </c>
      <c r="F2214" s="3">
        <f t="shared" si="359"/>
        <v>11238720.343585217</v>
      </c>
      <c r="G2214" s="3">
        <f t="shared" si="362"/>
        <v>642030.93001922651</v>
      </c>
      <c r="H2214" s="3">
        <f t="shared" si="360"/>
        <v>93656.002863210146</v>
      </c>
      <c r="I2214" s="3">
        <f t="shared" si="358"/>
        <v>548374.92715601635</v>
      </c>
      <c r="J2214" s="3">
        <f t="shared" si="361"/>
        <v>10690345.416429201</v>
      </c>
      <c r="K2214" s="24">
        <f>102682.6+539350</f>
        <v>642032.6</v>
      </c>
      <c r="L2214" s="24">
        <f t="shared" ref="L2214:L2232" si="363">L2213+G2214-K2214</f>
        <v>1284060.1900576795</v>
      </c>
    </row>
    <row r="2215" spans="2:12" x14ac:dyDescent="0.35">
      <c r="B2215" s="1">
        <v>7</v>
      </c>
      <c r="C2215" s="22">
        <v>44958</v>
      </c>
      <c r="D2215" s="22">
        <v>44985</v>
      </c>
      <c r="E2215" s="23">
        <f t="shared" si="357"/>
        <v>28</v>
      </c>
      <c r="F2215" s="3">
        <f t="shared" si="359"/>
        <v>10690345.416429201</v>
      </c>
      <c r="G2215" s="3">
        <f t="shared" si="362"/>
        <v>642030.93001922651</v>
      </c>
      <c r="H2215" s="3">
        <f t="shared" si="360"/>
        <v>89086.211803576676</v>
      </c>
      <c r="I2215" s="3">
        <f t="shared" si="358"/>
        <v>552944.71821564983</v>
      </c>
      <c r="J2215" s="3">
        <f t="shared" si="361"/>
        <v>10137400.698213551</v>
      </c>
      <c r="K2215" s="24">
        <v>1645200</v>
      </c>
      <c r="L2215" s="24">
        <f t="shared" si="363"/>
        <v>280891.12007690594</v>
      </c>
    </row>
    <row r="2216" spans="2:12" x14ac:dyDescent="0.35">
      <c r="B2216" s="1">
        <v>8</v>
      </c>
      <c r="C2216" s="22">
        <v>44986</v>
      </c>
      <c r="D2216" s="22">
        <v>45016</v>
      </c>
      <c r="E2216" s="23">
        <f t="shared" si="357"/>
        <v>31</v>
      </c>
      <c r="F2216" s="3">
        <f t="shared" si="359"/>
        <v>10137400.698213551</v>
      </c>
      <c r="G2216" s="3">
        <f t="shared" si="362"/>
        <v>642030.93001922651</v>
      </c>
      <c r="H2216" s="3">
        <f t="shared" si="360"/>
        <v>84478.339151779597</v>
      </c>
      <c r="I2216" s="3">
        <f t="shared" si="358"/>
        <v>557552.59086744697</v>
      </c>
      <c r="J2216" s="3">
        <f t="shared" si="361"/>
        <v>9579848.1073461045</v>
      </c>
      <c r="K2216" s="24">
        <v>98200</v>
      </c>
      <c r="L2216" s="24">
        <f t="shared" si="363"/>
        <v>824722.05009613244</v>
      </c>
    </row>
    <row r="2217" spans="2:12" x14ac:dyDescent="0.35">
      <c r="B2217" s="1">
        <v>9</v>
      </c>
      <c r="C2217" s="22">
        <v>45017</v>
      </c>
      <c r="D2217" s="22">
        <v>45046</v>
      </c>
      <c r="E2217" s="23">
        <f t="shared" si="357"/>
        <v>30</v>
      </c>
      <c r="F2217" s="3">
        <f t="shared" si="359"/>
        <v>9579848.1073461045</v>
      </c>
      <c r="G2217" s="3">
        <f t="shared" si="362"/>
        <v>642030.93001922651</v>
      </c>
      <c r="H2217" s="3">
        <f t="shared" si="360"/>
        <v>79832.06756121754</v>
      </c>
      <c r="I2217" s="3">
        <f t="shared" si="358"/>
        <v>562198.86245800892</v>
      </c>
      <c r="J2217" s="3">
        <f t="shared" si="361"/>
        <v>9017649.2448880952</v>
      </c>
      <c r="K2217" s="24">
        <v>94000</v>
      </c>
      <c r="L2217" s="24">
        <f t="shared" si="363"/>
        <v>1372752.980115359</v>
      </c>
    </row>
    <row r="2218" spans="2:12" x14ac:dyDescent="0.35">
      <c r="B2218" s="1">
        <v>10</v>
      </c>
      <c r="C2218" s="22">
        <v>45047</v>
      </c>
      <c r="D2218" s="22">
        <v>45077</v>
      </c>
      <c r="E2218" s="23">
        <f t="shared" si="357"/>
        <v>31</v>
      </c>
      <c r="F2218" s="3">
        <f t="shared" si="359"/>
        <v>9017649.2448880952</v>
      </c>
      <c r="G2218" s="3">
        <f t="shared" si="362"/>
        <v>642030.93001922651</v>
      </c>
      <c r="H2218" s="3">
        <f t="shared" si="360"/>
        <v>75147.077040734119</v>
      </c>
      <c r="I2218" s="3">
        <f t="shared" si="358"/>
        <v>566883.85297849239</v>
      </c>
      <c r="J2218" s="3">
        <f t="shared" si="361"/>
        <v>8450765.391909603</v>
      </c>
      <c r="K2218" s="24">
        <v>1119800</v>
      </c>
      <c r="L2218" s="24">
        <f t="shared" si="363"/>
        <v>894983.91013458557</v>
      </c>
    </row>
    <row r="2219" spans="2:12" x14ac:dyDescent="0.35">
      <c r="B2219" s="1">
        <v>11</v>
      </c>
      <c r="C2219" s="22">
        <v>45078</v>
      </c>
      <c r="D2219" s="22">
        <v>45107</v>
      </c>
      <c r="E2219" s="23">
        <f t="shared" si="357"/>
        <v>30</v>
      </c>
      <c r="F2219" s="3">
        <f t="shared" si="359"/>
        <v>8450765.391909603</v>
      </c>
      <c r="G2219" s="3">
        <f t="shared" si="362"/>
        <v>642030.93001922651</v>
      </c>
      <c r="H2219" s="3">
        <f t="shared" si="360"/>
        <v>70423.044932580029</v>
      </c>
      <c r="I2219" s="3">
        <f t="shared" si="358"/>
        <v>571607.88508664654</v>
      </c>
      <c r="J2219" s="3">
        <f t="shared" si="361"/>
        <v>7879157.5068229567</v>
      </c>
      <c r="K2219" s="24">
        <v>567000</v>
      </c>
      <c r="L2219" s="26">
        <f t="shared" si="363"/>
        <v>970014.84015381197</v>
      </c>
    </row>
    <row r="2220" spans="2:12" x14ac:dyDescent="0.35">
      <c r="B2220" s="1">
        <v>12</v>
      </c>
      <c r="C2220" s="22">
        <v>45108</v>
      </c>
      <c r="D2220" s="22">
        <v>45138</v>
      </c>
      <c r="E2220" s="23">
        <f t="shared" si="357"/>
        <v>31</v>
      </c>
      <c r="F2220" s="3">
        <f t="shared" si="359"/>
        <v>7879157.5068229567</v>
      </c>
      <c r="G2220" s="3">
        <f t="shared" si="362"/>
        <v>642030.93001922651</v>
      </c>
      <c r="H2220" s="3">
        <f t="shared" si="360"/>
        <v>65659.645890191299</v>
      </c>
      <c r="I2220" s="3">
        <f t="shared" si="358"/>
        <v>576371.28412903519</v>
      </c>
      <c r="J2220" s="3">
        <f t="shared" si="361"/>
        <v>7302786.222693922</v>
      </c>
      <c r="K2220" s="24">
        <v>40000</v>
      </c>
      <c r="L2220" s="24">
        <f t="shared" si="363"/>
        <v>1572045.7701730384</v>
      </c>
    </row>
    <row r="2221" spans="2:12" x14ac:dyDescent="0.35">
      <c r="B2221" s="1">
        <v>13</v>
      </c>
      <c r="C2221" s="22">
        <v>45139</v>
      </c>
      <c r="D2221" s="22">
        <v>45169</v>
      </c>
      <c r="E2221" s="23">
        <f t="shared" si="357"/>
        <v>31</v>
      </c>
      <c r="F2221" s="3">
        <f t="shared" si="359"/>
        <v>7302786.222693922</v>
      </c>
      <c r="G2221" s="3">
        <f t="shared" si="362"/>
        <v>642030.93001922651</v>
      </c>
      <c r="H2221" s="3">
        <f t="shared" si="360"/>
        <v>60856.55185578268</v>
      </c>
      <c r="I2221" s="3">
        <f t="shared" si="358"/>
        <v>581174.37816344388</v>
      </c>
      <c r="J2221" s="3">
        <f t="shared" si="361"/>
        <v>6721611.8445304781</v>
      </c>
      <c r="K2221" s="24"/>
      <c r="L2221" s="24">
        <f t="shared" si="363"/>
        <v>2214076.7001922647</v>
      </c>
    </row>
    <row r="2222" spans="2:12" x14ac:dyDescent="0.35">
      <c r="B2222" s="1">
        <v>14</v>
      </c>
      <c r="C2222" s="22">
        <v>45170</v>
      </c>
      <c r="D2222" s="22">
        <v>45199</v>
      </c>
      <c r="E2222" s="23">
        <f t="shared" si="357"/>
        <v>30</v>
      </c>
      <c r="F2222" s="3">
        <f t="shared" si="359"/>
        <v>6721611.8445304781</v>
      </c>
      <c r="G2222" s="3">
        <f t="shared" si="362"/>
        <v>642030.93001922651</v>
      </c>
      <c r="H2222" s="3">
        <f t="shared" si="360"/>
        <v>56013.432037753984</v>
      </c>
      <c r="I2222" s="3">
        <f t="shared" si="358"/>
        <v>586017.49798147252</v>
      </c>
      <c r="J2222" s="3">
        <f t="shared" si="361"/>
        <v>6135594.3465490052</v>
      </c>
      <c r="K2222" s="24">
        <v>100000</v>
      </c>
      <c r="L2222" s="24">
        <f t="shared" si="363"/>
        <v>2756107.6302114911</v>
      </c>
    </row>
    <row r="2223" spans="2:12" x14ac:dyDescent="0.35">
      <c r="B2223" s="1">
        <v>15</v>
      </c>
      <c r="C2223" s="22">
        <v>45200</v>
      </c>
      <c r="D2223" s="22">
        <v>45230</v>
      </c>
      <c r="E2223" s="23">
        <f t="shared" si="357"/>
        <v>31</v>
      </c>
      <c r="F2223" s="3">
        <f t="shared" si="359"/>
        <v>6135594.3465490052</v>
      </c>
      <c r="G2223" s="3">
        <f t="shared" si="362"/>
        <v>642030.93001922651</v>
      </c>
      <c r="H2223" s="3">
        <f t="shared" si="360"/>
        <v>51129.952887908374</v>
      </c>
      <c r="I2223" s="3">
        <f t="shared" si="358"/>
        <v>590900.97713131818</v>
      </c>
      <c r="J2223" s="3">
        <f t="shared" si="361"/>
        <v>5544693.3694176869</v>
      </c>
      <c r="K2223" s="24">
        <v>500000</v>
      </c>
      <c r="L2223" s="24">
        <f t="shared" si="363"/>
        <v>2898138.5602307175</v>
      </c>
    </row>
    <row r="2224" spans="2:12" x14ac:dyDescent="0.35">
      <c r="B2224" s="1">
        <v>16</v>
      </c>
      <c r="C2224" s="22">
        <v>45231</v>
      </c>
      <c r="D2224" s="22">
        <v>45260</v>
      </c>
      <c r="E2224" s="23">
        <f t="shared" si="357"/>
        <v>30</v>
      </c>
      <c r="F2224" s="3">
        <f t="shared" si="359"/>
        <v>5544693.3694176869</v>
      </c>
      <c r="G2224" s="3">
        <f t="shared" si="362"/>
        <v>642030.93001922651</v>
      </c>
      <c r="H2224" s="3">
        <f t="shared" si="360"/>
        <v>46205.778078480726</v>
      </c>
      <c r="I2224" s="3">
        <f t="shared" si="358"/>
        <v>595825.15194074577</v>
      </c>
      <c r="J2224" s="3">
        <f t="shared" si="361"/>
        <v>4948868.2174769416</v>
      </c>
      <c r="K2224" s="24">
        <v>500000</v>
      </c>
      <c r="L2224" s="24">
        <f t="shared" si="363"/>
        <v>3040169.4902499439</v>
      </c>
    </row>
    <row r="2225" spans="2:19" x14ac:dyDescent="0.35">
      <c r="B2225" s="1">
        <v>17</v>
      </c>
      <c r="C2225" s="22">
        <v>45261</v>
      </c>
      <c r="D2225" s="22">
        <v>45291</v>
      </c>
      <c r="E2225" s="23">
        <f t="shared" si="357"/>
        <v>31</v>
      </c>
      <c r="F2225" s="3">
        <f t="shared" si="359"/>
        <v>4948868.2174769416</v>
      </c>
      <c r="G2225" s="3">
        <f t="shared" si="362"/>
        <v>642030.93001922651</v>
      </c>
      <c r="H2225" s="3">
        <f t="shared" si="360"/>
        <v>41240.568478974514</v>
      </c>
      <c r="I2225" s="3">
        <f t="shared" si="358"/>
        <v>600790.36154025199</v>
      </c>
      <c r="J2225" s="3">
        <f t="shared" si="361"/>
        <v>4348077.8559366893</v>
      </c>
      <c r="K2225" s="24">
        <v>500000</v>
      </c>
      <c r="L2225" s="24">
        <f t="shared" si="363"/>
        <v>3182200.4202691703</v>
      </c>
    </row>
    <row r="2226" spans="2:19" x14ac:dyDescent="0.35">
      <c r="B2226" s="1">
        <v>18</v>
      </c>
      <c r="C2226" s="22">
        <v>45292</v>
      </c>
      <c r="D2226" s="22">
        <v>45322</v>
      </c>
      <c r="E2226" s="23">
        <f t="shared" si="357"/>
        <v>31</v>
      </c>
      <c r="F2226" s="3">
        <f t="shared" si="359"/>
        <v>4348077.8559366893</v>
      </c>
      <c r="G2226" s="3">
        <f t="shared" si="362"/>
        <v>642030.93001922651</v>
      </c>
      <c r="H2226" s="3">
        <f t="shared" si="360"/>
        <v>36233.982132805744</v>
      </c>
      <c r="I2226" s="3">
        <f t="shared" si="358"/>
        <v>605796.94788642076</v>
      </c>
      <c r="J2226" s="3">
        <f t="shared" si="361"/>
        <v>3742280.9080502684</v>
      </c>
      <c r="K2226" s="24">
        <v>600000</v>
      </c>
      <c r="L2226" s="24">
        <f t="shared" si="363"/>
        <v>3224231.3502883967</v>
      </c>
    </row>
    <row r="2227" spans="2:19" x14ac:dyDescent="0.35">
      <c r="B2227" s="1">
        <v>19</v>
      </c>
      <c r="C2227" s="22">
        <v>45323</v>
      </c>
      <c r="D2227" s="22">
        <v>45351</v>
      </c>
      <c r="E2227" s="23">
        <f t="shared" si="357"/>
        <v>29</v>
      </c>
      <c r="F2227" s="3">
        <f t="shared" si="359"/>
        <v>3742280.9080502684</v>
      </c>
      <c r="G2227" s="3">
        <f t="shared" si="362"/>
        <v>642030.93001922651</v>
      </c>
      <c r="H2227" s="3">
        <f t="shared" si="360"/>
        <v>31185.674233752237</v>
      </c>
      <c r="I2227" s="3">
        <f t="shared" si="358"/>
        <v>610845.25578547432</v>
      </c>
      <c r="J2227" s="3">
        <f t="shared" si="361"/>
        <v>3131435.6522647943</v>
      </c>
      <c r="K2227" s="24">
        <v>600000</v>
      </c>
      <c r="L2227" s="24">
        <f t="shared" si="363"/>
        <v>3266262.2803076231</v>
      </c>
    </row>
    <row r="2228" spans="2:19" x14ac:dyDescent="0.35">
      <c r="B2228" s="1">
        <v>20</v>
      </c>
      <c r="C2228" s="22">
        <v>45352</v>
      </c>
      <c r="D2228" s="22">
        <v>45382</v>
      </c>
      <c r="E2228" s="23">
        <f t="shared" si="357"/>
        <v>31</v>
      </c>
      <c r="F2228" s="3">
        <f t="shared" si="359"/>
        <v>3131435.6522647943</v>
      </c>
      <c r="G2228" s="3">
        <f t="shared" si="362"/>
        <v>642030.93001922651</v>
      </c>
      <c r="H2228" s="3">
        <f t="shared" si="360"/>
        <v>26095.297102206619</v>
      </c>
      <c r="I2228" s="3">
        <f t="shared" si="358"/>
        <v>615935.63291701989</v>
      </c>
      <c r="J2228" s="3">
        <f t="shared" si="361"/>
        <v>2515500.0193477743</v>
      </c>
      <c r="K2228" s="24"/>
      <c r="L2228" s="24">
        <f t="shared" si="363"/>
        <v>3908293.2103268495</v>
      </c>
    </row>
    <row r="2229" spans="2:19" x14ac:dyDescent="0.35">
      <c r="B2229" s="1">
        <v>21</v>
      </c>
      <c r="C2229" s="22">
        <v>45383</v>
      </c>
      <c r="D2229" s="22">
        <v>45412</v>
      </c>
      <c r="E2229" s="23">
        <f t="shared" si="357"/>
        <v>30</v>
      </c>
      <c r="F2229" s="3">
        <f t="shared" si="359"/>
        <v>2515500.0193477743</v>
      </c>
      <c r="G2229" s="3">
        <f t="shared" si="362"/>
        <v>642030.93001922651</v>
      </c>
      <c r="H2229" s="3">
        <f t="shared" si="360"/>
        <v>20962.500161231452</v>
      </c>
      <c r="I2229" s="3">
        <f t="shared" si="358"/>
        <v>621068.42985799501</v>
      </c>
      <c r="J2229" s="3">
        <f t="shared" si="361"/>
        <v>1894431.5894897794</v>
      </c>
      <c r="K2229" s="24">
        <v>3000000</v>
      </c>
      <c r="L2229" s="24">
        <f t="shared" si="363"/>
        <v>1550324.1403460763</v>
      </c>
    </row>
    <row r="2230" spans="2:19" x14ac:dyDescent="0.35">
      <c r="B2230" s="1">
        <v>22</v>
      </c>
      <c r="C2230" s="22">
        <v>45413</v>
      </c>
      <c r="D2230" s="22">
        <v>45443</v>
      </c>
      <c r="E2230" s="23">
        <f t="shared" si="357"/>
        <v>31</v>
      </c>
      <c r="F2230" s="3">
        <f t="shared" si="359"/>
        <v>1894431.5894897794</v>
      </c>
      <c r="G2230" s="3">
        <f t="shared" si="362"/>
        <v>642030.93001922651</v>
      </c>
      <c r="H2230" s="3">
        <f t="shared" si="360"/>
        <v>15786.929912414829</v>
      </c>
      <c r="I2230" s="3">
        <f t="shared" si="358"/>
        <v>626244.00010681164</v>
      </c>
      <c r="J2230" s="3">
        <f t="shared" si="361"/>
        <v>1268187.5893829679</v>
      </c>
      <c r="K2230" s="24"/>
      <c r="L2230" s="24">
        <f t="shared" si="363"/>
        <v>2192355.0703653027</v>
      </c>
    </row>
    <row r="2231" spans="2:19" x14ac:dyDescent="0.35">
      <c r="B2231" s="1">
        <v>23</v>
      </c>
      <c r="C2231" s="22">
        <v>45444</v>
      </c>
      <c r="D2231" s="22">
        <v>45473</v>
      </c>
      <c r="E2231" s="23">
        <f t="shared" si="357"/>
        <v>30</v>
      </c>
      <c r="F2231" s="3">
        <f t="shared" si="359"/>
        <v>1268187.5893829679</v>
      </c>
      <c r="G2231" s="3">
        <f t="shared" si="362"/>
        <v>642030.93001922651</v>
      </c>
      <c r="H2231" s="3">
        <f t="shared" si="360"/>
        <v>10568.229911524733</v>
      </c>
      <c r="I2231" s="3">
        <f t="shared" si="358"/>
        <v>631462.70010770182</v>
      </c>
      <c r="J2231" s="3">
        <f t="shared" si="361"/>
        <v>636724.88927526609</v>
      </c>
      <c r="K2231" s="24"/>
      <c r="L2231" s="24">
        <f t="shared" si="363"/>
        <v>2834386.0003845291</v>
      </c>
    </row>
    <row r="2232" spans="2:19" x14ac:dyDescent="0.35">
      <c r="B2232" s="1">
        <v>24</v>
      </c>
      <c r="C2232" s="22">
        <v>45474</v>
      </c>
      <c r="D2232" s="22">
        <v>45504</v>
      </c>
      <c r="E2232" s="23">
        <f t="shared" si="357"/>
        <v>31</v>
      </c>
      <c r="F2232" s="3">
        <f t="shared" si="359"/>
        <v>636724.88927526609</v>
      </c>
      <c r="G2232" s="3">
        <f t="shared" si="362"/>
        <v>642030.93001922651</v>
      </c>
      <c r="H2232" s="3">
        <f t="shared" si="360"/>
        <v>5306.0407439605506</v>
      </c>
      <c r="I2232" s="3">
        <f t="shared" si="358"/>
        <v>636724.88927526597</v>
      </c>
      <c r="J2232" s="3">
        <f t="shared" si="361"/>
        <v>0</v>
      </c>
      <c r="K2232" s="24">
        <f>465000+1000000+2011500</f>
        <v>3476500</v>
      </c>
      <c r="L2232" s="204">
        <f t="shared" si="363"/>
        <v>-83.069596244487911</v>
      </c>
    </row>
    <row r="2233" spans="2:19" x14ac:dyDescent="0.35">
      <c r="B2233" s="1"/>
      <c r="C2233" s="22"/>
      <c r="D2233" s="22"/>
      <c r="E2233" s="23"/>
      <c r="F2233" s="3"/>
      <c r="G2233" s="3"/>
      <c r="H2233" s="3"/>
      <c r="I2233" s="3"/>
      <c r="J2233" s="3"/>
      <c r="K2233" s="24"/>
      <c r="L2233" s="24"/>
    </row>
    <row r="2234" spans="2:19" ht="14.25" customHeight="1" x14ac:dyDescent="0.35">
      <c r="B2234" s="1"/>
      <c r="C2234" s="1"/>
      <c r="D2234" s="1"/>
      <c r="E2234" s="28">
        <f>SUM(E2208:E2220)</f>
        <v>392</v>
      </c>
      <c r="F2234" s="3"/>
      <c r="G2234" s="3"/>
      <c r="H2234" s="3"/>
      <c r="I2234" s="3"/>
      <c r="J2234" s="3"/>
      <c r="K2234" s="1"/>
      <c r="L2234" s="1"/>
    </row>
    <row r="2237" spans="2:19" x14ac:dyDescent="0.35">
      <c r="B2237" s="1"/>
      <c r="C2237" s="8" t="s">
        <v>907</v>
      </c>
      <c r="D2237" s="3"/>
      <c r="E2237" s="3"/>
      <c r="F2237" s="3"/>
      <c r="G2237" s="3"/>
      <c r="H2237" s="3"/>
      <c r="I2237" s="3"/>
      <c r="J2237" s="3"/>
      <c r="K2237" s="3"/>
      <c r="L2237" s="3"/>
    </row>
    <row r="2238" spans="2:19" x14ac:dyDescent="0.35">
      <c r="B2238" s="1"/>
      <c r="C2238" s="1" t="s">
        <v>905</v>
      </c>
      <c r="D2238" s="3"/>
      <c r="E2238" s="3"/>
      <c r="F2238" s="3" t="s">
        <v>901</v>
      </c>
      <c r="G2238" s="3"/>
      <c r="H2238" s="3"/>
      <c r="I2238" s="3"/>
      <c r="J2238" s="3"/>
      <c r="K2238" s="3"/>
      <c r="L2238" s="3"/>
      <c r="R2238" s="438" t="s">
        <v>832</v>
      </c>
      <c r="S2238" s="432">
        <f>IFERROR(INDEX(Blocks!$I$2:$I$101,MATCH(40,Blocks!$A$2:$A$101,0)),"")</f>
        <v>0</v>
      </c>
    </row>
    <row r="2239" spans="2:19" x14ac:dyDescent="0.35">
      <c r="B2239" s="1"/>
      <c r="C2239" s="9" t="s">
        <v>835</v>
      </c>
      <c r="D2239" s="10">
        <v>5635580</v>
      </c>
      <c r="E2239" s="3"/>
      <c r="F2239" s="3">
        <v>6364420</v>
      </c>
      <c r="G2239" s="3"/>
      <c r="H2239" s="3"/>
      <c r="I2239" s="3"/>
      <c r="J2239" s="3"/>
      <c r="K2239" s="3"/>
      <c r="L2239" s="3"/>
      <c r="R2239" s="438" t="s">
        <v>834</v>
      </c>
      <c r="S2239" s="432">
        <f>IFERROR(INDEX(Blocks!$H$2:$H$101,MATCH(40,Blocks!$A$2:$A$101,0)),"")</f>
        <v>0</v>
      </c>
    </row>
    <row r="2240" spans="2:19" x14ac:dyDescent="0.35">
      <c r="B2240" s="1"/>
      <c r="C2240" s="11" t="s">
        <v>837</v>
      </c>
      <c r="D2240" s="12">
        <v>0.1</v>
      </c>
      <c r="E2240" s="13"/>
      <c r="F2240" s="3"/>
      <c r="G2240" s="3"/>
      <c r="H2240" s="3"/>
      <c r="I2240" s="3"/>
      <c r="J2240" s="3"/>
      <c r="K2240" s="3"/>
      <c r="L2240" s="3"/>
      <c r="R2240" s="438" t="s">
        <v>223</v>
      </c>
      <c r="S2240" s="433" t="str">
        <f>IFERROR(INDEX('E-Banker master'!$N$2:$N$186,MATCH(S2238,'E-Banker master'!$A$2:$A$186,0)),"")</f>
        <v/>
      </c>
    </row>
    <row r="2241" spans="2:19" x14ac:dyDescent="0.35">
      <c r="B2241" s="1"/>
      <c r="C2241" s="11" t="s">
        <v>838</v>
      </c>
      <c r="D2241" s="14">
        <v>2</v>
      </c>
      <c r="E2241" s="1"/>
      <c r="F2241" s="3"/>
      <c r="G2241" s="3"/>
      <c r="H2241" s="3"/>
      <c r="I2241" s="3"/>
      <c r="J2241" s="3"/>
      <c r="K2241" s="1"/>
      <c r="L2241" s="1"/>
      <c r="R2241" s="438" t="s">
        <v>52</v>
      </c>
      <c r="S2241" s="433" t="str">
        <f>IFERROR(INDEX('E-Banker master'!$P$2:$P$186,MATCH(S2238,'E-Banker master'!$A$2:$A$186,0)),"")</f>
        <v/>
      </c>
    </row>
    <row r="2242" spans="2:19" x14ac:dyDescent="0.35">
      <c r="B2242" s="1"/>
      <c r="C2242" s="11" t="s">
        <v>839</v>
      </c>
      <c r="D2242" s="14">
        <v>12</v>
      </c>
      <c r="E2242" s="1"/>
      <c r="F2242" s="3"/>
      <c r="G2242" s="3"/>
      <c r="H2242" s="3"/>
      <c r="I2242" s="3"/>
      <c r="J2242" s="3"/>
      <c r="K2242" s="1"/>
      <c r="L2242" s="1"/>
    </row>
    <row r="2243" spans="2:19" x14ac:dyDescent="0.35">
      <c r="B2243" s="1"/>
      <c r="C2243" s="11" t="s">
        <v>843</v>
      </c>
      <c r="D2243" s="15">
        <f>D2241*D2242</f>
        <v>24</v>
      </c>
      <c r="E2243" s="1"/>
      <c r="F2243" s="3"/>
      <c r="G2243" s="3"/>
      <c r="H2243" s="3"/>
      <c r="I2243" s="3"/>
      <c r="J2243" s="3"/>
      <c r="K2243" s="1"/>
      <c r="L2243" s="1"/>
    </row>
    <row r="2244" spans="2:19" x14ac:dyDescent="0.35">
      <c r="B2244" s="1"/>
      <c r="C2244" s="11" t="s">
        <v>844</v>
      </c>
      <c r="D2244" s="16">
        <v>365</v>
      </c>
      <c r="E2244" s="1"/>
      <c r="F2244" s="3"/>
      <c r="G2244" s="3"/>
      <c r="H2244" s="3"/>
      <c r="I2244" s="3"/>
      <c r="J2244" s="3"/>
      <c r="K2244" s="1"/>
      <c r="L2244" s="1"/>
    </row>
    <row r="2245" spans="2:19" x14ac:dyDescent="0.35">
      <c r="B2245" s="1"/>
      <c r="C2245" s="17" t="s">
        <v>845</v>
      </c>
      <c r="D2245" s="18">
        <f>-PMT(D2240/D2242,D2243,D2239,0,0)</f>
        <v>260053.42396918125</v>
      </c>
      <c r="E2245" s="3"/>
      <c r="F2245" s="3"/>
      <c r="G2245" s="3"/>
      <c r="H2245" s="3"/>
      <c r="I2245" s="3"/>
      <c r="J2245" s="3"/>
      <c r="K2245" s="1"/>
      <c r="L2245" s="1"/>
    </row>
    <row r="2246" spans="2:19" x14ac:dyDescent="0.35">
      <c r="B2246" s="1"/>
      <c r="C2246" s="1"/>
      <c r="D2246" s="3"/>
      <c r="E2246" s="3"/>
      <c r="F2246" s="3"/>
      <c r="G2246" s="3"/>
      <c r="H2246" s="3"/>
      <c r="I2246" s="3"/>
      <c r="J2246" s="3"/>
      <c r="K2246" s="1"/>
      <c r="L2246" s="1"/>
    </row>
    <row r="2247" spans="2:19" x14ac:dyDescent="0.35">
      <c r="B2247" s="1"/>
      <c r="C2247" s="19" t="s">
        <v>846</v>
      </c>
      <c r="D2247" s="20" t="s">
        <v>847</v>
      </c>
      <c r="E2247" s="20" t="s">
        <v>764</v>
      </c>
      <c r="F2247" s="270" t="s">
        <v>848</v>
      </c>
      <c r="G2247" s="270" t="s">
        <v>849</v>
      </c>
      <c r="H2247" s="270" t="s">
        <v>742</v>
      </c>
      <c r="I2247" s="270" t="s">
        <v>740</v>
      </c>
      <c r="J2247" s="270" t="s">
        <v>850</v>
      </c>
      <c r="K2247" s="21" t="s">
        <v>851</v>
      </c>
      <c r="L2247" s="21" t="s">
        <v>852</v>
      </c>
    </row>
    <row r="2248" spans="2:19" x14ac:dyDescent="0.35">
      <c r="B2248" s="1">
        <v>0</v>
      </c>
      <c r="C2248" s="22">
        <v>44775</v>
      </c>
      <c r="D2248" s="22">
        <v>44804</v>
      </c>
      <c r="E2248" s="23">
        <f t="shared" ref="E2248:E2272" si="364">D2248-C2248+1</f>
        <v>30</v>
      </c>
      <c r="F2248" s="3">
        <f>D2239</f>
        <v>5635580</v>
      </c>
      <c r="G2248" s="3"/>
      <c r="H2248" s="3">
        <f>($D$2240/$D$2242*F2248*E2248/31)+(F2239*D2240/D2242*19/31)</f>
        <v>77954.672043010753</v>
      </c>
      <c r="I2248" s="3">
        <f t="shared" ref="I2248:I2272" si="365">G2248-H2248</f>
        <v>-77954.672043010753</v>
      </c>
      <c r="J2248" s="3">
        <f>F2248+F2239-I2248</f>
        <v>12077954.672043011</v>
      </c>
      <c r="K2248" s="24"/>
      <c r="L2248" s="24"/>
    </row>
    <row r="2249" spans="2:19" x14ac:dyDescent="0.35">
      <c r="B2249" s="1">
        <v>1</v>
      </c>
      <c r="C2249" s="22">
        <v>44805</v>
      </c>
      <c r="D2249" s="22">
        <v>44834</v>
      </c>
      <c r="E2249" s="23">
        <f t="shared" si="364"/>
        <v>30</v>
      </c>
      <c r="F2249" s="3">
        <f t="shared" ref="F2249:F2272" si="366">J2248</f>
        <v>12077954.672043011</v>
      </c>
      <c r="G2249" s="3"/>
      <c r="H2249" s="3">
        <f t="shared" ref="H2249:H2272" si="367">$D$2240/$D$2242*F2249</f>
        <v>100649.62226702509</v>
      </c>
      <c r="I2249" s="3">
        <f t="shared" si="365"/>
        <v>-100649.62226702509</v>
      </c>
      <c r="J2249" s="3">
        <f t="shared" ref="J2249:J2272" si="368">F2249-I2249</f>
        <v>12178604.294310035</v>
      </c>
      <c r="K2249" s="24"/>
      <c r="L2249" s="24"/>
    </row>
    <row r="2250" spans="2:19" x14ac:dyDescent="0.35">
      <c r="B2250" s="1">
        <v>2</v>
      </c>
      <c r="C2250" s="22">
        <v>44835</v>
      </c>
      <c r="D2250" s="22">
        <v>44865</v>
      </c>
      <c r="E2250" s="23">
        <f t="shared" si="364"/>
        <v>31</v>
      </c>
      <c r="F2250" s="3">
        <f t="shared" si="366"/>
        <v>12178604.294310035</v>
      </c>
      <c r="G2250" s="3"/>
      <c r="H2250" s="3">
        <f t="shared" si="367"/>
        <v>101488.36911925029</v>
      </c>
      <c r="I2250" s="3">
        <f t="shared" si="365"/>
        <v>-101488.36911925029</v>
      </c>
      <c r="J2250" s="3">
        <f t="shared" si="368"/>
        <v>12280092.663429286</v>
      </c>
    </row>
    <row r="2251" spans="2:19" x14ac:dyDescent="0.35">
      <c r="B2251" s="1">
        <v>3</v>
      </c>
      <c r="C2251" s="22">
        <v>44866</v>
      </c>
      <c r="D2251" s="22">
        <v>44895</v>
      </c>
      <c r="E2251" s="23">
        <f t="shared" si="364"/>
        <v>30</v>
      </c>
      <c r="F2251" s="3">
        <f t="shared" si="366"/>
        <v>12280092.663429286</v>
      </c>
      <c r="G2251" s="3"/>
      <c r="H2251" s="3">
        <f t="shared" si="367"/>
        <v>102334.10552857739</v>
      </c>
      <c r="I2251" s="3">
        <f t="shared" si="365"/>
        <v>-102334.10552857739</v>
      </c>
      <c r="J2251" s="3">
        <f t="shared" si="368"/>
        <v>12382426.768957864</v>
      </c>
      <c r="K2251" s="24"/>
      <c r="L2251" s="24"/>
    </row>
    <row r="2252" spans="2:19" x14ac:dyDescent="0.35">
      <c r="B2252" s="1">
        <v>4</v>
      </c>
      <c r="C2252" s="22">
        <v>44896</v>
      </c>
      <c r="D2252" s="22">
        <v>44926</v>
      </c>
      <c r="E2252" s="23">
        <f t="shared" si="364"/>
        <v>31</v>
      </c>
      <c r="F2252" s="3">
        <f t="shared" si="366"/>
        <v>12382426.768957864</v>
      </c>
      <c r="G2252" s="3">
        <f t="shared" ref="G2252:G2272" si="369">-PMT($D$2240/$D$2242,21,$F$2252,,0)</f>
        <v>645184.06277386856</v>
      </c>
      <c r="H2252" s="3">
        <f t="shared" si="367"/>
        <v>103186.88974131554</v>
      </c>
      <c r="I2252" s="3">
        <f t="shared" si="365"/>
        <v>541997.17303255305</v>
      </c>
      <c r="J2252" s="3">
        <f t="shared" si="368"/>
        <v>11840429.595925311</v>
      </c>
      <c r="K2252" s="24">
        <v>641000</v>
      </c>
      <c r="L2252" s="24">
        <f>G2252-K2252</f>
        <v>4184.062773868558</v>
      </c>
    </row>
    <row r="2253" spans="2:19" x14ac:dyDescent="0.35">
      <c r="B2253" s="1">
        <v>5</v>
      </c>
      <c r="C2253" s="22">
        <v>44927</v>
      </c>
      <c r="D2253" s="22">
        <v>44957</v>
      </c>
      <c r="E2253" s="23">
        <f t="shared" si="364"/>
        <v>31</v>
      </c>
      <c r="F2253" s="3">
        <f t="shared" si="366"/>
        <v>11840429.595925311</v>
      </c>
      <c r="G2253" s="3">
        <f t="shared" si="369"/>
        <v>645184.06277386856</v>
      </c>
      <c r="H2253" s="3">
        <f t="shared" si="367"/>
        <v>98670.246632710914</v>
      </c>
      <c r="I2253" s="3">
        <f t="shared" si="365"/>
        <v>546513.81614115764</v>
      </c>
      <c r="J2253" s="3">
        <f t="shared" si="368"/>
        <v>11293915.779784152</v>
      </c>
      <c r="K2253" s="24">
        <v>0</v>
      </c>
      <c r="L2253" s="24">
        <f t="shared" ref="L2253:L2272" si="370">L2252+G2253-K2253</f>
        <v>649368.12554773712</v>
      </c>
    </row>
    <row r="2254" spans="2:19" x14ac:dyDescent="0.35">
      <c r="B2254" s="1">
        <v>6</v>
      </c>
      <c r="C2254" s="22">
        <v>44958</v>
      </c>
      <c r="D2254" s="22">
        <v>44985</v>
      </c>
      <c r="E2254" s="23">
        <f t="shared" si="364"/>
        <v>28</v>
      </c>
      <c r="F2254" s="3">
        <f t="shared" si="366"/>
        <v>11293915.779784152</v>
      </c>
      <c r="G2254" s="3">
        <f t="shared" si="369"/>
        <v>645184.06277386856</v>
      </c>
      <c r="H2254" s="3">
        <f t="shared" si="367"/>
        <v>94115.964831534598</v>
      </c>
      <c r="I2254" s="3">
        <f t="shared" si="365"/>
        <v>551068.0979423339</v>
      </c>
      <c r="J2254" s="3">
        <f t="shared" si="368"/>
        <v>10742847.681841819</v>
      </c>
      <c r="K2254" s="24">
        <v>0</v>
      </c>
      <c r="L2254" s="24">
        <f t="shared" si="370"/>
        <v>1294552.1883216058</v>
      </c>
    </row>
    <row r="2255" spans="2:19" x14ac:dyDescent="0.35">
      <c r="B2255" s="1">
        <v>7</v>
      </c>
      <c r="C2255" s="22">
        <v>44986</v>
      </c>
      <c r="D2255" s="22">
        <v>45016</v>
      </c>
      <c r="E2255" s="23">
        <f t="shared" si="364"/>
        <v>31</v>
      </c>
      <c r="F2255" s="3">
        <f t="shared" si="366"/>
        <v>10742847.681841819</v>
      </c>
      <c r="G2255" s="361">
        <f t="shared" si="369"/>
        <v>645184.06277386856</v>
      </c>
      <c r="H2255" s="3">
        <f t="shared" si="367"/>
        <v>89523.730682015157</v>
      </c>
      <c r="I2255" s="3">
        <f t="shared" si="365"/>
        <v>555660.33209185337</v>
      </c>
      <c r="J2255" s="3">
        <f t="shared" si="368"/>
        <v>10187187.349749966</v>
      </c>
      <c r="K2255" s="24"/>
      <c r="L2255" s="24">
        <f t="shared" si="370"/>
        <v>1939736.2510954742</v>
      </c>
    </row>
    <row r="2256" spans="2:19" x14ac:dyDescent="0.35">
      <c r="B2256" s="1">
        <v>8</v>
      </c>
      <c r="C2256" s="22">
        <v>45017</v>
      </c>
      <c r="D2256" s="22">
        <v>45046</v>
      </c>
      <c r="E2256" s="23">
        <f t="shared" si="364"/>
        <v>30</v>
      </c>
      <c r="F2256" s="3">
        <f t="shared" si="366"/>
        <v>10187187.349749966</v>
      </c>
      <c r="G2256" s="361">
        <f t="shared" si="369"/>
        <v>645184.06277386856</v>
      </c>
      <c r="H2256" s="3">
        <f t="shared" si="367"/>
        <v>84893.22791458304</v>
      </c>
      <c r="I2256" s="3">
        <f t="shared" si="365"/>
        <v>560290.8348592855</v>
      </c>
      <c r="J2256" s="3">
        <f t="shared" si="368"/>
        <v>9626896.5148906801</v>
      </c>
      <c r="K2256" s="24"/>
      <c r="L2256" s="24">
        <f t="shared" si="370"/>
        <v>2584920.3138693427</v>
      </c>
    </row>
    <row r="2257" spans="2:12" x14ac:dyDescent="0.35">
      <c r="B2257" s="1">
        <v>9</v>
      </c>
      <c r="C2257" s="22">
        <v>45047</v>
      </c>
      <c r="D2257" s="22">
        <v>45077</v>
      </c>
      <c r="E2257" s="23">
        <f t="shared" si="364"/>
        <v>31</v>
      </c>
      <c r="F2257" s="3">
        <f t="shared" si="366"/>
        <v>9626896.5148906801</v>
      </c>
      <c r="G2257" s="361">
        <f t="shared" si="369"/>
        <v>645184.06277386856</v>
      </c>
      <c r="H2257" s="3">
        <f t="shared" si="367"/>
        <v>80224.137624088995</v>
      </c>
      <c r="I2257" s="3">
        <f t="shared" si="365"/>
        <v>564959.92514977953</v>
      </c>
      <c r="J2257" s="3">
        <f t="shared" si="368"/>
        <v>9061936.5897409003</v>
      </c>
      <c r="K2257" s="24"/>
      <c r="L2257" s="24">
        <f t="shared" si="370"/>
        <v>3230104.3766432111</v>
      </c>
    </row>
    <row r="2258" spans="2:12" x14ac:dyDescent="0.35">
      <c r="B2258" s="1">
        <v>10</v>
      </c>
      <c r="C2258" s="22">
        <v>45078</v>
      </c>
      <c r="D2258" s="22">
        <v>45107</v>
      </c>
      <c r="E2258" s="23">
        <f t="shared" si="364"/>
        <v>30</v>
      </c>
      <c r="F2258" s="3">
        <f t="shared" si="366"/>
        <v>9061936.5897409003</v>
      </c>
      <c r="G2258" s="361">
        <f t="shared" si="369"/>
        <v>645184.06277386856</v>
      </c>
      <c r="H2258" s="3">
        <f t="shared" si="367"/>
        <v>75516.138247840834</v>
      </c>
      <c r="I2258" s="3">
        <f t="shared" si="365"/>
        <v>569667.92452602775</v>
      </c>
      <c r="J2258" s="3">
        <f t="shared" si="368"/>
        <v>8492268.665214872</v>
      </c>
      <c r="K2258" s="24"/>
      <c r="L2258" s="26">
        <f t="shared" si="370"/>
        <v>3875288.4394170796</v>
      </c>
    </row>
    <row r="2259" spans="2:12" x14ac:dyDescent="0.35">
      <c r="B2259" s="1">
        <v>11</v>
      </c>
      <c r="C2259" s="22">
        <v>45108</v>
      </c>
      <c r="D2259" s="22">
        <v>45138</v>
      </c>
      <c r="E2259" s="23">
        <f t="shared" si="364"/>
        <v>31</v>
      </c>
      <c r="F2259" s="3">
        <f t="shared" si="366"/>
        <v>8492268.665214872</v>
      </c>
      <c r="G2259" s="361">
        <f t="shared" si="369"/>
        <v>645184.06277386856</v>
      </c>
      <c r="H2259" s="3">
        <f t="shared" si="367"/>
        <v>70768.905543457266</v>
      </c>
      <c r="I2259" s="3">
        <f t="shared" si="365"/>
        <v>574415.15723041131</v>
      </c>
      <c r="J2259" s="3">
        <f t="shared" si="368"/>
        <v>7917853.5079844603</v>
      </c>
      <c r="K2259" s="24">
        <v>0</v>
      </c>
      <c r="L2259" s="24">
        <f t="shared" si="370"/>
        <v>4520472.5021909485</v>
      </c>
    </row>
    <row r="2260" spans="2:12" x14ac:dyDescent="0.35">
      <c r="B2260" s="1">
        <v>12</v>
      </c>
      <c r="C2260" s="22">
        <v>45139</v>
      </c>
      <c r="D2260" s="22">
        <v>45169</v>
      </c>
      <c r="E2260" s="23">
        <f t="shared" si="364"/>
        <v>31</v>
      </c>
      <c r="F2260" s="3">
        <f t="shared" si="366"/>
        <v>7917853.5079844603</v>
      </c>
      <c r="G2260" s="361">
        <f t="shared" si="369"/>
        <v>645184.06277386856</v>
      </c>
      <c r="H2260" s="3">
        <f t="shared" si="367"/>
        <v>65982.112566537166</v>
      </c>
      <c r="I2260" s="3">
        <f t="shared" si="365"/>
        <v>579201.95020733145</v>
      </c>
      <c r="J2260" s="3">
        <f t="shared" si="368"/>
        <v>7338651.5577771291</v>
      </c>
      <c r="K2260" s="24">
        <v>1000000</v>
      </c>
      <c r="L2260" s="24">
        <f t="shared" si="370"/>
        <v>4165656.5649648169</v>
      </c>
    </row>
    <row r="2261" spans="2:12" x14ac:dyDescent="0.35">
      <c r="B2261" s="1">
        <v>13</v>
      </c>
      <c r="C2261" s="22">
        <v>45170</v>
      </c>
      <c r="D2261" s="22">
        <v>45199</v>
      </c>
      <c r="E2261" s="23">
        <f t="shared" si="364"/>
        <v>30</v>
      </c>
      <c r="F2261" s="3">
        <f t="shared" si="366"/>
        <v>7338651.5577771291</v>
      </c>
      <c r="G2261" s="361">
        <f t="shared" si="369"/>
        <v>645184.06277386856</v>
      </c>
      <c r="H2261" s="3">
        <f t="shared" si="367"/>
        <v>61155.429648142745</v>
      </c>
      <c r="I2261" s="3">
        <f t="shared" si="365"/>
        <v>584028.63312572578</v>
      </c>
      <c r="J2261" s="3">
        <f t="shared" si="368"/>
        <v>6754622.924651403</v>
      </c>
      <c r="K2261" s="24"/>
      <c r="L2261" s="24">
        <f t="shared" si="370"/>
        <v>4810840.6277386853</v>
      </c>
    </row>
    <row r="2262" spans="2:12" x14ac:dyDescent="0.35">
      <c r="B2262" s="1">
        <v>14</v>
      </c>
      <c r="C2262" s="22">
        <v>45200</v>
      </c>
      <c r="D2262" s="22">
        <v>45230</v>
      </c>
      <c r="E2262" s="23">
        <f t="shared" si="364"/>
        <v>31</v>
      </c>
      <c r="F2262" s="3">
        <f t="shared" si="366"/>
        <v>6754622.924651403</v>
      </c>
      <c r="G2262" s="361">
        <f t="shared" si="369"/>
        <v>645184.06277386856</v>
      </c>
      <c r="H2262" s="3">
        <f t="shared" si="367"/>
        <v>56288.524372095024</v>
      </c>
      <c r="I2262" s="3">
        <f t="shared" si="365"/>
        <v>588895.53840177355</v>
      </c>
      <c r="J2262" s="3">
        <f t="shared" si="368"/>
        <v>6165727.3862496298</v>
      </c>
      <c r="K2262" s="24"/>
      <c r="L2262" s="24">
        <f t="shared" si="370"/>
        <v>5456024.6905125538</v>
      </c>
    </row>
    <row r="2263" spans="2:12" x14ac:dyDescent="0.35">
      <c r="B2263" s="1">
        <v>15</v>
      </c>
      <c r="C2263" s="22">
        <v>45231</v>
      </c>
      <c r="D2263" s="22">
        <v>45260</v>
      </c>
      <c r="E2263" s="23">
        <f t="shared" si="364"/>
        <v>30</v>
      </c>
      <c r="F2263" s="3">
        <f t="shared" si="366"/>
        <v>6165727.3862496298</v>
      </c>
      <c r="G2263" s="361">
        <f t="shared" si="369"/>
        <v>645184.06277386856</v>
      </c>
      <c r="H2263" s="3">
        <f t="shared" si="367"/>
        <v>51381.061552080246</v>
      </c>
      <c r="I2263" s="3">
        <f t="shared" si="365"/>
        <v>593803.00122178835</v>
      </c>
      <c r="J2263" s="3">
        <f t="shared" si="368"/>
        <v>5571924.3850278417</v>
      </c>
      <c r="K2263" s="24">
        <v>300000</v>
      </c>
      <c r="L2263" s="24">
        <f t="shared" si="370"/>
        <v>5801208.7532864222</v>
      </c>
    </row>
    <row r="2264" spans="2:12" x14ac:dyDescent="0.35">
      <c r="B2264" s="1">
        <v>16</v>
      </c>
      <c r="C2264" s="22">
        <v>45261</v>
      </c>
      <c r="D2264" s="22">
        <v>45291</v>
      </c>
      <c r="E2264" s="23">
        <f t="shared" si="364"/>
        <v>31</v>
      </c>
      <c r="F2264" s="3">
        <f t="shared" si="366"/>
        <v>5571924.3850278417</v>
      </c>
      <c r="G2264" s="361">
        <f t="shared" si="369"/>
        <v>645184.06277386856</v>
      </c>
      <c r="H2264" s="3">
        <f t="shared" si="367"/>
        <v>46432.703208565348</v>
      </c>
      <c r="I2264" s="3">
        <f t="shared" si="365"/>
        <v>598751.3595653032</v>
      </c>
      <c r="J2264" s="3">
        <f t="shared" si="368"/>
        <v>4973173.025462538</v>
      </c>
      <c r="K2264" s="24"/>
      <c r="L2264" s="24">
        <f t="shared" si="370"/>
        <v>6446392.8160602907</v>
      </c>
    </row>
    <row r="2265" spans="2:12" x14ac:dyDescent="0.35">
      <c r="B2265" s="1">
        <v>17</v>
      </c>
      <c r="C2265" s="22">
        <v>45292</v>
      </c>
      <c r="D2265" s="22">
        <v>45322</v>
      </c>
      <c r="E2265" s="23">
        <f t="shared" si="364"/>
        <v>31</v>
      </c>
      <c r="F2265" s="3">
        <f t="shared" si="366"/>
        <v>4973173.025462538</v>
      </c>
      <c r="G2265" s="361">
        <f t="shared" si="369"/>
        <v>645184.06277386856</v>
      </c>
      <c r="H2265" s="3">
        <f t="shared" si="367"/>
        <v>41443.108545521151</v>
      </c>
      <c r="I2265" s="3">
        <f t="shared" si="365"/>
        <v>603740.9542283474</v>
      </c>
      <c r="J2265" s="3">
        <f t="shared" si="368"/>
        <v>4369432.0712341908</v>
      </c>
      <c r="K2265" s="24"/>
      <c r="L2265" s="24">
        <f t="shared" si="370"/>
        <v>7091576.8788341591</v>
      </c>
    </row>
    <row r="2266" spans="2:12" x14ac:dyDescent="0.35">
      <c r="B2266" s="1">
        <v>18</v>
      </c>
      <c r="C2266" s="22">
        <v>45323</v>
      </c>
      <c r="D2266" s="22">
        <v>45351</v>
      </c>
      <c r="E2266" s="23">
        <f t="shared" si="364"/>
        <v>29</v>
      </c>
      <c r="F2266" s="3">
        <f t="shared" si="366"/>
        <v>4369432.0712341908</v>
      </c>
      <c r="G2266" s="361">
        <f t="shared" si="369"/>
        <v>645184.06277386856</v>
      </c>
      <c r="H2266" s="3">
        <f t="shared" si="367"/>
        <v>36411.933926951591</v>
      </c>
      <c r="I2266" s="3">
        <f t="shared" si="365"/>
        <v>608772.12884691695</v>
      </c>
      <c r="J2266" s="3">
        <f t="shared" si="368"/>
        <v>3760659.942387274</v>
      </c>
      <c r="K2266" s="24"/>
      <c r="L2266" s="24">
        <f t="shared" si="370"/>
        <v>7736760.9416080276</v>
      </c>
    </row>
    <row r="2267" spans="2:12" x14ac:dyDescent="0.35">
      <c r="B2267" s="1">
        <v>19</v>
      </c>
      <c r="C2267" s="22">
        <v>45352</v>
      </c>
      <c r="D2267" s="22">
        <v>45382</v>
      </c>
      <c r="E2267" s="23">
        <f t="shared" si="364"/>
        <v>31</v>
      </c>
      <c r="F2267" s="3">
        <f t="shared" si="366"/>
        <v>3760659.942387274</v>
      </c>
      <c r="G2267" s="361">
        <f t="shared" si="369"/>
        <v>645184.06277386856</v>
      </c>
      <c r="H2267" s="3">
        <f t="shared" si="367"/>
        <v>31338.832853227283</v>
      </c>
      <c r="I2267" s="3">
        <f t="shared" si="365"/>
        <v>613845.22992064129</v>
      </c>
      <c r="J2267" s="3">
        <f t="shared" si="368"/>
        <v>3146814.7124666329</v>
      </c>
      <c r="K2267" s="24"/>
      <c r="L2267" s="24">
        <f t="shared" si="370"/>
        <v>8381945.004381896</v>
      </c>
    </row>
    <row r="2268" spans="2:12" x14ac:dyDescent="0.35">
      <c r="B2268" s="1">
        <v>20</v>
      </c>
      <c r="C2268" s="22">
        <v>45383</v>
      </c>
      <c r="D2268" s="22">
        <v>45412</v>
      </c>
      <c r="E2268" s="23">
        <f t="shared" si="364"/>
        <v>30</v>
      </c>
      <c r="F2268" s="3">
        <f t="shared" si="366"/>
        <v>3146814.7124666329</v>
      </c>
      <c r="G2268" s="361">
        <f t="shared" si="369"/>
        <v>645184.06277386856</v>
      </c>
      <c r="H2268" s="3">
        <f t="shared" si="367"/>
        <v>26223.455937221941</v>
      </c>
      <c r="I2268" s="3">
        <f t="shared" si="365"/>
        <v>618960.60683664656</v>
      </c>
      <c r="J2268" s="3">
        <f t="shared" si="368"/>
        <v>2527854.1056299862</v>
      </c>
      <c r="K2268" s="24"/>
      <c r="L2268" s="24">
        <f t="shared" si="370"/>
        <v>9027129.0671557654</v>
      </c>
    </row>
    <row r="2269" spans="2:12" x14ac:dyDescent="0.35">
      <c r="B2269" s="1">
        <v>21</v>
      </c>
      <c r="C2269" s="22">
        <v>45413</v>
      </c>
      <c r="D2269" s="22">
        <v>45443</v>
      </c>
      <c r="E2269" s="23">
        <f t="shared" si="364"/>
        <v>31</v>
      </c>
      <c r="F2269" s="3">
        <f t="shared" si="366"/>
        <v>2527854.1056299862</v>
      </c>
      <c r="G2269" s="361">
        <f t="shared" si="369"/>
        <v>645184.06277386856</v>
      </c>
      <c r="H2269" s="3">
        <f t="shared" si="367"/>
        <v>21065.450880249886</v>
      </c>
      <c r="I2269" s="3">
        <f t="shared" si="365"/>
        <v>624118.61189361871</v>
      </c>
      <c r="J2269" s="3">
        <f t="shared" si="368"/>
        <v>1903735.4937363674</v>
      </c>
      <c r="K2269" s="24"/>
      <c r="L2269" s="24">
        <f t="shared" si="370"/>
        <v>9672313.1299296338</v>
      </c>
    </row>
    <row r="2270" spans="2:12" x14ac:dyDescent="0.35">
      <c r="B2270" s="1">
        <v>22</v>
      </c>
      <c r="C2270" s="22">
        <v>45444</v>
      </c>
      <c r="D2270" s="22">
        <v>45473</v>
      </c>
      <c r="E2270" s="23">
        <f t="shared" si="364"/>
        <v>30</v>
      </c>
      <c r="F2270" s="3">
        <f t="shared" si="366"/>
        <v>1903735.4937363674</v>
      </c>
      <c r="G2270" s="3">
        <f t="shared" si="369"/>
        <v>645184.06277386856</v>
      </c>
      <c r="H2270" s="3">
        <f t="shared" si="367"/>
        <v>15864.462447803062</v>
      </c>
      <c r="I2270" s="3">
        <f t="shared" si="365"/>
        <v>629319.60032606544</v>
      </c>
      <c r="J2270" s="3">
        <f t="shared" si="368"/>
        <v>1274415.893410302</v>
      </c>
      <c r="K2270" s="24"/>
      <c r="L2270" s="24">
        <f t="shared" si="370"/>
        <v>10317497.192703502</v>
      </c>
    </row>
    <row r="2271" spans="2:12" x14ac:dyDescent="0.35">
      <c r="B2271" s="1">
        <v>23</v>
      </c>
      <c r="C2271" s="22">
        <v>45474</v>
      </c>
      <c r="D2271" s="22">
        <v>45504</v>
      </c>
      <c r="E2271" s="23">
        <f t="shared" si="364"/>
        <v>31</v>
      </c>
      <c r="F2271" s="3">
        <f t="shared" si="366"/>
        <v>1274415.893410302</v>
      </c>
      <c r="G2271" s="3">
        <f t="shared" si="369"/>
        <v>645184.06277386856</v>
      </c>
      <c r="H2271" s="3">
        <f t="shared" si="367"/>
        <v>10620.13244508585</v>
      </c>
      <c r="I2271" s="3">
        <f t="shared" si="365"/>
        <v>634563.93032878276</v>
      </c>
      <c r="J2271" s="3">
        <f t="shared" si="368"/>
        <v>639851.96308151924</v>
      </c>
      <c r="K2271" s="24">
        <f>3000000+2000000</f>
        <v>5000000</v>
      </c>
      <c r="L2271" s="24">
        <f t="shared" si="370"/>
        <v>5962681.2554773707</v>
      </c>
    </row>
    <row r="2272" spans="2:12" x14ac:dyDescent="0.35">
      <c r="B2272" s="1">
        <v>24</v>
      </c>
      <c r="C2272" s="22">
        <v>45505</v>
      </c>
      <c r="D2272" s="22">
        <v>45535</v>
      </c>
      <c r="E2272" s="23">
        <f t="shared" si="364"/>
        <v>31</v>
      </c>
      <c r="F2272" s="3">
        <f t="shared" si="366"/>
        <v>639851.96308151924</v>
      </c>
      <c r="G2272" s="3">
        <f t="shared" si="369"/>
        <v>645184.06277386856</v>
      </c>
      <c r="H2272" s="3">
        <f t="shared" si="367"/>
        <v>5332.0996923459934</v>
      </c>
      <c r="I2272" s="3">
        <f t="shared" si="365"/>
        <v>639851.96308152261</v>
      </c>
      <c r="J2272" s="3">
        <f t="shared" si="368"/>
        <v>-3.3760443329811096E-9</v>
      </c>
      <c r="K2272" s="24">
        <f>250000+250000+250000+250000+250000+250000+250000+250000+250000+250000</f>
        <v>2500000</v>
      </c>
      <c r="L2272" s="27">
        <f t="shared" si="370"/>
        <v>4107865.3182512391</v>
      </c>
    </row>
    <row r="2273" spans="2:19" x14ac:dyDescent="0.35">
      <c r="B2273" s="1"/>
      <c r="C2273" s="22"/>
      <c r="D2273" s="22"/>
      <c r="E2273" s="23"/>
      <c r="F2273" s="3"/>
      <c r="G2273" s="3"/>
      <c r="H2273" s="3"/>
      <c r="I2273" s="3"/>
      <c r="J2273" s="3"/>
      <c r="K2273" s="24"/>
      <c r="L2273" s="24"/>
    </row>
    <row r="2274" spans="2:19" ht="14.25" customHeight="1" x14ac:dyDescent="0.35">
      <c r="B2274" s="1"/>
      <c r="C2274" s="1"/>
      <c r="D2274" s="1"/>
      <c r="E2274" s="28">
        <f>SUM(E2248:E2260)</f>
        <v>395</v>
      </c>
      <c r="F2274" s="3"/>
      <c r="G2274" s="3"/>
      <c r="H2274" s="3"/>
      <c r="I2274" s="3"/>
      <c r="J2274" s="3"/>
      <c r="K2274" s="1"/>
      <c r="L2274" s="1"/>
    </row>
    <row r="2278" spans="2:19" x14ac:dyDescent="0.35">
      <c r="B2278" s="1"/>
      <c r="C2278" s="8" t="s">
        <v>908</v>
      </c>
      <c r="D2278" s="3"/>
      <c r="E2278" s="3"/>
      <c r="F2278" s="3"/>
      <c r="G2278" s="3"/>
      <c r="H2278" s="3"/>
      <c r="I2278" s="3"/>
      <c r="J2278" s="3"/>
      <c r="K2278" s="3"/>
      <c r="L2278" s="3"/>
    </row>
    <row r="2279" spans="2:19" x14ac:dyDescent="0.35">
      <c r="B2279" s="1"/>
      <c r="C2279" s="1" t="s">
        <v>905</v>
      </c>
      <c r="D2279" s="3"/>
      <c r="E2279" s="3"/>
      <c r="F2279" s="3" t="s">
        <v>901</v>
      </c>
      <c r="G2279" s="3"/>
      <c r="H2279" s="3"/>
      <c r="I2279" s="3"/>
      <c r="J2279" s="3"/>
      <c r="K2279" s="3"/>
      <c r="L2279" s="3"/>
      <c r="R2279" s="438" t="s">
        <v>832</v>
      </c>
      <c r="S2279" s="432" t="str">
        <f>IFERROR(INDEX(Blocks!$I$2:$I$101,MATCH(41,Blocks!$A$2:$A$101,0)),"")</f>
        <v>000104450000042</v>
      </c>
    </row>
    <row r="2280" spans="2:19" x14ac:dyDescent="0.35">
      <c r="B2280" s="1"/>
      <c r="C2280" s="9" t="s">
        <v>835</v>
      </c>
      <c r="D2280" s="10">
        <v>11423340</v>
      </c>
      <c r="E2280" s="3"/>
      <c r="F2280" s="3"/>
      <c r="G2280" s="3"/>
      <c r="H2280" s="3"/>
      <c r="I2280" s="3"/>
      <c r="J2280" s="3"/>
      <c r="K2280" s="3"/>
      <c r="L2280" s="3"/>
      <c r="R2280" s="438" t="s">
        <v>834</v>
      </c>
      <c r="S2280" s="432" t="str">
        <f>IFERROR(INDEX(Blocks!$H$2:$H$101,MATCH(41,Blocks!$A$2:$A$101,0)),"")</f>
        <v>Zikometso Smallholder Farmers Association</v>
      </c>
    </row>
    <row r="2281" spans="2:19" x14ac:dyDescent="0.35">
      <c r="B2281" s="1"/>
      <c r="C2281" s="11" t="s">
        <v>837</v>
      </c>
      <c r="D2281" s="12">
        <v>0.1</v>
      </c>
      <c r="E2281" s="13"/>
      <c r="F2281" s="3"/>
      <c r="G2281" s="3"/>
      <c r="H2281" s="3"/>
      <c r="I2281" s="3"/>
      <c r="J2281" s="3"/>
      <c r="K2281" s="3"/>
      <c r="L2281" s="3"/>
      <c r="R2281" s="438" t="s">
        <v>223</v>
      </c>
      <c r="S2281" s="433">
        <f>IFERROR(INDEX('E-Banker master'!$N$2:$N$186,MATCH(S2279,'E-Banker master'!$A$2:$A$186,0)),"")</f>
        <v>11423340</v>
      </c>
    </row>
    <row r="2282" spans="2:19" x14ac:dyDescent="0.35">
      <c r="B2282" s="1"/>
      <c r="C2282" s="11" t="s">
        <v>838</v>
      </c>
      <c r="D2282" s="14">
        <v>2</v>
      </c>
      <c r="E2282" s="1"/>
      <c r="F2282" s="3"/>
      <c r="G2282" s="3"/>
      <c r="H2282" s="3"/>
      <c r="I2282" s="3"/>
      <c r="J2282" s="3"/>
      <c r="K2282" s="1"/>
      <c r="L2282" s="1"/>
      <c r="R2282" s="438" t="s">
        <v>52</v>
      </c>
      <c r="S2282" s="433">
        <f>IFERROR(INDEX('E-Banker master'!$P$2:$P$186,MATCH(S2279,'E-Banker master'!$A$2:$A$186,0)),"")</f>
        <v>8338.1200000000008</v>
      </c>
    </row>
    <row r="2283" spans="2:19" x14ac:dyDescent="0.35">
      <c r="B2283" s="1"/>
      <c r="C2283" s="11" t="s">
        <v>839</v>
      </c>
      <c r="D2283" s="14">
        <v>12</v>
      </c>
      <c r="E2283" s="1"/>
      <c r="F2283" s="3"/>
      <c r="G2283" s="3"/>
      <c r="H2283" s="3"/>
      <c r="I2283" s="3"/>
      <c r="J2283" s="3"/>
      <c r="K2283" s="1"/>
      <c r="L2283" s="1"/>
    </row>
    <row r="2284" spans="2:19" x14ac:dyDescent="0.35">
      <c r="B2284" s="1"/>
      <c r="C2284" s="11" t="s">
        <v>843</v>
      </c>
      <c r="D2284" s="15">
        <f>D2282*D2283</f>
        <v>24</v>
      </c>
      <c r="E2284" s="1"/>
      <c r="F2284" s="3"/>
      <c r="G2284" s="3"/>
      <c r="H2284" s="3"/>
      <c r="I2284" s="3"/>
      <c r="J2284" s="3"/>
      <c r="K2284" s="1"/>
      <c r="L2284" s="1"/>
    </row>
    <row r="2285" spans="2:19" x14ac:dyDescent="0.35">
      <c r="B2285" s="1"/>
      <c r="C2285" s="11" t="s">
        <v>844</v>
      </c>
      <c r="D2285" s="16">
        <v>365</v>
      </c>
      <c r="E2285" s="1"/>
      <c r="F2285" s="3"/>
      <c r="G2285" s="3"/>
      <c r="H2285" s="3"/>
      <c r="I2285" s="3"/>
      <c r="J2285" s="3"/>
      <c r="K2285" s="1"/>
      <c r="L2285" s="1"/>
    </row>
    <row r="2286" spans="2:19" x14ac:dyDescent="0.35">
      <c r="B2286" s="1"/>
      <c r="C2286" s="17" t="s">
        <v>845</v>
      </c>
      <c r="D2286" s="18">
        <f>-PMT(D2281/D2283,D2284,D2280,0,0)</f>
        <v>527129.18282840576</v>
      </c>
      <c r="E2286" s="3"/>
      <c r="F2286" s="3"/>
      <c r="G2286" s="3"/>
      <c r="H2286" s="3"/>
      <c r="I2286" s="3"/>
      <c r="J2286" s="3"/>
      <c r="K2286" s="1"/>
      <c r="L2286" s="1"/>
    </row>
    <row r="2287" spans="2:19" x14ac:dyDescent="0.35">
      <c r="B2287" s="1"/>
      <c r="C2287" s="1"/>
      <c r="D2287" s="3"/>
      <c r="E2287" s="3"/>
      <c r="F2287" s="3"/>
      <c r="G2287" s="3"/>
      <c r="H2287" s="3"/>
      <c r="I2287" s="3"/>
      <c r="J2287" s="3"/>
      <c r="K2287" s="1"/>
      <c r="L2287" s="1"/>
    </row>
    <row r="2288" spans="2:19" x14ac:dyDescent="0.35">
      <c r="B2288" s="1"/>
      <c r="C2288" s="19" t="s">
        <v>846</v>
      </c>
      <c r="D2288" s="20" t="s">
        <v>847</v>
      </c>
      <c r="E2288" s="20" t="s">
        <v>764</v>
      </c>
      <c r="F2288" s="270" t="s">
        <v>848</v>
      </c>
      <c r="G2288" s="270" t="s">
        <v>849</v>
      </c>
      <c r="H2288" s="270" t="s">
        <v>742</v>
      </c>
      <c r="I2288" s="270" t="s">
        <v>740</v>
      </c>
      <c r="J2288" s="270" t="s">
        <v>850</v>
      </c>
      <c r="K2288" s="21" t="s">
        <v>851</v>
      </c>
      <c r="L2288" s="21" t="s">
        <v>852</v>
      </c>
    </row>
    <row r="2289" spans="2:12" x14ac:dyDescent="0.35">
      <c r="B2289" s="1">
        <v>0</v>
      </c>
      <c r="C2289" s="22">
        <v>44775</v>
      </c>
      <c r="D2289" s="22">
        <v>44804</v>
      </c>
      <c r="E2289" s="23">
        <f t="shared" ref="E2289:E2313" si="371">D2289-C2289+1</f>
        <v>30</v>
      </c>
      <c r="F2289" s="3">
        <f>D2280</f>
        <v>11423340</v>
      </c>
      <c r="G2289" s="3"/>
      <c r="H2289" s="3">
        <f>($D$2200/$D$2202*F2289*E2289/31)+(F2280*D2281/D2283*19/31)</f>
        <v>92123.709677419349</v>
      </c>
      <c r="I2289" s="3">
        <f t="shared" ref="I2289:I2313" si="372">G2289-H2289</f>
        <v>-92123.709677419349</v>
      </c>
      <c r="J2289" s="3">
        <f>F2289+F2280-I2289</f>
        <v>11515463.709677419</v>
      </c>
      <c r="K2289" s="24"/>
      <c r="L2289" s="24"/>
    </row>
    <row r="2290" spans="2:12" x14ac:dyDescent="0.35">
      <c r="B2290" s="1">
        <v>1</v>
      </c>
      <c r="C2290" s="22">
        <v>44805</v>
      </c>
      <c r="D2290" s="22">
        <v>44834</v>
      </c>
      <c r="E2290" s="23">
        <f t="shared" si="371"/>
        <v>30</v>
      </c>
      <c r="F2290" s="3">
        <f t="shared" ref="F2290:F2313" si="373">J2289</f>
        <v>11515463.709677419</v>
      </c>
      <c r="G2290" s="3"/>
      <c r="H2290" s="3">
        <f t="shared" ref="H2290:H2313" si="374">$D$2281/$D$2283*F2290</f>
        <v>95962.197580645152</v>
      </c>
      <c r="I2290" s="3">
        <f t="shared" si="372"/>
        <v>-95962.197580645152</v>
      </c>
      <c r="J2290" s="3">
        <f t="shared" ref="J2290:J2313" si="375">F2290-I2290</f>
        <v>11611425.907258064</v>
      </c>
      <c r="K2290" s="24"/>
      <c r="L2290" s="24"/>
    </row>
    <row r="2291" spans="2:12" x14ac:dyDescent="0.35">
      <c r="B2291" s="1">
        <v>2</v>
      </c>
      <c r="C2291" s="22">
        <v>44835</v>
      </c>
      <c r="D2291" s="22">
        <v>44865</v>
      </c>
      <c r="E2291" s="23">
        <f t="shared" si="371"/>
        <v>31</v>
      </c>
      <c r="F2291" s="3">
        <f t="shared" si="373"/>
        <v>11611425.907258064</v>
      </c>
      <c r="G2291" s="3"/>
      <c r="H2291" s="3">
        <f t="shared" si="374"/>
        <v>96761.882560483864</v>
      </c>
      <c r="I2291" s="3">
        <f t="shared" si="372"/>
        <v>-96761.882560483864</v>
      </c>
      <c r="J2291" s="3">
        <f t="shared" si="375"/>
        <v>11708187.789818548</v>
      </c>
    </row>
    <row r="2292" spans="2:12" x14ac:dyDescent="0.35">
      <c r="B2292" s="1">
        <v>3</v>
      </c>
      <c r="C2292" s="22">
        <v>44866</v>
      </c>
      <c r="D2292" s="22">
        <v>44895</v>
      </c>
      <c r="E2292" s="23">
        <f t="shared" si="371"/>
        <v>30</v>
      </c>
      <c r="F2292" s="3">
        <f t="shared" si="373"/>
        <v>11708187.789818548</v>
      </c>
      <c r="G2292" s="3"/>
      <c r="H2292" s="3">
        <f t="shared" si="374"/>
        <v>97568.231581821223</v>
      </c>
      <c r="I2292" s="3">
        <f t="shared" si="372"/>
        <v>-97568.231581821223</v>
      </c>
      <c r="J2292" s="3">
        <f t="shared" si="375"/>
        <v>11805756.02140037</v>
      </c>
      <c r="K2292" s="24"/>
      <c r="L2292" s="24"/>
    </row>
    <row r="2293" spans="2:12" x14ac:dyDescent="0.35">
      <c r="B2293" s="1">
        <v>4</v>
      </c>
      <c r="C2293" s="22">
        <v>44896</v>
      </c>
      <c r="D2293" s="22">
        <v>44926</v>
      </c>
      <c r="E2293" s="23">
        <f t="shared" si="371"/>
        <v>31</v>
      </c>
      <c r="F2293" s="3">
        <f t="shared" si="373"/>
        <v>11805756.02140037</v>
      </c>
      <c r="G2293" s="3">
        <f t="shared" ref="G2293:G2313" si="376">-PMT($D$2281/$D$2283,21,$F$2293,,0)</f>
        <v>615136.73984321964</v>
      </c>
      <c r="H2293" s="3">
        <f t="shared" si="374"/>
        <v>98381.300178336416</v>
      </c>
      <c r="I2293" s="3">
        <f t="shared" si="372"/>
        <v>516755.43966488319</v>
      </c>
      <c r="J2293" s="3">
        <f t="shared" si="375"/>
        <v>11289000.581735486</v>
      </c>
      <c r="K2293" s="24"/>
      <c r="L2293" s="24">
        <f>G2293</f>
        <v>615136.73984321964</v>
      </c>
    </row>
    <row r="2294" spans="2:12" x14ac:dyDescent="0.35">
      <c r="B2294" s="1">
        <v>5</v>
      </c>
      <c r="C2294" s="22">
        <v>44927</v>
      </c>
      <c r="D2294" s="22">
        <v>44957</v>
      </c>
      <c r="E2294" s="23">
        <f t="shared" si="371"/>
        <v>31</v>
      </c>
      <c r="F2294" s="3">
        <f t="shared" si="373"/>
        <v>11289000.581735486</v>
      </c>
      <c r="G2294" s="3">
        <f t="shared" si="376"/>
        <v>615136.73984321964</v>
      </c>
      <c r="H2294" s="3">
        <f t="shared" si="374"/>
        <v>94075.004847795717</v>
      </c>
      <c r="I2294" s="3">
        <f t="shared" si="372"/>
        <v>521061.73499542393</v>
      </c>
      <c r="J2294" s="3">
        <f t="shared" si="375"/>
        <v>10767938.846740061</v>
      </c>
      <c r="K2294" s="24"/>
      <c r="L2294" s="24">
        <f t="shared" ref="L2294:L2313" si="377">L2293+G2294-K2294</f>
        <v>1230273.4796864393</v>
      </c>
    </row>
    <row r="2295" spans="2:12" x14ac:dyDescent="0.35">
      <c r="B2295" s="1">
        <v>6</v>
      </c>
      <c r="C2295" s="22">
        <v>44958</v>
      </c>
      <c r="D2295" s="22">
        <v>44985</v>
      </c>
      <c r="E2295" s="23">
        <f t="shared" si="371"/>
        <v>28</v>
      </c>
      <c r="F2295" s="3">
        <f t="shared" si="373"/>
        <v>10767938.846740061</v>
      </c>
      <c r="G2295" s="3">
        <f t="shared" si="376"/>
        <v>615136.73984321964</v>
      </c>
      <c r="H2295" s="3">
        <f t="shared" si="374"/>
        <v>89732.82372283384</v>
      </c>
      <c r="I2295" s="3">
        <f t="shared" si="372"/>
        <v>525403.91612038575</v>
      </c>
      <c r="J2295" s="3">
        <f t="shared" si="375"/>
        <v>10242534.930619676</v>
      </c>
      <c r="K2295" s="24">
        <v>615150</v>
      </c>
      <c r="L2295" s="24">
        <f t="shared" si="377"/>
        <v>1230260.219529659</v>
      </c>
    </row>
    <row r="2296" spans="2:12" x14ac:dyDescent="0.35">
      <c r="B2296" s="1">
        <v>7</v>
      </c>
      <c r="C2296" s="22">
        <v>44986</v>
      </c>
      <c r="D2296" s="22">
        <v>45016</v>
      </c>
      <c r="E2296" s="23">
        <f t="shared" si="371"/>
        <v>31</v>
      </c>
      <c r="F2296" s="3">
        <f t="shared" si="373"/>
        <v>10242534.930619676</v>
      </c>
      <c r="G2296" s="3">
        <f t="shared" si="376"/>
        <v>615136.73984321964</v>
      </c>
      <c r="H2296" s="3">
        <f t="shared" si="374"/>
        <v>85354.457755163967</v>
      </c>
      <c r="I2296" s="3">
        <f t="shared" si="372"/>
        <v>529782.28208805562</v>
      </c>
      <c r="J2296" s="3">
        <f t="shared" si="375"/>
        <v>9712752.6485316195</v>
      </c>
      <c r="K2296" s="24">
        <f>615150+615150</f>
        <v>1230300</v>
      </c>
      <c r="L2296" s="24">
        <f t="shared" si="377"/>
        <v>615096.95937287854</v>
      </c>
    </row>
    <row r="2297" spans="2:12" x14ac:dyDescent="0.35">
      <c r="B2297" s="1">
        <v>8</v>
      </c>
      <c r="C2297" s="22">
        <v>45017</v>
      </c>
      <c r="D2297" s="22">
        <v>45046</v>
      </c>
      <c r="E2297" s="23">
        <f t="shared" si="371"/>
        <v>30</v>
      </c>
      <c r="F2297" s="3">
        <f t="shared" si="373"/>
        <v>9712752.6485316195</v>
      </c>
      <c r="G2297" s="3">
        <f t="shared" si="376"/>
        <v>615136.73984321964</v>
      </c>
      <c r="H2297" s="3">
        <f t="shared" si="374"/>
        <v>80939.605404430156</v>
      </c>
      <c r="I2297" s="3">
        <f t="shared" si="372"/>
        <v>534197.13443878945</v>
      </c>
      <c r="J2297" s="3">
        <f t="shared" si="375"/>
        <v>9178555.5140928291</v>
      </c>
      <c r="K2297" s="24">
        <v>615150</v>
      </c>
      <c r="L2297" s="24">
        <f t="shared" si="377"/>
        <v>615083.69921609806</v>
      </c>
    </row>
    <row r="2298" spans="2:12" x14ac:dyDescent="0.35">
      <c r="B2298" s="1">
        <v>9</v>
      </c>
      <c r="C2298" s="22">
        <v>45047</v>
      </c>
      <c r="D2298" s="22">
        <v>45077</v>
      </c>
      <c r="E2298" s="23">
        <f t="shared" si="371"/>
        <v>31</v>
      </c>
      <c r="F2298" s="3">
        <f t="shared" si="373"/>
        <v>9178555.5140928291</v>
      </c>
      <c r="G2298" s="3">
        <f t="shared" si="376"/>
        <v>615136.73984321964</v>
      </c>
      <c r="H2298" s="3">
        <f t="shared" si="374"/>
        <v>76487.962617440236</v>
      </c>
      <c r="I2298" s="3">
        <f t="shared" si="372"/>
        <v>538648.77722577937</v>
      </c>
      <c r="J2298" s="3">
        <f t="shared" si="375"/>
        <v>8639906.7368670497</v>
      </c>
      <c r="K2298" s="24">
        <v>615150</v>
      </c>
      <c r="L2298" s="24">
        <f t="shared" si="377"/>
        <v>615070.43905931758</v>
      </c>
    </row>
    <row r="2299" spans="2:12" x14ac:dyDescent="0.35">
      <c r="B2299" s="1">
        <v>10</v>
      </c>
      <c r="C2299" s="22">
        <v>45078</v>
      </c>
      <c r="D2299" s="22">
        <v>45107</v>
      </c>
      <c r="E2299" s="23">
        <f t="shared" si="371"/>
        <v>30</v>
      </c>
      <c r="F2299" s="3">
        <f t="shared" si="373"/>
        <v>8639906.7368670497</v>
      </c>
      <c r="G2299" s="3">
        <f t="shared" si="376"/>
        <v>615136.73984321964</v>
      </c>
      <c r="H2299" s="3">
        <f t="shared" si="374"/>
        <v>71999.222807225407</v>
      </c>
      <c r="I2299" s="3">
        <f t="shared" si="372"/>
        <v>543137.51703599421</v>
      </c>
      <c r="J2299" s="3">
        <f t="shared" si="375"/>
        <v>8096769.219831055</v>
      </c>
      <c r="K2299" s="24">
        <v>615150</v>
      </c>
      <c r="L2299" s="26">
        <f t="shared" si="377"/>
        <v>615057.1789025371</v>
      </c>
    </row>
    <row r="2300" spans="2:12" x14ac:dyDescent="0.35">
      <c r="B2300" s="1">
        <v>11</v>
      </c>
      <c r="C2300" s="22">
        <v>45108</v>
      </c>
      <c r="D2300" s="22">
        <v>45138</v>
      </c>
      <c r="E2300" s="23">
        <f t="shared" si="371"/>
        <v>31</v>
      </c>
      <c r="F2300" s="3">
        <f t="shared" si="373"/>
        <v>8096769.219831055</v>
      </c>
      <c r="G2300" s="3">
        <f t="shared" si="376"/>
        <v>615136.73984321964</v>
      </c>
      <c r="H2300" s="3">
        <f t="shared" si="374"/>
        <v>67473.076831925457</v>
      </c>
      <c r="I2300" s="3">
        <f t="shared" si="372"/>
        <v>547663.66301129421</v>
      </c>
      <c r="J2300" s="3">
        <f t="shared" si="375"/>
        <v>7549105.5568197612</v>
      </c>
      <c r="K2300" s="24">
        <f>615150+615150</f>
        <v>1230300</v>
      </c>
      <c r="L2300" s="24">
        <f t="shared" si="377"/>
        <v>-106.08125424338505</v>
      </c>
    </row>
    <row r="2301" spans="2:12" x14ac:dyDescent="0.35">
      <c r="B2301" s="1">
        <v>12</v>
      </c>
      <c r="C2301" s="22">
        <v>45139</v>
      </c>
      <c r="D2301" s="22">
        <v>45169</v>
      </c>
      <c r="E2301" s="23">
        <f t="shared" si="371"/>
        <v>31</v>
      </c>
      <c r="F2301" s="3">
        <f t="shared" si="373"/>
        <v>7549105.5568197612</v>
      </c>
      <c r="G2301" s="3">
        <f t="shared" si="376"/>
        <v>615136.73984321964</v>
      </c>
      <c r="H2301" s="3">
        <f t="shared" si="374"/>
        <v>62909.212973498012</v>
      </c>
      <c r="I2301" s="3">
        <f t="shared" si="372"/>
        <v>552227.52686972159</v>
      </c>
      <c r="J2301" s="3">
        <f t="shared" si="375"/>
        <v>6996878.0299500395</v>
      </c>
      <c r="K2301" s="24">
        <v>0</v>
      </c>
      <c r="L2301" s="24">
        <f t="shared" si="377"/>
        <v>615030.65858897625</v>
      </c>
    </row>
    <row r="2302" spans="2:12" x14ac:dyDescent="0.35">
      <c r="B2302" s="1">
        <v>13</v>
      </c>
      <c r="C2302" s="22">
        <v>45170</v>
      </c>
      <c r="D2302" s="22">
        <v>45199</v>
      </c>
      <c r="E2302" s="23">
        <f t="shared" si="371"/>
        <v>30</v>
      </c>
      <c r="F2302" s="3">
        <f t="shared" si="373"/>
        <v>6996878.0299500395</v>
      </c>
      <c r="G2302" s="3">
        <f t="shared" si="376"/>
        <v>615136.73984321964</v>
      </c>
      <c r="H2302" s="3">
        <f t="shared" si="374"/>
        <v>58307.316916250325</v>
      </c>
      <c r="I2302" s="3">
        <f t="shared" si="372"/>
        <v>556829.42292696936</v>
      </c>
      <c r="J2302" s="3">
        <f t="shared" si="375"/>
        <v>6440048.6070230696</v>
      </c>
      <c r="K2302" s="24">
        <v>615150</v>
      </c>
      <c r="L2302" s="24">
        <f t="shared" si="377"/>
        <v>615017.39843219589</v>
      </c>
    </row>
    <row r="2303" spans="2:12" x14ac:dyDescent="0.35">
      <c r="B2303" s="1">
        <v>14</v>
      </c>
      <c r="C2303" s="22">
        <v>45200</v>
      </c>
      <c r="D2303" s="22">
        <v>45230</v>
      </c>
      <c r="E2303" s="23">
        <f t="shared" si="371"/>
        <v>31</v>
      </c>
      <c r="F2303" s="3">
        <f t="shared" si="373"/>
        <v>6440048.6070230696</v>
      </c>
      <c r="G2303" s="3">
        <f t="shared" si="376"/>
        <v>615136.73984321964</v>
      </c>
      <c r="H2303" s="3">
        <f t="shared" si="374"/>
        <v>53667.071725192247</v>
      </c>
      <c r="I2303" s="3">
        <f t="shared" si="372"/>
        <v>561469.66811802739</v>
      </c>
      <c r="J2303" s="3">
        <f t="shared" si="375"/>
        <v>5878578.9389050426</v>
      </c>
      <c r="K2303" s="24">
        <v>615150</v>
      </c>
      <c r="L2303" s="24">
        <f t="shared" si="377"/>
        <v>615004.13827541564</v>
      </c>
    </row>
    <row r="2304" spans="2:12" x14ac:dyDescent="0.35">
      <c r="B2304" s="1">
        <v>15</v>
      </c>
      <c r="C2304" s="22">
        <v>45231</v>
      </c>
      <c r="D2304" s="22">
        <v>45260</v>
      </c>
      <c r="E2304" s="23">
        <f t="shared" si="371"/>
        <v>30</v>
      </c>
      <c r="F2304" s="3">
        <f t="shared" si="373"/>
        <v>5878578.9389050426</v>
      </c>
      <c r="G2304" s="3">
        <f t="shared" si="376"/>
        <v>615136.73984321964</v>
      </c>
      <c r="H2304" s="3">
        <f t="shared" si="374"/>
        <v>48988.157824208691</v>
      </c>
      <c r="I2304" s="3">
        <f t="shared" si="372"/>
        <v>566148.58201901091</v>
      </c>
      <c r="J2304" s="3">
        <f t="shared" si="375"/>
        <v>5312430.356886032</v>
      </c>
      <c r="K2304" s="24">
        <f>615150+615150</f>
        <v>1230300</v>
      </c>
      <c r="L2304" s="24">
        <f t="shared" si="377"/>
        <v>-159.12188136484474</v>
      </c>
    </row>
    <row r="2305" spans="2:19" x14ac:dyDescent="0.35">
      <c r="B2305" s="1">
        <v>16</v>
      </c>
      <c r="C2305" s="22">
        <v>45261</v>
      </c>
      <c r="D2305" s="22">
        <v>45291</v>
      </c>
      <c r="E2305" s="23">
        <f t="shared" si="371"/>
        <v>31</v>
      </c>
      <c r="F2305" s="3">
        <f t="shared" si="373"/>
        <v>5312430.356886032</v>
      </c>
      <c r="G2305" s="3">
        <f t="shared" si="376"/>
        <v>615136.73984321964</v>
      </c>
      <c r="H2305" s="3">
        <f t="shared" si="374"/>
        <v>44270.252974050265</v>
      </c>
      <c r="I2305" s="3">
        <f t="shared" si="372"/>
        <v>570866.4868691694</v>
      </c>
      <c r="J2305" s="3">
        <f t="shared" si="375"/>
        <v>4741563.8700168626</v>
      </c>
      <c r="K2305" s="305">
        <v>-615150</v>
      </c>
      <c r="L2305" s="24">
        <f t="shared" si="377"/>
        <v>1230127.6179618547</v>
      </c>
    </row>
    <row r="2306" spans="2:19" x14ac:dyDescent="0.35">
      <c r="B2306" s="1">
        <v>17</v>
      </c>
      <c r="C2306" s="22">
        <v>45292</v>
      </c>
      <c r="D2306" s="22">
        <v>45322</v>
      </c>
      <c r="E2306" s="23">
        <f t="shared" si="371"/>
        <v>31</v>
      </c>
      <c r="F2306" s="3">
        <f t="shared" si="373"/>
        <v>4741563.8700168626</v>
      </c>
      <c r="G2306" s="3">
        <f t="shared" si="376"/>
        <v>615136.73984321964</v>
      </c>
      <c r="H2306" s="3">
        <f t="shared" si="374"/>
        <v>39513.032250140524</v>
      </c>
      <c r="I2306" s="3">
        <f t="shared" si="372"/>
        <v>575623.70759307907</v>
      </c>
      <c r="J2306" s="3">
        <f t="shared" si="375"/>
        <v>4165940.1624237834</v>
      </c>
      <c r="K2306" s="24">
        <v>615150</v>
      </c>
      <c r="L2306" s="24">
        <f t="shared" si="377"/>
        <v>1230114.3578050742</v>
      </c>
    </row>
    <row r="2307" spans="2:19" x14ac:dyDescent="0.35">
      <c r="B2307" s="1">
        <v>18</v>
      </c>
      <c r="C2307" s="22">
        <v>45323</v>
      </c>
      <c r="D2307" s="22">
        <v>45351</v>
      </c>
      <c r="E2307" s="23">
        <f t="shared" si="371"/>
        <v>29</v>
      </c>
      <c r="F2307" s="3">
        <f t="shared" si="373"/>
        <v>4165940.1624237834</v>
      </c>
      <c r="G2307" s="3">
        <f t="shared" si="376"/>
        <v>615136.73984321964</v>
      </c>
      <c r="H2307" s="3">
        <f t="shared" si="374"/>
        <v>34716.168020198194</v>
      </c>
      <c r="I2307" s="3">
        <f t="shared" si="372"/>
        <v>580420.5718230214</v>
      </c>
      <c r="J2307" s="3">
        <f t="shared" si="375"/>
        <v>3585519.5906007621</v>
      </c>
      <c r="K2307" s="24">
        <v>1230274</v>
      </c>
      <c r="L2307" s="24">
        <f t="shared" si="377"/>
        <v>614977.09764829371</v>
      </c>
    </row>
    <row r="2308" spans="2:19" x14ac:dyDescent="0.35">
      <c r="B2308" s="1">
        <v>19</v>
      </c>
      <c r="C2308" s="22">
        <v>45352</v>
      </c>
      <c r="D2308" s="22">
        <v>45382</v>
      </c>
      <c r="E2308" s="23">
        <f t="shared" si="371"/>
        <v>31</v>
      </c>
      <c r="F2308" s="3">
        <f t="shared" si="373"/>
        <v>3585519.5906007621</v>
      </c>
      <c r="G2308" s="3">
        <f t="shared" si="376"/>
        <v>615136.73984321964</v>
      </c>
      <c r="H2308" s="3">
        <f t="shared" si="374"/>
        <v>29879.329921673016</v>
      </c>
      <c r="I2308" s="3">
        <f t="shared" si="372"/>
        <v>585257.40992154658</v>
      </c>
      <c r="J2308" s="3">
        <f t="shared" si="375"/>
        <v>3000262.1806792156</v>
      </c>
      <c r="K2308" s="24"/>
      <c r="L2308" s="24">
        <f t="shared" si="377"/>
        <v>1230113.8374915132</v>
      </c>
    </row>
    <row r="2309" spans="2:19" x14ac:dyDescent="0.35">
      <c r="B2309" s="1">
        <v>20</v>
      </c>
      <c r="C2309" s="22">
        <v>45383</v>
      </c>
      <c r="D2309" s="22">
        <v>45412</v>
      </c>
      <c r="E2309" s="23">
        <f t="shared" si="371"/>
        <v>30</v>
      </c>
      <c r="F2309" s="3">
        <f t="shared" si="373"/>
        <v>3000262.1806792156</v>
      </c>
      <c r="G2309" s="3">
        <f t="shared" si="376"/>
        <v>615136.73984321964</v>
      </c>
      <c r="H2309" s="3">
        <f t="shared" si="374"/>
        <v>25002.184838993464</v>
      </c>
      <c r="I2309" s="3">
        <f t="shared" si="372"/>
        <v>590134.55500422616</v>
      </c>
      <c r="J2309" s="3">
        <f t="shared" si="375"/>
        <v>2410127.6256749895</v>
      </c>
      <c r="K2309" s="24">
        <v>1230300</v>
      </c>
      <c r="L2309" s="24">
        <f t="shared" si="377"/>
        <v>614950.57733473275</v>
      </c>
    </row>
    <row r="2310" spans="2:19" x14ac:dyDescent="0.35">
      <c r="B2310" s="1">
        <v>21</v>
      </c>
      <c r="C2310" s="22">
        <v>45413</v>
      </c>
      <c r="D2310" s="22">
        <v>45443</v>
      </c>
      <c r="E2310" s="23">
        <f t="shared" si="371"/>
        <v>31</v>
      </c>
      <c r="F2310" s="3">
        <f t="shared" si="373"/>
        <v>2410127.6256749895</v>
      </c>
      <c r="G2310" s="3">
        <f t="shared" si="376"/>
        <v>615136.73984321964</v>
      </c>
      <c r="H2310" s="3">
        <f t="shared" si="374"/>
        <v>20084.396880624914</v>
      </c>
      <c r="I2310" s="3">
        <f t="shared" si="372"/>
        <v>595052.3429625947</v>
      </c>
      <c r="J2310" s="3">
        <f t="shared" si="375"/>
        <v>1815075.2827123948</v>
      </c>
      <c r="K2310" s="24"/>
      <c r="L2310" s="24">
        <f t="shared" si="377"/>
        <v>1230087.3171779523</v>
      </c>
    </row>
    <row r="2311" spans="2:19" x14ac:dyDescent="0.35">
      <c r="B2311" s="1">
        <v>22</v>
      </c>
      <c r="C2311" s="22">
        <v>45444</v>
      </c>
      <c r="D2311" s="22">
        <v>45473</v>
      </c>
      <c r="E2311" s="23">
        <f t="shared" si="371"/>
        <v>30</v>
      </c>
      <c r="F2311" s="3">
        <f t="shared" si="373"/>
        <v>1815075.2827123948</v>
      </c>
      <c r="G2311" s="3">
        <f t="shared" si="376"/>
        <v>615136.73984321964</v>
      </c>
      <c r="H2311" s="3">
        <f t="shared" si="374"/>
        <v>15125.627355936624</v>
      </c>
      <c r="I2311" s="3">
        <f t="shared" si="372"/>
        <v>600011.11248728307</v>
      </c>
      <c r="J2311" s="3">
        <f t="shared" si="375"/>
        <v>1215064.1702251118</v>
      </c>
      <c r="K2311" s="24">
        <f>615150*2</f>
        <v>1230300</v>
      </c>
      <c r="L2311" s="24">
        <f t="shared" si="377"/>
        <v>614924.05702117179</v>
      </c>
    </row>
    <row r="2312" spans="2:19" x14ac:dyDescent="0.35">
      <c r="B2312" s="1">
        <v>23</v>
      </c>
      <c r="C2312" s="22">
        <v>45474</v>
      </c>
      <c r="D2312" s="22">
        <v>45504</v>
      </c>
      <c r="E2312" s="23">
        <f t="shared" si="371"/>
        <v>31</v>
      </c>
      <c r="F2312" s="3">
        <f t="shared" si="373"/>
        <v>1215064.1702251118</v>
      </c>
      <c r="G2312" s="3">
        <f t="shared" si="376"/>
        <v>615136.73984321964</v>
      </c>
      <c r="H2312" s="3">
        <f t="shared" si="374"/>
        <v>10125.534751875932</v>
      </c>
      <c r="I2312" s="3">
        <f t="shared" si="372"/>
        <v>605011.20509134373</v>
      </c>
      <c r="J2312" s="3">
        <f t="shared" si="375"/>
        <v>610052.96513376804</v>
      </c>
      <c r="K2312" s="24">
        <v>612000</v>
      </c>
      <c r="L2312" s="24">
        <f t="shared" si="377"/>
        <v>618060.7968643913</v>
      </c>
    </row>
    <row r="2313" spans="2:19" x14ac:dyDescent="0.35">
      <c r="B2313" s="1">
        <v>24</v>
      </c>
      <c r="C2313" s="22">
        <v>45505</v>
      </c>
      <c r="D2313" s="22">
        <v>45535</v>
      </c>
      <c r="E2313" s="23">
        <f t="shared" si="371"/>
        <v>31</v>
      </c>
      <c r="F2313" s="3">
        <f t="shared" si="373"/>
        <v>610052.96513376804</v>
      </c>
      <c r="G2313" s="3">
        <f t="shared" si="376"/>
        <v>615136.73984321964</v>
      </c>
      <c r="H2313" s="3">
        <f t="shared" si="374"/>
        <v>5083.7747094480674</v>
      </c>
      <c r="I2313" s="3">
        <f t="shared" si="372"/>
        <v>610052.96513377153</v>
      </c>
      <c r="J2313" s="3">
        <f t="shared" si="375"/>
        <v>-3.4924596548080444E-9</v>
      </c>
      <c r="K2313" s="24">
        <f>615000+615000+3200</f>
        <v>1233200</v>
      </c>
      <c r="L2313" s="205">
        <f t="shared" si="377"/>
        <v>-2.4632923891767859</v>
      </c>
    </row>
    <row r="2314" spans="2:19" x14ac:dyDescent="0.35">
      <c r="B2314" s="1"/>
      <c r="C2314" s="22"/>
      <c r="D2314" s="22"/>
      <c r="E2314" s="23"/>
      <c r="F2314" s="3"/>
      <c r="G2314" s="3"/>
      <c r="H2314" s="3"/>
      <c r="I2314" s="3"/>
      <c r="J2314" s="3"/>
      <c r="K2314" s="24"/>
      <c r="L2314" s="24"/>
    </row>
    <row r="2315" spans="2:19" ht="14.25" customHeight="1" x14ac:dyDescent="0.35">
      <c r="B2315" s="1"/>
      <c r="C2315" s="1"/>
      <c r="D2315" s="1"/>
      <c r="E2315" s="28">
        <f>SUM(E2289:E2301)</f>
        <v>395</v>
      </c>
      <c r="F2315" s="3"/>
      <c r="G2315" s="3"/>
      <c r="H2315" s="3"/>
      <c r="I2315" s="3"/>
      <c r="J2315" s="3"/>
      <c r="K2315" s="1"/>
      <c r="L2315" s="1"/>
    </row>
    <row r="2318" spans="2:19" x14ac:dyDescent="0.35">
      <c r="B2318" s="1"/>
      <c r="C2318" s="8" t="s">
        <v>800</v>
      </c>
      <c r="D2318" s="3"/>
      <c r="E2318" s="3"/>
      <c r="F2318" s="3"/>
      <c r="G2318" s="231" t="s">
        <v>827</v>
      </c>
      <c r="H2318" s="3" t="s">
        <v>828</v>
      </c>
      <c r="I2318" s="231" t="s">
        <v>829</v>
      </c>
      <c r="J2318" s="231" t="s">
        <v>830</v>
      </c>
      <c r="K2318" s="231" t="s">
        <v>831</v>
      </c>
      <c r="L2318" s="231" t="s">
        <v>840</v>
      </c>
      <c r="R2318" s="438" t="s">
        <v>832</v>
      </c>
      <c r="S2318" s="432" t="str">
        <f>IFERROR(INDEX(Blocks!$I$2:$I$101,MATCH(42,Blocks!$A$2:$A$101,0)),"")</f>
        <v>000104420000043</v>
      </c>
    </row>
    <row r="2319" spans="2:19" x14ac:dyDescent="0.35">
      <c r="B2319" s="1"/>
      <c r="C2319" s="1"/>
      <c r="D2319" s="3"/>
      <c r="E2319" s="3"/>
      <c r="F2319" s="230">
        <v>44805</v>
      </c>
      <c r="G2319" s="231">
        <v>44866</v>
      </c>
      <c r="H2319" s="230">
        <v>44896</v>
      </c>
      <c r="I2319" s="231">
        <v>45047</v>
      </c>
      <c r="J2319" s="230">
        <v>45108</v>
      </c>
      <c r="K2319" s="230">
        <v>45139</v>
      </c>
      <c r="L2319" s="230">
        <v>45170</v>
      </c>
      <c r="R2319" s="438" t="s">
        <v>834</v>
      </c>
      <c r="S2319" s="432" t="str">
        <f>IFERROR(INDEX(Blocks!$H$2:$H$101,MATCH(42,Blocks!$A$2:$A$101,0)),"")</f>
        <v>The Food Empire Limited</v>
      </c>
    </row>
    <row r="2320" spans="2:19" x14ac:dyDescent="0.35">
      <c r="B2320" s="1"/>
      <c r="C2320" s="9" t="s">
        <v>835</v>
      </c>
      <c r="D2320" s="10">
        <v>154724500</v>
      </c>
      <c r="E2320" s="3"/>
      <c r="F2320" s="231" t="s">
        <v>909</v>
      </c>
      <c r="G2320" s="231" t="s">
        <v>836</v>
      </c>
      <c r="H2320" s="231" t="s">
        <v>836</v>
      </c>
      <c r="I2320" s="231" t="s">
        <v>836</v>
      </c>
      <c r="J2320" s="231" t="s">
        <v>836</v>
      </c>
      <c r="K2320" s="231" t="s">
        <v>836</v>
      </c>
      <c r="L2320" s="231" t="s">
        <v>836</v>
      </c>
      <c r="R2320" s="438" t="s">
        <v>223</v>
      </c>
      <c r="S2320" s="433">
        <f>IFERROR(INDEX('E-Banker master'!$N$2:$N$186,MATCH(S2318,'E-Banker master'!$A$2:$A$186,0)),"")</f>
        <v>154724500</v>
      </c>
    </row>
    <row r="2321" spans="2:19" x14ac:dyDescent="0.35">
      <c r="B2321" s="1"/>
      <c r="C2321" s="11" t="s">
        <v>837</v>
      </c>
      <c r="D2321" s="12">
        <v>0.219</v>
      </c>
      <c r="E2321" s="13"/>
      <c r="F2321" s="13">
        <f>D2321+0.4%</f>
        <v>0.223</v>
      </c>
      <c r="G2321" s="3">
        <f>F2321+2.7%</f>
        <v>0.25</v>
      </c>
      <c r="H2321" s="13">
        <f>G2321+0.7%</f>
        <v>0.25700000000000001</v>
      </c>
      <c r="I2321" s="3">
        <f>H2321+2.7%</f>
        <v>0.28400000000000003</v>
      </c>
      <c r="J2321" s="13">
        <f>I2321+1.4%</f>
        <v>0.29800000000000004</v>
      </c>
      <c r="K2321" s="13">
        <f>J2321+1.3%</f>
        <v>0.31100000000000005</v>
      </c>
      <c r="L2321" s="257">
        <f>K2321+0.7%</f>
        <v>0.31800000000000006</v>
      </c>
      <c r="R2321" s="438" t="s">
        <v>52</v>
      </c>
      <c r="S2321" s="433">
        <f>IFERROR(INDEX('E-Banker master'!$P$2:$P$186,MATCH(S2318,'E-Banker master'!$A$2:$A$186,0)),"")</f>
        <v>101427841.37</v>
      </c>
    </row>
    <row r="2322" spans="2:19" x14ac:dyDescent="0.35">
      <c r="B2322" s="1"/>
      <c r="C2322" s="11" t="s">
        <v>838</v>
      </c>
      <c r="D2322" s="14">
        <v>4</v>
      </c>
      <c r="E2322" s="1"/>
      <c r="F2322" s="3"/>
      <c r="G2322" s="3"/>
      <c r="H2322" s="3"/>
      <c r="I2322" s="3"/>
      <c r="J2322" s="3"/>
      <c r="K2322" s="1"/>
      <c r="L2322" s="1"/>
    </row>
    <row r="2323" spans="2:19" x14ac:dyDescent="0.35">
      <c r="B2323" s="1"/>
      <c r="C2323" s="11" t="s">
        <v>839</v>
      </c>
      <c r="D2323" s="14">
        <v>12</v>
      </c>
      <c r="E2323" s="1"/>
      <c r="F2323" s="231" t="s">
        <v>841</v>
      </c>
      <c r="G2323" s="231" t="s">
        <v>842</v>
      </c>
      <c r="H2323" s="231" t="s">
        <v>855</v>
      </c>
      <c r="I2323" s="354" t="s">
        <v>856</v>
      </c>
      <c r="J2323" s="354" t="s">
        <v>910</v>
      </c>
      <c r="K2323" s="354" t="s">
        <v>910</v>
      </c>
      <c r="L2323" s="354" t="s">
        <v>911</v>
      </c>
    </row>
    <row r="2324" spans="2:19" x14ac:dyDescent="0.35">
      <c r="B2324" s="1"/>
      <c r="C2324" s="11" t="s">
        <v>843</v>
      </c>
      <c r="D2324" s="15">
        <f>D2322*D2323</f>
        <v>48</v>
      </c>
      <c r="E2324" s="1"/>
      <c r="F2324" s="230">
        <v>45200</v>
      </c>
      <c r="G2324" s="231">
        <v>45261</v>
      </c>
      <c r="H2324" s="230">
        <v>44958</v>
      </c>
      <c r="I2324" s="355">
        <v>45413</v>
      </c>
      <c r="J2324" s="355">
        <v>45444</v>
      </c>
      <c r="K2324" s="355">
        <v>45444</v>
      </c>
      <c r="L2324" s="355">
        <v>45444</v>
      </c>
    </row>
    <row r="2325" spans="2:19" x14ac:dyDescent="0.35">
      <c r="B2325" s="1"/>
      <c r="C2325" s="11" t="s">
        <v>844</v>
      </c>
      <c r="D2325" s="16">
        <v>365</v>
      </c>
      <c r="E2325" s="1"/>
      <c r="F2325" s="231" t="s">
        <v>836</v>
      </c>
      <c r="G2325" s="231" t="s">
        <v>836</v>
      </c>
      <c r="H2325" s="231" t="s">
        <v>836</v>
      </c>
      <c r="I2325" s="354" t="s">
        <v>836</v>
      </c>
      <c r="J2325" s="354" t="s">
        <v>836</v>
      </c>
      <c r="K2325" s="354" t="s">
        <v>836</v>
      </c>
      <c r="L2325" s="354" t="s">
        <v>836</v>
      </c>
    </row>
    <row r="2326" spans="2:19" x14ac:dyDescent="0.35">
      <c r="B2326" s="1"/>
      <c r="C2326" s="17" t="s">
        <v>845</v>
      </c>
      <c r="D2326" s="220">
        <f>-PMT(D2321/D2323,D2324,D2320,0,0)</f>
        <v>4866366.1027270071</v>
      </c>
      <c r="E2326" s="3"/>
      <c r="F2326" s="257">
        <f>L2321+0.1%</f>
        <v>0.31900000000000006</v>
      </c>
      <c r="G2326" s="3">
        <f>F2326+0.1%</f>
        <v>0.32000000000000006</v>
      </c>
      <c r="H2326" s="13">
        <f>G2326+1.3%</f>
        <v>0.33300000000000007</v>
      </c>
      <c r="I2326" s="350">
        <f>+H2326+0.1%</f>
        <v>0.33400000000000007</v>
      </c>
      <c r="J2326" s="350">
        <f>+I2326+0.1%</f>
        <v>0.33500000000000008</v>
      </c>
      <c r="K2326" s="350">
        <f>+J2326+0.1%</f>
        <v>0.33600000000000008</v>
      </c>
      <c r="L2326" s="350">
        <f>+K2326+0.3%</f>
        <v>0.33900000000000008</v>
      </c>
    </row>
    <row r="2327" spans="2:19" x14ac:dyDescent="0.35">
      <c r="B2327" s="1"/>
      <c r="C2327" s="1"/>
      <c r="D2327" s="3"/>
      <c r="E2327" s="3"/>
      <c r="F2327" s="3"/>
      <c r="G2327" s="3"/>
      <c r="H2327" s="3"/>
      <c r="I2327" s="3"/>
      <c r="J2327" s="3"/>
      <c r="K2327" s="1"/>
      <c r="L2327" s="1"/>
    </row>
    <row r="2328" spans="2:19" x14ac:dyDescent="0.35">
      <c r="B2328" s="1"/>
      <c r="C2328" s="19" t="s">
        <v>846</v>
      </c>
      <c r="D2328" s="20" t="s">
        <v>847</v>
      </c>
      <c r="E2328" s="20" t="s">
        <v>764</v>
      </c>
      <c r="F2328" s="270" t="s">
        <v>848</v>
      </c>
      <c r="G2328" s="270" t="s">
        <v>849</v>
      </c>
      <c r="H2328" s="270" t="s">
        <v>742</v>
      </c>
      <c r="I2328" s="270" t="s">
        <v>740</v>
      </c>
      <c r="J2328" s="270" t="s">
        <v>850</v>
      </c>
      <c r="K2328" s="21" t="s">
        <v>851</v>
      </c>
      <c r="L2328" s="21" t="s">
        <v>852</v>
      </c>
    </row>
    <row r="2329" spans="2:19" x14ac:dyDescent="0.35">
      <c r="B2329" s="1">
        <v>0</v>
      </c>
      <c r="C2329" s="22">
        <v>44785</v>
      </c>
      <c r="D2329" s="22">
        <v>44804</v>
      </c>
      <c r="E2329" s="23">
        <f t="shared" ref="E2329:E2360" si="378">D2329-C2329+1</f>
        <v>20</v>
      </c>
      <c r="F2329" s="3">
        <f>D2320</f>
        <v>154724500</v>
      </c>
      <c r="G2329" s="3">
        <f t="shared" ref="G2329:G2335" si="379">H2329</f>
        <v>1821756.2096774194</v>
      </c>
      <c r="H2329" s="271">
        <f>$D$2321/$D$2323*F2329*E2329/31</f>
        <v>1821756.2096774194</v>
      </c>
      <c r="I2329" s="3">
        <f t="shared" ref="I2329:I2360" si="380">G2329-H2329</f>
        <v>0</v>
      </c>
      <c r="J2329" s="3">
        <f t="shared" ref="J2329:J2360" si="381">F2329-I2329</f>
        <v>154724500</v>
      </c>
      <c r="K2329" s="24"/>
      <c r="L2329" s="24">
        <v>1821756.21</v>
      </c>
    </row>
    <row r="2330" spans="2:19" x14ac:dyDescent="0.35">
      <c r="B2330" s="1">
        <v>1</v>
      </c>
      <c r="C2330" s="22">
        <v>44805</v>
      </c>
      <c r="D2330" s="22">
        <v>44834</v>
      </c>
      <c r="E2330" s="23">
        <f t="shared" si="378"/>
        <v>30</v>
      </c>
      <c r="F2330" s="3">
        <f t="shared" ref="F2330:F2377" si="382">J2329</f>
        <v>154724500</v>
      </c>
      <c r="G2330" s="3">
        <f t="shared" si="379"/>
        <v>2875296.9583333335</v>
      </c>
      <c r="H2330" s="271">
        <f>$F$2321/$D$2323*F2330</f>
        <v>2875296.9583333335</v>
      </c>
      <c r="I2330" s="3">
        <f t="shared" si="380"/>
        <v>0</v>
      </c>
      <c r="J2330" s="3">
        <f t="shared" si="381"/>
        <v>154724500</v>
      </c>
      <c r="K2330" s="271">
        <v>1821756.21</v>
      </c>
      <c r="L2330" s="24">
        <f t="shared" ref="L2330:L2335" si="383">L2329+H2330-K2330</f>
        <v>2875296.958333333</v>
      </c>
    </row>
    <row r="2331" spans="2:19" x14ac:dyDescent="0.35">
      <c r="B2331" s="1">
        <v>2</v>
      </c>
      <c r="C2331" s="22">
        <v>44835</v>
      </c>
      <c r="D2331" s="22">
        <v>44865</v>
      </c>
      <c r="E2331" s="23">
        <f t="shared" si="378"/>
        <v>31</v>
      </c>
      <c r="F2331" s="3">
        <f t="shared" si="382"/>
        <v>154724500</v>
      </c>
      <c r="G2331" s="3">
        <f t="shared" si="379"/>
        <v>2875296.9583333335</v>
      </c>
      <c r="H2331" s="271">
        <f>$F$2321/$D$2323*F2331</f>
        <v>2875296.9583333335</v>
      </c>
      <c r="I2331" s="3">
        <f t="shared" si="380"/>
        <v>0</v>
      </c>
      <c r="J2331" s="3">
        <f t="shared" si="381"/>
        <v>154724500</v>
      </c>
      <c r="K2331" s="3">
        <f>2823722.13+2823722.13</f>
        <v>5647444.2599999998</v>
      </c>
      <c r="L2331" s="24">
        <f t="shared" si="383"/>
        <v>103149.65666666627</v>
      </c>
    </row>
    <row r="2332" spans="2:19" x14ac:dyDescent="0.35">
      <c r="B2332" s="1">
        <v>3</v>
      </c>
      <c r="C2332" s="22">
        <v>44866</v>
      </c>
      <c r="D2332" s="22">
        <v>44895</v>
      </c>
      <c r="E2332" s="23">
        <f t="shared" si="378"/>
        <v>30</v>
      </c>
      <c r="F2332" s="3">
        <f t="shared" si="382"/>
        <v>154724500</v>
      </c>
      <c r="G2332" s="3">
        <f t="shared" si="379"/>
        <v>3223427.083333333</v>
      </c>
      <c r="H2332" s="271">
        <f>$G$2321/$D$2323*F2332</f>
        <v>3223427.083333333</v>
      </c>
      <c r="I2332" s="3">
        <f t="shared" si="380"/>
        <v>0</v>
      </c>
      <c r="J2332" s="3">
        <f t="shared" si="381"/>
        <v>154724500</v>
      </c>
      <c r="K2332" s="3">
        <f>103149.66+2875296.96</f>
        <v>2978446.62</v>
      </c>
      <c r="L2332" s="24">
        <f t="shared" si="383"/>
        <v>348130.11999999918</v>
      </c>
    </row>
    <row r="2333" spans="2:19" x14ac:dyDescent="0.35">
      <c r="B2333" s="1">
        <v>4</v>
      </c>
      <c r="C2333" s="22">
        <v>44896</v>
      </c>
      <c r="D2333" s="22">
        <v>44926</v>
      </c>
      <c r="E2333" s="23">
        <f t="shared" si="378"/>
        <v>31</v>
      </c>
      <c r="F2333" s="3">
        <f t="shared" si="382"/>
        <v>154724500</v>
      </c>
      <c r="G2333" s="3">
        <f t="shared" si="379"/>
        <v>3313683.041666667</v>
      </c>
      <c r="H2333" s="271">
        <f>$H$2321/$D$2323*F2333</f>
        <v>3313683.041666667</v>
      </c>
      <c r="I2333" s="3">
        <f t="shared" si="380"/>
        <v>0</v>
      </c>
      <c r="J2333" s="3">
        <f t="shared" si="381"/>
        <v>154724500</v>
      </c>
      <c r="K2333" s="3">
        <v>3223427.08</v>
      </c>
      <c r="L2333" s="24">
        <f t="shared" si="383"/>
        <v>438386.08166666608</v>
      </c>
    </row>
    <row r="2334" spans="2:19" x14ac:dyDescent="0.35">
      <c r="B2334" s="1">
        <v>5</v>
      </c>
      <c r="C2334" s="22">
        <v>44927</v>
      </c>
      <c r="D2334" s="22">
        <v>44957</v>
      </c>
      <c r="E2334" s="23">
        <f t="shared" si="378"/>
        <v>31</v>
      </c>
      <c r="F2334" s="3">
        <f t="shared" si="382"/>
        <v>154724500</v>
      </c>
      <c r="G2334" s="3">
        <f t="shared" si="379"/>
        <v>3313683.041666667</v>
      </c>
      <c r="H2334" s="271">
        <f>$H$2321/$D$2323*F2334</f>
        <v>3313683.041666667</v>
      </c>
      <c r="I2334" s="3">
        <f t="shared" si="380"/>
        <v>0</v>
      </c>
      <c r="J2334" s="3">
        <f t="shared" si="381"/>
        <v>154724500</v>
      </c>
      <c r="K2334" s="3">
        <f>3313683.04+438386.08</f>
        <v>3752069.1200000001</v>
      </c>
      <c r="L2334" s="24">
        <f t="shared" si="383"/>
        <v>3.3333329483866692E-3</v>
      </c>
    </row>
    <row r="2335" spans="2:19" x14ac:dyDescent="0.35">
      <c r="B2335" s="1">
        <v>6</v>
      </c>
      <c r="C2335" s="22">
        <v>44958</v>
      </c>
      <c r="D2335" s="22">
        <v>44985</v>
      </c>
      <c r="E2335" s="23">
        <f t="shared" si="378"/>
        <v>28</v>
      </c>
      <c r="F2335" s="3">
        <f t="shared" si="382"/>
        <v>154724500</v>
      </c>
      <c r="G2335" s="3">
        <f t="shared" si="379"/>
        <v>3313683.041666667</v>
      </c>
      <c r="H2335" s="271">
        <f>$H$2321/$D$2323*F2335</f>
        <v>3313683.041666667</v>
      </c>
      <c r="I2335" s="3">
        <f t="shared" si="380"/>
        <v>0</v>
      </c>
      <c r="J2335" s="3">
        <f t="shared" si="381"/>
        <v>154724500</v>
      </c>
      <c r="K2335" s="3">
        <v>3313683.04</v>
      </c>
      <c r="L2335" s="24">
        <f t="shared" si="383"/>
        <v>4.999999888241291E-3</v>
      </c>
    </row>
    <row r="2336" spans="2:19" x14ac:dyDescent="0.35">
      <c r="B2336" s="1">
        <v>7</v>
      </c>
      <c r="C2336" s="22">
        <v>44986</v>
      </c>
      <c r="D2336" s="22">
        <v>45016</v>
      </c>
      <c r="E2336" s="23">
        <f t="shared" si="378"/>
        <v>31</v>
      </c>
      <c r="F2336" s="3">
        <f t="shared" si="382"/>
        <v>154724500</v>
      </c>
      <c r="G2336" s="3">
        <f>-PMT($H$2321/$D$2323,42,$F$2336,,0)</f>
        <v>5622648.6472167345</v>
      </c>
      <c r="H2336" s="3">
        <f>$H$2321/$D$2323*F2336</f>
        <v>3313683.041666667</v>
      </c>
      <c r="I2336" s="3">
        <f t="shared" si="380"/>
        <v>2308965.6055500675</v>
      </c>
      <c r="J2336" s="3">
        <f t="shared" si="381"/>
        <v>152415534.39444992</v>
      </c>
      <c r="K2336" s="3">
        <v>5622648.6500000004</v>
      </c>
      <c r="L2336" s="24">
        <f t="shared" ref="L2336:L2355" si="384">L2335+G2336-K2336</f>
        <v>2.216733992099762E-3</v>
      </c>
    </row>
    <row r="2337" spans="2:12" x14ac:dyDescent="0.35">
      <c r="B2337" s="1">
        <v>8</v>
      </c>
      <c r="C2337" s="22">
        <v>45017</v>
      </c>
      <c r="D2337" s="22">
        <v>45046</v>
      </c>
      <c r="E2337" s="23">
        <f t="shared" si="378"/>
        <v>30</v>
      </c>
      <c r="F2337" s="3">
        <f t="shared" si="382"/>
        <v>152415534.39444992</v>
      </c>
      <c r="G2337" s="3">
        <f>-PMT($H$2321/$D$2323,42,$F$2336,,0)</f>
        <v>5622648.6472167345</v>
      </c>
      <c r="H2337" s="3">
        <f>$H$2321/$D$2323*F2337</f>
        <v>3264232.6949478025</v>
      </c>
      <c r="I2337" s="3">
        <f t="shared" si="380"/>
        <v>2358415.952268932</v>
      </c>
      <c r="J2337" s="3">
        <f t="shared" si="381"/>
        <v>150057118.44218099</v>
      </c>
      <c r="K2337" s="3"/>
      <c r="L2337" s="24">
        <f t="shared" si="384"/>
        <v>5622648.6494334685</v>
      </c>
    </row>
    <row r="2338" spans="2:12" x14ac:dyDescent="0.35">
      <c r="B2338" s="1">
        <v>9</v>
      </c>
      <c r="C2338" s="22">
        <v>45047</v>
      </c>
      <c r="D2338" s="22">
        <v>45077</v>
      </c>
      <c r="E2338" s="23">
        <f t="shared" si="378"/>
        <v>31</v>
      </c>
      <c r="F2338" s="3">
        <f t="shared" si="382"/>
        <v>150057118.44218099</v>
      </c>
      <c r="G2338" s="3">
        <f>-PMT($I$2321/$D$2323,40,$F$2338,,0)</f>
        <v>5844263.413080601</v>
      </c>
      <c r="H2338" s="3">
        <f>$I$2321/$D$2323*F2338</f>
        <v>3551351.8031316171</v>
      </c>
      <c r="I2338" s="3">
        <f t="shared" si="380"/>
        <v>2292911.6099489839</v>
      </c>
      <c r="J2338" s="3">
        <f t="shared" si="381"/>
        <v>147764206.832232</v>
      </c>
      <c r="K2338" s="3">
        <v>5563642.3899999997</v>
      </c>
      <c r="L2338" s="24">
        <f t="shared" si="384"/>
        <v>5903269.6725140708</v>
      </c>
    </row>
    <row r="2339" spans="2:12" x14ac:dyDescent="0.35">
      <c r="B2339" s="1">
        <v>10</v>
      </c>
      <c r="C2339" s="22">
        <v>45078</v>
      </c>
      <c r="D2339" s="22">
        <v>45107</v>
      </c>
      <c r="E2339" s="23">
        <f t="shared" si="378"/>
        <v>30</v>
      </c>
      <c r="F2339" s="3">
        <f t="shared" si="382"/>
        <v>147764206.832232</v>
      </c>
      <c r="G2339" s="3">
        <f>-PMT($I$2321/$D$2323,40,$F$2338,,0)</f>
        <v>5844263.413080601</v>
      </c>
      <c r="H2339" s="3">
        <f>$I$2321/$D$2323*F2339</f>
        <v>3497086.2283628243</v>
      </c>
      <c r="I2339" s="3">
        <f t="shared" si="380"/>
        <v>2347177.1847177767</v>
      </c>
      <c r="J2339" s="3">
        <f t="shared" si="381"/>
        <v>145417029.64751422</v>
      </c>
      <c r="K2339" s="3">
        <f>5844263.41+5844263.41</f>
        <v>11688526.82</v>
      </c>
      <c r="L2339" s="26">
        <f t="shared" si="384"/>
        <v>59006.265594672412</v>
      </c>
    </row>
    <row r="2340" spans="2:12" x14ac:dyDescent="0.35">
      <c r="B2340" s="1">
        <v>11</v>
      </c>
      <c r="C2340" s="22">
        <v>45108</v>
      </c>
      <c r="D2340" s="22">
        <v>45138</v>
      </c>
      <c r="E2340" s="23">
        <f t="shared" si="378"/>
        <v>31</v>
      </c>
      <c r="F2340" s="3">
        <f t="shared" si="382"/>
        <v>145417029.64751422</v>
      </c>
      <c r="G2340" s="3">
        <f>-PMT($J$2321/$D$2323,38,$F$2340,,0)</f>
        <v>5956211.3317898475</v>
      </c>
      <c r="H2340" s="3">
        <f>$J$2321/$D$2323*F2340</f>
        <v>3611189.569579937</v>
      </c>
      <c r="I2340" s="3">
        <f t="shared" si="380"/>
        <v>2345021.7622099104</v>
      </c>
      <c r="J2340" s="3">
        <f t="shared" si="381"/>
        <v>143072007.8853043</v>
      </c>
      <c r="K2340" s="3">
        <v>5956211.3300000001</v>
      </c>
      <c r="L2340" s="24">
        <f t="shared" si="384"/>
        <v>59006.267384519801</v>
      </c>
    </row>
    <row r="2341" spans="2:12" x14ac:dyDescent="0.35">
      <c r="B2341" s="1">
        <v>12</v>
      </c>
      <c r="C2341" s="22">
        <v>45139</v>
      </c>
      <c r="D2341" s="22">
        <v>45169</v>
      </c>
      <c r="E2341" s="23">
        <f t="shared" si="378"/>
        <v>31</v>
      </c>
      <c r="F2341" s="3">
        <f t="shared" si="382"/>
        <v>143072007.8853043</v>
      </c>
      <c r="G2341" s="3">
        <f>-PMT($K$2321/$D$2323,37,$F$2341,,0)</f>
        <v>6058927.880290282</v>
      </c>
      <c r="H2341" s="3">
        <f>$K$2321/$D$2323*F2341</f>
        <v>3707949.5376941371</v>
      </c>
      <c r="I2341" s="3">
        <f t="shared" si="380"/>
        <v>2350978.3425961449</v>
      </c>
      <c r="J2341" s="3">
        <f t="shared" si="381"/>
        <v>140721029.54270816</v>
      </c>
      <c r="K2341" s="3">
        <v>5956211.3300000001</v>
      </c>
      <c r="L2341" s="24">
        <f t="shared" si="384"/>
        <v>161722.81767480168</v>
      </c>
    </row>
    <row r="2342" spans="2:12" x14ac:dyDescent="0.35">
      <c r="B2342" s="1">
        <v>13</v>
      </c>
      <c r="C2342" s="22">
        <v>45170</v>
      </c>
      <c r="D2342" s="22">
        <v>45199</v>
      </c>
      <c r="E2342" s="23">
        <f t="shared" si="378"/>
        <v>30</v>
      </c>
      <c r="F2342" s="3">
        <f t="shared" si="382"/>
        <v>140721029.54270816</v>
      </c>
      <c r="G2342" s="3">
        <f>-PMT($L$2321/$D$2323,36,$F$2342,,0)</f>
        <v>6113408.1629191888</v>
      </c>
      <c r="H2342" s="3">
        <f>$L$2321/$D$2323*F2342</f>
        <v>3729107.282881767</v>
      </c>
      <c r="I2342" s="3">
        <f t="shared" si="380"/>
        <v>2384300.8800374218</v>
      </c>
      <c r="J2342" s="3">
        <f t="shared" si="381"/>
        <v>138336728.66267073</v>
      </c>
      <c r="K2342" s="3">
        <v>5956211.3300000001</v>
      </c>
      <c r="L2342" s="24">
        <f t="shared" si="384"/>
        <v>318919.65059399046</v>
      </c>
    </row>
    <row r="2343" spans="2:12" x14ac:dyDescent="0.35">
      <c r="B2343" s="1">
        <v>14</v>
      </c>
      <c r="C2343" s="22">
        <v>45200</v>
      </c>
      <c r="D2343" s="22">
        <v>45230</v>
      </c>
      <c r="E2343" s="23">
        <f t="shared" si="378"/>
        <v>31</v>
      </c>
      <c r="F2343" s="3">
        <f t="shared" si="382"/>
        <v>138336728.66267073</v>
      </c>
      <c r="G2343" s="3">
        <f>-PMT($F$2326/$D$2323,35,$F$2343,,0)</f>
        <v>6121038.1344000027</v>
      </c>
      <c r="H2343" s="3">
        <f>$F$2326/$D$2323*F2343</f>
        <v>3677451.370282664</v>
      </c>
      <c r="I2343" s="3">
        <f t="shared" si="380"/>
        <v>2443586.7641173387</v>
      </c>
      <c r="J2343" s="3">
        <f t="shared" si="381"/>
        <v>135893141.8985534</v>
      </c>
      <c r="K2343" s="3">
        <v>5956211.3300000001</v>
      </c>
      <c r="L2343" s="24">
        <f t="shared" si="384"/>
        <v>483746.45499399304</v>
      </c>
    </row>
    <row r="2344" spans="2:12" x14ac:dyDescent="0.35">
      <c r="B2344" s="1">
        <v>15</v>
      </c>
      <c r="C2344" s="22">
        <v>45231</v>
      </c>
      <c r="D2344" s="22">
        <v>45260</v>
      </c>
      <c r="E2344" s="23">
        <f t="shared" si="378"/>
        <v>30</v>
      </c>
      <c r="F2344" s="3">
        <f t="shared" si="382"/>
        <v>135893141.8985534</v>
      </c>
      <c r="G2344" s="3">
        <f>-PMT($F$2326/$D$2323,35,$F$2343,,0)</f>
        <v>6121038.1344000027</v>
      </c>
      <c r="H2344" s="3">
        <f>$F$2326/$D$2323*F2344</f>
        <v>3612492.6888032118</v>
      </c>
      <c r="I2344" s="3">
        <f t="shared" si="380"/>
        <v>2508545.4455967909</v>
      </c>
      <c r="J2344" s="3">
        <f t="shared" si="381"/>
        <v>133384596.45295662</v>
      </c>
      <c r="K2344" s="3">
        <v>5956211.3300000001</v>
      </c>
      <c r="L2344" s="24">
        <f t="shared" si="384"/>
        <v>648573.25939399563</v>
      </c>
    </row>
    <row r="2345" spans="2:12" x14ac:dyDescent="0.35">
      <c r="B2345" s="1">
        <v>16</v>
      </c>
      <c r="C2345" s="22">
        <v>45261</v>
      </c>
      <c r="D2345" s="22">
        <v>45291</v>
      </c>
      <c r="E2345" s="23">
        <f t="shared" si="378"/>
        <v>31</v>
      </c>
      <c r="F2345" s="3">
        <f t="shared" si="382"/>
        <v>133384596.45295662</v>
      </c>
      <c r="G2345" s="3">
        <f>-PMT($G$2326/$D$2323,33,$F$2345,,0)</f>
        <v>6128319.9048330337</v>
      </c>
      <c r="H2345" s="3">
        <f>$G$2326/$D$2323*F2345</f>
        <v>3556922.5720788436</v>
      </c>
      <c r="I2345" s="3">
        <f t="shared" si="380"/>
        <v>2571397.3327541901</v>
      </c>
      <c r="J2345" s="3">
        <f t="shared" si="381"/>
        <v>130813199.12020242</v>
      </c>
      <c r="K2345" s="3"/>
      <c r="L2345" s="24">
        <f t="shared" si="384"/>
        <v>6776893.1642270293</v>
      </c>
    </row>
    <row r="2346" spans="2:12" x14ac:dyDescent="0.35">
      <c r="B2346" s="1">
        <v>17</v>
      </c>
      <c r="C2346" s="22">
        <v>45292</v>
      </c>
      <c r="D2346" s="22">
        <v>45322</v>
      </c>
      <c r="E2346" s="23">
        <f t="shared" si="378"/>
        <v>31</v>
      </c>
      <c r="F2346" s="3">
        <f t="shared" si="382"/>
        <v>130813199.12020242</v>
      </c>
      <c r="G2346" s="3">
        <f>-PMT($G$2326/$D$2323,33,$F$2345,,0)</f>
        <v>6128319.9048330337</v>
      </c>
      <c r="H2346" s="3">
        <f>$G$2326/$D$2323*F2346</f>
        <v>3488351.9765387317</v>
      </c>
      <c r="I2346" s="3">
        <f t="shared" si="380"/>
        <v>2639967.928294302</v>
      </c>
      <c r="J2346" s="3">
        <f t="shared" si="381"/>
        <v>128173231.19190812</v>
      </c>
      <c r="K2346" s="384">
        <f>6121038.13+6121038.13</f>
        <v>12242076.26</v>
      </c>
      <c r="L2346" s="24">
        <f t="shared" si="384"/>
        <v>663136.80906006321</v>
      </c>
    </row>
    <row r="2347" spans="2:12" x14ac:dyDescent="0.35">
      <c r="B2347" s="1">
        <v>18</v>
      </c>
      <c r="C2347" s="22">
        <v>45323</v>
      </c>
      <c r="D2347" s="22">
        <v>45351</v>
      </c>
      <c r="E2347" s="23">
        <f t="shared" si="378"/>
        <v>29</v>
      </c>
      <c r="F2347" s="3">
        <f t="shared" si="382"/>
        <v>128173231.19190812</v>
      </c>
      <c r="G2347" s="3">
        <f>-PMT($H$2326/$D$2323,31,$F$2347,,0)</f>
        <v>6218667.7450039638</v>
      </c>
      <c r="H2347" s="3">
        <f>$H$2326/$D$2323*F2347</f>
        <v>3556807.1655754512</v>
      </c>
      <c r="I2347" s="3">
        <f t="shared" si="380"/>
        <v>2661860.5794285126</v>
      </c>
      <c r="J2347" s="3">
        <f t="shared" si="381"/>
        <v>125511370.61247961</v>
      </c>
      <c r="K2347" s="3">
        <v>13706890</v>
      </c>
      <c r="L2347" s="24">
        <f t="shared" si="384"/>
        <v>-6825085.445935973</v>
      </c>
    </row>
    <row r="2348" spans="2:12" x14ac:dyDescent="0.35">
      <c r="B2348" s="1">
        <v>19</v>
      </c>
      <c r="C2348" s="22">
        <v>45352</v>
      </c>
      <c r="D2348" s="22">
        <v>45382</v>
      </c>
      <c r="E2348" s="23">
        <f t="shared" si="378"/>
        <v>31</v>
      </c>
      <c r="F2348" s="3">
        <f t="shared" si="382"/>
        <v>125511370.61247961</v>
      </c>
      <c r="G2348" s="3">
        <f>-PMT($H$2326/$D$2323,31,$F$2347,,0)</f>
        <v>6218667.7450039638</v>
      </c>
      <c r="H2348" s="3">
        <f>$H$2326/$D$2323*F2348</f>
        <v>3482940.5344963102</v>
      </c>
      <c r="I2348" s="3">
        <f t="shared" si="380"/>
        <v>2735727.2105076537</v>
      </c>
      <c r="J2348" s="3">
        <f t="shared" si="381"/>
        <v>122775643.40197197</v>
      </c>
      <c r="K2348" s="3">
        <v>6218667.75</v>
      </c>
      <c r="L2348" s="24">
        <f t="shared" si="384"/>
        <v>-6825085.4509320091</v>
      </c>
    </row>
    <row r="2349" spans="2:12" x14ac:dyDescent="0.35">
      <c r="B2349" s="1">
        <v>20</v>
      </c>
      <c r="C2349" s="22">
        <v>45383</v>
      </c>
      <c r="D2349" s="22">
        <v>45412</v>
      </c>
      <c r="E2349" s="23">
        <f t="shared" si="378"/>
        <v>30</v>
      </c>
      <c r="F2349" s="3">
        <f t="shared" si="382"/>
        <v>122775643.40197197</v>
      </c>
      <c r="G2349" s="3">
        <f>-PMT($H$2326/$D$2323,31,$F$2347,,0)</f>
        <v>6218667.7450039638</v>
      </c>
      <c r="H2349" s="3">
        <f>$H$2326/$D$2323*F2349</f>
        <v>3407024.1044047228</v>
      </c>
      <c r="I2349" s="3">
        <f t="shared" si="380"/>
        <v>2811643.640599241</v>
      </c>
      <c r="J2349" s="3">
        <f t="shared" si="381"/>
        <v>119963999.76137273</v>
      </c>
      <c r="K2349" s="3"/>
      <c r="L2349" s="24">
        <f t="shared" si="384"/>
        <v>-606417.70592804532</v>
      </c>
    </row>
    <row r="2350" spans="2:12" x14ac:dyDescent="0.35">
      <c r="B2350" s="1">
        <v>21</v>
      </c>
      <c r="C2350" s="22">
        <v>45413</v>
      </c>
      <c r="D2350" s="22">
        <v>45443</v>
      </c>
      <c r="E2350" s="23">
        <f t="shared" si="378"/>
        <v>31</v>
      </c>
      <c r="F2350" s="3">
        <f t="shared" si="382"/>
        <v>119963999.76137273</v>
      </c>
      <c r="G2350" s="3">
        <f>-PMT($I$2326/$D$2323,28,$F$2350,,0)</f>
        <v>6225088.9777964447</v>
      </c>
      <c r="H2350" s="3">
        <f>$I$2326/$D$2323*F2350</f>
        <v>3338997.9933582083</v>
      </c>
      <c r="I2350" s="3">
        <f t="shared" si="380"/>
        <v>2886090.9844382363</v>
      </c>
      <c r="J2350" s="3">
        <f t="shared" si="381"/>
        <v>117077908.77693449</v>
      </c>
      <c r="K2350" s="3">
        <v>6225088.8899999997</v>
      </c>
      <c r="L2350" s="24">
        <f t="shared" si="384"/>
        <v>-606417.61813160032</v>
      </c>
    </row>
    <row r="2351" spans="2:12" x14ac:dyDescent="0.35">
      <c r="B2351" s="1">
        <v>22</v>
      </c>
      <c r="C2351" s="22">
        <v>45444</v>
      </c>
      <c r="D2351" s="22">
        <v>45473</v>
      </c>
      <c r="E2351" s="23">
        <f t="shared" si="378"/>
        <v>30</v>
      </c>
      <c r="F2351" s="3">
        <f t="shared" si="382"/>
        <v>117077908.77693449</v>
      </c>
      <c r="G2351" s="3">
        <f>-PMT($J$2326/$D$2323,27,$F$2351,,0)</f>
        <v>6231323.5954620102</v>
      </c>
      <c r="H2351" s="3">
        <f>$J$2326/$D$2323*F2351</f>
        <v>3268424.9533560886</v>
      </c>
      <c r="I2351" s="3">
        <f t="shared" si="380"/>
        <v>2962898.6421059216</v>
      </c>
      <c r="J2351" s="3">
        <f t="shared" si="381"/>
        <v>114115010.13482857</v>
      </c>
      <c r="K2351" s="3"/>
      <c r="L2351" s="24">
        <f t="shared" si="384"/>
        <v>5624905.9773304099</v>
      </c>
    </row>
    <row r="2352" spans="2:12" x14ac:dyDescent="0.35">
      <c r="B2352" s="1">
        <v>23</v>
      </c>
      <c r="C2352" s="22">
        <v>45474</v>
      </c>
      <c r="D2352" s="22">
        <v>45504</v>
      </c>
      <c r="E2352" s="23">
        <f t="shared" si="378"/>
        <v>31</v>
      </c>
      <c r="F2352" s="3">
        <f t="shared" si="382"/>
        <v>114115010.13482857</v>
      </c>
      <c r="G2352" s="3">
        <f t="shared" ref="G2352:G2377" si="385">-PMT($K$2326/$D$2323,26,$F$2352,,0)</f>
        <v>6237369.2120408565</v>
      </c>
      <c r="H2352" s="3">
        <f t="shared" ref="H2352:H2377" si="386">$K$2326/$D$2323*F2352</f>
        <v>3195220.2837752006</v>
      </c>
      <c r="I2352" s="3">
        <f t="shared" si="380"/>
        <v>3042148.9282656559</v>
      </c>
      <c r="J2352" s="3">
        <f t="shared" si="381"/>
        <v>111072861.20656291</v>
      </c>
      <c r="K2352" s="3">
        <f>6225088.89+6225088.89</f>
        <v>12450177.779999999</v>
      </c>
      <c r="L2352" s="24">
        <f t="shared" si="384"/>
        <v>-587902.59062873386</v>
      </c>
    </row>
    <row r="2353" spans="2:12" x14ac:dyDescent="0.35">
      <c r="B2353" s="1">
        <v>24</v>
      </c>
      <c r="C2353" s="22">
        <v>45505</v>
      </c>
      <c r="D2353" s="22">
        <v>45535</v>
      </c>
      <c r="E2353" s="23">
        <f t="shared" si="378"/>
        <v>31</v>
      </c>
      <c r="F2353" s="3">
        <f t="shared" si="382"/>
        <v>111072861.20656291</v>
      </c>
      <c r="G2353" s="3">
        <f t="shared" si="385"/>
        <v>6237369.2120408565</v>
      </c>
      <c r="H2353" s="3">
        <f t="shared" si="386"/>
        <v>3110040.1137837623</v>
      </c>
      <c r="I2353" s="3">
        <f t="shared" si="380"/>
        <v>3127329.0982570942</v>
      </c>
      <c r="J2353" s="3">
        <f t="shared" si="381"/>
        <v>107945532.10830581</v>
      </c>
      <c r="K2353" s="24">
        <v>6225088.8899999997</v>
      </c>
      <c r="L2353" s="24">
        <f t="shared" si="384"/>
        <v>-575622.26858787704</v>
      </c>
    </row>
    <row r="2354" spans="2:12" x14ac:dyDescent="0.35">
      <c r="B2354" s="1">
        <v>25</v>
      </c>
      <c r="C2354" s="22">
        <v>45536</v>
      </c>
      <c r="D2354" s="22">
        <v>45565</v>
      </c>
      <c r="E2354" s="23">
        <f t="shared" si="378"/>
        <v>30</v>
      </c>
      <c r="F2354" s="3">
        <f t="shared" si="382"/>
        <v>107945532.10830581</v>
      </c>
      <c r="G2354" s="3">
        <f t="shared" si="385"/>
        <v>6237369.2120408565</v>
      </c>
      <c r="H2354" s="3">
        <f t="shared" si="386"/>
        <v>3022474.8990325634</v>
      </c>
      <c r="I2354" s="3">
        <f t="shared" si="380"/>
        <v>3214894.313008293</v>
      </c>
      <c r="J2354" s="3">
        <f t="shared" si="381"/>
        <v>104730637.79529752</v>
      </c>
      <c r="K2354" s="24">
        <v>6225088.8899999997</v>
      </c>
      <c r="L2354" s="24">
        <f t="shared" si="384"/>
        <v>-563341.94654702023</v>
      </c>
    </row>
    <row r="2355" spans="2:12" x14ac:dyDescent="0.35">
      <c r="B2355" s="1">
        <v>26</v>
      </c>
      <c r="C2355" s="22">
        <v>45566</v>
      </c>
      <c r="D2355" s="22">
        <v>45596</v>
      </c>
      <c r="E2355" s="23">
        <f t="shared" si="378"/>
        <v>31</v>
      </c>
      <c r="F2355" s="3">
        <f t="shared" si="382"/>
        <v>104730637.79529752</v>
      </c>
      <c r="G2355" s="3">
        <f t="shared" si="385"/>
        <v>6237369.2120408565</v>
      </c>
      <c r="H2355" s="3">
        <f t="shared" si="386"/>
        <v>2932457.8582683313</v>
      </c>
      <c r="I2355" s="3">
        <f t="shared" si="380"/>
        <v>3304911.3537725252</v>
      </c>
      <c r="J2355" s="3">
        <f t="shared" si="381"/>
        <v>101425726.441525</v>
      </c>
      <c r="K2355" s="24">
        <v>6225088.8899999997</v>
      </c>
      <c r="L2355" s="205">
        <f t="shared" si="384"/>
        <v>-551061.62450616341</v>
      </c>
    </row>
    <row r="2356" spans="2:12" x14ac:dyDescent="0.35">
      <c r="B2356" s="1">
        <v>27</v>
      </c>
      <c r="C2356" s="22">
        <v>45597</v>
      </c>
      <c r="D2356" s="22">
        <v>45626</v>
      </c>
      <c r="E2356" s="23">
        <f t="shared" si="378"/>
        <v>30</v>
      </c>
      <c r="F2356" s="3">
        <f t="shared" si="382"/>
        <v>101425726.441525</v>
      </c>
      <c r="G2356" s="3">
        <f t="shared" si="385"/>
        <v>6237369.2120408565</v>
      </c>
      <c r="H2356" s="3">
        <f t="shared" si="386"/>
        <v>2839920.3403627006</v>
      </c>
      <c r="I2356" s="3">
        <f t="shared" si="380"/>
        <v>3397448.8716781558</v>
      </c>
      <c r="J2356" s="3">
        <f t="shared" si="381"/>
        <v>98028277.569846839</v>
      </c>
      <c r="K2356" s="24"/>
      <c r="L2356" s="24"/>
    </row>
    <row r="2357" spans="2:12" x14ac:dyDescent="0.35">
      <c r="B2357" s="1">
        <v>28</v>
      </c>
      <c r="C2357" s="22">
        <v>45627</v>
      </c>
      <c r="D2357" s="22">
        <v>45657</v>
      </c>
      <c r="E2357" s="23">
        <f t="shared" si="378"/>
        <v>31</v>
      </c>
      <c r="F2357" s="3">
        <f t="shared" si="382"/>
        <v>98028277.569846839</v>
      </c>
      <c r="G2357" s="3">
        <f t="shared" si="385"/>
        <v>6237369.2120408565</v>
      </c>
      <c r="H2357" s="3">
        <f t="shared" si="386"/>
        <v>2744791.7719557122</v>
      </c>
      <c r="I2357" s="3">
        <f t="shared" si="380"/>
        <v>3492577.4400851442</v>
      </c>
      <c r="J2357" s="3">
        <f t="shared" si="381"/>
        <v>94535700.129761696</v>
      </c>
      <c r="K2357" s="24"/>
      <c r="L2357" s="24"/>
    </row>
    <row r="2358" spans="2:12" x14ac:dyDescent="0.35">
      <c r="B2358" s="1">
        <v>29</v>
      </c>
      <c r="C2358" s="22">
        <v>45658</v>
      </c>
      <c r="D2358" s="22">
        <v>45688</v>
      </c>
      <c r="E2358" s="23">
        <f t="shared" si="378"/>
        <v>31</v>
      </c>
      <c r="F2358" s="3">
        <f t="shared" si="382"/>
        <v>94535700.129761696</v>
      </c>
      <c r="G2358" s="3">
        <f t="shared" si="385"/>
        <v>6237369.2120408565</v>
      </c>
      <c r="H2358" s="3">
        <f t="shared" si="386"/>
        <v>2646999.6036333283</v>
      </c>
      <c r="I2358" s="3">
        <f t="shared" si="380"/>
        <v>3590369.6084075281</v>
      </c>
      <c r="J2358" s="3">
        <f t="shared" si="381"/>
        <v>90945330.521354169</v>
      </c>
      <c r="K2358" s="24"/>
      <c r="L2358" s="24"/>
    </row>
    <row r="2359" spans="2:12" x14ac:dyDescent="0.35">
      <c r="B2359" s="1">
        <v>30</v>
      </c>
      <c r="C2359" s="22">
        <v>45689</v>
      </c>
      <c r="D2359" s="22">
        <v>45716</v>
      </c>
      <c r="E2359" s="23">
        <f t="shared" si="378"/>
        <v>28</v>
      </c>
      <c r="F2359" s="3">
        <f t="shared" si="382"/>
        <v>90945330.521354169</v>
      </c>
      <c r="G2359" s="3">
        <f t="shared" si="385"/>
        <v>6237369.2120408565</v>
      </c>
      <c r="H2359" s="3">
        <f t="shared" si="386"/>
        <v>2546469.2545979172</v>
      </c>
      <c r="I2359" s="3">
        <f t="shared" si="380"/>
        <v>3690899.9574429393</v>
      </c>
      <c r="J2359" s="3">
        <f t="shared" si="381"/>
        <v>87254430.563911229</v>
      </c>
      <c r="K2359" s="24"/>
      <c r="L2359" s="24"/>
    </row>
    <row r="2360" spans="2:12" x14ac:dyDescent="0.35">
      <c r="B2360" s="1">
        <v>31</v>
      </c>
      <c r="C2360" s="22">
        <v>45717</v>
      </c>
      <c r="D2360" s="22">
        <v>45747</v>
      </c>
      <c r="E2360" s="23">
        <f t="shared" si="378"/>
        <v>31</v>
      </c>
      <c r="F2360" s="3">
        <f t="shared" si="382"/>
        <v>87254430.563911229</v>
      </c>
      <c r="G2360" s="3">
        <f t="shared" si="385"/>
        <v>6237369.2120408565</v>
      </c>
      <c r="H2360" s="3">
        <f t="shared" si="386"/>
        <v>2443124.0557895149</v>
      </c>
      <c r="I2360" s="3">
        <f t="shared" si="380"/>
        <v>3794245.1562513416</v>
      </c>
      <c r="J2360" s="3">
        <f t="shared" si="381"/>
        <v>83460185.407659888</v>
      </c>
      <c r="K2360" s="24"/>
      <c r="L2360" s="24"/>
    </row>
    <row r="2361" spans="2:12" x14ac:dyDescent="0.35">
      <c r="B2361" s="1">
        <v>32</v>
      </c>
      <c r="C2361" s="22">
        <v>45748</v>
      </c>
      <c r="D2361" s="22">
        <v>45777</v>
      </c>
      <c r="E2361" s="23">
        <f t="shared" ref="E2361:E2377" si="387">D2361-C2361+1</f>
        <v>30</v>
      </c>
      <c r="F2361" s="3">
        <f t="shared" si="382"/>
        <v>83460185.407659888</v>
      </c>
      <c r="G2361" s="3">
        <f t="shared" si="385"/>
        <v>6237369.2120408565</v>
      </c>
      <c r="H2361" s="3">
        <f t="shared" si="386"/>
        <v>2336885.1914144773</v>
      </c>
      <c r="I2361" s="3">
        <f t="shared" ref="I2361:I2377" si="388">G2361-H2361</f>
        <v>3900484.0206263792</v>
      </c>
      <c r="J2361" s="3">
        <f t="shared" ref="J2361:J2377" si="389">F2361-I2361</f>
        <v>79559701.387033507</v>
      </c>
      <c r="K2361" s="24"/>
      <c r="L2361" s="24"/>
    </row>
    <row r="2362" spans="2:12" x14ac:dyDescent="0.35">
      <c r="B2362" s="1">
        <v>33</v>
      </c>
      <c r="C2362" s="22">
        <v>45778</v>
      </c>
      <c r="D2362" s="22">
        <v>45808</v>
      </c>
      <c r="E2362" s="23">
        <f t="shared" si="387"/>
        <v>31</v>
      </c>
      <c r="F2362" s="3">
        <f t="shared" si="382"/>
        <v>79559701.387033507</v>
      </c>
      <c r="G2362" s="3">
        <f t="shared" si="385"/>
        <v>6237369.2120408565</v>
      </c>
      <c r="H2362" s="3">
        <f t="shared" si="386"/>
        <v>2227671.6388369389</v>
      </c>
      <c r="I2362" s="3">
        <f t="shared" si="388"/>
        <v>4009697.5732039176</v>
      </c>
      <c r="J2362" s="3">
        <f t="shared" si="389"/>
        <v>75550003.813829586</v>
      </c>
      <c r="K2362" s="24"/>
      <c r="L2362" s="24"/>
    </row>
    <row r="2363" spans="2:12" x14ac:dyDescent="0.35">
      <c r="B2363" s="1">
        <v>34</v>
      </c>
      <c r="C2363" s="22">
        <v>45809</v>
      </c>
      <c r="D2363" s="22">
        <v>45838</v>
      </c>
      <c r="E2363" s="23">
        <f t="shared" si="387"/>
        <v>30</v>
      </c>
      <c r="F2363" s="3">
        <f t="shared" si="382"/>
        <v>75550003.813829586</v>
      </c>
      <c r="G2363" s="3">
        <f t="shared" si="385"/>
        <v>6237369.2120408565</v>
      </c>
      <c r="H2363" s="3">
        <f t="shared" si="386"/>
        <v>2115400.106787229</v>
      </c>
      <c r="I2363" s="3">
        <f t="shared" si="388"/>
        <v>4121969.1052536275</v>
      </c>
      <c r="J2363" s="3">
        <f t="shared" si="389"/>
        <v>71428034.708575964</v>
      </c>
      <c r="K2363" s="24"/>
      <c r="L2363" s="24"/>
    </row>
    <row r="2364" spans="2:12" x14ac:dyDescent="0.35">
      <c r="B2364" s="1">
        <v>35</v>
      </c>
      <c r="C2364" s="22">
        <v>45839</v>
      </c>
      <c r="D2364" s="22">
        <v>45869</v>
      </c>
      <c r="E2364" s="23">
        <f t="shared" si="387"/>
        <v>31</v>
      </c>
      <c r="F2364" s="3">
        <f t="shared" si="382"/>
        <v>71428034.708575964</v>
      </c>
      <c r="G2364" s="3">
        <f t="shared" si="385"/>
        <v>6237369.2120408565</v>
      </c>
      <c r="H2364" s="3">
        <f t="shared" si="386"/>
        <v>1999984.9718401276</v>
      </c>
      <c r="I2364" s="3">
        <f t="shared" si="388"/>
        <v>4237384.2402007291</v>
      </c>
      <c r="J2364" s="3">
        <f t="shared" si="389"/>
        <v>67190650.468375236</v>
      </c>
      <c r="K2364" s="24"/>
      <c r="L2364" s="24"/>
    </row>
    <row r="2365" spans="2:12" x14ac:dyDescent="0.35">
      <c r="B2365" s="1">
        <v>36</v>
      </c>
      <c r="C2365" s="22">
        <v>45870</v>
      </c>
      <c r="D2365" s="22">
        <v>45900</v>
      </c>
      <c r="E2365" s="23">
        <f t="shared" si="387"/>
        <v>31</v>
      </c>
      <c r="F2365" s="3">
        <f t="shared" si="382"/>
        <v>67190650.468375236</v>
      </c>
      <c r="G2365" s="3">
        <f t="shared" si="385"/>
        <v>6237369.2120408565</v>
      </c>
      <c r="H2365" s="3">
        <f t="shared" si="386"/>
        <v>1881338.213114507</v>
      </c>
      <c r="I2365" s="3">
        <f t="shared" si="388"/>
        <v>4356030.998926349</v>
      </c>
      <c r="J2365" s="3">
        <f t="shared" si="389"/>
        <v>62834619.469448887</v>
      </c>
      <c r="K2365" s="24"/>
      <c r="L2365" s="24"/>
    </row>
    <row r="2366" spans="2:12" x14ac:dyDescent="0.35">
      <c r="B2366" s="1">
        <v>37</v>
      </c>
      <c r="C2366" s="22">
        <v>45901</v>
      </c>
      <c r="D2366" s="22">
        <v>45930</v>
      </c>
      <c r="E2366" s="23">
        <f t="shared" si="387"/>
        <v>30</v>
      </c>
      <c r="F2366" s="3">
        <f t="shared" si="382"/>
        <v>62834619.469448887</v>
      </c>
      <c r="G2366" s="3">
        <f t="shared" si="385"/>
        <v>6237369.2120408565</v>
      </c>
      <c r="H2366" s="3">
        <f t="shared" si="386"/>
        <v>1759369.3451445694</v>
      </c>
      <c r="I2366" s="3">
        <f t="shared" si="388"/>
        <v>4477999.8668962866</v>
      </c>
      <c r="J2366" s="3">
        <f t="shared" si="389"/>
        <v>58356619.6025526</v>
      </c>
      <c r="K2366" s="24"/>
      <c r="L2366" s="24"/>
    </row>
    <row r="2367" spans="2:12" x14ac:dyDescent="0.35">
      <c r="B2367" s="1">
        <v>38</v>
      </c>
      <c r="C2367" s="22">
        <v>45931</v>
      </c>
      <c r="D2367" s="22">
        <v>45961</v>
      </c>
      <c r="E2367" s="23">
        <f t="shared" si="387"/>
        <v>31</v>
      </c>
      <c r="F2367" s="3">
        <f t="shared" si="382"/>
        <v>58356619.6025526</v>
      </c>
      <c r="G2367" s="3">
        <f t="shared" si="385"/>
        <v>6237369.2120408565</v>
      </c>
      <c r="H2367" s="3">
        <f t="shared" si="386"/>
        <v>1633985.3488714732</v>
      </c>
      <c r="I2367" s="3">
        <f t="shared" si="388"/>
        <v>4603383.8631693833</v>
      </c>
      <c r="J2367" s="3">
        <f t="shared" si="389"/>
        <v>53753235.739383221</v>
      </c>
      <c r="K2367" s="24"/>
      <c r="L2367" s="24"/>
    </row>
    <row r="2368" spans="2:12" x14ac:dyDescent="0.35">
      <c r="B2368" s="1">
        <v>39</v>
      </c>
      <c r="C2368" s="22">
        <v>45962</v>
      </c>
      <c r="D2368" s="22">
        <v>45991</v>
      </c>
      <c r="E2368" s="23">
        <f t="shared" si="387"/>
        <v>30</v>
      </c>
      <c r="F2368" s="3">
        <f t="shared" si="382"/>
        <v>53753235.739383221</v>
      </c>
      <c r="G2368" s="3">
        <f t="shared" si="385"/>
        <v>6237369.2120408565</v>
      </c>
      <c r="H2368" s="3">
        <f t="shared" si="386"/>
        <v>1505090.6007027305</v>
      </c>
      <c r="I2368" s="3">
        <f t="shared" si="388"/>
        <v>4732278.6113381255</v>
      </c>
      <c r="J2368" s="3">
        <f t="shared" si="389"/>
        <v>49020957.128045097</v>
      </c>
      <c r="K2368" s="24"/>
      <c r="L2368" s="24"/>
    </row>
    <row r="2369" spans="2:19" x14ac:dyDescent="0.35">
      <c r="B2369" s="1">
        <v>40</v>
      </c>
      <c r="C2369" s="22">
        <v>45992</v>
      </c>
      <c r="D2369" s="22">
        <v>46022</v>
      </c>
      <c r="E2369" s="23">
        <f t="shared" si="387"/>
        <v>31</v>
      </c>
      <c r="F2369" s="3">
        <f t="shared" si="382"/>
        <v>49020957.128045097</v>
      </c>
      <c r="G2369" s="3">
        <f t="shared" si="385"/>
        <v>6237369.2120408565</v>
      </c>
      <c r="H2369" s="3">
        <f t="shared" si="386"/>
        <v>1372586.799585263</v>
      </c>
      <c r="I2369" s="3">
        <f t="shared" si="388"/>
        <v>4864782.4124555932</v>
      </c>
      <c r="J2369" s="3">
        <f t="shared" si="389"/>
        <v>44156174.715589501</v>
      </c>
      <c r="K2369" s="24"/>
      <c r="L2369" s="24"/>
    </row>
    <row r="2370" spans="2:19" x14ac:dyDescent="0.35">
      <c r="B2370" s="1">
        <v>41</v>
      </c>
      <c r="C2370" s="22">
        <v>46023</v>
      </c>
      <c r="D2370" s="22">
        <v>46053</v>
      </c>
      <c r="E2370" s="23">
        <f t="shared" si="387"/>
        <v>31</v>
      </c>
      <c r="F2370" s="3">
        <f t="shared" si="382"/>
        <v>44156174.715589501</v>
      </c>
      <c r="G2370" s="3">
        <f t="shared" si="385"/>
        <v>6237369.2120408565</v>
      </c>
      <c r="H2370" s="3">
        <f t="shared" si="386"/>
        <v>1236372.8920365064</v>
      </c>
      <c r="I2370" s="3">
        <f t="shared" si="388"/>
        <v>5000996.3200043496</v>
      </c>
      <c r="J2370" s="3">
        <f t="shared" si="389"/>
        <v>39155178.39558515</v>
      </c>
      <c r="K2370" s="24"/>
      <c r="L2370" s="24"/>
    </row>
    <row r="2371" spans="2:19" x14ac:dyDescent="0.35">
      <c r="B2371" s="1">
        <v>42</v>
      </c>
      <c r="C2371" s="22">
        <v>46054</v>
      </c>
      <c r="D2371" s="22">
        <v>46081</v>
      </c>
      <c r="E2371" s="23">
        <f t="shared" si="387"/>
        <v>28</v>
      </c>
      <c r="F2371" s="3">
        <f t="shared" si="382"/>
        <v>39155178.39558515</v>
      </c>
      <c r="G2371" s="3">
        <f t="shared" si="385"/>
        <v>6237369.2120408565</v>
      </c>
      <c r="H2371" s="3">
        <f t="shared" si="386"/>
        <v>1096344.9950763844</v>
      </c>
      <c r="I2371" s="3">
        <f t="shared" si="388"/>
        <v>5141024.2169644721</v>
      </c>
      <c r="J2371" s="3">
        <f t="shared" si="389"/>
        <v>34014154.178620681</v>
      </c>
      <c r="K2371" s="24"/>
      <c r="L2371" s="24"/>
    </row>
    <row r="2372" spans="2:19" x14ac:dyDescent="0.35">
      <c r="B2372" s="1">
        <v>43</v>
      </c>
      <c r="C2372" s="22">
        <v>46082</v>
      </c>
      <c r="D2372" s="22">
        <v>46112</v>
      </c>
      <c r="E2372" s="23">
        <f t="shared" si="387"/>
        <v>31</v>
      </c>
      <c r="F2372" s="3">
        <f t="shared" si="382"/>
        <v>34014154.178620681</v>
      </c>
      <c r="G2372" s="3">
        <f t="shared" si="385"/>
        <v>6237369.2120408565</v>
      </c>
      <c r="H2372" s="3">
        <f t="shared" si="386"/>
        <v>952396.31700137933</v>
      </c>
      <c r="I2372" s="3">
        <f t="shared" si="388"/>
        <v>5284972.8950394774</v>
      </c>
      <c r="J2372" s="3">
        <f t="shared" si="389"/>
        <v>28729181.283581205</v>
      </c>
      <c r="K2372" s="24"/>
      <c r="L2372" s="24"/>
    </row>
    <row r="2373" spans="2:19" x14ac:dyDescent="0.35">
      <c r="B2373" s="1">
        <v>44</v>
      </c>
      <c r="C2373" s="22">
        <v>46113</v>
      </c>
      <c r="D2373" s="22">
        <v>46142</v>
      </c>
      <c r="E2373" s="23">
        <f t="shared" si="387"/>
        <v>30</v>
      </c>
      <c r="F2373" s="3">
        <f t="shared" si="382"/>
        <v>28729181.283581205</v>
      </c>
      <c r="G2373" s="3">
        <f t="shared" si="385"/>
        <v>6237369.2120408565</v>
      </c>
      <c r="H2373" s="3">
        <f t="shared" si="386"/>
        <v>804417.07594027393</v>
      </c>
      <c r="I2373" s="3">
        <f t="shared" si="388"/>
        <v>5432952.1361005828</v>
      </c>
      <c r="J2373" s="3">
        <f t="shared" si="389"/>
        <v>23296229.147480622</v>
      </c>
      <c r="K2373" s="24"/>
      <c r="L2373" s="24"/>
    </row>
    <row r="2374" spans="2:19" x14ac:dyDescent="0.35">
      <c r="B2374" s="1">
        <v>45</v>
      </c>
      <c r="C2374" s="22">
        <v>46143</v>
      </c>
      <c r="D2374" s="22">
        <v>46173</v>
      </c>
      <c r="E2374" s="23">
        <f t="shared" si="387"/>
        <v>31</v>
      </c>
      <c r="F2374" s="3">
        <f t="shared" si="382"/>
        <v>23296229.147480622</v>
      </c>
      <c r="G2374" s="3">
        <f t="shared" si="385"/>
        <v>6237369.2120408565</v>
      </c>
      <c r="H2374" s="3">
        <f t="shared" si="386"/>
        <v>652294.41612945753</v>
      </c>
      <c r="I2374" s="3">
        <f t="shared" si="388"/>
        <v>5585074.7959113987</v>
      </c>
      <c r="J2374" s="3">
        <f t="shared" si="389"/>
        <v>17711154.351569224</v>
      </c>
      <c r="K2374" s="24"/>
      <c r="L2374" s="24"/>
    </row>
    <row r="2375" spans="2:19" x14ac:dyDescent="0.35">
      <c r="B2375" s="1">
        <v>46</v>
      </c>
      <c r="C2375" s="22">
        <v>46174</v>
      </c>
      <c r="D2375" s="22">
        <v>46203</v>
      </c>
      <c r="E2375" s="23">
        <f t="shared" si="387"/>
        <v>30</v>
      </c>
      <c r="F2375" s="3">
        <f t="shared" si="382"/>
        <v>17711154.351569224</v>
      </c>
      <c r="G2375" s="3">
        <f t="shared" si="385"/>
        <v>6237369.2120408565</v>
      </c>
      <c r="H2375" s="3">
        <f t="shared" si="386"/>
        <v>495912.32184393844</v>
      </c>
      <c r="I2375" s="3">
        <f t="shared" si="388"/>
        <v>5741456.8901969176</v>
      </c>
      <c r="J2375" s="3">
        <f t="shared" si="389"/>
        <v>11969697.461372307</v>
      </c>
      <c r="K2375" s="24"/>
      <c r="L2375" s="24"/>
    </row>
    <row r="2376" spans="2:19" x14ac:dyDescent="0.35">
      <c r="B2376" s="1">
        <v>47</v>
      </c>
      <c r="C2376" s="22">
        <v>46204</v>
      </c>
      <c r="D2376" s="22">
        <v>46234</v>
      </c>
      <c r="E2376" s="23">
        <f t="shared" si="387"/>
        <v>31</v>
      </c>
      <c r="F2376" s="3">
        <f t="shared" si="382"/>
        <v>11969697.461372307</v>
      </c>
      <c r="G2376" s="3">
        <f t="shared" si="385"/>
        <v>6237369.2120408565</v>
      </c>
      <c r="H2376" s="3">
        <f t="shared" si="386"/>
        <v>335151.52891842468</v>
      </c>
      <c r="I2376" s="3">
        <f t="shared" si="388"/>
        <v>5902217.6831224319</v>
      </c>
      <c r="J2376" s="3">
        <f t="shared" si="389"/>
        <v>6067479.7782498747</v>
      </c>
      <c r="K2376" s="24"/>
      <c r="L2376" s="24"/>
    </row>
    <row r="2377" spans="2:19" x14ac:dyDescent="0.35">
      <c r="B2377" s="1">
        <v>48</v>
      </c>
      <c r="C2377" s="22">
        <v>46235</v>
      </c>
      <c r="D2377" s="22">
        <v>46265</v>
      </c>
      <c r="E2377" s="23">
        <f t="shared" si="387"/>
        <v>31</v>
      </c>
      <c r="F2377" s="3">
        <f t="shared" si="382"/>
        <v>6067479.7782498747</v>
      </c>
      <c r="G2377" s="3">
        <f t="shared" si="385"/>
        <v>6237369.2120408565</v>
      </c>
      <c r="H2377" s="3">
        <f t="shared" si="386"/>
        <v>169889.43379099653</v>
      </c>
      <c r="I2377" s="3">
        <f t="shared" si="388"/>
        <v>6067479.7782498598</v>
      </c>
      <c r="J2377" s="3">
        <f t="shared" si="389"/>
        <v>1.4901161193847656E-8</v>
      </c>
      <c r="K2377" s="24"/>
      <c r="L2377" s="24"/>
    </row>
    <row r="2378" spans="2:19" x14ac:dyDescent="0.35">
      <c r="B2378" s="1"/>
      <c r="C2378" s="22"/>
      <c r="D2378" s="22"/>
      <c r="E2378" s="23"/>
      <c r="F2378" s="3"/>
      <c r="G2378" s="3"/>
      <c r="H2378" s="3"/>
      <c r="I2378" s="3"/>
      <c r="J2378" s="3"/>
      <c r="K2378" s="24"/>
      <c r="L2378" s="24"/>
    </row>
    <row r="2379" spans="2:19" ht="14.25" customHeight="1" x14ac:dyDescent="0.35">
      <c r="B2379" s="1"/>
      <c r="C2379" s="1"/>
      <c r="D2379" s="1"/>
      <c r="E2379" s="28">
        <f>SUM(E2329:E2341)</f>
        <v>385</v>
      </c>
      <c r="F2379" s="3"/>
      <c r="G2379" s="3"/>
      <c r="H2379" s="3"/>
      <c r="I2379" s="3"/>
      <c r="J2379" s="3"/>
      <c r="K2379" s="1"/>
      <c r="L2379" s="1"/>
    </row>
    <row r="2384" spans="2:19" x14ac:dyDescent="0.35">
      <c r="B2384" s="1"/>
      <c r="C2384" s="8" t="s">
        <v>793</v>
      </c>
      <c r="D2384" s="3"/>
      <c r="E2384" s="3"/>
      <c r="F2384" s="3"/>
      <c r="G2384" s="231" t="s">
        <v>827</v>
      </c>
      <c r="H2384" s="3" t="s">
        <v>828</v>
      </c>
      <c r="I2384" s="231" t="s">
        <v>829</v>
      </c>
      <c r="J2384" s="231" t="s">
        <v>830</v>
      </c>
      <c r="K2384" s="231" t="s">
        <v>831</v>
      </c>
      <c r="L2384" s="231" t="s">
        <v>840</v>
      </c>
      <c r="R2384" s="438" t="s">
        <v>832</v>
      </c>
      <c r="S2384" s="432" t="str">
        <f>IFERROR(INDEX(Blocks!$I$2:$I$101,MATCH(43,Blocks!$A$2:$A$101,0)),"")</f>
        <v>000104420000044</v>
      </c>
    </row>
    <row r="2385" spans="2:19" x14ac:dyDescent="0.35">
      <c r="B2385" s="1"/>
      <c r="C2385" s="1"/>
      <c r="D2385" s="3"/>
      <c r="E2385" s="3"/>
      <c r="F2385" s="294">
        <v>44805</v>
      </c>
      <c r="G2385" s="231">
        <v>44866</v>
      </c>
      <c r="H2385" s="294">
        <v>44896</v>
      </c>
      <c r="I2385" s="231">
        <v>45047</v>
      </c>
      <c r="J2385" s="294">
        <v>45108</v>
      </c>
      <c r="K2385" s="230">
        <v>45139</v>
      </c>
      <c r="L2385" s="230">
        <v>45170</v>
      </c>
      <c r="R2385" s="438" t="s">
        <v>834</v>
      </c>
      <c r="S2385" s="432" t="str">
        <f>IFERROR(INDEX(Blocks!$H$2:$H$101,MATCH(43,Blocks!$A$2:$A$101,0)),"")</f>
        <v>Global Seeds Ltd</v>
      </c>
    </row>
    <row r="2386" spans="2:19" x14ac:dyDescent="0.35">
      <c r="B2386" s="1"/>
      <c r="C2386" s="9" t="s">
        <v>835</v>
      </c>
      <c r="D2386" s="10">
        <v>103225546</v>
      </c>
      <c r="E2386" s="3"/>
      <c r="F2386" s="231" t="s">
        <v>909</v>
      </c>
      <c r="G2386" s="231" t="s">
        <v>836</v>
      </c>
      <c r="H2386" s="231" t="s">
        <v>836</v>
      </c>
      <c r="I2386" s="231" t="s">
        <v>836</v>
      </c>
      <c r="J2386" s="231" t="s">
        <v>836</v>
      </c>
      <c r="K2386" s="231" t="s">
        <v>836</v>
      </c>
      <c r="L2386" s="231" t="s">
        <v>836</v>
      </c>
      <c r="R2386" s="438" t="s">
        <v>223</v>
      </c>
      <c r="S2386" s="433">
        <f>IFERROR(INDEX('E-Banker master'!$N$2:$N$186,MATCH(S2384,'E-Banker master'!$A$2:$A$186,0)),"")</f>
        <v>0</v>
      </c>
    </row>
    <row r="2387" spans="2:19" x14ac:dyDescent="0.35">
      <c r="B2387" s="1"/>
      <c r="C2387" s="11" t="s">
        <v>837</v>
      </c>
      <c r="D2387" s="12">
        <v>0.219</v>
      </c>
      <c r="E2387" s="13"/>
      <c r="F2387" s="295">
        <f>D2387+0.4%</f>
        <v>0.223</v>
      </c>
      <c r="G2387" s="3">
        <f>F2387+2.7%</f>
        <v>0.25</v>
      </c>
      <c r="H2387" s="295">
        <f>G2387+0.7%</f>
        <v>0.25700000000000001</v>
      </c>
      <c r="I2387" s="3">
        <f>H2387+2.7%</f>
        <v>0.28400000000000003</v>
      </c>
      <c r="J2387" s="295">
        <f>I2387+1.4%</f>
        <v>0.29800000000000004</v>
      </c>
      <c r="K2387" s="13">
        <f>J2387+1.3%</f>
        <v>0.31100000000000005</v>
      </c>
      <c r="L2387" s="257">
        <f>K2387+0.7%</f>
        <v>0.31800000000000006</v>
      </c>
      <c r="R2387" s="438" t="s">
        <v>52</v>
      </c>
      <c r="S2387" s="433">
        <f>IFERROR(INDEX('E-Banker master'!$P$2:$P$186,MATCH(S2384,'E-Banker master'!$A$2:$A$186,0)),"")</f>
        <v>0</v>
      </c>
    </row>
    <row r="2388" spans="2:19" x14ac:dyDescent="0.35">
      <c r="B2388" s="1"/>
      <c r="C2388" s="11" t="s">
        <v>838</v>
      </c>
      <c r="D2388" s="14">
        <v>3</v>
      </c>
      <c r="E2388" s="1"/>
      <c r="F2388" s="3"/>
      <c r="G2388" s="3"/>
      <c r="H2388" s="3"/>
      <c r="I2388" s="3"/>
      <c r="J2388" s="3"/>
      <c r="K2388" s="1"/>
      <c r="L2388" s="1"/>
    </row>
    <row r="2389" spans="2:19" x14ac:dyDescent="0.35">
      <c r="B2389" s="1"/>
      <c r="C2389" s="11" t="s">
        <v>839</v>
      </c>
      <c r="D2389" s="14">
        <v>12</v>
      </c>
      <c r="E2389" s="1"/>
      <c r="F2389" s="231" t="s">
        <v>841</v>
      </c>
      <c r="G2389" s="231" t="s">
        <v>842</v>
      </c>
      <c r="H2389" s="231" t="s">
        <v>855</v>
      </c>
      <c r="I2389" s="354" t="s">
        <v>856</v>
      </c>
      <c r="J2389" s="3"/>
      <c r="K2389" s="1"/>
      <c r="L2389" s="1"/>
    </row>
    <row r="2390" spans="2:19" x14ac:dyDescent="0.35">
      <c r="B2390" s="1"/>
      <c r="C2390" s="11" t="s">
        <v>843</v>
      </c>
      <c r="D2390" s="15">
        <f>D2388*D2389</f>
        <v>36</v>
      </c>
      <c r="E2390" s="1"/>
      <c r="F2390" s="230">
        <v>45200</v>
      </c>
      <c r="G2390" s="231">
        <v>45261</v>
      </c>
      <c r="H2390" s="230">
        <v>44958</v>
      </c>
      <c r="I2390" s="355">
        <v>45413</v>
      </c>
      <c r="J2390" s="3"/>
      <c r="K2390" s="1"/>
      <c r="L2390" s="1"/>
    </row>
    <row r="2391" spans="2:19" x14ac:dyDescent="0.35">
      <c r="B2391" s="1"/>
      <c r="C2391" s="11" t="s">
        <v>844</v>
      </c>
      <c r="D2391" s="16">
        <v>365</v>
      </c>
      <c r="E2391" s="1"/>
      <c r="F2391" s="231" t="s">
        <v>836</v>
      </c>
      <c r="G2391" s="231" t="s">
        <v>836</v>
      </c>
      <c r="H2391" s="231" t="s">
        <v>836</v>
      </c>
      <c r="I2391" s="354" t="s">
        <v>836</v>
      </c>
      <c r="J2391" s="3"/>
      <c r="K2391" s="1"/>
      <c r="L2391" s="1"/>
    </row>
    <row r="2392" spans="2:19" x14ac:dyDescent="0.35">
      <c r="B2392" s="1"/>
      <c r="C2392" s="17" t="s">
        <v>845</v>
      </c>
      <c r="D2392" s="24">
        <f>-PMT(D2387/D2389,D2390,D2386,0,0)</f>
        <v>3936892.2144787284</v>
      </c>
      <c r="E2392" s="3"/>
      <c r="F2392" s="257">
        <f>L2387+0.1%</f>
        <v>0.31900000000000006</v>
      </c>
      <c r="G2392" s="3">
        <f>F2392+0.1%</f>
        <v>0.32000000000000006</v>
      </c>
      <c r="H2392" s="13">
        <f>G2392+1.3%</f>
        <v>0.33300000000000007</v>
      </c>
      <c r="I2392" s="350">
        <f>+H2392+0.1%</f>
        <v>0.33400000000000007</v>
      </c>
      <c r="J2392" s="3"/>
      <c r="K2392" s="1"/>
      <c r="L2392" s="1"/>
    </row>
    <row r="2393" spans="2:19" x14ac:dyDescent="0.35">
      <c r="B2393" s="1"/>
      <c r="C2393" s="1"/>
      <c r="D2393" s="3"/>
      <c r="E2393" s="3"/>
      <c r="F2393" s="3"/>
      <c r="G2393" s="3"/>
      <c r="H2393" s="3"/>
      <c r="I2393" s="3"/>
      <c r="J2393" s="3"/>
      <c r="K2393" s="1"/>
      <c r="L2393" s="1"/>
    </row>
    <row r="2394" spans="2:19" x14ac:dyDescent="0.35">
      <c r="B2394" s="1"/>
      <c r="C2394" s="19" t="s">
        <v>846</v>
      </c>
      <c r="D2394" s="20" t="s">
        <v>847</v>
      </c>
      <c r="E2394" s="20" t="s">
        <v>764</v>
      </c>
      <c r="F2394" s="270" t="s">
        <v>848</v>
      </c>
      <c r="G2394" s="270" t="s">
        <v>849</v>
      </c>
      <c r="H2394" s="270" t="s">
        <v>742</v>
      </c>
      <c r="I2394" s="270" t="s">
        <v>740</v>
      </c>
      <c r="J2394" s="270" t="s">
        <v>850</v>
      </c>
      <c r="K2394" s="21" t="s">
        <v>851</v>
      </c>
      <c r="L2394" s="21" t="s">
        <v>852</v>
      </c>
    </row>
    <row r="2395" spans="2:19" x14ac:dyDescent="0.35">
      <c r="B2395" s="1">
        <v>0</v>
      </c>
      <c r="C2395" s="22">
        <v>44803</v>
      </c>
      <c r="D2395" s="22">
        <v>44804</v>
      </c>
      <c r="E2395" s="23">
        <f t="shared" ref="E2395:E2431" si="390">D2395-C2395+1</f>
        <v>2</v>
      </c>
      <c r="F2395" s="3">
        <f>D2386</f>
        <v>103225546</v>
      </c>
      <c r="G2395" s="3">
        <f>H2395</f>
        <v>121539.75577419353</v>
      </c>
      <c r="H2395" s="290">
        <f>$D$2387/$D$2389*F2395*E2395/31</f>
        <v>121539.75577419353</v>
      </c>
      <c r="I2395" s="3">
        <f t="shared" ref="I2395:I2431" si="391">G2395-H2395</f>
        <v>0</v>
      </c>
      <c r="J2395" s="3">
        <f t="shared" ref="J2395:J2431" si="392">F2395-I2395</f>
        <v>103225546</v>
      </c>
      <c r="K2395" s="24"/>
      <c r="L2395" s="24"/>
    </row>
    <row r="2396" spans="2:19" x14ac:dyDescent="0.35">
      <c r="B2396" s="1">
        <v>1</v>
      </c>
      <c r="C2396" s="22">
        <v>44805</v>
      </c>
      <c r="D2396" s="22">
        <v>44834</v>
      </c>
      <c r="E2396" s="23">
        <f t="shared" si="390"/>
        <v>30</v>
      </c>
      <c r="F2396" s="3">
        <f t="shared" ref="F2396:F2431" si="393">J2395</f>
        <v>103225546</v>
      </c>
      <c r="G2396" s="3">
        <f>-PMT($F$2387/$D$2389,36,$F$2396,,0)</f>
        <v>3958268.9205346736</v>
      </c>
      <c r="H2396" s="290">
        <f>$F$2387/$D$2389*F2396</f>
        <v>1918274.7298333333</v>
      </c>
      <c r="I2396" s="3">
        <f t="shared" si="391"/>
        <v>2039994.1907013403</v>
      </c>
      <c r="J2396" s="3">
        <f t="shared" si="392"/>
        <v>101185551.80929866</v>
      </c>
      <c r="K2396" s="24"/>
      <c r="L2396" s="24"/>
    </row>
    <row r="2397" spans="2:19" x14ac:dyDescent="0.35">
      <c r="B2397" s="1">
        <v>2</v>
      </c>
      <c r="C2397" s="22">
        <v>44835</v>
      </c>
      <c r="D2397" s="22">
        <v>44865</v>
      </c>
      <c r="E2397" s="23">
        <f t="shared" si="390"/>
        <v>31</v>
      </c>
      <c r="F2397" s="3">
        <f t="shared" si="393"/>
        <v>101185551.80929866</v>
      </c>
      <c r="G2397" s="3">
        <f>-PMT($F$2387/$D$2389,36,$F$2396,,0)</f>
        <v>3958268.9205346736</v>
      </c>
      <c r="H2397" s="290">
        <f>$F$2387/$D$2389*F2397</f>
        <v>1880364.8377894668</v>
      </c>
      <c r="I2397" s="3">
        <f t="shared" si="391"/>
        <v>2077904.0827452068</v>
      </c>
      <c r="J2397" s="3">
        <f t="shared" si="392"/>
        <v>99107647.726553455</v>
      </c>
    </row>
    <row r="2398" spans="2:19" x14ac:dyDescent="0.35">
      <c r="B2398" s="1">
        <v>3</v>
      </c>
      <c r="C2398" s="22">
        <v>44866</v>
      </c>
      <c r="D2398" s="22">
        <v>44895</v>
      </c>
      <c r="E2398" s="23">
        <f t="shared" si="390"/>
        <v>30</v>
      </c>
      <c r="F2398" s="3">
        <f t="shared" si="393"/>
        <v>99107647.726553455</v>
      </c>
      <c r="G2398" s="3">
        <f>-PMT($G$2387/$D$2389,34,$F$2398,,0)</f>
        <v>4097209.9855717835</v>
      </c>
      <c r="H2398" s="290">
        <f>$G$2387/$D$2389*F2398</f>
        <v>2064742.6609698636</v>
      </c>
      <c r="I2398" s="3">
        <f t="shared" si="391"/>
        <v>2032467.3246019199</v>
      </c>
      <c r="J2398" s="3">
        <f t="shared" si="392"/>
        <v>97075180.401951537</v>
      </c>
      <c r="K2398" s="24"/>
      <c r="L2398" s="24"/>
    </row>
    <row r="2399" spans="2:19" x14ac:dyDescent="0.35">
      <c r="B2399" s="1">
        <v>4</v>
      </c>
      <c r="C2399" s="22">
        <v>44896</v>
      </c>
      <c r="D2399" s="22">
        <v>44926</v>
      </c>
      <c r="E2399" s="23">
        <f t="shared" si="390"/>
        <v>31</v>
      </c>
      <c r="F2399" s="3">
        <f t="shared" si="393"/>
        <v>97075180.401951537</v>
      </c>
      <c r="G2399" s="3">
        <f>-PMT($H$2387/$D$2389,33,$F$2399,,0)</f>
        <v>4132751.8759629126</v>
      </c>
      <c r="H2399" s="290">
        <f>$H$2387/$D$2389*F2399</f>
        <v>2079026.7802751288</v>
      </c>
      <c r="I2399" s="3">
        <f t="shared" si="391"/>
        <v>2053725.0956877838</v>
      </c>
      <c r="J2399" s="3">
        <f t="shared" si="392"/>
        <v>95021455.30626376</v>
      </c>
      <c r="K2399" s="24"/>
      <c r="L2399" s="24"/>
    </row>
    <row r="2400" spans="2:19" x14ac:dyDescent="0.35">
      <c r="B2400" s="1">
        <v>5</v>
      </c>
      <c r="C2400" s="22">
        <v>44927</v>
      </c>
      <c r="D2400" s="22">
        <v>44957</v>
      </c>
      <c r="E2400" s="23">
        <f t="shared" si="390"/>
        <v>31</v>
      </c>
      <c r="F2400" s="3">
        <f t="shared" si="393"/>
        <v>95021455.30626376</v>
      </c>
      <c r="G2400" s="3">
        <f>-PMT($H$2387/$D$2389,33,$F$2399,,0)</f>
        <v>4132751.8759629126</v>
      </c>
      <c r="H2400" s="290">
        <f>$H$2387/$D$2389*F2400</f>
        <v>2035042.8344758155</v>
      </c>
      <c r="I2400" s="3">
        <f t="shared" si="391"/>
        <v>2097709.0414870968</v>
      </c>
      <c r="J2400" s="3">
        <f t="shared" si="392"/>
        <v>92923746.264776662</v>
      </c>
      <c r="K2400" s="24"/>
      <c r="L2400" s="24"/>
    </row>
    <row r="2401" spans="2:13" x14ac:dyDescent="0.35">
      <c r="B2401" s="1">
        <v>6</v>
      </c>
      <c r="C2401" s="22">
        <v>44958</v>
      </c>
      <c r="D2401" s="22">
        <v>44985</v>
      </c>
      <c r="E2401" s="23">
        <f t="shared" si="390"/>
        <v>28</v>
      </c>
      <c r="F2401" s="3">
        <f t="shared" si="393"/>
        <v>92923746.264776662</v>
      </c>
      <c r="G2401" s="3">
        <f>-PMT($H$2387/$D$2389,33,$F$2399,,0)</f>
        <v>4132751.8759629126</v>
      </c>
      <c r="H2401" s="290">
        <f>$H$2387/$D$2389*F2401</f>
        <v>1990116.8991706336</v>
      </c>
      <c r="I2401" s="3">
        <f t="shared" si="391"/>
        <v>2142634.9767922787</v>
      </c>
      <c r="J2401" s="3">
        <f t="shared" si="392"/>
        <v>90781111.287984386</v>
      </c>
      <c r="K2401" s="24"/>
      <c r="L2401" s="26"/>
    </row>
    <row r="2402" spans="2:13" x14ac:dyDescent="0.35">
      <c r="B2402" s="1">
        <v>7</v>
      </c>
      <c r="C2402" s="22">
        <v>44986</v>
      </c>
      <c r="D2402" s="22">
        <v>45016</v>
      </c>
      <c r="E2402" s="23">
        <f t="shared" si="390"/>
        <v>31</v>
      </c>
      <c r="F2402" s="3">
        <f t="shared" si="393"/>
        <v>90781111.287984386</v>
      </c>
      <c r="G2402" s="3">
        <f>-PMT($H$2387/$D$2389,33,$F$2399,,0)</f>
        <v>4132751.8759629126</v>
      </c>
      <c r="H2402" s="290">
        <f>$H$2387/$D$2389*F2402</f>
        <v>1944228.8000843322</v>
      </c>
      <c r="I2402" s="3">
        <f t="shared" si="391"/>
        <v>2188523.0758785801</v>
      </c>
      <c r="J2402" s="3">
        <f t="shared" si="392"/>
        <v>88592588.212105811</v>
      </c>
      <c r="K2402" s="24"/>
      <c r="L2402" s="24"/>
    </row>
    <row r="2403" spans="2:13" x14ac:dyDescent="0.35">
      <c r="B2403" s="1">
        <v>8</v>
      </c>
      <c r="C2403" s="22">
        <v>45017</v>
      </c>
      <c r="D2403" s="22">
        <v>45046</v>
      </c>
      <c r="E2403" s="23">
        <f t="shared" si="390"/>
        <v>30</v>
      </c>
      <c r="F2403" s="3">
        <f t="shared" si="393"/>
        <v>88592588.212105811</v>
      </c>
      <c r="G2403" s="3">
        <f>-PMT($H$2387/$D$2389,33,$F$2399,,0)</f>
        <v>4132751.8759629126</v>
      </c>
      <c r="H2403" s="290">
        <f>$H$2387/$D$2389*F2403</f>
        <v>1897357.9308759328</v>
      </c>
      <c r="I2403" s="3">
        <f t="shared" si="391"/>
        <v>2235393.9450869798</v>
      </c>
      <c r="J2403" s="3">
        <f t="shared" si="392"/>
        <v>86357194.267018825</v>
      </c>
      <c r="K2403" s="24">
        <v>47242707</v>
      </c>
      <c r="L2403" s="24"/>
    </row>
    <row r="2404" spans="2:13" x14ac:dyDescent="0.35">
      <c r="B2404" s="1">
        <v>9</v>
      </c>
      <c r="C2404" s="22">
        <v>45047</v>
      </c>
      <c r="D2404" s="22">
        <v>45077</v>
      </c>
      <c r="E2404" s="23">
        <f t="shared" si="390"/>
        <v>31</v>
      </c>
      <c r="F2404" s="3">
        <f t="shared" si="393"/>
        <v>86357194.267018825</v>
      </c>
      <c r="G2404" s="3">
        <f>-PMT($I$2387/$D$2389,28,$F$2404,,0)</f>
        <v>4253191.0894995676</v>
      </c>
      <c r="H2404" s="290">
        <f>$I$2387/$D$2389*F2404</f>
        <v>2043786.9309861124</v>
      </c>
      <c r="I2404" s="3">
        <f t="shared" si="391"/>
        <v>2209404.1585134552</v>
      </c>
      <c r="J2404" s="3">
        <f t="shared" si="392"/>
        <v>84147790.108505368</v>
      </c>
      <c r="K2404" s="24"/>
      <c r="L2404" s="26"/>
      <c r="M2404" s="7">
        <f>85311781.35-K2403-K2406</f>
        <v>1090412.349999994</v>
      </c>
    </row>
    <row r="2405" spans="2:13" x14ac:dyDescent="0.35">
      <c r="B2405" s="1">
        <v>10</v>
      </c>
      <c r="C2405" s="22">
        <v>45078</v>
      </c>
      <c r="D2405" s="22">
        <v>45107</v>
      </c>
      <c r="E2405" s="23">
        <f t="shared" si="390"/>
        <v>30</v>
      </c>
      <c r="F2405" s="3">
        <f t="shared" si="393"/>
        <v>84147790.108505368</v>
      </c>
      <c r="G2405" s="3">
        <f>-PMT($I$2387/$D$2389,28,$F$2404,,0)</f>
        <v>4253191.0894995676</v>
      </c>
      <c r="H2405" s="3">
        <f>$I$2387/$D$2389*F2405</f>
        <v>1991497.6992346272</v>
      </c>
      <c r="I2405" s="3">
        <f t="shared" si="391"/>
        <v>2261693.3902649404</v>
      </c>
      <c r="J2405" s="3">
        <f t="shared" si="392"/>
        <v>81886096.718240425</v>
      </c>
      <c r="K2405" s="24"/>
      <c r="L2405" s="24"/>
    </row>
    <row r="2406" spans="2:13" x14ac:dyDescent="0.35">
      <c r="B2406" s="1">
        <v>11</v>
      </c>
      <c r="C2406" s="22">
        <v>45108</v>
      </c>
      <c r="D2406" s="22">
        <v>45138</v>
      </c>
      <c r="E2406" s="23">
        <f t="shared" si="390"/>
        <v>31</v>
      </c>
      <c r="F2406" s="3">
        <f t="shared" si="393"/>
        <v>81886096.718240425</v>
      </c>
      <c r="G2406" s="3">
        <f>-PMT($J$2387/$D$2389,26,$F$2406,,0)</f>
        <v>4312515.3138639769</v>
      </c>
      <c r="H2406" s="290">
        <f>$J$2387/$D$2389*F2406</f>
        <v>2033504.7351696375</v>
      </c>
      <c r="I2406" s="3">
        <f t="shared" si="391"/>
        <v>2279010.5786943394</v>
      </c>
      <c r="J2406" s="3">
        <f t="shared" si="392"/>
        <v>79607086.139546081</v>
      </c>
      <c r="K2406" s="24">
        <v>36978662</v>
      </c>
      <c r="L2406" s="24"/>
    </row>
    <row r="2407" spans="2:13" x14ac:dyDescent="0.35">
      <c r="B2407" s="1">
        <v>12</v>
      </c>
      <c r="C2407" s="22">
        <v>45139</v>
      </c>
      <c r="D2407" s="22">
        <v>45169</v>
      </c>
      <c r="E2407" s="23">
        <f t="shared" si="390"/>
        <v>31</v>
      </c>
      <c r="F2407" s="3">
        <f t="shared" si="393"/>
        <v>79607086.139546081</v>
      </c>
      <c r="G2407" s="3">
        <f>-PMT($K$2387/$D$2389,25,$F$2407,,0)</f>
        <v>4366179.648523164</v>
      </c>
      <c r="H2407" s="290">
        <f>$K$2387/$D$2389*F2407</f>
        <v>2063150.3157832364</v>
      </c>
      <c r="I2407" s="3">
        <f t="shared" si="391"/>
        <v>2303029.3327399278</v>
      </c>
      <c r="J2407" s="3">
        <f t="shared" si="392"/>
        <v>77304056.806806147</v>
      </c>
      <c r="K2407" s="24"/>
      <c r="L2407" s="24"/>
    </row>
    <row r="2408" spans="2:13" x14ac:dyDescent="0.35">
      <c r="B2408" s="1">
        <v>13</v>
      </c>
      <c r="C2408" s="22">
        <v>45170</v>
      </c>
      <c r="D2408" s="22">
        <v>45199</v>
      </c>
      <c r="E2408" s="23">
        <f t="shared" si="390"/>
        <v>30</v>
      </c>
      <c r="F2408" s="3">
        <f t="shared" si="393"/>
        <v>77304056.806806147</v>
      </c>
      <c r="G2408" s="3">
        <f>-PMT($L$2387/$D$2389,24,$F$2408,,0)</f>
        <v>4394236.029718725</v>
      </c>
      <c r="H2408" s="290">
        <f>$L$2387/$D$2389*F2408</f>
        <v>2048557.5053803634</v>
      </c>
      <c r="I2408" s="3">
        <f t="shared" si="391"/>
        <v>2345678.5243383618</v>
      </c>
      <c r="J2408" s="3">
        <f t="shared" si="392"/>
        <v>74958378.282467782</v>
      </c>
      <c r="K2408" s="24"/>
      <c r="L2408" s="24"/>
    </row>
    <row r="2409" spans="2:13" x14ac:dyDescent="0.35">
      <c r="B2409" s="1">
        <v>14</v>
      </c>
      <c r="C2409" s="22">
        <v>45200</v>
      </c>
      <c r="D2409" s="22">
        <v>45230</v>
      </c>
      <c r="E2409" s="23">
        <f t="shared" si="390"/>
        <v>31</v>
      </c>
      <c r="F2409" s="3">
        <f t="shared" si="393"/>
        <v>74958378.282467782</v>
      </c>
      <c r="G2409" s="3">
        <f>-PMT($F$2392/$D$2389,23,$F$2409,,0)</f>
        <v>4398109.6730470229</v>
      </c>
      <c r="H2409" s="3">
        <f>$F$2392/$D$2389*F2409</f>
        <v>1992643.5560089354</v>
      </c>
      <c r="I2409" s="3">
        <f t="shared" si="391"/>
        <v>2405466.1170380875</v>
      </c>
      <c r="J2409" s="3">
        <f t="shared" si="392"/>
        <v>72552912.165429696</v>
      </c>
      <c r="K2409" s="24"/>
      <c r="L2409" s="24"/>
    </row>
    <row r="2410" spans="2:13" x14ac:dyDescent="0.35">
      <c r="B2410" s="1">
        <v>15</v>
      </c>
      <c r="C2410" s="22">
        <v>45231</v>
      </c>
      <c r="D2410" s="22">
        <v>45260</v>
      </c>
      <c r="E2410" s="23">
        <f t="shared" si="390"/>
        <v>30</v>
      </c>
      <c r="F2410" s="3">
        <f t="shared" si="393"/>
        <v>72552912.165429696</v>
      </c>
      <c r="G2410" s="3">
        <f>-PMT($F$2392/$D$2389,23,$F$2409,,0)</f>
        <v>4398109.6730470229</v>
      </c>
      <c r="H2410" s="3">
        <f>$F$2392/$D$2389*F2410</f>
        <v>1928698.248397673</v>
      </c>
      <c r="I2410" s="3">
        <f t="shared" si="391"/>
        <v>2469411.4246493499</v>
      </c>
      <c r="J2410" s="3">
        <f t="shared" si="392"/>
        <v>70083500.740780354</v>
      </c>
      <c r="K2410" s="24"/>
      <c r="L2410" s="24"/>
    </row>
    <row r="2411" spans="2:13" x14ac:dyDescent="0.35">
      <c r="B2411" s="1">
        <v>16</v>
      </c>
      <c r="C2411" s="22">
        <v>45261</v>
      </c>
      <c r="D2411" s="22">
        <v>45291</v>
      </c>
      <c r="E2411" s="23">
        <f t="shared" si="390"/>
        <v>31</v>
      </c>
      <c r="F2411" s="3">
        <f t="shared" si="393"/>
        <v>70083500.740780354</v>
      </c>
      <c r="G2411" s="3">
        <f>-PMT($G$2392/$D$2389,21,$F$2411,,0)</f>
        <v>4401695.9483300699</v>
      </c>
      <c r="H2411" s="3">
        <f>$G$2392/$D$2389*F2411</f>
        <v>1868893.3530874765</v>
      </c>
      <c r="I2411" s="3">
        <f t="shared" si="391"/>
        <v>2532802.5952425934</v>
      </c>
      <c r="J2411" s="3">
        <f t="shared" si="392"/>
        <v>67550698.145537764</v>
      </c>
      <c r="K2411" s="24"/>
      <c r="L2411" s="24"/>
    </row>
    <row r="2412" spans="2:13" x14ac:dyDescent="0.35">
      <c r="B2412" s="1">
        <v>17</v>
      </c>
      <c r="C2412" s="22">
        <v>45292</v>
      </c>
      <c r="D2412" s="22">
        <v>45322</v>
      </c>
      <c r="E2412" s="23">
        <f t="shared" si="390"/>
        <v>31</v>
      </c>
      <c r="F2412" s="3">
        <f t="shared" si="393"/>
        <v>67550698.145537764</v>
      </c>
      <c r="G2412" s="3">
        <f>-PMT($G$2392/$D$2389,21,$F$2411,,0)</f>
        <v>4401695.9483300699</v>
      </c>
      <c r="H2412" s="3">
        <f>$G$2392/$D$2389*F2412</f>
        <v>1801351.950547674</v>
      </c>
      <c r="I2412" s="3">
        <f t="shared" si="391"/>
        <v>2600343.9977823962</v>
      </c>
      <c r="J2412" s="3">
        <f t="shared" si="392"/>
        <v>64950354.14775537</v>
      </c>
      <c r="K2412" s="24"/>
      <c r="L2412" s="24"/>
    </row>
    <row r="2413" spans="2:13" x14ac:dyDescent="0.35">
      <c r="B2413" s="1">
        <v>18</v>
      </c>
      <c r="C2413" s="22">
        <v>45323</v>
      </c>
      <c r="D2413" s="22">
        <v>45351</v>
      </c>
      <c r="E2413" s="23">
        <f t="shared" si="390"/>
        <v>29</v>
      </c>
      <c r="F2413" s="3">
        <f t="shared" si="393"/>
        <v>64950354.14775537</v>
      </c>
      <c r="G2413" s="3">
        <f t="shared" ref="G2413:G2431" si="394">-PMT($H$2392/$D$2389,19,$F$2413,,0)</f>
        <v>4444603.32556279</v>
      </c>
      <c r="H2413" s="3">
        <f t="shared" ref="H2413:H2431" si="395">$H$2392/$D$2389*F2413</f>
        <v>1802372.3276002121</v>
      </c>
      <c r="I2413" s="3">
        <f t="shared" si="391"/>
        <v>2642230.9979625782</v>
      </c>
      <c r="J2413" s="3">
        <f t="shared" si="392"/>
        <v>62308123.14979279</v>
      </c>
      <c r="K2413" s="24"/>
      <c r="L2413" s="24"/>
    </row>
    <row r="2414" spans="2:13" x14ac:dyDescent="0.35">
      <c r="B2414" s="1">
        <v>19</v>
      </c>
      <c r="C2414" s="22">
        <v>45352</v>
      </c>
      <c r="D2414" s="22">
        <v>45382</v>
      </c>
      <c r="E2414" s="23">
        <f t="shared" si="390"/>
        <v>31</v>
      </c>
      <c r="F2414" s="3">
        <f t="shared" si="393"/>
        <v>62308123.14979279</v>
      </c>
      <c r="G2414" s="3">
        <f t="shared" si="394"/>
        <v>4444603.32556279</v>
      </c>
      <c r="H2414" s="3">
        <f t="shared" si="395"/>
        <v>1729050.4174067504</v>
      </c>
      <c r="I2414" s="3">
        <f t="shared" si="391"/>
        <v>2715552.9081560397</v>
      </c>
      <c r="J2414" s="3">
        <f t="shared" si="392"/>
        <v>59592570.241636753</v>
      </c>
      <c r="K2414" s="24"/>
      <c r="L2414" s="24"/>
    </row>
    <row r="2415" spans="2:13" x14ac:dyDescent="0.35">
      <c r="B2415" s="1">
        <v>20</v>
      </c>
      <c r="C2415" s="22">
        <v>45383</v>
      </c>
      <c r="D2415" s="22">
        <v>45412</v>
      </c>
      <c r="E2415" s="23">
        <f t="shared" si="390"/>
        <v>30</v>
      </c>
      <c r="F2415" s="3">
        <f t="shared" si="393"/>
        <v>59592570.241636753</v>
      </c>
      <c r="G2415" s="3">
        <f t="shared" si="394"/>
        <v>4444603.32556279</v>
      </c>
      <c r="H2415" s="3">
        <f t="shared" si="395"/>
        <v>1653693.8242054204</v>
      </c>
      <c r="I2415" s="3">
        <f t="shared" si="391"/>
        <v>2790909.5013573696</v>
      </c>
      <c r="J2415" s="3">
        <f t="shared" si="392"/>
        <v>56801660.740279384</v>
      </c>
      <c r="K2415" s="24"/>
      <c r="L2415" s="24"/>
    </row>
    <row r="2416" spans="2:13" x14ac:dyDescent="0.35">
      <c r="B2416" s="1">
        <v>21</v>
      </c>
      <c r="C2416" s="22">
        <v>45413</v>
      </c>
      <c r="D2416" s="22">
        <v>45443</v>
      </c>
      <c r="E2416" s="23">
        <f t="shared" si="390"/>
        <v>31</v>
      </c>
      <c r="F2416" s="3">
        <f t="shared" si="393"/>
        <v>56801660.740279384</v>
      </c>
      <c r="G2416" s="3">
        <f t="shared" si="394"/>
        <v>4444603.32556279</v>
      </c>
      <c r="H2416" s="3">
        <f t="shared" si="395"/>
        <v>1576246.0855427533</v>
      </c>
      <c r="I2416" s="3">
        <f t="shared" si="391"/>
        <v>2868357.2400200367</v>
      </c>
      <c r="J2416" s="3">
        <f t="shared" si="392"/>
        <v>53933303.500259347</v>
      </c>
      <c r="K2416" s="24">
        <v>57892073.090000004</v>
      </c>
      <c r="L2416" s="24"/>
    </row>
    <row r="2417" spans="2:12" x14ac:dyDescent="0.35">
      <c r="B2417" s="1">
        <v>22</v>
      </c>
      <c r="C2417" s="22">
        <v>45444</v>
      </c>
      <c r="D2417" s="22">
        <v>45473</v>
      </c>
      <c r="E2417" s="23">
        <f t="shared" si="390"/>
        <v>30</v>
      </c>
      <c r="F2417" s="3">
        <f t="shared" si="393"/>
        <v>53933303.500259347</v>
      </c>
      <c r="G2417" s="3">
        <f t="shared" si="394"/>
        <v>4444603.32556279</v>
      </c>
      <c r="H2417" s="3">
        <f t="shared" si="395"/>
        <v>1496649.1721321973</v>
      </c>
      <c r="I2417" s="3">
        <f t="shared" si="391"/>
        <v>2947954.1534305927</v>
      </c>
      <c r="J2417" s="3">
        <f t="shared" si="392"/>
        <v>50985349.346828751</v>
      </c>
      <c r="K2417" s="24"/>
      <c r="L2417" s="24"/>
    </row>
    <row r="2418" spans="2:12" x14ac:dyDescent="0.35">
      <c r="B2418" s="1">
        <v>23</v>
      </c>
      <c r="C2418" s="22">
        <v>45474</v>
      </c>
      <c r="D2418" s="22">
        <v>45504</v>
      </c>
      <c r="E2418" s="23">
        <f t="shared" si="390"/>
        <v>31</v>
      </c>
      <c r="F2418" s="3">
        <f t="shared" si="393"/>
        <v>50985349.346828751</v>
      </c>
      <c r="G2418" s="3">
        <f t="shared" si="394"/>
        <v>4444603.32556279</v>
      </c>
      <c r="H2418" s="3">
        <f t="shared" si="395"/>
        <v>1414843.4443744982</v>
      </c>
      <c r="I2418" s="3">
        <f t="shared" si="391"/>
        <v>3029759.8811882921</v>
      </c>
      <c r="J2418" s="3">
        <f t="shared" si="392"/>
        <v>47955589.465640455</v>
      </c>
      <c r="K2418" s="24"/>
      <c r="L2418" s="24"/>
    </row>
    <row r="2419" spans="2:12" x14ac:dyDescent="0.35">
      <c r="B2419" s="1">
        <v>24</v>
      </c>
      <c r="C2419" s="22">
        <v>45505</v>
      </c>
      <c r="D2419" s="22">
        <v>45535</v>
      </c>
      <c r="E2419" s="23">
        <f t="shared" si="390"/>
        <v>31</v>
      </c>
      <c r="F2419" s="3">
        <f t="shared" si="393"/>
        <v>47955589.465640455</v>
      </c>
      <c r="G2419" s="3">
        <f t="shared" si="394"/>
        <v>4444603.32556279</v>
      </c>
      <c r="H2419" s="3">
        <f t="shared" si="395"/>
        <v>1330767.607671523</v>
      </c>
      <c r="I2419" s="3">
        <f t="shared" si="391"/>
        <v>3113835.717891267</v>
      </c>
      <c r="J2419" s="3">
        <f t="shared" si="392"/>
        <v>44841753.747749187</v>
      </c>
      <c r="K2419" s="24"/>
      <c r="L2419" s="24"/>
    </row>
    <row r="2420" spans="2:12" x14ac:dyDescent="0.35">
      <c r="B2420" s="1">
        <v>25</v>
      </c>
      <c r="C2420" s="22">
        <v>45536</v>
      </c>
      <c r="D2420" s="22">
        <v>45565</v>
      </c>
      <c r="E2420" s="23">
        <f t="shared" si="390"/>
        <v>30</v>
      </c>
      <c r="F2420" s="3">
        <f t="shared" si="393"/>
        <v>44841753.747749187</v>
      </c>
      <c r="G2420" s="3">
        <f t="shared" si="394"/>
        <v>4444603.32556279</v>
      </c>
      <c r="H2420" s="3">
        <f t="shared" si="395"/>
        <v>1244358.6665000403</v>
      </c>
      <c r="I2420" s="3">
        <f t="shared" si="391"/>
        <v>3200244.6590627497</v>
      </c>
      <c r="J2420" s="3">
        <f t="shared" si="392"/>
        <v>41641509.088686436</v>
      </c>
      <c r="K2420" s="24"/>
      <c r="L2420" s="24"/>
    </row>
    <row r="2421" spans="2:12" x14ac:dyDescent="0.35">
      <c r="B2421" s="1">
        <v>26</v>
      </c>
      <c r="C2421" s="22">
        <v>45566</v>
      </c>
      <c r="D2421" s="22">
        <v>45596</v>
      </c>
      <c r="E2421" s="23">
        <f t="shared" si="390"/>
        <v>31</v>
      </c>
      <c r="F2421" s="3">
        <f t="shared" si="393"/>
        <v>41641509.088686436</v>
      </c>
      <c r="G2421" s="3">
        <f t="shared" si="394"/>
        <v>4444603.32556279</v>
      </c>
      <c r="H2421" s="3">
        <f t="shared" si="395"/>
        <v>1155551.877211049</v>
      </c>
      <c r="I2421" s="3">
        <f t="shared" si="391"/>
        <v>3289051.4483517408</v>
      </c>
      <c r="J2421" s="3">
        <f t="shared" si="392"/>
        <v>38352457.640334696</v>
      </c>
      <c r="K2421" s="24"/>
      <c r="L2421" s="24"/>
    </row>
    <row r="2422" spans="2:12" x14ac:dyDescent="0.35">
      <c r="B2422" s="1">
        <v>27</v>
      </c>
      <c r="C2422" s="22">
        <v>45597</v>
      </c>
      <c r="D2422" s="22">
        <v>45626</v>
      </c>
      <c r="E2422" s="23">
        <f t="shared" si="390"/>
        <v>30</v>
      </c>
      <c r="F2422" s="3">
        <f t="shared" si="393"/>
        <v>38352457.640334696</v>
      </c>
      <c r="G2422" s="3">
        <f t="shared" si="394"/>
        <v>4444603.32556279</v>
      </c>
      <c r="H2422" s="3">
        <f t="shared" si="395"/>
        <v>1064280.699519288</v>
      </c>
      <c r="I2422" s="3">
        <f t="shared" si="391"/>
        <v>3380322.6260435022</v>
      </c>
      <c r="J2422" s="3">
        <f t="shared" si="392"/>
        <v>34972135.014291197</v>
      </c>
      <c r="K2422" s="24"/>
      <c r="L2422" s="24"/>
    </row>
    <row r="2423" spans="2:12" x14ac:dyDescent="0.35">
      <c r="B2423" s="1">
        <v>28</v>
      </c>
      <c r="C2423" s="22">
        <v>45627</v>
      </c>
      <c r="D2423" s="22">
        <v>45657</v>
      </c>
      <c r="E2423" s="23">
        <f t="shared" si="390"/>
        <v>31</v>
      </c>
      <c r="F2423" s="3">
        <f t="shared" si="393"/>
        <v>34972135.014291197</v>
      </c>
      <c r="G2423" s="3">
        <f t="shared" si="394"/>
        <v>4444603.32556279</v>
      </c>
      <c r="H2423" s="3">
        <f t="shared" si="395"/>
        <v>970476.74664658098</v>
      </c>
      <c r="I2423" s="3">
        <f t="shared" si="391"/>
        <v>3474126.5789162088</v>
      </c>
      <c r="J2423" s="3">
        <f t="shared" si="392"/>
        <v>31498008.43537499</v>
      </c>
      <c r="K2423" s="24"/>
      <c r="L2423" s="24"/>
    </row>
    <row r="2424" spans="2:12" x14ac:dyDescent="0.35">
      <c r="B2424" s="1">
        <v>29</v>
      </c>
      <c r="C2424" s="22">
        <v>45658</v>
      </c>
      <c r="D2424" s="22">
        <v>45688</v>
      </c>
      <c r="E2424" s="23">
        <f t="shared" si="390"/>
        <v>31</v>
      </c>
      <c r="F2424" s="3">
        <f t="shared" si="393"/>
        <v>31498008.43537499</v>
      </c>
      <c r="G2424" s="3">
        <f t="shared" si="394"/>
        <v>4444603.32556279</v>
      </c>
      <c r="H2424" s="3">
        <f t="shared" si="395"/>
        <v>874069.73408165621</v>
      </c>
      <c r="I2424" s="3">
        <f t="shared" si="391"/>
        <v>3570533.5914811338</v>
      </c>
      <c r="J2424" s="3">
        <f t="shared" si="392"/>
        <v>27927474.843893856</v>
      </c>
      <c r="K2424" s="24"/>
      <c r="L2424" s="24"/>
    </row>
    <row r="2425" spans="2:12" x14ac:dyDescent="0.35">
      <c r="B2425" s="1">
        <v>30</v>
      </c>
      <c r="C2425" s="22">
        <v>45689</v>
      </c>
      <c r="D2425" s="22">
        <v>45716</v>
      </c>
      <c r="E2425" s="23">
        <f t="shared" si="390"/>
        <v>28</v>
      </c>
      <c r="F2425" s="3">
        <f t="shared" si="393"/>
        <v>27927474.843893856</v>
      </c>
      <c r="G2425" s="3">
        <f t="shared" si="394"/>
        <v>4444603.32556279</v>
      </c>
      <c r="H2425" s="3">
        <f t="shared" si="395"/>
        <v>774987.4269180547</v>
      </c>
      <c r="I2425" s="3">
        <f t="shared" si="391"/>
        <v>3669615.8986447351</v>
      </c>
      <c r="J2425" s="3">
        <f t="shared" si="392"/>
        <v>24257858.945249122</v>
      </c>
      <c r="K2425" s="24"/>
      <c r="L2425" s="24"/>
    </row>
    <row r="2426" spans="2:12" x14ac:dyDescent="0.35">
      <c r="B2426" s="1">
        <v>31</v>
      </c>
      <c r="C2426" s="22">
        <v>45717</v>
      </c>
      <c r="D2426" s="22">
        <v>45747</v>
      </c>
      <c r="E2426" s="23">
        <f t="shared" si="390"/>
        <v>31</v>
      </c>
      <c r="F2426" s="3">
        <f t="shared" si="393"/>
        <v>24257858.945249122</v>
      </c>
      <c r="G2426" s="3">
        <f t="shared" si="394"/>
        <v>4444603.32556279</v>
      </c>
      <c r="H2426" s="3">
        <f t="shared" si="395"/>
        <v>673155.58573066327</v>
      </c>
      <c r="I2426" s="3">
        <f t="shared" si="391"/>
        <v>3771447.7398321265</v>
      </c>
      <c r="J2426" s="3">
        <f t="shared" si="392"/>
        <v>20486411.205416996</v>
      </c>
      <c r="K2426" s="24"/>
      <c r="L2426" s="24"/>
    </row>
    <row r="2427" spans="2:12" x14ac:dyDescent="0.35">
      <c r="B2427" s="1">
        <v>32</v>
      </c>
      <c r="C2427" s="22">
        <v>45748</v>
      </c>
      <c r="D2427" s="22">
        <v>45777</v>
      </c>
      <c r="E2427" s="23">
        <f t="shared" si="390"/>
        <v>30</v>
      </c>
      <c r="F2427" s="3">
        <f t="shared" si="393"/>
        <v>20486411.205416996</v>
      </c>
      <c r="G2427" s="3">
        <f t="shared" si="394"/>
        <v>4444603.32556279</v>
      </c>
      <c r="H2427" s="3">
        <f t="shared" si="395"/>
        <v>568497.91095032182</v>
      </c>
      <c r="I2427" s="3">
        <f t="shared" si="391"/>
        <v>3876105.4146124683</v>
      </c>
      <c r="J2427" s="3">
        <f t="shared" si="392"/>
        <v>16610305.790804528</v>
      </c>
      <c r="K2427" s="24"/>
      <c r="L2427" s="24"/>
    </row>
    <row r="2428" spans="2:12" x14ac:dyDescent="0.35">
      <c r="B2428" s="1">
        <v>33</v>
      </c>
      <c r="C2428" s="22">
        <v>45778</v>
      </c>
      <c r="D2428" s="22">
        <v>45808</v>
      </c>
      <c r="E2428" s="23">
        <f t="shared" si="390"/>
        <v>31</v>
      </c>
      <c r="F2428" s="3">
        <f t="shared" si="393"/>
        <v>16610305.790804528</v>
      </c>
      <c r="G2428" s="3">
        <f t="shared" si="394"/>
        <v>4444603.32556279</v>
      </c>
      <c r="H2428" s="3">
        <f t="shared" si="395"/>
        <v>460935.98569482577</v>
      </c>
      <c r="I2428" s="3">
        <f t="shared" si="391"/>
        <v>3983667.3398679644</v>
      </c>
      <c r="J2428" s="3">
        <f t="shared" si="392"/>
        <v>12626638.450936563</v>
      </c>
      <c r="K2428" s="24"/>
      <c r="L2428" s="24"/>
    </row>
    <row r="2429" spans="2:12" x14ac:dyDescent="0.35">
      <c r="B2429" s="1">
        <v>34</v>
      </c>
      <c r="C2429" s="22">
        <v>45809</v>
      </c>
      <c r="D2429" s="22">
        <v>45838</v>
      </c>
      <c r="E2429" s="23">
        <f t="shared" si="390"/>
        <v>30</v>
      </c>
      <c r="F2429" s="3">
        <f t="shared" si="393"/>
        <v>12626638.450936563</v>
      </c>
      <c r="G2429" s="3">
        <f t="shared" si="394"/>
        <v>4444603.32556279</v>
      </c>
      <c r="H2429" s="3">
        <f t="shared" si="395"/>
        <v>350389.21701348975</v>
      </c>
      <c r="I2429" s="3">
        <f t="shared" si="391"/>
        <v>4094214.1085493001</v>
      </c>
      <c r="J2429" s="3">
        <f t="shared" si="392"/>
        <v>8532424.3423872627</v>
      </c>
      <c r="K2429" s="24"/>
      <c r="L2429" s="24"/>
    </row>
    <row r="2430" spans="2:12" x14ac:dyDescent="0.35">
      <c r="B2430" s="1">
        <v>35</v>
      </c>
      <c r="C2430" s="22">
        <v>45839</v>
      </c>
      <c r="D2430" s="22">
        <v>45869</v>
      </c>
      <c r="E2430" s="23">
        <f t="shared" si="390"/>
        <v>31</v>
      </c>
      <c r="F2430" s="3">
        <f t="shared" si="393"/>
        <v>8532424.3423872627</v>
      </c>
      <c r="G2430" s="3">
        <f t="shared" si="394"/>
        <v>4444603.32556279</v>
      </c>
      <c r="H2430" s="3">
        <f t="shared" si="395"/>
        <v>236774.77550124659</v>
      </c>
      <c r="I2430" s="3">
        <f t="shared" si="391"/>
        <v>4207828.5500615435</v>
      </c>
      <c r="J2430" s="3">
        <f t="shared" si="392"/>
        <v>4324595.7923257193</v>
      </c>
      <c r="K2430" s="24"/>
      <c r="L2430" s="24"/>
    </row>
    <row r="2431" spans="2:12" x14ac:dyDescent="0.35">
      <c r="B2431" s="1">
        <v>36</v>
      </c>
      <c r="C2431" s="22">
        <v>45870</v>
      </c>
      <c r="D2431" s="22">
        <v>45900</v>
      </c>
      <c r="E2431" s="23">
        <f t="shared" si="390"/>
        <v>31</v>
      </c>
      <c r="F2431" s="3">
        <f t="shared" si="393"/>
        <v>4324595.7923257193</v>
      </c>
      <c r="G2431" s="3">
        <f t="shared" si="394"/>
        <v>4444603.32556279</v>
      </c>
      <c r="H2431" s="3">
        <f t="shared" si="395"/>
        <v>120007.53323703875</v>
      </c>
      <c r="I2431" s="3">
        <f t="shared" si="391"/>
        <v>4324595.7923257509</v>
      </c>
      <c r="J2431" s="3">
        <f t="shared" si="392"/>
        <v>-3.166496753692627E-8</v>
      </c>
      <c r="K2431" s="24"/>
      <c r="L2431" s="24"/>
    </row>
    <row r="2432" spans="2:12" x14ac:dyDescent="0.35">
      <c r="B2432" s="1"/>
      <c r="C2432" s="22"/>
      <c r="D2432" s="22"/>
      <c r="E2432" s="23"/>
      <c r="F2432" s="3"/>
      <c r="G2432" s="3"/>
      <c r="H2432" s="3"/>
      <c r="I2432" s="3"/>
      <c r="J2432" s="3"/>
      <c r="K2432" s="24"/>
      <c r="L2432" s="24"/>
    </row>
    <row r="2433" spans="2:19" ht="14.25" customHeight="1" x14ac:dyDescent="0.35">
      <c r="B2433" s="1"/>
      <c r="C2433" s="1"/>
      <c r="D2433" s="1"/>
      <c r="E2433" s="28">
        <f>SUM(E2395:E2407)</f>
        <v>367</v>
      </c>
      <c r="F2433" s="3"/>
      <c r="G2433" s="3"/>
      <c r="H2433" s="3"/>
      <c r="I2433" s="3"/>
      <c r="J2433" s="3"/>
      <c r="K2433" s="1"/>
      <c r="L2433" s="1"/>
    </row>
    <row r="2437" spans="2:19" x14ac:dyDescent="0.35">
      <c r="B2437" s="1"/>
      <c r="C2437" s="8" t="s">
        <v>912</v>
      </c>
      <c r="D2437" s="3"/>
      <c r="E2437" s="3"/>
      <c r="F2437" s="3"/>
      <c r="G2437" s="3"/>
      <c r="H2437" s="3"/>
      <c r="I2437" s="3"/>
      <c r="J2437" s="3"/>
      <c r="K2437" s="3"/>
      <c r="L2437" s="3"/>
      <c r="R2437" s="438" t="s">
        <v>832</v>
      </c>
      <c r="S2437" s="432" t="str">
        <f>IFERROR(INDEX(Blocks!$I$2:$I$101,MATCH(44,Blocks!$A$2:$A$101,0)),"")</f>
        <v>000104450000045</v>
      </c>
    </row>
    <row r="2438" spans="2:19" x14ac:dyDescent="0.35">
      <c r="B2438" s="1"/>
      <c r="C2438" s="1"/>
      <c r="D2438" s="3"/>
      <c r="E2438" s="3"/>
      <c r="F2438" s="3"/>
      <c r="G2438" s="3"/>
      <c r="H2438" s="3"/>
      <c r="I2438" s="3"/>
      <c r="J2438" s="3"/>
      <c r="K2438" s="3"/>
      <c r="L2438" s="3"/>
      <c r="R2438" s="438" t="s">
        <v>834</v>
      </c>
      <c r="S2438" s="432" t="str">
        <f>IFERROR(INDEX(Blocks!$H$2:$H$101,MATCH(44,Blocks!$A$2:$A$101,0)),"")</f>
        <v>Walusiya Investment</v>
      </c>
    </row>
    <row r="2439" spans="2:19" x14ac:dyDescent="0.35">
      <c r="B2439" s="1"/>
      <c r="C2439" s="9" t="s">
        <v>835</v>
      </c>
      <c r="D2439" s="10">
        <v>10000000</v>
      </c>
      <c r="E2439" s="3"/>
      <c r="F2439" s="3"/>
      <c r="G2439" s="3"/>
      <c r="H2439" s="3"/>
      <c r="I2439" s="3"/>
      <c r="J2439" s="3"/>
      <c r="K2439" s="3"/>
      <c r="L2439" s="3"/>
      <c r="R2439" s="438" t="s">
        <v>223</v>
      </c>
      <c r="S2439" s="433">
        <f>IFERROR(INDEX('E-Banker master'!$N$2:$N$186,MATCH(S2437,'E-Banker master'!$A$2:$A$186,0)),"")</f>
        <v>10000000</v>
      </c>
    </row>
    <row r="2440" spans="2:19" x14ac:dyDescent="0.35">
      <c r="B2440" s="1"/>
      <c r="C2440" s="11" t="s">
        <v>837</v>
      </c>
      <c r="D2440" s="12">
        <v>0.1</v>
      </c>
      <c r="E2440" s="13"/>
      <c r="F2440" s="3"/>
      <c r="G2440" s="3"/>
      <c r="H2440" s="3"/>
      <c r="I2440" s="3"/>
      <c r="J2440" s="3"/>
      <c r="K2440" s="3"/>
      <c r="L2440" s="3"/>
      <c r="R2440" s="438" t="s">
        <v>52</v>
      </c>
      <c r="S2440" s="433">
        <f>IFERROR(INDEX('E-Banker master'!$P$2:$P$186,MATCH(S2437,'E-Banker master'!$A$2:$A$186,0)),"")</f>
        <v>9371307</v>
      </c>
    </row>
    <row r="2441" spans="2:19" x14ac:dyDescent="0.35">
      <c r="B2441" s="1"/>
      <c r="C2441" s="11" t="s">
        <v>838</v>
      </c>
      <c r="D2441" s="14">
        <v>2</v>
      </c>
      <c r="E2441" s="1"/>
      <c r="F2441" s="3"/>
      <c r="G2441" s="3"/>
      <c r="H2441" s="3"/>
      <c r="I2441" s="3"/>
      <c r="J2441" s="3"/>
      <c r="K2441" s="1"/>
      <c r="L2441" s="1"/>
    </row>
    <row r="2442" spans="2:19" x14ac:dyDescent="0.35">
      <c r="B2442" s="1"/>
      <c r="C2442" s="11" t="s">
        <v>839</v>
      </c>
      <c r="D2442" s="14">
        <v>12</v>
      </c>
      <c r="E2442" s="1"/>
      <c r="F2442" s="3"/>
      <c r="G2442" s="3"/>
      <c r="H2442" s="3"/>
      <c r="I2442" s="3"/>
      <c r="J2442" s="3"/>
      <c r="K2442" s="1"/>
      <c r="L2442" s="1"/>
    </row>
    <row r="2443" spans="2:19" x14ac:dyDescent="0.35">
      <c r="B2443" s="1"/>
      <c r="C2443" s="11" t="s">
        <v>843</v>
      </c>
      <c r="D2443" s="15">
        <f>D2441*D2442</f>
        <v>24</v>
      </c>
      <c r="E2443" s="1"/>
      <c r="F2443" s="3"/>
      <c r="G2443" s="3"/>
      <c r="H2443" s="3"/>
      <c r="I2443" s="3"/>
      <c r="J2443" s="3"/>
      <c r="K2443" s="1"/>
      <c r="L2443" s="1"/>
    </row>
    <row r="2444" spans="2:19" x14ac:dyDescent="0.35">
      <c r="B2444" s="1"/>
      <c r="C2444" s="11" t="s">
        <v>844</v>
      </c>
      <c r="D2444" s="16">
        <v>365</v>
      </c>
      <c r="E2444" s="1"/>
      <c r="F2444" s="3"/>
      <c r="G2444" s="3"/>
      <c r="H2444" s="3"/>
      <c r="I2444" s="3"/>
      <c r="J2444" s="3"/>
      <c r="K2444" s="1"/>
      <c r="L2444" s="1"/>
    </row>
    <row r="2445" spans="2:19" x14ac:dyDescent="0.35">
      <c r="B2445" s="1"/>
      <c r="C2445" s="17" t="s">
        <v>845</v>
      </c>
      <c r="D2445" s="18">
        <f>-PMT(D2440/D2442,D2443,D2439,0,0)</f>
        <v>461449.26337516506</v>
      </c>
      <c r="E2445" s="3"/>
      <c r="F2445" s="3"/>
      <c r="G2445" s="3"/>
      <c r="H2445" s="3"/>
      <c r="I2445" s="3"/>
      <c r="J2445" s="3"/>
      <c r="K2445" s="1"/>
      <c r="L2445" s="1"/>
    </row>
    <row r="2446" spans="2:19" x14ac:dyDescent="0.35">
      <c r="B2446" s="1"/>
      <c r="C2446" s="1"/>
      <c r="D2446" s="3"/>
      <c r="E2446" s="3"/>
      <c r="F2446" s="3"/>
      <c r="G2446" s="3"/>
      <c r="H2446" s="3"/>
      <c r="I2446" s="3"/>
      <c r="J2446" s="3"/>
      <c r="K2446" s="1"/>
      <c r="L2446" s="1"/>
    </row>
    <row r="2447" spans="2:19" x14ac:dyDescent="0.35">
      <c r="B2447" s="1"/>
      <c r="C2447" s="19" t="s">
        <v>846</v>
      </c>
      <c r="D2447" s="20" t="s">
        <v>847</v>
      </c>
      <c r="E2447" s="20" t="s">
        <v>764</v>
      </c>
      <c r="F2447" s="270" t="s">
        <v>848</v>
      </c>
      <c r="G2447" s="270" t="s">
        <v>849</v>
      </c>
      <c r="H2447" s="270" t="s">
        <v>742</v>
      </c>
      <c r="I2447" s="270" t="s">
        <v>740</v>
      </c>
      <c r="J2447" s="270" t="s">
        <v>850</v>
      </c>
      <c r="K2447" s="21" t="s">
        <v>851</v>
      </c>
      <c r="L2447" s="21" t="s">
        <v>852</v>
      </c>
    </row>
    <row r="2448" spans="2:19" x14ac:dyDescent="0.35">
      <c r="B2448" s="1">
        <v>0</v>
      </c>
      <c r="C2448" s="22">
        <v>44844</v>
      </c>
      <c r="D2448" s="22">
        <v>44865</v>
      </c>
      <c r="E2448" s="23">
        <f t="shared" ref="E2448:E2472" si="396">D2448-C2448+1</f>
        <v>22</v>
      </c>
      <c r="F2448" s="3">
        <f>D2439</f>
        <v>10000000</v>
      </c>
      <c r="G2448" s="3"/>
      <c r="H2448" s="3">
        <f>($D$2440/$D$2442*F2448*E2448/31)</f>
        <v>59139.784946236556</v>
      </c>
      <c r="I2448" s="3">
        <f t="shared" ref="I2448:I2472" si="397">G2448-H2448</f>
        <v>-59139.784946236556</v>
      </c>
      <c r="J2448" s="3">
        <f>F2448+F2439-I2448</f>
        <v>10059139.784946237</v>
      </c>
      <c r="K2448" s="24"/>
      <c r="L2448" s="24"/>
    </row>
    <row r="2449" spans="2:12" x14ac:dyDescent="0.35">
      <c r="B2449" s="1">
        <v>1</v>
      </c>
      <c r="C2449" s="22">
        <v>44866</v>
      </c>
      <c r="D2449" s="22">
        <v>44895</v>
      </c>
      <c r="E2449" s="23">
        <f t="shared" si="396"/>
        <v>30</v>
      </c>
      <c r="F2449" s="3">
        <f t="shared" ref="F2449:F2472" si="398">J2448</f>
        <v>10059139.784946237</v>
      </c>
      <c r="G2449" s="3"/>
      <c r="H2449" s="3">
        <f t="shared" ref="H2449:H2472" si="399">$D$2440/$D$2442*F2449</f>
        <v>83826.164874551978</v>
      </c>
      <c r="I2449" s="3">
        <f t="shared" si="397"/>
        <v>-83826.164874551978</v>
      </c>
      <c r="J2449" s="3">
        <f t="shared" ref="J2449:J2472" si="400">F2449-I2449</f>
        <v>10142965.949820789</v>
      </c>
      <c r="K2449" s="24"/>
      <c r="L2449" s="24"/>
    </row>
    <row r="2450" spans="2:12" x14ac:dyDescent="0.35">
      <c r="B2450" s="1">
        <v>2</v>
      </c>
      <c r="C2450" s="22">
        <v>44896</v>
      </c>
      <c r="D2450" s="22">
        <v>44926</v>
      </c>
      <c r="E2450" s="23">
        <f t="shared" si="396"/>
        <v>31</v>
      </c>
      <c r="F2450" s="3">
        <f t="shared" si="398"/>
        <v>10142965.949820789</v>
      </c>
      <c r="G2450" s="3"/>
      <c r="H2450" s="3">
        <f t="shared" si="399"/>
        <v>84524.716248506564</v>
      </c>
      <c r="I2450" s="3">
        <f t="shared" si="397"/>
        <v>-84524.716248506564</v>
      </c>
      <c r="J2450" s="3">
        <f t="shared" si="400"/>
        <v>10227490.666069295</v>
      </c>
    </row>
    <row r="2451" spans="2:12" x14ac:dyDescent="0.35">
      <c r="B2451" s="1">
        <v>3</v>
      </c>
      <c r="C2451" s="22">
        <v>44927</v>
      </c>
      <c r="D2451" s="22">
        <v>44957</v>
      </c>
      <c r="E2451" s="23">
        <f t="shared" si="396"/>
        <v>31</v>
      </c>
      <c r="F2451" s="3">
        <f t="shared" si="398"/>
        <v>10227490.666069295</v>
      </c>
      <c r="G2451" s="3"/>
      <c r="H2451" s="3">
        <f t="shared" si="399"/>
        <v>85229.088883910794</v>
      </c>
      <c r="I2451" s="3">
        <f t="shared" si="397"/>
        <v>-85229.088883910794</v>
      </c>
      <c r="J2451" s="3">
        <f t="shared" si="400"/>
        <v>10312719.754953206</v>
      </c>
      <c r="K2451" s="24"/>
      <c r="L2451" s="24"/>
    </row>
    <row r="2452" spans="2:12" x14ac:dyDescent="0.35">
      <c r="B2452" s="1">
        <v>4</v>
      </c>
      <c r="C2452" s="22">
        <v>44958</v>
      </c>
      <c r="D2452" s="22">
        <v>44985</v>
      </c>
      <c r="E2452" s="23">
        <f t="shared" si="396"/>
        <v>28</v>
      </c>
      <c r="F2452" s="3">
        <f t="shared" si="398"/>
        <v>10312719.754953206</v>
      </c>
      <c r="G2452" s="3">
        <f t="shared" ref="G2452:G2472" si="401">-PMT($D$2440/$D$2442,21,$F$2452,,0)</f>
        <v>537342.36058066564</v>
      </c>
      <c r="H2452" s="3">
        <f t="shared" si="399"/>
        <v>85939.331291276714</v>
      </c>
      <c r="I2452" s="3">
        <f t="shared" si="397"/>
        <v>451403.02928938891</v>
      </c>
      <c r="J2452" s="3">
        <f t="shared" si="400"/>
        <v>9861316.7256638166</v>
      </c>
      <c r="K2452" s="24"/>
      <c r="L2452" s="24">
        <f>G2452</f>
        <v>537342.36058066564</v>
      </c>
    </row>
    <row r="2453" spans="2:12" x14ac:dyDescent="0.35">
      <c r="B2453" s="1">
        <v>5</v>
      </c>
      <c r="C2453" s="22">
        <v>44986</v>
      </c>
      <c r="D2453" s="22">
        <v>45016</v>
      </c>
      <c r="E2453" s="23">
        <f t="shared" si="396"/>
        <v>31</v>
      </c>
      <c r="F2453" s="3">
        <f t="shared" si="398"/>
        <v>9861316.7256638166</v>
      </c>
      <c r="G2453" s="3">
        <f t="shared" si="401"/>
        <v>537342.36058066564</v>
      </c>
      <c r="H2453" s="3">
        <f t="shared" si="399"/>
        <v>82177.639380531808</v>
      </c>
      <c r="I2453" s="3">
        <f t="shared" si="397"/>
        <v>455164.72120013385</v>
      </c>
      <c r="J2453" s="3">
        <f t="shared" si="400"/>
        <v>9406152.004463682</v>
      </c>
      <c r="K2453" s="24"/>
      <c r="L2453" s="24">
        <f>L2452+G2453</f>
        <v>1074684.7211613313</v>
      </c>
    </row>
    <row r="2454" spans="2:12" x14ac:dyDescent="0.35">
      <c r="B2454" s="1">
        <v>6</v>
      </c>
      <c r="C2454" s="22">
        <v>45017</v>
      </c>
      <c r="D2454" s="22">
        <v>45046</v>
      </c>
      <c r="E2454" s="23">
        <f t="shared" si="396"/>
        <v>30</v>
      </c>
      <c r="F2454" s="3">
        <f t="shared" si="398"/>
        <v>9406152.004463682</v>
      </c>
      <c r="G2454" s="3">
        <f t="shared" si="401"/>
        <v>537342.36058066564</v>
      </c>
      <c r="H2454" s="3">
        <f t="shared" si="399"/>
        <v>78384.60003719735</v>
      </c>
      <c r="I2454" s="3">
        <f t="shared" si="397"/>
        <v>458957.76054346829</v>
      </c>
      <c r="J2454" s="3">
        <f t="shared" si="400"/>
        <v>8947194.2439202145</v>
      </c>
      <c r="K2454" s="24"/>
      <c r="L2454" s="24">
        <f>L2453+G2454</f>
        <v>1612027.081741997</v>
      </c>
    </row>
    <row r="2455" spans="2:12" x14ac:dyDescent="0.35">
      <c r="B2455" s="1">
        <v>7</v>
      </c>
      <c r="C2455" s="22">
        <v>45047</v>
      </c>
      <c r="D2455" s="22">
        <v>45077</v>
      </c>
      <c r="E2455" s="23">
        <f t="shared" si="396"/>
        <v>31</v>
      </c>
      <c r="F2455" s="3">
        <f t="shared" si="398"/>
        <v>8947194.2439202145</v>
      </c>
      <c r="G2455" s="361">
        <f t="shared" si="401"/>
        <v>537342.36058066564</v>
      </c>
      <c r="H2455" s="3">
        <f t="shared" si="399"/>
        <v>74559.952032668458</v>
      </c>
      <c r="I2455" s="3">
        <f t="shared" si="397"/>
        <v>462782.40854799718</v>
      </c>
      <c r="J2455" s="3">
        <f t="shared" si="400"/>
        <v>8484411.835372217</v>
      </c>
      <c r="K2455" s="24">
        <v>535000</v>
      </c>
      <c r="L2455" s="24">
        <f t="shared" ref="L2455:L2472" si="402">L2454+G2455-K2455</f>
        <v>1614369.4423226626</v>
      </c>
    </row>
    <row r="2456" spans="2:12" x14ac:dyDescent="0.35">
      <c r="B2456" s="1">
        <v>8</v>
      </c>
      <c r="C2456" s="22">
        <v>45078</v>
      </c>
      <c r="D2456" s="22">
        <v>45107</v>
      </c>
      <c r="E2456" s="23">
        <f t="shared" si="396"/>
        <v>30</v>
      </c>
      <c r="F2456" s="3">
        <f t="shared" si="398"/>
        <v>8484411.835372217</v>
      </c>
      <c r="G2456" s="361">
        <f t="shared" si="401"/>
        <v>537342.36058066564</v>
      </c>
      <c r="H2456" s="3">
        <f t="shared" si="399"/>
        <v>70703.431961435141</v>
      </c>
      <c r="I2456" s="3">
        <f t="shared" si="397"/>
        <v>466638.92861923052</v>
      </c>
      <c r="J2456" s="3">
        <f t="shared" si="400"/>
        <v>8017772.9067529868</v>
      </c>
      <c r="K2456" s="24"/>
      <c r="L2456" s="26">
        <f t="shared" si="402"/>
        <v>2151711.8029033281</v>
      </c>
    </row>
    <row r="2457" spans="2:12" x14ac:dyDescent="0.35">
      <c r="B2457" s="1">
        <v>9</v>
      </c>
      <c r="C2457" s="22">
        <v>45108</v>
      </c>
      <c r="D2457" s="22">
        <v>45138</v>
      </c>
      <c r="E2457" s="23">
        <f t="shared" si="396"/>
        <v>31</v>
      </c>
      <c r="F2457" s="3">
        <f t="shared" si="398"/>
        <v>8017772.9067529868</v>
      </c>
      <c r="G2457" s="361">
        <f t="shared" si="401"/>
        <v>537342.36058066564</v>
      </c>
      <c r="H2457" s="3">
        <f t="shared" si="399"/>
        <v>66814.77422294156</v>
      </c>
      <c r="I2457" s="3">
        <f t="shared" si="397"/>
        <v>470527.5863577241</v>
      </c>
      <c r="J2457" s="3">
        <f t="shared" si="400"/>
        <v>7547245.3203952629</v>
      </c>
      <c r="K2457" s="24"/>
      <c r="L2457" s="24">
        <f t="shared" si="402"/>
        <v>2689054.1634839936</v>
      </c>
    </row>
    <row r="2458" spans="2:12" x14ac:dyDescent="0.35">
      <c r="B2458" s="1">
        <v>10</v>
      </c>
      <c r="C2458" s="22">
        <v>45139</v>
      </c>
      <c r="D2458" s="22">
        <v>45169</v>
      </c>
      <c r="E2458" s="23">
        <f t="shared" si="396"/>
        <v>31</v>
      </c>
      <c r="F2458" s="3">
        <f t="shared" si="398"/>
        <v>7547245.3203952629</v>
      </c>
      <c r="G2458" s="361">
        <f t="shared" si="401"/>
        <v>537342.36058066564</v>
      </c>
      <c r="H2458" s="3">
        <f t="shared" si="399"/>
        <v>62893.711003293858</v>
      </c>
      <c r="I2458" s="3">
        <f t="shared" si="397"/>
        <v>474448.64957737178</v>
      </c>
      <c r="J2458" s="3">
        <f t="shared" si="400"/>
        <v>7072796.6708178911</v>
      </c>
      <c r="K2458" s="24"/>
      <c r="L2458" s="24">
        <f t="shared" si="402"/>
        <v>3226396.5240646591</v>
      </c>
    </row>
    <row r="2459" spans="2:12" x14ac:dyDescent="0.35">
      <c r="B2459" s="1">
        <v>11</v>
      </c>
      <c r="C2459" s="22">
        <v>45170</v>
      </c>
      <c r="D2459" s="22">
        <v>45199</v>
      </c>
      <c r="E2459" s="23">
        <f t="shared" si="396"/>
        <v>30</v>
      </c>
      <c r="F2459" s="3">
        <f t="shared" si="398"/>
        <v>7072796.6708178911</v>
      </c>
      <c r="G2459" s="361">
        <f t="shared" si="401"/>
        <v>537342.36058066564</v>
      </c>
      <c r="H2459" s="3">
        <f t="shared" si="399"/>
        <v>58939.972256815759</v>
      </c>
      <c r="I2459" s="3">
        <f t="shared" si="397"/>
        <v>478402.38832384988</v>
      </c>
      <c r="J2459" s="3">
        <f t="shared" si="400"/>
        <v>6594394.2824940411</v>
      </c>
      <c r="K2459" s="24"/>
      <c r="L2459" s="24">
        <f t="shared" si="402"/>
        <v>3763738.8846453247</v>
      </c>
    </row>
    <row r="2460" spans="2:12" x14ac:dyDescent="0.35">
      <c r="B2460" s="1">
        <v>12</v>
      </c>
      <c r="C2460" s="22">
        <v>45200</v>
      </c>
      <c r="D2460" s="22">
        <v>45230</v>
      </c>
      <c r="E2460" s="23">
        <f t="shared" si="396"/>
        <v>31</v>
      </c>
      <c r="F2460" s="3">
        <f t="shared" si="398"/>
        <v>6594394.2824940411</v>
      </c>
      <c r="G2460" s="361">
        <f t="shared" si="401"/>
        <v>537342.36058066564</v>
      </c>
      <c r="H2460" s="3">
        <f t="shared" si="399"/>
        <v>54953.285687450341</v>
      </c>
      <c r="I2460" s="3">
        <f t="shared" si="397"/>
        <v>482389.07489321532</v>
      </c>
      <c r="J2460" s="3">
        <f t="shared" si="400"/>
        <v>6112005.2076008255</v>
      </c>
      <c r="K2460" s="24"/>
      <c r="L2460" s="24">
        <f t="shared" si="402"/>
        <v>4301081.2452259902</v>
      </c>
    </row>
    <row r="2461" spans="2:12" x14ac:dyDescent="0.35">
      <c r="B2461" s="1">
        <v>13</v>
      </c>
      <c r="C2461" s="22">
        <v>45231</v>
      </c>
      <c r="D2461" s="22">
        <v>45260</v>
      </c>
      <c r="E2461" s="23">
        <f t="shared" si="396"/>
        <v>30</v>
      </c>
      <c r="F2461" s="3">
        <f t="shared" si="398"/>
        <v>6112005.2076008255</v>
      </c>
      <c r="G2461" s="361">
        <f t="shared" si="401"/>
        <v>537342.36058066564</v>
      </c>
      <c r="H2461" s="3">
        <f t="shared" si="399"/>
        <v>50933.376730006879</v>
      </c>
      <c r="I2461" s="3">
        <f t="shared" si="397"/>
        <v>486408.98385065875</v>
      </c>
      <c r="J2461" s="3">
        <f t="shared" si="400"/>
        <v>5625596.2237501666</v>
      </c>
      <c r="K2461" s="24">
        <v>535000</v>
      </c>
      <c r="L2461" s="24">
        <f t="shared" si="402"/>
        <v>4303423.6058066562</v>
      </c>
    </row>
    <row r="2462" spans="2:12" x14ac:dyDescent="0.35">
      <c r="B2462" s="1">
        <v>14</v>
      </c>
      <c r="C2462" s="22">
        <v>45261</v>
      </c>
      <c r="D2462" s="22">
        <v>45291</v>
      </c>
      <c r="E2462" s="23">
        <f t="shared" si="396"/>
        <v>31</v>
      </c>
      <c r="F2462" s="3">
        <f t="shared" si="398"/>
        <v>5625596.2237501666</v>
      </c>
      <c r="G2462" s="361">
        <f t="shared" si="401"/>
        <v>537342.36058066564</v>
      </c>
      <c r="H2462" s="3">
        <f t="shared" si="399"/>
        <v>46879.96853125139</v>
      </c>
      <c r="I2462" s="3">
        <f t="shared" si="397"/>
        <v>490462.39204941422</v>
      </c>
      <c r="J2462" s="3">
        <f t="shared" si="400"/>
        <v>5135133.8317007525</v>
      </c>
      <c r="K2462" s="24"/>
      <c r="L2462" s="24">
        <f t="shared" si="402"/>
        <v>4840765.9663873222</v>
      </c>
    </row>
    <row r="2463" spans="2:12" x14ac:dyDescent="0.35">
      <c r="B2463" s="1">
        <v>15</v>
      </c>
      <c r="C2463" s="22">
        <v>45292</v>
      </c>
      <c r="D2463" s="22">
        <v>45322</v>
      </c>
      <c r="E2463" s="23">
        <f t="shared" si="396"/>
        <v>31</v>
      </c>
      <c r="F2463" s="3">
        <f t="shared" si="398"/>
        <v>5135133.8317007525</v>
      </c>
      <c r="G2463" s="361">
        <f t="shared" si="401"/>
        <v>537342.36058066564</v>
      </c>
      <c r="H2463" s="3">
        <f t="shared" si="399"/>
        <v>42792.781930839607</v>
      </c>
      <c r="I2463" s="3">
        <f t="shared" si="397"/>
        <v>494549.57864982606</v>
      </c>
      <c r="J2463" s="3">
        <f t="shared" si="400"/>
        <v>4640584.2530509261</v>
      </c>
      <c r="K2463" s="24">
        <v>535000</v>
      </c>
      <c r="L2463" s="24">
        <f t="shared" si="402"/>
        <v>4843108.3269679882</v>
      </c>
    </row>
    <row r="2464" spans="2:12" x14ac:dyDescent="0.35">
      <c r="B2464" s="1">
        <v>16</v>
      </c>
      <c r="C2464" s="22">
        <v>45323</v>
      </c>
      <c r="D2464" s="22">
        <v>45351</v>
      </c>
      <c r="E2464" s="23">
        <f t="shared" si="396"/>
        <v>29</v>
      </c>
      <c r="F2464" s="3">
        <f t="shared" si="398"/>
        <v>4640584.2530509261</v>
      </c>
      <c r="G2464" s="361">
        <f t="shared" si="401"/>
        <v>537342.36058066564</v>
      </c>
      <c r="H2464" s="3">
        <f t="shared" si="399"/>
        <v>38671.535442091052</v>
      </c>
      <c r="I2464" s="3">
        <f t="shared" si="397"/>
        <v>498670.82513857458</v>
      </c>
      <c r="J2464" s="3">
        <f t="shared" si="400"/>
        <v>4141913.4279123517</v>
      </c>
      <c r="K2464" s="24"/>
      <c r="L2464" s="24">
        <f t="shared" si="402"/>
        <v>5380450.6875486542</v>
      </c>
    </row>
    <row r="2465" spans="2:19" x14ac:dyDescent="0.35">
      <c r="B2465" s="1">
        <v>17</v>
      </c>
      <c r="C2465" s="22">
        <v>45352</v>
      </c>
      <c r="D2465" s="22">
        <v>45382</v>
      </c>
      <c r="E2465" s="23">
        <f t="shared" si="396"/>
        <v>31</v>
      </c>
      <c r="F2465" s="3">
        <f t="shared" si="398"/>
        <v>4141913.4279123517</v>
      </c>
      <c r="G2465" s="361">
        <f t="shared" si="401"/>
        <v>537342.36058066564</v>
      </c>
      <c r="H2465" s="3">
        <f t="shared" si="399"/>
        <v>34515.945232602928</v>
      </c>
      <c r="I2465" s="3">
        <f t="shared" si="397"/>
        <v>502826.4153480627</v>
      </c>
      <c r="J2465" s="3">
        <f t="shared" si="400"/>
        <v>3639087.0125642889</v>
      </c>
      <c r="K2465" s="24"/>
      <c r="L2465" s="24">
        <f t="shared" si="402"/>
        <v>5917793.0481293201</v>
      </c>
    </row>
    <row r="2466" spans="2:19" x14ac:dyDescent="0.35">
      <c r="B2466" s="1">
        <v>18</v>
      </c>
      <c r="C2466" s="22">
        <v>45383</v>
      </c>
      <c r="D2466" s="22">
        <v>45412</v>
      </c>
      <c r="E2466" s="23">
        <f t="shared" si="396"/>
        <v>30</v>
      </c>
      <c r="F2466" s="3">
        <f t="shared" si="398"/>
        <v>3639087.0125642889</v>
      </c>
      <c r="G2466" s="361">
        <f t="shared" si="401"/>
        <v>537342.36058066564</v>
      </c>
      <c r="H2466" s="3">
        <f t="shared" si="399"/>
        <v>30325.725104702407</v>
      </c>
      <c r="I2466" s="3">
        <f t="shared" si="397"/>
        <v>507016.63547596324</v>
      </c>
      <c r="J2466" s="3">
        <f t="shared" si="400"/>
        <v>3132070.3770883256</v>
      </c>
      <c r="K2466" s="24"/>
      <c r="L2466" s="24">
        <f t="shared" si="402"/>
        <v>6455135.4087099861</v>
      </c>
    </row>
    <row r="2467" spans="2:19" x14ac:dyDescent="0.35">
      <c r="B2467" s="1">
        <v>19</v>
      </c>
      <c r="C2467" s="22">
        <v>45413</v>
      </c>
      <c r="D2467" s="22">
        <v>45443</v>
      </c>
      <c r="E2467" s="23">
        <f t="shared" si="396"/>
        <v>31</v>
      </c>
      <c r="F2467" s="3">
        <f t="shared" si="398"/>
        <v>3132070.3770883256</v>
      </c>
      <c r="G2467" s="3">
        <f t="shared" si="401"/>
        <v>537342.36058066564</v>
      </c>
      <c r="H2467" s="3">
        <f t="shared" si="399"/>
        <v>26100.586475736047</v>
      </c>
      <c r="I2467" s="3">
        <f t="shared" si="397"/>
        <v>511241.77410492959</v>
      </c>
      <c r="J2467" s="3">
        <f t="shared" si="400"/>
        <v>2620828.602983396</v>
      </c>
      <c r="K2467" s="24"/>
      <c r="L2467" s="24">
        <f t="shared" si="402"/>
        <v>6992477.7692906521</v>
      </c>
    </row>
    <row r="2468" spans="2:19" x14ac:dyDescent="0.35">
      <c r="B2468" s="1">
        <v>20</v>
      </c>
      <c r="C2468" s="22">
        <v>45444</v>
      </c>
      <c r="D2468" s="22">
        <v>45473</v>
      </c>
      <c r="E2468" s="23">
        <f t="shared" si="396"/>
        <v>30</v>
      </c>
      <c r="F2468" s="3">
        <f t="shared" si="398"/>
        <v>2620828.602983396</v>
      </c>
      <c r="G2468" s="3">
        <f t="shared" si="401"/>
        <v>537342.36058066564</v>
      </c>
      <c r="H2468" s="3">
        <f t="shared" si="399"/>
        <v>21840.238358194965</v>
      </c>
      <c r="I2468" s="3">
        <f t="shared" si="397"/>
        <v>515502.1222224707</v>
      </c>
      <c r="J2468" s="3">
        <f t="shared" si="400"/>
        <v>2105326.4807609254</v>
      </c>
      <c r="K2468" s="24"/>
      <c r="L2468" s="24">
        <f t="shared" si="402"/>
        <v>7529820.1298713181</v>
      </c>
    </row>
    <row r="2469" spans="2:19" x14ac:dyDescent="0.35">
      <c r="B2469" s="1">
        <v>21</v>
      </c>
      <c r="C2469" s="22">
        <v>45474</v>
      </c>
      <c r="D2469" s="22">
        <v>45504</v>
      </c>
      <c r="E2469" s="23">
        <f t="shared" si="396"/>
        <v>31</v>
      </c>
      <c r="F2469" s="3">
        <f t="shared" si="398"/>
        <v>2105326.4807609254</v>
      </c>
      <c r="G2469" s="3">
        <f t="shared" si="401"/>
        <v>537342.36058066564</v>
      </c>
      <c r="H2469" s="3">
        <f t="shared" si="399"/>
        <v>17544.38733967438</v>
      </c>
      <c r="I2469" s="3">
        <f t="shared" si="397"/>
        <v>519797.97324099124</v>
      </c>
      <c r="J2469" s="3">
        <f t="shared" si="400"/>
        <v>1585528.5075199343</v>
      </c>
      <c r="K2469" s="24"/>
      <c r="L2469" s="24">
        <f t="shared" si="402"/>
        <v>8067162.4904519841</v>
      </c>
    </row>
    <row r="2470" spans="2:19" x14ac:dyDescent="0.35">
      <c r="B2470" s="1">
        <v>22</v>
      </c>
      <c r="C2470" s="22">
        <v>45505</v>
      </c>
      <c r="D2470" s="22">
        <v>45535</v>
      </c>
      <c r="E2470" s="23">
        <f t="shared" si="396"/>
        <v>31</v>
      </c>
      <c r="F2470" s="3">
        <f t="shared" si="398"/>
        <v>1585528.5075199343</v>
      </c>
      <c r="G2470" s="3">
        <f t="shared" si="401"/>
        <v>537342.36058066564</v>
      </c>
      <c r="H2470" s="3">
        <f t="shared" si="399"/>
        <v>13212.73756266612</v>
      </c>
      <c r="I2470" s="3">
        <f t="shared" si="397"/>
        <v>524129.62301799952</v>
      </c>
      <c r="J2470" s="3">
        <f t="shared" si="400"/>
        <v>1061398.8845019348</v>
      </c>
      <c r="K2470" s="24"/>
      <c r="L2470" s="24">
        <f t="shared" si="402"/>
        <v>8604504.8510326501</v>
      </c>
    </row>
    <row r="2471" spans="2:19" x14ac:dyDescent="0.35">
      <c r="B2471" s="1">
        <v>23</v>
      </c>
      <c r="C2471" s="22">
        <v>45536</v>
      </c>
      <c r="D2471" s="22">
        <v>45565</v>
      </c>
      <c r="E2471" s="23">
        <f t="shared" si="396"/>
        <v>30</v>
      </c>
      <c r="F2471" s="3">
        <f t="shared" si="398"/>
        <v>1061398.8845019348</v>
      </c>
      <c r="G2471" s="3">
        <f t="shared" si="401"/>
        <v>537342.36058066564</v>
      </c>
      <c r="H2471" s="3">
        <f t="shared" si="399"/>
        <v>8844.9907041827901</v>
      </c>
      <c r="I2471" s="3">
        <f t="shared" si="397"/>
        <v>528497.36987648287</v>
      </c>
      <c r="J2471" s="3">
        <f t="shared" si="400"/>
        <v>532901.51462545188</v>
      </c>
      <c r="K2471" s="24">
        <v>535000</v>
      </c>
      <c r="L2471" s="24">
        <f t="shared" si="402"/>
        <v>8606847.2116133161</v>
      </c>
    </row>
    <row r="2472" spans="2:19" x14ac:dyDescent="0.35">
      <c r="B2472" s="1">
        <v>24</v>
      </c>
      <c r="C2472" s="22">
        <v>45566</v>
      </c>
      <c r="D2472" s="22">
        <v>45596</v>
      </c>
      <c r="E2472" s="23">
        <f t="shared" si="396"/>
        <v>31</v>
      </c>
      <c r="F2472" s="3">
        <f t="shared" si="398"/>
        <v>532901.51462545188</v>
      </c>
      <c r="G2472" s="3">
        <f t="shared" si="401"/>
        <v>537342.36058066564</v>
      </c>
      <c r="H2472" s="3">
        <f t="shared" si="399"/>
        <v>4440.8459552120985</v>
      </c>
      <c r="I2472" s="3">
        <f t="shared" si="397"/>
        <v>532901.51462545351</v>
      </c>
      <c r="J2472" s="3">
        <f t="shared" si="400"/>
        <v>-1.6298145055770874E-9</v>
      </c>
      <c r="K2472" s="24"/>
      <c r="L2472" s="204">
        <f t="shared" si="402"/>
        <v>9144189.5721939821</v>
      </c>
    </row>
    <row r="2473" spans="2:19" x14ac:dyDescent="0.35">
      <c r="B2473" s="1"/>
      <c r="C2473" s="22"/>
      <c r="D2473" s="22"/>
      <c r="E2473" s="23"/>
      <c r="F2473" s="3"/>
      <c r="G2473" s="3"/>
      <c r="H2473" s="3"/>
      <c r="I2473" s="3"/>
      <c r="J2473" s="3"/>
      <c r="K2473" s="24"/>
      <c r="L2473" s="24"/>
    </row>
    <row r="2474" spans="2:19" ht="14.25" customHeight="1" x14ac:dyDescent="0.35">
      <c r="B2474" s="1"/>
      <c r="C2474" s="1"/>
      <c r="D2474" s="1"/>
      <c r="E2474" s="28">
        <f>SUM(E2448:E2472)</f>
        <v>753</v>
      </c>
      <c r="F2474" s="3"/>
      <c r="G2474" s="3"/>
      <c r="H2474" s="3"/>
      <c r="I2474" s="3"/>
      <c r="J2474" s="3"/>
      <c r="K2474" s="1"/>
      <c r="L2474" s="1"/>
    </row>
    <row r="2478" spans="2:19" x14ac:dyDescent="0.35">
      <c r="B2478" s="1"/>
      <c r="C2478" s="8" t="s">
        <v>913</v>
      </c>
      <c r="D2478" s="3"/>
      <c r="E2478" s="3"/>
      <c r="F2478" s="3"/>
      <c r="G2478" s="3"/>
      <c r="H2478" s="3"/>
      <c r="I2478" s="3"/>
      <c r="J2478" s="3"/>
      <c r="K2478" s="3"/>
      <c r="L2478" s="3"/>
      <c r="R2478" s="438" t="s">
        <v>832</v>
      </c>
      <c r="S2478" s="432" t="str">
        <f>IFERROR(INDEX(Blocks!$I$2:$I$101,MATCH(45,Blocks!$A$2:$A$101,0)),"")</f>
        <v>000104450000046</v>
      </c>
    </row>
    <row r="2479" spans="2:19" x14ac:dyDescent="0.35">
      <c r="B2479" s="1"/>
      <c r="C2479" s="1"/>
      <c r="D2479" s="3"/>
      <c r="E2479" s="3"/>
      <c r="F2479" s="3"/>
      <c r="G2479" s="3"/>
      <c r="H2479" s="3"/>
      <c r="I2479" s="3"/>
      <c r="J2479" s="3"/>
      <c r="K2479" s="3"/>
      <c r="L2479" s="3"/>
      <c r="R2479" s="438" t="s">
        <v>834</v>
      </c>
      <c r="S2479" s="432" t="str">
        <f>IFERROR(INDEX(Blocks!$H$2:$H$101,MATCH(45,Blocks!$A$2:$A$101,0)),"")</f>
        <v>G&amp;T General Dealers</v>
      </c>
    </row>
    <row r="2480" spans="2:19" x14ac:dyDescent="0.35">
      <c r="B2480" s="1"/>
      <c r="C2480" s="9" t="s">
        <v>835</v>
      </c>
      <c r="D2480" s="10">
        <v>12000000</v>
      </c>
      <c r="E2480" s="3"/>
      <c r="F2480" s="3"/>
      <c r="G2480" s="3"/>
      <c r="H2480" s="3"/>
      <c r="I2480" s="3"/>
      <c r="J2480" s="3"/>
      <c r="K2480" s="3"/>
      <c r="L2480" s="3"/>
      <c r="R2480" s="438" t="s">
        <v>223</v>
      </c>
      <c r="S2480" s="433">
        <f>IFERROR(INDEX('E-Banker master'!$N$2:$N$186,MATCH(S2478,'E-Banker master'!$A$2:$A$186,0)),"")</f>
        <v>12000000</v>
      </c>
    </row>
    <row r="2481" spans="2:19" x14ac:dyDescent="0.35">
      <c r="B2481" s="1"/>
      <c r="C2481" s="11" t="s">
        <v>837</v>
      </c>
      <c r="D2481" s="12">
        <v>0.1</v>
      </c>
      <c r="E2481" s="13"/>
      <c r="F2481" s="3"/>
      <c r="G2481" s="3"/>
      <c r="H2481" s="3"/>
      <c r="I2481" s="3"/>
      <c r="J2481" s="3"/>
      <c r="K2481" s="3"/>
      <c r="L2481" s="3"/>
      <c r="R2481" s="438" t="s">
        <v>52</v>
      </c>
      <c r="S2481" s="433">
        <f>IFERROR(INDEX('E-Banker master'!$P$2:$P$186,MATCH(S2478,'E-Banker master'!$A$2:$A$186,0)),"")</f>
        <v>7207695.9500000002</v>
      </c>
    </row>
    <row r="2482" spans="2:19" x14ac:dyDescent="0.35">
      <c r="B2482" s="1"/>
      <c r="C2482" s="11" t="s">
        <v>838</v>
      </c>
      <c r="D2482" s="14">
        <v>2</v>
      </c>
      <c r="E2482" s="1"/>
      <c r="F2482" s="3"/>
      <c r="G2482" s="3"/>
      <c r="H2482" s="3"/>
      <c r="I2482" s="3"/>
      <c r="J2482" s="3"/>
      <c r="K2482" s="1"/>
      <c r="L2482" s="1"/>
    </row>
    <row r="2483" spans="2:19" x14ac:dyDescent="0.35">
      <c r="B2483" s="1"/>
      <c r="C2483" s="11" t="s">
        <v>839</v>
      </c>
      <c r="D2483" s="14">
        <v>12</v>
      </c>
      <c r="E2483" s="1"/>
      <c r="F2483" s="3"/>
      <c r="G2483" s="3"/>
      <c r="H2483" s="3"/>
      <c r="I2483" s="3"/>
      <c r="J2483" s="3"/>
      <c r="K2483" s="1"/>
      <c r="L2483" s="1"/>
    </row>
    <row r="2484" spans="2:19" x14ac:dyDescent="0.35">
      <c r="B2484" s="1"/>
      <c r="C2484" s="11" t="s">
        <v>843</v>
      </c>
      <c r="D2484" s="15">
        <f>D2482*D2483</f>
        <v>24</v>
      </c>
      <c r="E2484" s="1"/>
      <c r="F2484" s="3"/>
      <c r="G2484" s="3"/>
      <c r="H2484" s="3"/>
      <c r="I2484" s="3"/>
      <c r="J2484" s="3"/>
      <c r="K2484" s="1"/>
      <c r="L2484" s="1"/>
    </row>
    <row r="2485" spans="2:19" x14ac:dyDescent="0.35">
      <c r="B2485" s="1"/>
      <c r="C2485" s="11" t="s">
        <v>844</v>
      </c>
      <c r="D2485" s="16">
        <v>365</v>
      </c>
      <c r="E2485" s="1"/>
      <c r="F2485" s="3"/>
      <c r="G2485" s="3"/>
      <c r="H2485" s="3"/>
      <c r="I2485" s="3"/>
      <c r="J2485" s="3"/>
      <c r="K2485" s="1"/>
      <c r="L2485" s="1"/>
    </row>
    <row r="2486" spans="2:19" x14ac:dyDescent="0.35">
      <c r="B2486" s="1"/>
      <c r="C2486" s="17" t="s">
        <v>845</v>
      </c>
      <c r="D2486" s="18">
        <f>-PMT(D2481/D2483,D2484,D2480,0,0)</f>
        <v>553739.11605019809</v>
      </c>
      <c r="E2486" s="3"/>
      <c r="F2486" s="3"/>
      <c r="G2486" s="3"/>
      <c r="H2486" s="3"/>
      <c r="I2486" s="3"/>
      <c r="J2486" s="3"/>
      <c r="K2486" s="1"/>
      <c r="L2486" s="1"/>
    </row>
    <row r="2487" spans="2:19" x14ac:dyDescent="0.35">
      <c r="B2487" s="1"/>
      <c r="C2487" s="1"/>
      <c r="D2487" s="3"/>
      <c r="E2487" s="3"/>
      <c r="F2487" s="3"/>
      <c r="G2487" s="3"/>
      <c r="H2487" s="3"/>
      <c r="I2487" s="3"/>
      <c r="J2487" s="3"/>
      <c r="K2487" s="1"/>
      <c r="L2487" s="1"/>
    </row>
    <row r="2488" spans="2:19" x14ac:dyDescent="0.35">
      <c r="B2488" s="1"/>
      <c r="C2488" s="19" t="s">
        <v>846</v>
      </c>
      <c r="D2488" s="20" t="s">
        <v>847</v>
      </c>
      <c r="E2488" s="20" t="s">
        <v>764</v>
      </c>
      <c r="F2488" s="270" t="s">
        <v>848</v>
      </c>
      <c r="G2488" s="270" t="s">
        <v>849</v>
      </c>
      <c r="H2488" s="270" t="s">
        <v>742</v>
      </c>
      <c r="I2488" s="270" t="s">
        <v>740</v>
      </c>
      <c r="J2488" s="270" t="s">
        <v>850</v>
      </c>
      <c r="K2488" s="21" t="s">
        <v>851</v>
      </c>
      <c r="L2488" s="21" t="s">
        <v>852</v>
      </c>
    </row>
    <row r="2489" spans="2:19" x14ac:dyDescent="0.35">
      <c r="B2489" s="1">
        <v>0</v>
      </c>
      <c r="C2489" s="22">
        <v>44844</v>
      </c>
      <c r="D2489" s="22">
        <v>44865</v>
      </c>
      <c r="E2489" s="23">
        <f t="shared" ref="E2489:E2513" si="403">D2489-C2489+1</f>
        <v>22</v>
      </c>
      <c r="F2489" s="3">
        <f>D2480</f>
        <v>12000000</v>
      </c>
      <c r="G2489" s="3"/>
      <c r="H2489" s="3">
        <f>($D$2481/$D$2483*F2489*E2489/31)</f>
        <v>70967.741935483864</v>
      </c>
      <c r="I2489" s="3">
        <f t="shared" ref="I2489:I2513" si="404">G2489-H2489</f>
        <v>-70967.741935483864</v>
      </c>
      <c r="J2489" s="3">
        <f>F2489+F2480-I2489</f>
        <v>12070967.741935484</v>
      </c>
      <c r="K2489" s="24"/>
      <c r="L2489" s="24"/>
    </row>
    <row r="2490" spans="2:19" x14ac:dyDescent="0.35">
      <c r="B2490" s="1">
        <v>1</v>
      </c>
      <c r="C2490" s="22">
        <v>44866</v>
      </c>
      <c r="D2490" s="22">
        <v>44895</v>
      </c>
      <c r="E2490" s="23">
        <f t="shared" si="403"/>
        <v>30</v>
      </c>
      <c r="F2490" s="3">
        <f t="shared" ref="F2490:F2513" si="405">J2489</f>
        <v>12070967.741935484</v>
      </c>
      <c r="G2490" s="3"/>
      <c r="H2490" s="3">
        <f t="shared" ref="H2490:H2513" si="406">($D$2481/$D$2483*F2490)</f>
        <v>100591.39784946237</v>
      </c>
      <c r="I2490" s="3">
        <f t="shared" si="404"/>
        <v>-100591.39784946237</v>
      </c>
      <c r="J2490" s="3">
        <f t="shared" ref="J2490:J2513" si="407">F2490-I2490</f>
        <v>12171559.139784947</v>
      </c>
      <c r="K2490" s="24"/>
      <c r="L2490" s="24"/>
    </row>
    <row r="2491" spans="2:19" x14ac:dyDescent="0.35">
      <c r="B2491" s="1">
        <v>2</v>
      </c>
      <c r="C2491" s="22">
        <v>44896</v>
      </c>
      <c r="D2491" s="22">
        <v>44926</v>
      </c>
      <c r="E2491" s="23">
        <f t="shared" si="403"/>
        <v>31</v>
      </c>
      <c r="F2491" s="3">
        <f t="shared" si="405"/>
        <v>12171559.139784947</v>
      </c>
      <c r="G2491" s="3"/>
      <c r="H2491" s="3">
        <f t="shared" si="406"/>
        <v>101429.6594982079</v>
      </c>
      <c r="I2491" s="3">
        <f t="shared" si="404"/>
        <v>-101429.6594982079</v>
      </c>
      <c r="J2491" s="3">
        <f t="shared" si="407"/>
        <v>12272988.799283154</v>
      </c>
    </row>
    <row r="2492" spans="2:19" x14ac:dyDescent="0.35">
      <c r="B2492" s="1">
        <v>3</v>
      </c>
      <c r="C2492" s="22">
        <v>44927</v>
      </c>
      <c r="D2492" s="22">
        <v>44957</v>
      </c>
      <c r="E2492" s="23">
        <f t="shared" si="403"/>
        <v>31</v>
      </c>
      <c r="F2492" s="3">
        <f t="shared" si="405"/>
        <v>12272988.799283154</v>
      </c>
      <c r="G2492" s="3"/>
      <c r="H2492" s="3">
        <f t="shared" si="406"/>
        <v>102274.90666069296</v>
      </c>
      <c r="I2492" s="3">
        <f t="shared" si="404"/>
        <v>-102274.90666069296</v>
      </c>
      <c r="J2492" s="3">
        <f t="shared" si="407"/>
        <v>12375263.705943847</v>
      </c>
      <c r="K2492" s="24"/>
      <c r="L2492" s="24"/>
    </row>
    <row r="2493" spans="2:19" x14ac:dyDescent="0.35">
      <c r="B2493" s="1">
        <v>4</v>
      </c>
      <c r="C2493" s="22">
        <v>44958</v>
      </c>
      <c r="D2493" s="22">
        <v>44985</v>
      </c>
      <c r="E2493" s="23">
        <f t="shared" si="403"/>
        <v>28</v>
      </c>
      <c r="F2493" s="3">
        <f t="shared" si="405"/>
        <v>12375263.705943847</v>
      </c>
      <c r="G2493" s="3">
        <f t="shared" ref="G2493:G2513" si="408">-PMT($D$2481/$D$2483,21,$F$2493,,0)</f>
        <v>644810.83269679884</v>
      </c>
      <c r="H2493" s="3">
        <f t="shared" si="406"/>
        <v>103127.19754953205</v>
      </c>
      <c r="I2493" s="3">
        <f t="shared" si="404"/>
        <v>541683.63514726679</v>
      </c>
      <c r="J2493" s="3">
        <f t="shared" si="407"/>
        <v>11833580.070796581</v>
      </c>
      <c r="K2493" s="24">
        <v>600000</v>
      </c>
      <c r="L2493" s="24">
        <f>G2493-K2493</f>
        <v>44810.83269679884</v>
      </c>
    </row>
    <row r="2494" spans="2:19" x14ac:dyDescent="0.35">
      <c r="B2494" s="1">
        <v>5</v>
      </c>
      <c r="C2494" s="22">
        <v>44986</v>
      </c>
      <c r="D2494" s="22">
        <v>45016</v>
      </c>
      <c r="E2494" s="23">
        <f t="shared" si="403"/>
        <v>31</v>
      </c>
      <c r="F2494" s="3">
        <f t="shared" si="405"/>
        <v>11833580.070796581</v>
      </c>
      <c r="G2494" s="3">
        <f t="shared" si="408"/>
        <v>644810.83269679884</v>
      </c>
      <c r="H2494" s="3">
        <f t="shared" si="406"/>
        <v>98613.167256638175</v>
      </c>
      <c r="I2494" s="3">
        <f t="shared" si="404"/>
        <v>546197.66544016066</v>
      </c>
      <c r="J2494" s="3">
        <f t="shared" si="407"/>
        <v>11287382.40535642</v>
      </c>
      <c r="K2494" s="24">
        <v>0</v>
      </c>
      <c r="L2494" s="24">
        <f t="shared" ref="L2494:L2513" si="409">G2494-K2494+L2493</f>
        <v>689621.66539359768</v>
      </c>
    </row>
    <row r="2495" spans="2:19" x14ac:dyDescent="0.35">
      <c r="B2495" s="1">
        <v>6</v>
      </c>
      <c r="C2495" s="22">
        <v>45017</v>
      </c>
      <c r="D2495" s="22">
        <v>45046</v>
      </c>
      <c r="E2495" s="23">
        <f t="shared" si="403"/>
        <v>30</v>
      </c>
      <c r="F2495" s="3">
        <f t="shared" si="405"/>
        <v>11287382.40535642</v>
      </c>
      <c r="G2495" s="3">
        <f t="shared" si="408"/>
        <v>644810.83269679884</v>
      </c>
      <c r="H2495" s="3">
        <f t="shared" si="406"/>
        <v>94061.52004463684</v>
      </c>
      <c r="I2495" s="3">
        <f t="shared" si="404"/>
        <v>550749.31265216204</v>
      </c>
      <c r="J2495" s="3">
        <f t="shared" si="407"/>
        <v>10736633.092704259</v>
      </c>
      <c r="K2495" s="24"/>
      <c r="L2495" s="24">
        <f t="shared" si="409"/>
        <v>1334432.4980903966</v>
      </c>
    </row>
    <row r="2496" spans="2:19" x14ac:dyDescent="0.35">
      <c r="B2496" s="1">
        <v>7</v>
      </c>
      <c r="C2496" s="22">
        <v>45047</v>
      </c>
      <c r="D2496" s="22">
        <v>45077</v>
      </c>
      <c r="E2496" s="23">
        <f t="shared" si="403"/>
        <v>31</v>
      </c>
      <c r="F2496" s="3">
        <f t="shared" si="405"/>
        <v>10736633.092704259</v>
      </c>
      <c r="G2496" s="3">
        <f t="shared" si="408"/>
        <v>644810.83269679884</v>
      </c>
      <c r="H2496" s="3">
        <f t="shared" si="406"/>
        <v>89471.942439202161</v>
      </c>
      <c r="I2496" s="3">
        <f t="shared" si="404"/>
        <v>555338.89025759674</v>
      </c>
      <c r="J2496" s="3">
        <f t="shared" si="407"/>
        <v>10181294.202446662</v>
      </c>
      <c r="K2496" s="24"/>
      <c r="L2496" s="24">
        <f t="shared" si="409"/>
        <v>1979243.3307871954</v>
      </c>
    </row>
    <row r="2497" spans="2:12" x14ac:dyDescent="0.35">
      <c r="B2497" s="1">
        <v>8</v>
      </c>
      <c r="C2497" s="22">
        <v>45078</v>
      </c>
      <c r="D2497" s="22">
        <v>45107</v>
      </c>
      <c r="E2497" s="23">
        <f t="shared" si="403"/>
        <v>30</v>
      </c>
      <c r="F2497" s="3">
        <f t="shared" si="405"/>
        <v>10181294.202446662</v>
      </c>
      <c r="G2497" s="3">
        <f t="shared" si="408"/>
        <v>644810.83269679884</v>
      </c>
      <c r="H2497" s="3">
        <f t="shared" si="406"/>
        <v>84844.11835372218</v>
      </c>
      <c r="I2497" s="3">
        <f t="shared" si="404"/>
        <v>559966.71434307669</v>
      </c>
      <c r="J2497" s="3">
        <f t="shared" si="407"/>
        <v>9621327.4881035853</v>
      </c>
      <c r="K2497" s="24"/>
      <c r="L2497" s="26">
        <f t="shared" si="409"/>
        <v>2624054.1634839941</v>
      </c>
    </row>
    <row r="2498" spans="2:12" x14ac:dyDescent="0.35">
      <c r="B2498" s="1">
        <v>9</v>
      </c>
      <c r="C2498" s="22">
        <v>45108</v>
      </c>
      <c r="D2498" s="22">
        <v>45138</v>
      </c>
      <c r="E2498" s="23">
        <f t="shared" si="403"/>
        <v>31</v>
      </c>
      <c r="F2498" s="3">
        <f t="shared" si="405"/>
        <v>9621327.4881035853</v>
      </c>
      <c r="G2498" s="3">
        <f t="shared" si="408"/>
        <v>644810.83269679884</v>
      </c>
      <c r="H2498" s="3">
        <f t="shared" si="406"/>
        <v>80177.729067529872</v>
      </c>
      <c r="I2498" s="3">
        <f t="shared" si="404"/>
        <v>564633.10362926894</v>
      </c>
      <c r="J2498" s="3">
        <f t="shared" si="407"/>
        <v>9056694.3844743166</v>
      </c>
      <c r="K2498" s="24"/>
      <c r="L2498" s="24">
        <f t="shared" si="409"/>
        <v>3268864.9961807928</v>
      </c>
    </row>
    <row r="2499" spans="2:12" x14ac:dyDescent="0.35">
      <c r="B2499" s="1">
        <v>10</v>
      </c>
      <c r="C2499" s="22">
        <v>45139</v>
      </c>
      <c r="D2499" s="22">
        <v>45169</v>
      </c>
      <c r="E2499" s="23">
        <f t="shared" si="403"/>
        <v>31</v>
      </c>
      <c r="F2499" s="3">
        <f t="shared" si="405"/>
        <v>9056694.3844743166</v>
      </c>
      <c r="G2499" s="3">
        <f t="shared" si="408"/>
        <v>644810.83269679884</v>
      </c>
      <c r="H2499" s="3">
        <f t="shared" si="406"/>
        <v>75472.453203952638</v>
      </c>
      <c r="I2499" s="3">
        <f t="shared" si="404"/>
        <v>569338.3794928462</v>
      </c>
      <c r="J2499" s="3">
        <f t="shared" si="407"/>
        <v>8487356.0049814712</v>
      </c>
      <c r="K2499" s="24"/>
      <c r="L2499" s="24">
        <f t="shared" si="409"/>
        <v>3913675.8288775915</v>
      </c>
    </row>
    <row r="2500" spans="2:12" x14ac:dyDescent="0.35">
      <c r="B2500" s="1">
        <v>11</v>
      </c>
      <c r="C2500" s="22">
        <v>45170</v>
      </c>
      <c r="D2500" s="22">
        <v>45199</v>
      </c>
      <c r="E2500" s="23">
        <f t="shared" si="403"/>
        <v>30</v>
      </c>
      <c r="F2500" s="3">
        <f t="shared" si="405"/>
        <v>8487356.0049814712</v>
      </c>
      <c r="G2500" s="3">
        <f t="shared" si="408"/>
        <v>644810.83269679884</v>
      </c>
      <c r="H2500" s="3">
        <f t="shared" si="406"/>
        <v>70727.966708178923</v>
      </c>
      <c r="I2500" s="3">
        <f t="shared" si="404"/>
        <v>574082.86598861986</v>
      </c>
      <c r="J2500" s="3">
        <f t="shared" si="407"/>
        <v>7913273.1389928516</v>
      </c>
      <c r="K2500" s="24"/>
      <c r="L2500" s="24">
        <f t="shared" si="409"/>
        <v>4558486.6615743907</v>
      </c>
    </row>
    <row r="2501" spans="2:12" x14ac:dyDescent="0.35">
      <c r="B2501" s="1">
        <v>12</v>
      </c>
      <c r="C2501" s="22">
        <v>45200</v>
      </c>
      <c r="D2501" s="22">
        <v>45230</v>
      </c>
      <c r="E2501" s="23">
        <f t="shared" si="403"/>
        <v>31</v>
      </c>
      <c r="F2501" s="3">
        <f t="shared" si="405"/>
        <v>7913273.1389928516</v>
      </c>
      <c r="G2501" s="361">
        <f t="shared" si="408"/>
        <v>644810.83269679884</v>
      </c>
      <c r="H2501" s="3">
        <f t="shared" si="406"/>
        <v>65943.94282494043</v>
      </c>
      <c r="I2501" s="3">
        <f t="shared" si="404"/>
        <v>578866.88987185841</v>
      </c>
      <c r="J2501" s="3">
        <f t="shared" si="407"/>
        <v>7334406.2491209935</v>
      </c>
      <c r="K2501" s="24"/>
      <c r="L2501" s="24">
        <f t="shared" si="409"/>
        <v>5203297.4942711899</v>
      </c>
    </row>
    <row r="2502" spans="2:12" x14ac:dyDescent="0.35">
      <c r="B2502" s="1">
        <v>13</v>
      </c>
      <c r="C2502" s="22">
        <v>45231</v>
      </c>
      <c r="D2502" s="22">
        <v>45260</v>
      </c>
      <c r="E2502" s="23">
        <f t="shared" si="403"/>
        <v>30</v>
      </c>
      <c r="F2502" s="3">
        <f t="shared" si="405"/>
        <v>7334406.2491209935</v>
      </c>
      <c r="G2502" s="361">
        <f t="shared" si="408"/>
        <v>644810.83269679884</v>
      </c>
      <c r="H2502" s="3">
        <f t="shared" si="406"/>
        <v>61120.05207600828</v>
      </c>
      <c r="I2502" s="3">
        <f t="shared" si="404"/>
        <v>583690.78062079055</v>
      </c>
      <c r="J2502" s="3">
        <f t="shared" si="407"/>
        <v>6750715.4685002025</v>
      </c>
      <c r="K2502" s="24"/>
      <c r="L2502" s="24">
        <f t="shared" si="409"/>
        <v>5848108.3269679891</v>
      </c>
    </row>
    <row r="2503" spans="2:12" x14ac:dyDescent="0.35">
      <c r="B2503" s="1">
        <v>14</v>
      </c>
      <c r="C2503" s="22">
        <v>45261</v>
      </c>
      <c r="D2503" s="22">
        <v>45291</v>
      </c>
      <c r="E2503" s="23">
        <f t="shared" si="403"/>
        <v>31</v>
      </c>
      <c r="F2503" s="3">
        <f t="shared" si="405"/>
        <v>6750715.4685002025</v>
      </c>
      <c r="G2503" s="361">
        <f t="shared" si="408"/>
        <v>644810.83269679884</v>
      </c>
      <c r="H2503" s="3">
        <f t="shared" si="406"/>
        <v>56255.962237501684</v>
      </c>
      <c r="I2503" s="3">
        <f t="shared" si="404"/>
        <v>588554.87045929721</v>
      </c>
      <c r="J2503" s="3">
        <f t="shared" si="407"/>
        <v>6162160.5980409048</v>
      </c>
      <c r="K2503" s="24"/>
      <c r="L2503" s="24">
        <f t="shared" si="409"/>
        <v>6492919.1596647883</v>
      </c>
    </row>
    <row r="2504" spans="2:12" x14ac:dyDescent="0.35">
      <c r="B2504" s="1">
        <v>15</v>
      </c>
      <c r="C2504" s="22">
        <v>45292</v>
      </c>
      <c r="D2504" s="22">
        <v>45322</v>
      </c>
      <c r="E2504" s="23">
        <f t="shared" si="403"/>
        <v>31</v>
      </c>
      <c r="F2504" s="3">
        <f t="shared" si="405"/>
        <v>6162160.5980409048</v>
      </c>
      <c r="G2504" s="361">
        <f t="shared" si="408"/>
        <v>644810.83269679884</v>
      </c>
      <c r="H2504" s="3">
        <f t="shared" si="406"/>
        <v>51351.338317007539</v>
      </c>
      <c r="I2504" s="3">
        <f t="shared" si="404"/>
        <v>593459.49437979131</v>
      </c>
      <c r="J2504" s="3">
        <f t="shared" si="407"/>
        <v>5568701.1036611134</v>
      </c>
      <c r="K2504" s="24"/>
      <c r="L2504" s="24">
        <f t="shared" si="409"/>
        <v>7137729.9923615875</v>
      </c>
    </row>
    <row r="2505" spans="2:12" x14ac:dyDescent="0.35">
      <c r="B2505" s="1">
        <v>16</v>
      </c>
      <c r="C2505" s="22">
        <v>45323</v>
      </c>
      <c r="D2505" s="22">
        <v>45351</v>
      </c>
      <c r="E2505" s="23">
        <f t="shared" si="403"/>
        <v>29</v>
      </c>
      <c r="F2505" s="3">
        <f t="shared" si="405"/>
        <v>5568701.1036611134</v>
      </c>
      <c r="G2505" s="361">
        <f t="shared" si="408"/>
        <v>644810.83269679884</v>
      </c>
      <c r="H2505" s="3">
        <f t="shared" si="406"/>
        <v>46405.842530509275</v>
      </c>
      <c r="I2505" s="3">
        <f t="shared" si="404"/>
        <v>598404.99016628962</v>
      </c>
      <c r="J2505" s="3">
        <f t="shared" si="407"/>
        <v>4970296.1134948237</v>
      </c>
      <c r="K2505" s="24">
        <v>3500000</v>
      </c>
      <c r="L2505" s="24">
        <f t="shared" si="409"/>
        <v>4282540.8250583857</v>
      </c>
    </row>
    <row r="2506" spans="2:12" x14ac:dyDescent="0.35">
      <c r="B2506" s="1">
        <v>17</v>
      </c>
      <c r="C2506" s="22">
        <v>45352</v>
      </c>
      <c r="D2506" s="22">
        <v>45382</v>
      </c>
      <c r="E2506" s="23">
        <f t="shared" si="403"/>
        <v>31</v>
      </c>
      <c r="F2506" s="3">
        <f t="shared" si="405"/>
        <v>4970296.1134948237</v>
      </c>
      <c r="G2506" s="361">
        <f t="shared" si="408"/>
        <v>644810.83269679884</v>
      </c>
      <c r="H2506" s="3">
        <f t="shared" si="406"/>
        <v>41419.134279123529</v>
      </c>
      <c r="I2506" s="3">
        <f t="shared" si="404"/>
        <v>603391.69841767533</v>
      </c>
      <c r="J2506" s="3">
        <f t="shared" si="407"/>
        <v>4366904.415077148</v>
      </c>
      <c r="K2506" s="24"/>
      <c r="L2506" s="24">
        <f t="shared" si="409"/>
        <v>4927351.6577551849</v>
      </c>
    </row>
    <row r="2507" spans="2:12" x14ac:dyDescent="0.35">
      <c r="B2507" s="1">
        <v>18</v>
      </c>
      <c r="C2507" s="22">
        <v>45383</v>
      </c>
      <c r="D2507" s="22">
        <v>45412</v>
      </c>
      <c r="E2507" s="23">
        <f t="shared" si="403"/>
        <v>30</v>
      </c>
      <c r="F2507" s="3">
        <f t="shared" si="405"/>
        <v>4366904.415077148</v>
      </c>
      <c r="G2507" s="361">
        <f t="shared" si="408"/>
        <v>644810.83269679884</v>
      </c>
      <c r="H2507" s="3">
        <f t="shared" si="406"/>
        <v>36390.870125642898</v>
      </c>
      <c r="I2507" s="3">
        <f t="shared" si="404"/>
        <v>608419.96257115598</v>
      </c>
      <c r="J2507" s="3">
        <f t="shared" si="407"/>
        <v>3758484.4525059918</v>
      </c>
      <c r="K2507" s="24"/>
      <c r="L2507" s="24">
        <f t="shared" si="409"/>
        <v>5572162.4904519841</v>
      </c>
    </row>
    <row r="2508" spans="2:12" x14ac:dyDescent="0.35">
      <c r="B2508" s="1">
        <v>19</v>
      </c>
      <c r="C2508" s="22">
        <v>45413</v>
      </c>
      <c r="D2508" s="22">
        <v>45443</v>
      </c>
      <c r="E2508" s="23">
        <f t="shared" si="403"/>
        <v>31</v>
      </c>
      <c r="F2508" s="3">
        <f t="shared" si="405"/>
        <v>3758484.4525059918</v>
      </c>
      <c r="G2508" s="361">
        <f t="shared" si="408"/>
        <v>644810.83269679884</v>
      </c>
      <c r="H2508" s="3">
        <f t="shared" si="406"/>
        <v>31320.703770883265</v>
      </c>
      <c r="I2508" s="3">
        <f t="shared" si="404"/>
        <v>613490.12892591557</v>
      </c>
      <c r="J2508" s="3">
        <f t="shared" si="407"/>
        <v>3144994.323580076</v>
      </c>
      <c r="K2508" s="24">
        <v>1000000</v>
      </c>
      <c r="L2508" s="24">
        <f t="shared" si="409"/>
        <v>5216973.3231487833</v>
      </c>
    </row>
    <row r="2509" spans="2:12" x14ac:dyDescent="0.35">
      <c r="B2509" s="1">
        <v>20</v>
      </c>
      <c r="C2509" s="22">
        <v>45444</v>
      </c>
      <c r="D2509" s="22">
        <v>45473</v>
      </c>
      <c r="E2509" s="23">
        <f t="shared" si="403"/>
        <v>30</v>
      </c>
      <c r="F2509" s="3">
        <f t="shared" si="405"/>
        <v>3144994.323580076</v>
      </c>
      <c r="G2509" s="3">
        <f t="shared" si="408"/>
        <v>644810.83269679884</v>
      </c>
      <c r="H2509" s="3">
        <f t="shared" si="406"/>
        <v>26208.286029833966</v>
      </c>
      <c r="I2509" s="3">
        <f t="shared" si="404"/>
        <v>618602.54666696489</v>
      </c>
      <c r="J2509" s="3">
        <f t="shared" si="407"/>
        <v>2526391.7769131111</v>
      </c>
      <c r="K2509" s="24"/>
      <c r="L2509" s="24">
        <f t="shared" si="409"/>
        <v>5861784.1558455825</v>
      </c>
    </row>
    <row r="2510" spans="2:12" x14ac:dyDescent="0.35">
      <c r="B2510" s="1">
        <v>21</v>
      </c>
      <c r="C2510" s="22">
        <v>45474</v>
      </c>
      <c r="D2510" s="22">
        <v>45504</v>
      </c>
      <c r="E2510" s="23">
        <f t="shared" si="403"/>
        <v>31</v>
      </c>
      <c r="F2510" s="3">
        <f t="shared" si="405"/>
        <v>2526391.7769131111</v>
      </c>
      <c r="G2510" s="3">
        <f t="shared" si="408"/>
        <v>644810.83269679884</v>
      </c>
      <c r="H2510" s="3">
        <f t="shared" si="406"/>
        <v>21053.264807609259</v>
      </c>
      <c r="I2510" s="3">
        <f t="shared" si="404"/>
        <v>623757.56788918958</v>
      </c>
      <c r="J2510" s="3">
        <f t="shared" si="407"/>
        <v>1902634.2090239215</v>
      </c>
      <c r="K2510" s="24"/>
      <c r="L2510" s="24">
        <f t="shared" si="409"/>
        <v>6506594.9885423817</v>
      </c>
    </row>
    <row r="2511" spans="2:12" x14ac:dyDescent="0.35">
      <c r="B2511" s="1">
        <v>22</v>
      </c>
      <c r="C2511" s="22">
        <v>45505</v>
      </c>
      <c r="D2511" s="22">
        <v>45535</v>
      </c>
      <c r="E2511" s="23">
        <f t="shared" si="403"/>
        <v>31</v>
      </c>
      <c r="F2511" s="3">
        <f t="shared" si="405"/>
        <v>1902634.2090239215</v>
      </c>
      <c r="G2511" s="3">
        <f t="shared" si="408"/>
        <v>644810.83269679884</v>
      </c>
      <c r="H2511" s="3">
        <f t="shared" si="406"/>
        <v>15855.285075199346</v>
      </c>
      <c r="I2511" s="3">
        <f t="shared" si="404"/>
        <v>628955.54762159951</v>
      </c>
      <c r="J2511" s="3">
        <f t="shared" si="407"/>
        <v>1273678.6614023219</v>
      </c>
      <c r="K2511" s="24">
        <v>600000</v>
      </c>
      <c r="L2511" s="24">
        <f t="shared" si="409"/>
        <v>6551405.8212391809</v>
      </c>
    </row>
    <row r="2512" spans="2:12" x14ac:dyDescent="0.35">
      <c r="B2512" s="1">
        <v>23</v>
      </c>
      <c r="C2512" s="22">
        <v>45536</v>
      </c>
      <c r="D2512" s="22">
        <v>45565</v>
      </c>
      <c r="E2512" s="23">
        <f t="shared" si="403"/>
        <v>30</v>
      </c>
      <c r="F2512" s="3">
        <f t="shared" si="405"/>
        <v>1273678.6614023219</v>
      </c>
      <c r="G2512" s="3">
        <f t="shared" si="408"/>
        <v>644810.83269679884</v>
      </c>
      <c r="H2512" s="3">
        <f t="shared" si="406"/>
        <v>10613.988845019348</v>
      </c>
      <c r="I2512" s="3">
        <f t="shared" si="404"/>
        <v>634196.84385177947</v>
      </c>
      <c r="J2512" s="3">
        <f t="shared" si="407"/>
        <v>639481.81755054242</v>
      </c>
      <c r="K2512" s="24"/>
      <c r="L2512" s="24">
        <f t="shared" si="409"/>
        <v>7196216.6539359801</v>
      </c>
    </row>
    <row r="2513" spans="2:19" x14ac:dyDescent="0.35">
      <c r="B2513" s="1">
        <v>24</v>
      </c>
      <c r="C2513" s="22">
        <v>45566</v>
      </c>
      <c r="D2513" s="22">
        <v>45596</v>
      </c>
      <c r="E2513" s="23">
        <f t="shared" si="403"/>
        <v>31</v>
      </c>
      <c r="F2513" s="3">
        <f t="shared" si="405"/>
        <v>639481.81755054242</v>
      </c>
      <c r="G2513" s="3">
        <f t="shared" si="408"/>
        <v>644810.83269679884</v>
      </c>
      <c r="H2513" s="3">
        <f t="shared" si="406"/>
        <v>5329.01514625452</v>
      </c>
      <c r="I2513" s="3">
        <f t="shared" si="404"/>
        <v>639481.81755054428</v>
      </c>
      <c r="J2513" s="3">
        <f t="shared" si="407"/>
        <v>-1.862645149230957E-9</v>
      </c>
      <c r="K2513" s="24">
        <v>800000</v>
      </c>
      <c r="L2513" s="204">
        <f t="shared" si="409"/>
        <v>7041027.4866327792</v>
      </c>
    </row>
    <row r="2514" spans="2:19" x14ac:dyDescent="0.35">
      <c r="B2514" s="1"/>
      <c r="C2514" s="22"/>
      <c r="D2514" s="22"/>
      <c r="E2514" s="23"/>
      <c r="F2514" s="3"/>
      <c r="G2514" s="3"/>
      <c r="H2514" s="3"/>
      <c r="I2514" s="3"/>
      <c r="J2514" s="3"/>
      <c r="K2514" s="24"/>
      <c r="L2514" s="24"/>
    </row>
    <row r="2515" spans="2:19" ht="14.25" customHeight="1" x14ac:dyDescent="0.35">
      <c r="B2515" s="1"/>
      <c r="C2515" s="1"/>
      <c r="D2515" s="1"/>
      <c r="E2515" s="28">
        <f>SUM(E2489:E2513)</f>
        <v>753</v>
      </c>
      <c r="F2515" s="3"/>
      <c r="G2515" s="3"/>
      <c r="H2515" s="3"/>
      <c r="I2515" s="3"/>
      <c r="J2515" s="3"/>
      <c r="K2515" s="1"/>
      <c r="L2515" s="1"/>
    </row>
    <row r="2519" spans="2:19" x14ac:dyDescent="0.35">
      <c r="B2519" s="1"/>
      <c r="C2519" s="8" t="s">
        <v>608</v>
      </c>
      <c r="D2519" s="3"/>
      <c r="E2519" s="3"/>
      <c r="F2519" s="3"/>
      <c r="G2519" s="3"/>
      <c r="H2519" s="3"/>
      <c r="I2519" s="3"/>
      <c r="J2519" s="3"/>
      <c r="K2519" s="3"/>
      <c r="L2519" s="3"/>
      <c r="R2519" s="438" t="s">
        <v>832</v>
      </c>
      <c r="S2519" s="432" t="str">
        <f>IFERROR(INDEX(Blocks!$I$2:$I$101,MATCH(46,Blocks!$A$2:$A$101,0)),"")</f>
        <v>000104450000047</v>
      </c>
    </row>
    <row r="2520" spans="2:19" x14ac:dyDescent="0.35">
      <c r="B2520" s="1"/>
      <c r="C2520" s="1"/>
      <c r="D2520" s="3"/>
      <c r="E2520" s="3"/>
      <c r="F2520" s="3"/>
      <c r="G2520" s="3"/>
      <c r="H2520" s="3"/>
      <c r="I2520" s="3"/>
      <c r="J2520" s="3"/>
      <c r="K2520" s="3"/>
      <c r="L2520" s="3"/>
      <c r="R2520" s="438" t="s">
        <v>834</v>
      </c>
      <c r="S2520" s="432" t="str">
        <f>IFERROR(INDEX(Blocks!$H$2:$H$101,MATCH(46,Blocks!$A$2:$A$101,0)),"")</f>
        <v>Rose Harris Investment</v>
      </c>
    </row>
    <row r="2521" spans="2:19" x14ac:dyDescent="0.35">
      <c r="B2521" s="1"/>
      <c r="C2521" s="9" t="s">
        <v>835</v>
      </c>
      <c r="D2521" s="10">
        <v>24000000</v>
      </c>
      <c r="E2521" s="3"/>
      <c r="F2521" s="3"/>
      <c r="G2521" s="3"/>
      <c r="H2521" s="3"/>
      <c r="I2521" s="3"/>
      <c r="J2521" s="3"/>
      <c r="K2521" s="3"/>
      <c r="L2521" s="3"/>
      <c r="R2521" s="438" t="s">
        <v>223</v>
      </c>
      <c r="S2521" s="433">
        <f>IFERROR(INDEX('E-Banker master'!$N$2:$N$186,MATCH(S2519,'E-Banker master'!$A$2:$A$186,0)),"")</f>
        <v>0</v>
      </c>
    </row>
    <row r="2522" spans="2:19" x14ac:dyDescent="0.35">
      <c r="B2522" s="1"/>
      <c r="C2522" s="11" t="s">
        <v>837</v>
      </c>
      <c r="D2522" s="12">
        <v>0.1</v>
      </c>
      <c r="E2522" s="13"/>
      <c r="F2522" s="3"/>
      <c r="G2522" s="3"/>
      <c r="H2522" s="3"/>
      <c r="I2522" s="3"/>
      <c r="J2522" s="3"/>
      <c r="K2522" s="3"/>
      <c r="L2522" s="3"/>
      <c r="R2522" s="438" t="s">
        <v>52</v>
      </c>
      <c r="S2522" s="433">
        <f>IFERROR(INDEX('E-Banker master'!$P$2:$P$186,MATCH(S2519,'E-Banker master'!$A$2:$A$186,0)),"")</f>
        <v>0</v>
      </c>
    </row>
    <row r="2523" spans="2:19" x14ac:dyDescent="0.35">
      <c r="B2523" s="1"/>
      <c r="C2523" s="11" t="s">
        <v>838</v>
      </c>
      <c r="D2523" s="14">
        <v>2</v>
      </c>
      <c r="E2523" s="1"/>
      <c r="F2523" s="3"/>
      <c r="G2523" s="3"/>
      <c r="H2523" s="3"/>
      <c r="I2523" s="3"/>
      <c r="J2523" s="3"/>
      <c r="K2523" s="1"/>
      <c r="L2523" s="1"/>
    </row>
    <row r="2524" spans="2:19" x14ac:dyDescent="0.35">
      <c r="B2524" s="1"/>
      <c r="C2524" s="11" t="s">
        <v>839</v>
      </c>
      <c r="D2524" s="14">
        <v>12</v>
      </c>
      <c r="E2524" s="1"/>
      <c r="F2524" s="3"/>
      <c r="G2524" s="3"/>
      <c r="H2524" s="3"/>
      <c r="I2524" s="3"/>
      <c r="J2524" s="3"/>
      <c r="K2524" s="1"/>
      <c r="L2524" s="1"/>
    </row>
    <row r="2525" spans="2:19" x14ac:dyDescent="0.35">
      <c r="B2525" s="1"/>
      <c r="C2525" s="11" t="s">
        <v>843</v>
      </c>
      <c r="D2525" s="15">
        <f>D2523*D2524</f>
        <v>24</v>
      </c>
      <c r="E2525" s="1"/>
      <c r="F2525" s="3"/>
      <c r="G2525" s="3"/>
      <c r="H2525" s="3"/>
      <c r="I2525" s="3"/>
      <c r="J2525" s="3"/>
      <c r="K2525" s="1"/>
      <c r="L2525" s="1"/>
    </row>
    <row r="2526" spans="2:19" x14ac:dyDescent="0.35">
      <c r="B2526" s="1"/>
      <c r="C2526" s="11" t="s">
        <v>844</v>
      </c>
      <c r="D2526" s="16">
        <v>365</v>
      </c>
      <c r="E2526" s="1"/>
      <c r="F2526" s="3"/>
      <c r="G2526" s="3"/>
      <c r="H2526" s="3"/>
      <c r="I2526" s="3"/>
      <c r="J2526" s="3"/>
      <c r="K2526" s="1"/>
      <c r="L2526" s="1"/>
    </row>
    <row r="2527" spans="2:19" x14ac:dyDescent="0.35">
      <c r="B2527" s="1"/>
      <c r="C2527" s="17" t="s">
        <v>845</v>
      </c>
      <c r="D2527" s="18">
        <f>-PMT(D2522/D2524,D2525,D2521,0,0)</f>
        <v>1107478.2321003962</v>
      </c>
      <c r="E2527" s="3"/>
      <c r="F2527" s="3"/>
      <c r="G2527" s="3"/>
      <c r="H2527" s="3"/>
      <c r="I2527" s="3"/>
      <c r="J2527" s="3"/>
      <c r="K2527" s="1"/>
      <c r="L2527" s="1"/>
    </row>
    <row r="2528" spans="2:19" x14ac:dyDescent="0.35">
      <c r="B2528" s="1"/>
      <c r="C2528" s="1"/>
      <c r="D2528" s="3"/>
      <c r="E2528" s="3"/>
      <c r="F2528" s="3"/>
      <c r="G2528" s="3"/>
      <c r="H2528" s="3"/>
      <c r="I2528" s="3"/>
      <c r="J2528" s="3"/>
      <c r="K2528" s="1"/>
      <c r="L2528" s="1"/>
    </row>
    <row r="2529" spans="2:12" x14ac:dyDescent="0.35">
      <c r="B2529" s="1"/>
      <c r="C2529" s="19" t="s">
        <v>846</v>
      </c>
      <c r="D2529" s="20" t="s">
        <v>847</v>
      </c>
      <c r="E2529" s="20" t="s">
        <v>764</v>
      </c>
      <c r="F2529" s="270" t="s">
        <v>848</v>
      </c>
      <c r="G2529" s="270" t="s">
        <v>849</v>
      </c>
      <c r="H2529" s="270" t="s">
        <v>742</v>
      </c>
      <c r="I2529" s="270" t="s">
        <v>740</v>
      </c>
      <c r="J2529" s="270" t="s">
        <v>850</v>
      </c>
      <c r="K2529" s="21" t="s">
        <v>851</v>
      </c>
      <c r="L2529" s="21" t="s">
        <v>852</v>
      </c>
    </row>
    <row r="2530" spans="2:12" x14ac:dyDescent="0.35">
      <c r="B2530" s="1">
        <v>0</v>
      </c>
      <c r="C2530" s="22">
        <v>44852</v>
      </c>
      <c r="D2530" s="22">
        <v>44865</v>
      </c>
      <c r="E2530" s="23">
        <f t="shared" ref="E2530:E2554" si="410">D2530-C2530+1</f>
        <v>14</v>
      </c>
      <c r="F2530" s="3">
        <f>D2521</f>
        <v>24000000</v>
      </c>
      <c r="G2530" s="3"/>
      <c r="H2530" s="3">
        <f>($D$2522/$D$2524*F2530*E2530/31)</f>
        <v>90322.580645161288</v>
      </c>
      <c r="I2530" s="3">
        <f t="shared" ref="I2530:I2554" si="411">G2530-H2530</f>
        <v>-90322.580645161288</v>
      </c>
      <c r="J2530" s="3">
        <f>F2530+F2521-I2530</f>
        <v>24090322.580645163</v>
      </c>
      <c r="K2530" s="24"/>
      <c r="L2530" s="24"/>
    </row>
    <row r="2531" spans="2:12" x14ac:dyDescent="0.35">
      <c r="B2531" s="1">
        <v>1</v>
      </c>
      <c r="C2531" s="22">
        <v>44866</v>
      </c>
      <c r="D2531" s="22">
        <v>44895</v>
      </c>
      <c r="E2531" s="23">
        <f t="shared" si="410"/>
        <v>30</v>
      </c>
      <c r="F2531" s="3">
        <f t="shared" ref="F2531:F2554" si="412">J2530</f>
        <v>24090322.580645163</v>
      </c>
      <c r="G2531" s="3"/>
      <c r="H2531" s="3">
        <f t="shared" ref="H2531:H2554" si="413">($D$2522/$D$2524*F2531)</f>
        <v>200752.68817204301</v>
      </c>
      <c r="I2531" s="3">
        <f t="shared" si="411"/>
        <v>-200752.68817204301</v>
      </c>
      <c r="J2531" s="3">
        <f t="shared" ref="J2531:J2554" si="414">F2531-I2531</f>
        <v>24291075.268817205</v>
      </c>
      <c r="K2531" s="24"/>
      <c r="L2531" s="24"/>
    </row>
    <row r="2532" spans="2:12" x14ac:dyDescent="0.35">
      <c r="B2532" s="1">
        <v>2</v>
      </c>
      <c r="C2532" s="22">
        <v>44896</v>
      </c>
      <c r="D2532" s="22">
        <v>44926</v>
      </c>
      <c r="E2532" s="23">
        <f t="shared" si="410"/>
        <v>31</v>
      </c>
      <c r="F2532" s="3">
        <f t="shared" si="412"/>
        <v>24291075.268817205</v>
      </c>
      <c r="G2532" s="3"/>
      <c r="H2532" s="3">
        <f t="shared" si="413"/>
        <v>202425.62724014337</v>
      </c>
      <c r="I2532" s="3">
        <f t="shared" si="411"/>
        <v>-202425.62724014337</v>
      </c>
      <c r="J2532" s="3">
        <f t="shared" si="414"/>
        <v>24493500.896057349</v>
      </c>
    </row>
    <row r="2533" spans="2:12" x14ac:dyDescent="0.35">
      <c r="B2533" s="1">
        <v>3</v>
      </c>
      <c r="C2533" s="22">
        <v>44927</v>
      </c>
      <c r="D2533" s="22">
        <v>44957</v>
      </c>
      <c r="E2533" s="23">
        <f t="shared" si="410"/>
        <v>31</v>
      </c>
      <c r="F2533" s="3">
        <f t="shared" si="412"/>
        <v>24493500.896057349</v>
      </c>
      <c r="G2533" s="3"/>
      <c r="H2533" s="3">
        <f t="shared" si="413"/>
        <v>204112.50746714458</v>
      </c>
      <c r="I2533" s="3">
        <f t="shared" si="411"/>
        <v>-204112.50746714458</v>
      </c>
      <c r="J2533" s="3">
        <f t="shared" si="414"/>
        <v>24697613.403524492</v>
      </c>
      <c r="K2533" s="24"/>
      <c r="L2533" s="24"/>
    </row>
    <row r="2534" spans="2:12" x14ac:dyDescent="0.35">
      <c r="B2534" s="1">
        <v>4</v>
      </c>
      <c r="C2534" s="22">
        <v>44958</v>
      </c>
      <c r="D2534" s="22">
        <v>44985</v>
      </c>
      <c r="E2534" s="23">
        <f t="shared" si="410"/>
        <v>28</v>
      </c>
      <c r="F2534" s="3">
        <f t="shared" si="412"/>
        <v>24697613.403524492</v>
      </c>
      <c r="G2534" s="3">
        <f t="shared" ref="G2534:G2554" si="415">-PMT($D$2522/$D$2524,21,$F$2534,,0)</f>
        <v>1286864.5907481809</v>
      </c>
      <c r="H2534" s="3">
        <f t="shared" si="413"/>
        <v>205813.44502937078</v>
      </c>
      <c r="I2534" s="3">
        <f t="shared" si="411"/>
        <v>1081051.1457188101</v>
      </c>
      <c r="J2534" s="3">
        <f t="shared" si="414"/>
        <v>23616562.257805683</v>
      </c>
      <c r="K2534" s="24">
        <v>2000000</v>
      </c>
      <c r="L2534" s="24">
        <f>G2534-K2534</f>
        <v>-713135.40925181913</v>
      </c>
    </row>
    <row r="2535" spans="2:12" x14ac:dyDescent="0.35">
      <c r="B2535" s="1">
        <v>5</v>
      </c>
      <c r="C2535" s="22">
        <v>44986</v>
      </c>
      <c r="D2535" s="22">
        <v>45016</v>
      </c>
      <c r="E2535" s="23">
        <f t="shared" si="410"/>
        <v>31</v>
      </c>
      <c r="F2535" s="3">
        <f t="shared" si="412"/>
        <v>23616562.257805683</v>
      </c>
      <c r="G2535" s="3">
        <f t="shared" si="415"/>
        <v>1286864.5907481809</v>
      </c>
      <c r="H2535" s="3">
        <f t="shared" si="413"/>
        <v>196804.68548171403</v>
      </c>
      <c r="I2535" s="3">
        <f t="shared" si="411"/>
        <v>1090059.9052664668</v>
      </c>
      <c r="J2535" s="3">
        <f t="shared" si="414"/>
        <v>22526502.352539215</v>
      </c>
      <c r="K2535" s="24">
        <v>2000000</v>
      </c>
      <c r="L2535" s="24">
        <f t="shared" ref="L2535:L2544" si="416">L2534+G2535-K2535</f>
        <v>-1426270.8185036383</v>
      </c>
    </row>
    <row r="2536" spans="2:12" x14ac:dyDescent="0.35">
      <c r="B2536" s="1">
        <v>6</v>
      </c>
      <c r="C2536" s="22">
        <v>45017</v>
      </c>
      <c r="D2536" s="22">
        <v>45046</v>
      </c>
      <c r="E2536" s="23">
        <f t="shared" si="410"/>
        <v>30</v>
      </c>
      <c r="F2536" s="3">
        <f t="shared" si="412"/>
        <v>22526502.352539215</v>
      </c>
      <c r="G2536" s="3">
        <f t="shared" si="415"/>
        <v>1286864.5907481809</v>
      </c>
      <c r="H2536" s="3">
        <f t="shared" si="413"/>
        <v>187720.8529378268</v>
      </c>
      <c r="I2536" s="3">
        <f t="shared" si="411"/>
        <v>1099143.737810354</v>
      </c>
      <c r="J2536" s="3">
        <f t="shared" si="414"/>
        <v>21427358.614728861</v>
      </c>
      <c r="K2536" s="24"/>
      <c r="L2536" s="24">
        <f t="shared" si="416"/>
        <v>-139406.2277554574</v>
      </c>
    </row>
    <row r="2537" spans="2:12" x14ac:dyDescent="0.35">
      <c r="B2537" s="1">
        <v>7</v>
      </c>
      <c r="C2537" s="22">
        <v>45047</v>
      </c>
      <c r="D2537" s="22">
        <v>45077</v>
      </c>
      <c r="E2537" s="23">
        <f t="shared" si="410"/>
        <v>31</v>
      </c>
      <c r="F2537" s="3">
        <f t="shared" si="412"/>
        <v>21427358.614728861</v>
      </c>
      <c r="G2537" s="3">
        <f t="shared" si="415"/>
        <v>1286864.5907481809</v>
      </c>
      <c r="H2537" s="3">
        <f t="shared" si="413"/>
        <v>178561.32178940717</v>
      </c>
      <c r="I2537" s="3">
        <f t="shared" si="411"/>
        <v>1108303.2689587737</v>
      </c>
      <c r="J2537" s="3">
        <f t="shared" si="414"/>
        <v>20319055.345770087</v>
      </c>
      <c r="K2537" s="24">
        <f>2000000+2000000</f>
        <v>4000000</v>
      </c>
      <c r="L2537" s="24">
        <f t="shared" si="416"/>
        <v>-2852541.6370072765</v>
      </c>
    </row>
    <row r="2538" spans="2:12" x14ac:dyDescent="0.35">
      <c r="B2538" s="1">
        <v>8</v>
      </c>
      <c r="C2538" s="22">
        <v>45078</v>
      </c>
      <c r="D2538" s="22">
        <v>45107</v>
      </c>
      <c r="E2538" s="23">
        <f t="shared" si="410"/>
        <v>30</v>
      </c>
      <c r="F2538" s="3">
        <f t="shared" si="412"/>
        <v>20319055.345770087</v>
      </c>
      <c r="G2538" s="3">
        <f t="shared" si="415"/>
        <v>1286864.5907481809</v>
      </c>
      <c r="H2538" s="3">
        <f t="shared" si="413"/>
        <v>169325.46121475071</v>
      </c>
      <c r="I2538" s="3">
        <f t="shared" si="411"/>
        <v>1117539.1295334301</v>
      </c>
      <c r="J2538" s="3">
        <f t="shared" si="414"/>
        <v>19201516.216236658</v>
      </c>
      <c r="K2538" s="24">
        <v>2000000</v>
      </c>
      <c r="L2538" s="24">
        <f t="shared" si="416"/>
        <v>-3565677.0462590959</v>
      </c>
    </row>
    <row r="2539" spans="2:12" x14ac:dyDescent="0.35">
      <c r="B2539" s="1">
        <v>9</v>
      </c>
      <c r="C2539" s="22">
        <v>45108</v>
      </c>
      <c r="D2539" s="22">
        <v>45138</v>
      </c>
      <c r="E2539" s="23">
        <f t="shared" si="410"/>
        <v>31</v>
      </c>
      <c r="F2539" s="3">
        <f t="shared" si="412"/>
        <v>19201516.216236658</v>
      </c>
      <c r="G2539" s="3">
        <f t="shared" si="415"/>
        <v>1286864.5907481809</v>
      </c>
      <c r="H2539" s="3">
        <f t="shared" si="413"/>
        <v>160012.63513530549</v>
      </c>
      <c r="I2539" s="3">
        <f t="shared" si="411"/>
        <v>1126851.9556128753</v>
      </c>
      <c r="J2539" s="3">
        <f t="shared" si="414"/>
        <v>18074664.260623783</v>
      </c>
      <c r="K2539" s="24"/>
      <c r="L2539" s="24">
        <f t="shared" si="416"/>
        <v>-2278812.4555109153</v>
      </c>
    </row>
    <row r="2540" spans="2:12" x14ac:dyDescent="0.35">
      <c r="B2540" s="1">
        <v>10</v>
      </c>
      <c r="C2540" s="22">
        <v>45139</v>
      </c>
      <c r="D2540" s="22">
        <v>45169</v>
      </c>
      <c r="E2540" s="23">
        <f t="shared" si="410"/>
        <v>31</v>
      </c>
      <c r="F2540" s="3">
        <f t="shared" si="412"/>
        <v>18074664.260623783</v>
      </c>
      <c r="G2540" s="3">
        <f t="shared" si="415"/>
        <v>1286864.5907481809</v>
      </c>
      <c r="H2540" s="3">
        <f t="shared" si="413"/>
        <v>150622.20217186486</v>
      </c>
      <c r="I2540" s="3">
        <f t="shared" si="411"/>
        <v>1136242.3885763159</v>
      </c>
      <c r="J2540" s="3">
        <f t="shared" si="414"/>
        <v>16938421.872047465</v>
      </c>
      <c r="K2540" s="24">
        <v>2000000</v>
      </c>
      <c r="L2540" s="24">
        <f t="shared" si="416"/>
        <v>-2991947.8647627346</v>
      </c>
    </row>
    <row r="2541" spans="2:12" x14ac:dyDescent="0.35">
      <c r="B2541" s="1">
        <v>11</v>
      </c>
      <c r="C2541" s="22">
        <v>45170</v>
      </c>
      <c r="D2541" s="22">
        <v>45199</v>
      </c>
      <c r="E2541" s="23">
        <f t="shared" si="410"/>
        <v>30</v>
      </c>
      <c r="F2541" s="3">
        <f t="shared" si="412"/>
        <v>16938421.872047465</v>
      </c>
      <c r="G2541" s="3">
        <f t="shared" si="415"/>
        <v>1286864.5907481809</v>
      </c>
      <c r="H2541" s="3">
        <f t="shared" si="413"/>
        <v>141153.51560039553</v>
      </c>
      <c r="I2541" s="3">
        <f t="shared" si="411"/>
        <v>1145711.0751477852</v>
      </c>
      <c r="J2541" s="3">
        <f t="shared" si="414"/>
        <v>15792710.79689968</v>
      </c>
      <c r="K2541" s="24"/>
      <c r="L2541" s="24">
        <f t="shared" si="416"/>
        <v>-1705083.2740145538</v>
      </c>
    </row>
    <row r="2542" spans="2:12" x14ac:dyDescent="0.35">
      <c r="B2542" s="1">
        <v>12</v>
      </c>
      <c r="C2542" s="22">
        <v>45200</v>
      </c>
      <c r="D2542" s="22">
        <v>45230</v>
      </c>
      <c r="E2542" s="23">
        <f t="shared" si="410"/>
        <v>31</v>
      </c>
      <c r="F2542" s="3">
        <f t="shared" si="412"/>
        <v>15792710.79689968</v>
      </c>
      <c r="G2542" s="3">
        <f t="shared" si="415"/>
        <v>1286864.5907481809</v>
      </c>
      <c r="H2542" s="3">
        <f t="shared" si="413"/>
        <v>131605.92330749735</v>
      </c>
      <c r="I2542" s="3">
        <f t="shared" si="411"/>
        <v>1155258.6674406836</v>
      </c>
      <c r="J2542" s="3">
        <f t="shared" si="414"/>
        <v>14637452.129458997</v>
      </c>
      <c r="K2542" s="24"/>
      <c r="L2542" s="24">
        <f t="shared" si="416"/>
        <v>-418218.68326637289</v>
      </c>
    </row>
    <row r="2543" spans="2:12" x14ac:dyDescent="0.35">
      <c r="B2543" s="1">
        <v>13</v>
      </c>
      <c r="C2543" s="22">
        <v>45231</v>
      </c>
      <c r="D2543" s="22">
        <v>45260</v>
      </c>
      <c r="E2543" s="23">
        <f t="shared" si="410"/>
        <v>30</v>
      </c>
      <c r="F2543" s="3">
        <f t="shared" si="412"/>
        <v>14637452.129458997</v>
      </c>
      <c r="G2543" s="3">
        <f t="shared" si="415"/>
        <v>1286864.5907481809</v>
      </c>
      <c r="H2543" s="3">
        <f t="shared" si="413"/>
        <v>121978.76774549164</v>
      </c>
      <c r="I2543" s="3">
        <f t="shared" si="411"/>
        <v>1164885.8230026893</v>
      </c>
      <c r="J2543" s="3">
        <f t="shared" si="414"/>
        <v>13472566.306456309</v>
      </c>
      <c r="K2543" s="24"/>
      <c r="L2543" s="24">
        <f t="shared" si="416"/>
        <v>868645.90748180798</v>
      </c>
    </row>
    <row r="2544" spans="2:12" x14ac:dyDescent="0.35">
      <c r="B2544" s="1">
        <v>14</v>
      </c>
      <c r="C2544" s="22">
        <v>45261</v>
      </c>
      <c r="D2544" s="22">
        <v>45291</v>
      </c>
      <c r="E2544" s="23">
        <f t="shared" si="410"/>
        <v>31</v>
      </c>
      <c r="F2544" s="3">
        <f t="shared" si="412"/>
        <v>13472566.306456309</v>
      </c>
      <c r="G2544" s="3">
        <f t="shared" si="415"/>
        <v>1286864.5907481809</v>
      </c>
      <c r="H2544" s="3">
        <f t="shared" si="413"/>
        <v>112271.38588713591</v>
      </c>
      <c r="I2544" s="3">
        <f t="shared" si="411"/>
        <v>1174593.2048610449</v>
      </c>
      <c r="J2544" s="3">
        <f t="shared" si="414"/>
        <v>12297973.101595264</v>
      </c>
      <c r="K2544" s="24">
        <f>11500000+2954000</f>
        <v>14454000</v>
      </c>
      <c r="L2544" s="205">
        <f t="shared" si="416"/>
        <v>-12298489.501770012</v>
      </c>
    </row>
    <row r="2545" spans="2:12" x14ac:dyDescent="0.35">
      <c r="B2545" s="1">
        <v>15</v>
      </c>
      <c r="C2545" s="22">
        <v>45292</v>
      </c>
      <c r="D2545" s="22">
        <v>45322</v>
      </c>
      <c r="E2545" s="23">
        <f t="shared" si="410"/>
        <v>31</v>
      </c>
      <c r="F2545" s="3">
        <f t="shared" si="412"/>
        <v>12297973.101595264</v>
      </c>
      <c r="G2545" s="3">
        <f t="shared" si="415"/>
        <v>1286864.5907481809</v>
      </c>
      <c r="H2545" s="3">
        <f t="shared" si="413"/>
        <v>102483.10917996053</v>
      </c>
      <c r="I2545" s="3">
        <f t="shared" si="411"/>
        <v>1184381.4815682203</v>
      </c>
      <c r="J2545" s="3">
        <f t="shared" si="414"/>
        <v>11113591.620027043</v>
      </c>
      <c r="K2545" s="24"/>
      <c r="L2545" s="24"/>
    </row>
    <row r="2546" spans="2:12" x14ac:dyDescent="0.35">
      <c r="B2546" s="1">
        <v>16</v>
      </c>
      <c r="C2546" s="22">
        <v>45323</v>
      </c>
      <c r="D2546" s="22">
        <v>45351</v>
      </c>
      <c r="E2546" s="23">
        <f t="shared" si="410"/>
        <v>29</v>
      </c>
      <c r="F2546" s="3">
        <f t="shared" si="412"/>
        <v>11113591.620027043</v>
      </c>
      <c r="G2546" s="3">
        <f t="shared" si="415"/>
        <v>1286864.5907481809</v>
      </c>
      <c r="H2546" s="3">
        <f t="shared" si="413"/>
        <v>92613.263500225352</v>
      </c>
      <c r="I2546" s="3">
        <f t="shared" si="411"/>
        <v>1194251.3272479556</v>
      </c>
      <c r="J2546" s="3">
        <f t="shared" si="414"/>
        <v>9919340.292779088</v>
      </c>
      <c r="K2546" s="24"/>
      <c r="L2546" s="24"/>
    </row>
    <row r="2547" spans="2:12" x14ac:dyDescent="0.35">
      <c r="B2547" s="1">
        <v>17</v>
      </c>
      <c r="C2547" s="22">
        <v>45352</v>
      </c>
      <c r="D2547" s="22">
        <v>45382</v>
      </c>
      <c r="E2547" s="23">
        <f t="shared" si="410"/>
        <v>31</v>
      </c>
      <c r="F2547" s="3">
        <f t="shared" si="412"/>
        <v>9919340.292779088</v>
      </c>
      <c r="G2547" s="3">
        <f t="shared" si="415"/>
        <v>1286864.5907481809</v>
      </c>
      <c r="H2547" s="3">
        <f t="shared" si="413"/>
        <v>82661.169106492394</v>
      </c>
      <c r="I2547" s="3">
        <f t="shared" si="411"/>
        <v>1204203.4216416886</v>
      </c>
      <c r="J2547" s="3">
        <f t="shared" si="414"/>
        <v>8715136.8711373992</v>
      </c>
      <c r="K2547" s="24"/>
      <c r="L2547" s="24"/>
    </row>
    <row r="2548" spans="2:12" x14ac:dyDescent="0.35">
      <c r="B2548" s="1">
        <v>18</v>
      </c>
      <c r="C2548" s="22">
        <v>45383</v>
      </c>
      <c r="D2548" s="22">
        <v>45412</v>
      </c>
      <c r="E2548" s="23">
        <f t="shared" si="410"/>
        <v>30</v>
      </c>
      <c r="F2548" s="3">
        <f t="shared" si="412"/>
        <v>8715136.8711373992</v>
      </c>
      <c r="G2548" s="3">
        <f t="shared" si="415"/>
        <v>1286864.5907481809</v>
      </c>
      <c r="H2548" s="3">
        <f t="shared" si="413"/>
        <v>72626.140592811658</v>
      </c>
      <c r="I2548" s="3">
        <f t="shared" si="411"/>
        <v>1214238.4501553692</v>
      </c>
      <c r="J2548" s="3">
        <f t="shared" si="414"/>
        <v>7500898.4209820302</v>
      </c>
      <c r="K2548" s="24"/>
      <c r="L2548" s="24"/>
    </row>
    <row r="2549" spans="2:12" x14ac:dyDescent="0.35">
      <c r="B2549" s="1">
        <v>19</v>
      </c>
      <c r="C2549" s="22">
        <v>45413</v>
      </c>
      <c r="D2549" s="22">
        <v>45443</v>
      </c>
      <c r="E2549" s="23">
        <f t="shared" si="410"/>
        <v>31</v>
      </c>
      <c r="F2549" s="3">
        <f t="shared" si="412"/>
        <v>7500898.4209820302</v>
      </c>
      <c r="G2549" s="3">
        <f t="shared" si="415"/>
        <v>1286864.5907481809</v>
      </c>
      <c r="H2549" s="3">
        <f t="shared" si="413"/>
        <v>62507.486841516919</v>
      </c>
      <c r="I2549" s="3">
        <f t="shared" si="411"/>
        <v>1224357.1039066641</v>
      </c>
      <c r="J2549" s="3">
        <f t="shared" si="414"/>
        <v>6276541.3170753662</v>
      </c>
      <c r="K2549" s="24"/>
      <c r="L2549" s="24"/>
    </row>
    <row r="2550" spans="2:12" x14ac:dyDescent="0.35">
      <c r="B2550" s="1">
        <v>20</v>
      </c>
      <c r="C2550" s="22">
        <v>45444</v>
      </c>
      <c r="D2550" s="22">
        <v>45473</v>
      </c>
      <c r="E2550" s="23">
        <f t="shared" si="410"/>
        <v>30</v>
      </c>
      <c r="F2550" s="3">
        <f t="shared" si="412"/>
        <v>6276541.3170753662</v>
      </c>
      <c r="G2550" s="3">
        <f t="shared" si="415"/>
        <v>1286864.5907481809</v>
      </c>
      <c r="H2550" s="3">
        <f t="shared" si="413"/>
        <v>52304.510975628051</v>
      </c>
      <c r="I2550" s="3">
        <f t="shared" si="411"/>
        <v>1234560.0797725527</v>
      </c>
      <c r="J2550" s="3">
        <f t="shared" si="414"/>
        <v>5041981.2373028137</v>
      </c>
      <c r="K2550" s="24"/>
      <c r="L2550" s="24"/>
    </row>
    <row r="2551" spans="2:12" x14ac:dyDescent="0.35">
      <c r="B2551" s="1">
        <v>21</v>
      </c>
      <c r="C2551" s="22">
        <v>45474</v>
      </c>
      <c r="D2551" s="22">
        <v>45504</v>
      </c>
      <c r="E2551" s="23">
        <f t="shared" si="410"/>
        <v>31</v>
      </c>
      <c r="F2551" s="3">
        <f t="shared" si="412"/>
        <v>5041981.2373028137</v>
      </c>
      <c r="G2551" s="3">
        <f t="shared" si="415"/>
        <v>1286864.5907481809</v>
      </c>
      <c r="H2551" s="3">
        <f t="shared" si="413"/>
        <v>42016.510310856778</v>
      </c>
      <c r="I2551" s="3">
        <f t="shared" si="411"/>
        <v>1244848.080437324</v>
      </c>
      <c r="J2551" s="3">
        <f t="shared" si="414"/>
        <v>3797133.1568654897</v>
      </c>
      <c r="K2551" s="24"/>
      <c r="L2551" s="24"/>
    </row>
    <row r="2552" spans="2:12" x14ac:dyDescent="0.35">
      <c r="B2552" s="1">
        <v>22</v>
      </c>
      <c r="C2552" s="22">
        <v>45505</v>
      </c>
      <c r="D2552" s="22">
        <v>45535</v>
      </c>
      <c r="E2552" s="23">
        <f t="shared" si="410"/>
        <v>31</v>
      </c>
      <c r="F2552" s="3">
        <f t="shared" si="412"/>
        <v>3797133.1568654897</v>
      </c>
      <c r="G2552" s="3">
        <f t="shared" si="415"/>
        <v>1286864.5907481809</v>
      </c>
      <c r="H2552" s="3">
        <f t="shared" si="413"/>
        <v>31642.776307212414</v>
      </c>
      <c r="I2552" s="3">
        <f t="shared" si="411"/>
        <v>1255221.8144409684</v>
      </c>
      <c r="J2552" s="3">
        <f t="shared" si="414"/>
        <v>2541911.3424245212</v>
      </c>
      <c r="K2552" s="24"/>
      <c r="L2552" s="24"/>
    </row>
    <row r="2553" spans="2:12" x14ac:dyDescent="0.35">
      <c r="B2553" s="1">
        <v>23</v>
      </c>
      <c r="C2553" s="22">
        <v>45536</v>
      </c>
      <c r="D2553" s="22">
        <v>45565</v>
      </c>
      <c r="E2553" s="23">
        <f t="shared" si="410"/>
        <v>30</v>
      </c>
      <c r="F2553" s="3">
        <f t="shared" si="412"/>
        <v>2541911.3424245212</v>
      </c>
      <c r="G2553" s="3">
        <f t="shared" si="415"/>
        <v>1286864.5907481809</v>
      </c>
      <c r="H2553" s="3">
        <f t="shared" si="413"/>
        <v>21182.594520204344</v>
      </c>
      <c r="I2553" s="3">
        <f t="shared" si="411"/>
        <v>1265681.9962279766</v>
      </c>
      <c r="J2553" s="3">
        <f t="shared" si="414"/>
        <v>1276229.3461965446</v>
      </c>
      <c r="K2553" s="24"/>
      <c r="L2553" s="24"/>
    </row>
    <row r="2554" spans="2:12" x14ac:dyDescent="0.35">
      <c r="B2554" s="1">
        <v>24</v>
      </c>
      <c r="C2554" s="22">
        <v>45566</v>
      </c>
      <c r="D2554" s="22">
        <v>45596</v>
      </c>
      <c r="E2554" s="23">
        <f t="shared" si="410"/>
        <v>31</v>
      </c>
      <c r="F2554" s="3">
        <f t="shared" si="412"/>
        <v>1276229.3461965446</v>
      </c>
      <c r="G2554" s="3">
        <f t="shared" si="415"/>
        <v>1286864.5907481809</v>
      </c>
      <c r="H2554" s="3">
        <f t="shared" si="413"/>
        <v>10635.244551637872</v>
      </c>
      <c r="I2554" s="3">
        <f t="shared" si="411"/>
        <v>1276229.346196543</v>
      </c>
      <c r="J2554" s="3">
        <f t="shared" si="414"/>
        <v>0</v>
      </c>
      <c r="K2554" s="24"/>
      <c r="L2554" s="24"/>
    </row>
    <row r="2555" spans="2:12" x14ac:dyDescent="0.35">
      <c r="B2555" s="1"/>
      <c r="C2555" s="22"/>
      <c r="D2555" s="22"/>
      <c r="E2555" s="23"/>
      <c r="F2555" s="3"/>
      <c r="G2555" s="3"/>
      <c r="H2555" s="3"/>
      <c r="I2555" s="3"/>
      <c r="J2555" s="3"/>
      <c r="K2555" s="24"/>
      <c r="L2555" s="24"/>
    </row>
    <row r="2556" spans="2:12" ht="14.25" customHeight="1" x14ac:dyDescent="0.35">
      <c r="B2556" s="1"/>
      <c r="C2556" s="1"/>
      <c r="D2556" s="1"/>
      <c r="E2556" s="28">
        <f>SUM(E2530:E2554)</f>
        <v>745</v>
      </c>
      <c r="F2556" s="3"/>
      <c r="G2556" s="3"/>
      <c r="H2556" s="3"/>
      <c r="I2556" s="3"/>
      <c r="J2556" s="3"/>
      <c r="K2556" s="1"/>
      <c r="L2556" s="1"/>
    </row>
    <row r="2561" spans="2:19" x14ac:dyDescent="0.35">
      <c r="B2561" s="1"/>
      <c r="C2561" s="8" t="s">
        <v>794</v>
      </c>
      <c r="D2561" s="3"/>
      <c r="E2561" s="3"/>
      <c r="F2561" s="3"/>
      <c r="G2561" s="3"/>
      <c r="H2561" s="3"/>
      <c r="I2561" s="3"/>
      <c r="J2561" s="3"/>
      <c r="K2561" s="3"/>
      <c r="L2561" s="3"/>
      <c r="R2561" s="438" t="s">
        <v>832</v>
      </c>
      <c r="S2561" s="432" t="str">
        <f>IFERROR(INDEX(Blocks!$I$2:$I$101,MATCH(47,Blocks!$A$2:$A$101,0)),"")</f>
        <v>000104450000048</v>
      </c>
    </row>
    <row r="2562" spans="2:19" x14ac:dyDescent="0.35">
      <c r="B2562" s="1"/>
      <c r="C2562" s="1"/>
      <c r="D2562" s="3"/>
      <c r="E2562" s="3"/>
      <c r="F2562" s="3"/>
      <c r="G2562" s="3"/>
      <c r="H2562" s="3"/>
      <c r="I2562" s="3"/>
      <c r="J2562" s="3"/>
      <c r="K2562" s="3"/>
      <c r="L2562" s="3"/>
      <c r="R2562" s="438" t="s">
        <v>834</v>
      </c>
      <c r="S2562" s="432" t="str">
        <f>IFERROR(INDEX(Blocks!$H$2:$H$101,MATCH(47,Blocks!$A$2:$A$101,0)),"")</f>
        <v>Kaning'a General Dealer</v>
      </c>
    </row>
    <row r="2563" spans="2:19" x14ac:dyDescent="0.35">
      <c r="B2563" s="1"/>
      <c r="C2563" s="9" t="s">
        <v>835</v>
      </c>
      <c r="D2563" s="10">
        <v>24000000</v>
      </c>
      <c r="E2563" s="3"/>
      <c r="F2563" s="3"/>
      <c r="G2563" s="3"/>
      <c r="H2563" s="3"/>
      <c r="I2563" s="3"/>
      <c r="J2563" s="3"/>
      <c r="K2563" s="3"/>
      <c r="L2563" s="3"/>
      <c r="R2563" s="438" t="s">
        <v>223</v>
      </c>
      <c r="S2563" s="433">
        <f>IFERROR(INDEX('E-Banker master'!$N$2:$N$186,MATCH(S2561,'E-Banker master'!$A$2:$A$186,0)),"")</f>
        <v>24000000</v>
      </c>
    </row>
    <row r="2564" spans="2:19" x14ac:dyDescent="0.35">
      <c r="B2564" s="1"/>
      <c r="C2564" s="11" t="s">
        <v>837</v>
      </c>
      <c r="D2564" s="12">
        <v>0.1</v>
      </c>
      <c r="E2564" s="13"/>
      <c r="F2564" s="3"/>
      <c r="G2564" s="3"/>
      <c r="H2564" s="3"/>
      <c r="I2564" s="3"/>
      <c r="J2564" s="3"/>
      <c r="K2564" s="3"/>
      <c r="L2564" s="3"/>
      <c r="R2564" s="438" t="s">
        <v>52</v>
      </c>
      <c r="S2564" s="433">
        <f>IFERROR(INDEX('E-Banker master'!$P$2:$P$186,MATCH(S2561,'E-Banker master'!$A$2:$A$186,0)),"")</f>
        <v>1685.92</v>
      </c>
    </row>
    <row r="2565" spans="2:19" x14ac:dyDescent="0.35">
      <c r="B2565" s="1"/>
      <c r="C2565" s="11" t="s">
        <v>838</v>
      </c>
      <c r="D2565" s="14">
        <v>2</v>
      </c>
      <c r="E2565" s="1"/>
      <c r="F2565" s="3"/>
      <c r="G2565" s="3"/>
      <c r="H2565" s="3"/>
      <c r="I2565" s="3"/>
      <c r="J2565" s="3"/>
      <c r="K2565" s="1"/>
      <c r="L2565" s="1"/>
    </row>
    <row r="2566" spans="2:19" x14ac:dyDescent="0.35">
      <c r="B2566" s="1"/>
      <c r="C2566" s="11" t="s">
        <v>839</v>
      </c>
      <c r="D2566" s="14">
        <v>12</v>
      </c>
      <c r="E2566" s="1"/>
      <c r="F2566" s="3"/>
      <c r="G2566" s="3"/>
      <c r="H2566" s="3"/>
      <c r="I2566" s="3"/>
      <c r="J2566" s="3"/>
      <c r="K2566" s="1"/>
      <c r="L2566" s="1"/>
    </row>
    <row r="2567" spans="2:19" x14ac:dyDescent="0.35">
      <c r="B2567" s="1"/>
      <c r="C2567" s="11" t="s">
        <v>843</v>
      </c>
      <c r="D2567" s="15">
        <f>D2565*D2566</f>
        <v>24</v>
      </c>
      <c r="E2567" s="1"/>
      <c r="F2567" s="3"/>
      <c r="G2567" s="3"/>
      <c r="H2567" s="3"/>
      <c r="I2567" s="3"/>
      <c r="J2567" s="3"/>
      <c r="K2567" s="1"/>
      <c r="L2567" s="1"/>
    </row>
    <row r="2568" spans="2:19" x14ac:dyDescent="0.35">
      <c r="B2568" s="1"/>
      <c r="C2568" s="11" t="s">
        <v>844</v>
      </c>
      <c r="D2568" s="16">
        <v>365</v>
      </c>
      <c r="E2568" s="1"/>
      <c r="F2568" s="3"/>
      <c r="G2568" s="3"/>
      <c r="H2568" s="3"/>
      <c r="I2568" s="3"/>
      <c r="J2568" s="3"/>
      <c r="K2568" s="1"/>
      <c r="L2568" s="1"/>
    </row>
    <row r="2569" spans="2:19" x14ac:dyDescent="0.35">
      <c r="B2569" s="1"/>
      <c r="C2569" s="17" t="s">
        <v>845</v>
      </c>
      <c r="D2569" s="18">
        <f>-PMT(D2564/D2566,D2567,D2563,0,0)</f>
        <v>1107478.2321003962</v>
      </c>
      <c r="E2569" s="3"/>
      <c r="F2569" s="3"/>
      <c r="G2569" s="3"/>
      <c r="H2569" s="3"/>
      <c r="I2569" s="3"/>
      <c r="J2569" s="3"/>
      <c r="K2569" s="1"/>
      <c r="L2569" s="1"/>
    </row>
    <row r="2570" spans="2:19" x14ac:dyDescent="0.35">
      <c r="B2570" s="1"/>
      <c r="C2570" s="1"/>
      <c r="D2570" s="3"/>
      <c r="E2570" s="3"/>
      <c r="F2570" s="3"/>
      <c r="G2570" s="3"/>
      <c r="H2570" s="3"/>
      <c r="I2570" s="3"/>
      <c r="J2570" s="3"/>
      <c r="K2570" s="1"/>
      <c r="L2570" s="1"/>
    </row>
    <row r="2571" spans="2:19" x14ac:dyDescent="0.35">
      <c r="B2571" s="1"/>
      <c r="C2571" s="19" t="s">
        <v>846</v>
      </c>
      <c r="D2571" s="20" t="s">
        <v>847</v>
      </c>
      <c r="E2571" s="20" t="s">
        <v>764</v>
      </c>
      <c r="F2571" s="270" t="s">
        <v>848</v>
      </c>
      <c r="G2571" s="270" t="s">
        <v>849</v>
      </c>
      <c r="H2571" s="270" t="s">
        <v>742</v>
      </c>
      <c r="I2571" s="270" t="s">
        <v>740</v>
      </c>
      <c r="J2571" s="270" t="s">
        <v>850</v>
      </c>
      <c r="K2571" s="21" t="s">
        <v>851</v>
      </c>
      <c r="L2571" s="21" t="s">
        <v>852</v>
      </c>
    </row>
    <row r="2572" spans="2:19" x14ac:dyDescent="0.35">
      <c r="B2572" s="1">
        <v>0</v>
      </c>
      <c r="C2572" s="22">
        <v>44861</v>
      </c>
      <c r="D2572" s="22">
        <v>44865</v>
      </c>
      <c r="E2572" s="23">
        <f t="shared" ref="E2572:E2596" si="417">D2572-C2572+1</f>
        <v>5</v>
      </c>
      <c r="F2572" s="3">
        <f>D2563</f>
        <v>24000000</v>
      </c>
      <c r="G2572" s="3"/>
      <c r="H2572" s="3">
        <f>($D$2564/$D$2566*F2572*E2572/31)</f>
        <v>32258.064516129034</v>
      </c>
      <c r="I2572" s="3">
        <f t="shared" ref="I2572:I2596" si="418">G2572-H2572</f>
        <v>-32258.064516129034</v>
      </c>
      <c r="J2572" s="3">
        <f>F2572+F2563-I2572</f>
        <v>24032258.064516131</v>
      </c>
      <c r="K2572" s="24"/>
      <c r="L2572" s="24"/>
    </row>
    <row r="2573" spans="2:19" x14ac:dyDescent="0.35">
      <c r="B2573" s="1">
        <v>1</v>
      </c>
      <c r="C2573" s="22">
        <v>44866</v>
      </c>
      <c r="D2573" s="22">
        <v>44895</v>
      </c>
      <c r="E2573" s="23">
        <f t="shared" si="417"/>
        <v>30</v>
      </c>
      <c r="F2573" s="3">
        <f t="shared" ref="F2573:F2596" si="419">J2572</f>
        <v>24032258.064516131</v>
      </c>
      <c r="G2573" s="3"/>
      <c r="H2573" s="3">
        <f t="shared" ref="H2573:H2596" si="420">($D$2564/$D$2566*F2573)</f>
        <v>200268.8172043011</v>
      </c>
      <c r="I2573" s="3">
        <f t="shared" si="418"/>
        <v>-200268.8172043011</v>
      </c>
      <c r="J2573" s="3">
        <f t="shared" ref="J2573:J2596" si="421">F2573-I2573</f>
        <v>24232526.881720431</v>
      </c>
      <c r="K2573" s="24"/>
      <c r="L2573" s="24"/>
    </row>
    <row r="2574" spans="2:19" x14ac:dyDescent="0.35">
      <c r="B2574" s="1">
        <v>2</v>
      </c>
      <c r="C2574" s="22">
        <v>44896</v>
      </c>
      <c r="D2574" s="22">
        <v>44926</v>
      </c>
      <c r="E2574" s="23">
        <f t="shared" si="417"/>
        <v>31</v>
      </c>
      <c r="F2574" s="3">
        <f t="shared" si="419"/>
        <v>24232526.881720431</v>
      </c>
      <c r="G2574" s="3"/>
      <c r="H2574" s="3">
        <f t="shared" si="420"/>
        <v>201937.72401433691</v>
      </c>
      <c r="I2574" s="3">
        <f t="shared" si="418"/>
        <v>-201937.72401433691</v>
      </c>
      <c r="J2574" s="3">
        <f t="shared" si="421"/>
        <v>24434464.605734769</v>
      </c>
      <c r="K2574" s="24">
        <v>5800000</v>
      </c>
    </row>
    <row r="2575" spans="2:19" x14ac:dyDescent="0.35">
      <c r="B2575" s="1">
        <v>3</v>
      </c>
      <c r="C2575" s="22">
        <v>44927</v>
      </c>
      <c r="D2575" s="22">
        <v>44957</v>
      </c>
      <c r="E2575" s="23">
        <f t="shared" si="417"/>
        <v>31</v>
      </c>
      <c r="F2575" s="3">
        <f t="shared" si="419"/>
        <v>24434464.605734769</v>
      </c>
      <c r="G2575" s="3"/>
      <c r="H2575" s="3">
        <f t="shared" si="420"/>
        <v>203620.53838112307</v>
      </c>
      <c r="I2575" s="3">
        <f t="shared" si="418"/>
        <v>-203620.53838112307</v>
      </c>
      <c r="J2575" s="3">
        <f t="shared" si="421"/>
        <v>24638085.144115891</v>
      </c>
      <c r="K2575" s="24"/>
      <c r="L2575" s="24"/>
    </row>
    <row r="2576" spans="2:19" x14ac:dyDescent="0.35">
      <c r="B2576" s="1">
        <v>4</v>
      </c>
      <c r="C2576" s="22">
        <v>44958</v>
      </c>
      <c r="D2576" s="22">
        <v>44985</v>
      </c>
      <c r="E2576" s="23">
        <f t="shared" si="417"/>
        <v>28</v>
      </c>
      <c r="F2576" s="3">
        <f t="shared" si="419"/>
        <v>24638085.144115891</v>
      </c>
      <c r="G2576" s="3">
        <f t="shared" ref="G2576:G2596" si="422">-PMT($D$2564/$D$2566,21,$F$2576,,0)</f>
        <v>1283762.8817720874</v>
      </c>
      <c r="H2576" s="3">
        <f t="shared" si="420"/>
        <v>205317.37620096575</v>
      </c>
      <c r="I2576" s="3">
        <f t="shared" si="418"/>
        <v>1078445.5055711216</v>
      </c>
      <c r="J2576" s="3">
        <f t="shared" si="421"/>
        <v>23559639.638544768</v>
      </c>
      <c r="K2576" s="24">
        <v>5000000</v>
      </c>
      <c r="L2576" s="24">
        <f>L2575+G2576-K2574-K2576</f>
        <v>-9516237.1182279121</v>
      </c>
    </row>
    <row r="2577" spans="2:12" x14ac:dyDescent="0.35">
      <c r="B2577" s="1">
        <v>5</v>
      </c>
      <c r="C2577" s="22">
        <v>44986</v>
      </c>
      <c r="D2577" s="22">
        <v>45016</v>
      </c>
      <c r="E2577" s="23">
        <f t="shared" si="417"/>
        <v>31</v>
      </c>
      <c r="F2577" s="3">
        <f t="shared" si="419"/>
        <v>23559639.638544768</v>
      </c>
      <c r="G2577" s="3">
        <f t="shared" si="422"/>
        <v>1283762.8817720874</v>
      </c>
      <c r="H2577" s="3">
        <f t="shared" si="420"/>
        <v>196330.33032120639</v>
      </c>
      <c r="I2577" s="3">
        <f t="shared" si="418"/>
        <v>1087432.5514508809</v>
      </c>
      <c r="J2577" s="3">
        <f t="shared" si="421"/>
        <v>22472207.087093886</v>
      </c>
      <c r="K2577" s="24"/>
      <c r="L2577" s="24">
        <f t="shared" ref="L2577:L2596" si="423">L2576+G2577-K2577</f>
        <v>-8232474.2364558242</v>
      </c>
    </row>
    <row r="2578" spans="2:12" x14ac:dyDescent="0.35">
      <c r="B2578" s="1">
        <v>6</v>
      </c>
      <c r="C2578" s="22">
        <v>45017</v>
      </c>
      <c r="D2578" s="22">
        <v>45046</v>
      </c>
      <c r="E2578" s="23">
        <f t="shared" si="417"/>
        <v>30</v>
      </c>
      <c r="F2578" s="3">
        <f t="shared" si="419"/>
        <v>22472207.087093886</v>
      </c>
      <c r="G2578" s="3">
        <f t="shared" si="422"/>
        <v>1283762.8817720874</v>
      </c>
      <c r="H2578" s="3">
        <f t="shared" si="420"/>
        <v>187268.39239244905</v>
      </c>
      <c r="I2578" s="3">
        <f t="shared" si="418"/>
        <v>1096494.4893796383</v>
      </c>
      <c r="J2578" s="3">
        <f t="shared" si="421"/>
        <v>21375712.597714249</v>
      </c>
      <c r="K2578" s="24"/>
      <c r="L2578" s="24">
        <f t="shared" si="423"/>
        <v>-6948711.3546837363</v>
      </c>
    </row>
    <row r="2579" spans="2:12" x14ac:dyDescent="0.35">
      <c r="B2579" s="1">
        <v>7</v>
      </c>
      <c r="C2579" s="22">
        <v>45047</v>
      </c>
      <c r="D2579" s="22">
        <v>45077</v>
      </c>
      <c r="E2579" s="23">
        <f t="shared" si="417"/>
        <v>31</v>
      </c>
      <c r="F2579" s="3">
        <f t="shared" si="419"/>
        <v>21375712.597714249</v>
      </c>
      <c r="G2579" s="3">
        <f t="shared" si="422"/>
        <v>1283762.8817720874</v>
      </c>
      <c r="H2579" s="3">
        <f t="shared" si="420"/>
        <v>178130.93831428542</v>
      </c>
      <c r="I2579" s="3">
        <f t="shared" si="418"/>
        <v>1105631.9434578021</v>
      </c>
      <c r="J2579" s="3">
        <f t="shared" si="421"/>
        <v>20270080.654256448</v>
      </c>
      <c r="K2579" s="24"/>
      <c r="L2579" s="24">
        <f t="shared" si="423"/>
        <v>-5664948.4729116485</v>
      </c>
    </row>
    <row r="2580" spans="2:12" x14ac:dyDescent="0.35">
      <c r="B2580" s="1">
        <v>8</v>
      </c>
      <c r="C2580" s="22">
        <v>45078</v>
      </c>
      <c r="D2580" s="22">
        <v>45107</v>
      </c>
      <c r="E2580" s="23">
        <f t="shared" si="417"/>
        <v>30</v>
      </c>
      <c r="F2580" s="3">
        <f t="shared" si="419"/>
        <v>20270080.654256448</v>
      </c>
      <c r="G2580" s="3">
        <f t="shared" si="422"/>
        <v>1283762.8817720874</v>
      </c>
      <c r="H2580" s="3">
        <f t="shared" si="420"/>
        <v>168917.33878547041</v>
      </c>
      <c r="I2580" s="3">
        <f t="shared" si="418"/>
        <v>1114845.542986617</v>
      </c>
      <c r="J2580" s="3">
        <f t="shared" si="421"/>
        <v>19155235.111269832</v>
      </c>
      <c r="K2580" s="24"/>
      <c r="L2580" s="24">
        <f t="shared" si="423"/>
        <v>-4381185.5911395606</v>
      </c>
    </row>
    <row r="2581" spans="2:12" x14ac:dyDescent="0.35">
      <c r="B2581" s="1">
        <v>9</v>
      </c>
      <c r="C2581" s="22">
        <v>45108</v>
      </c>
      <c r="D2581" s="22">
        <v>45138</v>
      </c>
      <c r="E2581" s="23">
        <f t="shared" si="417"/>
        <v>31</v>
      </c>
      <c r="F2581" s="3">
        <f t="shared" si="419"/>
        <v>19155235.111269832</v>
      </c>
      <c r="G2581" s="3">
        <f t="shared" si="422"/>
        <v>1283762.8817720874</v>
      </c>
      <c r="H2581" s="3">
        <f t="shared" si="420"/>
        <v>159626.95926058193</v>
      </c>
      <c r="I2581" s="3">
        <f t="shared" si="418"/>
        <v>1124135.9225115054</v>
      </c>
      <c r="J2581" s="3">
        <f t="shared" si="421"/>
        <v>18031099.188758325</v>
      </c>
      <c r="K2581" s="24">
        <v>4500000</v>
      </c>
      <c r="L2581" s="24">
        <f t="shared" si="423"/>
        <v>-7597422.7093674727</v>
      </c>
    </row>
    <row r="2582" spans="2:12" x14ac:dyDescent="0.35">
      <c r="B2582" s="1">
        <v>10</v>
      </c>
      <c r="C2582" s="22">
        <v>45139</v>
      </c>
      <c r="D2582" s="22">
        <v>45169</v>
      </c>
      <c r="E2582" s="23">
        <f t="shared" si="417"/>
        <v>31</v>
      </c>
      <c r="F2582" s="3">
        <f t="shared" si="419"/>
        <v>18031099.188758325</v>
      </c>
      <c r="G2582" s="3">
        <f t="shared" si="422"/>
        <v>1283762.8817720874</v>
      </c>
      <c r="H2582" s="3">
        <f t="shared" si="420"/>
        <v>150259.15990631937</v>
      </c>
      <c r="I2582" s="3">
        <f t="shared" si="418"/>
        <v>1133503.7218657681</v>
      </c>
      <c r="J2582" s="3">
        <f t="shared" si="421"/>
        <v>16897595.466892555</v>
      </c>
      <c r="K2582" s="24"/>
      <c r="L2582" s="24">
        <f t="shared" si="423"/>
        <v>-6313659.8275953848</v>
      </c>
    </row>
    <row r="2583" spans="2:12" x14ac:dyDescent="0.35">
      <c r="B2583" s="1">
        <v>11</v>
      </c>
      <c r="C2583" s="22">
        <v>45170</v>
      </c>
      <c r="D2583" s="22">
        <v>45199</v>
      </c>
      <c r="E2583" s="23">
        <f t="shared" si="417"/>
        <v>30</v>
      </c>
      <c r="F2583" s="3">
        <f t="shared" si="419"/>
        <v>16897595.466892555</v>
      </c>
      <c r="G2583" s="3">
        <f t="shared" si="422"/>
        <v>1283762.8817720874</v>
      </c>
      <c r="H2583" s="3">
        <f t="shared" si="420"/>
        <v>140813.29555743796</v>
      </c>
      <c r="I2583" s="3">
        <f t="shared" si="418"/>
        <v>1142949.5862146495</v>
      </c>
      <c r="J2583" s="3">
        <f t="shared" si="421"/>
        <v>15754645.880677905</v>
      </c>
      <c r="K2583" s="24"/>
      <c r="L2583" s="24">
        <f t="shared" si="423"/>
        <v>-5029896.9458232969</v>
      </c>
    </row>
    <row r="2584" spans="2:12" x14ac:dyDescent="0.35">
      <c r="B2584" s="1">
        <v>12</v>
      </c>
      <c r="C2584" s="22">
        <v>45200</v>
      </c>
      <c r="D2584" s="22">
        <v>45230</v>
      </c>
      <c r="E2584" s="23">
        <f t="shared" si="417"/>
        <v>31</v>
      </c>
      <c r="F2584" s="3">
        <f t="shared" si="419"/>
        <v>15754645.880677905</v>
      </c>
      <c r="G2584" s="3">
        <f t="shared" si="422"/>
        <v>1283762.8817720874</v>
      </c>
      <c r="H2584" s="3">
        <f t="shared" si="420"/>
        <v>131288.71567231588</v>
      </c>
      <c r="I2584" s="3">
        <f t="shared" si="418"/>
        <v>1152474.1660997716</v>
      </c>
      <c r="J2584" s="3">
        <f t="shared" si="421"/>
        <v>14602171.714578133</v>
      </c>
      <c r="K2584" s="24"/>
      <c r="L2584" s="24">
        <f t="shared" si="423"/>
        <v>-3746134.0640512095</v>
      </c>
    </row>
    <row r="2585" spans="2:12" x14ac:dyDescent="0.35">
      <c r="B2585" s="1">
        <v>13</v>
      </c>
      <c r="C2585" s="22">
        <v>45231</v>
      </c>
      <c r="D2585" s="22">
        <v>45260</v>
      </c>
      <c r="E2585" s="23">
        <f t="shared" si="417"/>
        <v>30</v>
      </c>
      <c r="F2585" s="3">
        <f t="shared" si="419"/>
        <v>14602171.714578133</v>
      </c>
      <c r="G2585" s="3">
        <f t="shared" si="422"/>
        <v>1283762.8817720874</v>
      </c>
      <c r="H2585" s="3">
        <f t="shared" si="420"/>
        <v>121684.76428815111</v>
      </c>
      <c r="I2585" s="3">
        <f t="shared" si="418"/>
        <v>1162078.1174839363</v>
      </c>
      <c r="J2585" s="3">
        <f t="shared" si="421"/>
        <v>13440093.597094197</v>
      </c>
      <c r="K2585" s="24"/>
      <c r="L2585" s="24">
        <f t="shared" si="423"/>
        <v>-2462371.1822791221</v>
      </c>
    </row>
    <row r="2586" spans="2:12" x14ac:dyDescent="0.35">
      <c r="B2586" s="1">
        <v>14</v>
      </c>
      <c r="C2586" s="22">
        <v>45261</v>
      </c>
      <c r="D2586" s="22">
        <v>45291</v>
      </c>
      <c r="E2586" s="23">
        <f t="shared" si="417"/>
        <v>31</v>
      </c>
      <c r="F2586" s="3">
        <f t="shared" si="419"/>
        <v>13440093.597094197</v>
      </c>
      <c r="G2586" s="3">
        <f t="shared" si="422"/>
        <v>1283762.8817720874</v>
      </c>
      <c r="H2586" s="3">
        <f t="shared" si="420"/>
        <v>112000.77997578497</v>
      </c>
      <c r="I2586" s="3">
        <f t="shared" si="418"/>
        <v>1171762.1017963025</v>
      </c>
      <c r="J2586" s="3">
        <f t="shared" si="421"/>
        <v>12268331.495297894</v>
      </c>
      <c r="K2586" s="24"/>
      <c r="L2586" s="24">
        <f t="shared" si="423"/>
        <v>-1178608.3005070346</v>
      </c>
    </row>
    <row r="2587" spans="2:12" x14ac:dyDescent="0.35">
      <c r="B2587" s="1">
        <v>15</v>
      </c>
      <c r="C2587" s="22">
        <v>45292</v>
      </c>
      <c r="D2587" s="22">
        <v>45322</v>
      </c>
      <c r="E2587" s="23">
        <f t="shared" si="417"/>
        <v>31</v>
      </c>
      <c r="F2587" s="3">
        <f t="shared" si="419"/>
        <v>12268331.495297894</v>
      </c>
      <c r="G2587" s="3">
        <f t="shared" si="422"/>
        <v>1283762.8817720874</v>
      </c>
      <c r="H2587" s="3">
        <f t="shared" si="420"/>
        <v>102236.09579414912</v>
      </c>
      <c r="I2587" s="3">
        <f t="shared" si="418"/>
        <v>1181526.7859779382</v>
      </c>
      <c r="J2587" s="3">
        <f t="shared" si="421"/>
        <v>11086804.709319957</v>
      </c>
      <c r="K2587" s="24"/>
      <c r="L2587" s="24">
        <f t="shared" si="423"/>
        <v>105154.58126505278</v>
      </c>
    </row>
    <row r="2588" spans="2:12" x14ac:dyDescent="0.35">
      <c r="B2588" s="1">
        <v>16</v>
      </c>
      <c r="C2588" s="22">
        <v>45323</v>
      </c>
      <c r="D2588" s="22">
        <v>45351</v>
      </c>
      <c r="E2588" s="23">
        <f t="shared" si="417"/>
        <v>29</v>
      </c>
      <c r="F2588" s="3">
        <f t="shared" si="419"/>
        <v>11086804.709319957</v>
      </c>
      <c r="G2588" s="3">
        <f t="shared" si="422"/>
        <v>1283762.8817720874</v>
      </c>
      <c r="H2588" s="3">
        <f t="shared" si="420"/>
        <v>92390.039244332977</v>
      </c>
      <c r="I2588" s="3">
        <f t="shared" si="418"/>
        <v>1191372.8425277544</v>
      </c>
      <c r="J2588" s="3">
        <f t="shared" si="421"/>
        <v>9895431.866792202</v>
      </c>
      <c r="K2588" s="24"/>
      <c r="L2588" s="24">
        <f t="shared" si="423"/>
        <v>1388917.4630371402</v>
      </c>
    </row>
    <row r="2589" spans="2:12" x14ac:dyDescent="0.35">
      <c r="B2589" s="1">
        <v>17</v>
      </c>
      <c r="C2589" s="22">
        <v>45352</v>
      </c>
      <c r="D2589" s="22">
        <v>45382</v>
      </c>
      <c r="E2589" s="23">
        <f t="shared" si="417"/>
        <v>31</v>
      </c>
      <c r="F2589" s="3">
        <f t="shared" si="419"/>
        <v>9895431.866792202</v>
      </c>
      <c r="G2589" s="3">
        <f t="shared" si="422"/>
        <v>1283762.8817720874</v>
      </c>
      <c r="H2589" s="3">
        <f t="shared" si="420"/>
        <v>82461.932223268348</v>
      </c>
      <c r="I2589" s="3">
        <f t="shared" si="418"/>
        <v>1201300.9495488191</v>
      </c>
      <c r="J2589" s="3">
        <f t="shared" si="421"/>
        <v>8694130.9172433838</v>
      </c>
      <c r="K2589" s="24"/>
      <c r="L2589" s="24">
        <f t="shared" si="423"/>
        <v>2672680.3448092276</v>
      </c>
    </row>
    <row r="2590" spans="2:12" x14ac:dyDescent="0.35">
      <c r="B2590" s="1">
        <v>18</v>
      </c>
      <c r="C2590" s="22">
        <v>45383</v>
      </c>
      <c r="D2590" s="22">
        <v>45412</v>
      </c>
      <c r="E2590" s="23">
        <f t="shared" si="417"/>
        <v>30</v>
      </c>
      <c r="F2590" s="3">
        <f t="shared" si="419"/>
        <v>8694130.9172433838</v>
      </c>
      <c r="G2590" s="3">
        <f t="shared" si="422"/>
        <v>1283762.8817720874</v>
      </c>
      <c r="H2590" s="3">
        <f t="shared" si="420"/>
        <v>72451.090977028201</v>
      </c>
      <c r="I2590" s="3">
        <f t="shared" si="418"/>
        <v>1211311.7907950592</v>
      </c>
      <c r="J2590" s="3">
        <f t="shared" si="421"/>
        <v>7482819.1264483249</v>
      </c>
      <c r="K2590" s="24"/>
      <c r="L2590" s="24">
        <f t="shared" si="423"/>
        <v>3956443.226581315</v>
      </c>
    </row>
    <row r="2591" spans="2:12" x14ac:dyDescent="0.35">
      <c r="B2591" s="1">
        <v>19</v>
      </c>
      <c r="C2591" s="22">
        <v>45413</v>
      </c>
      <c r="D2591" s="22">
        <v>45443</v>
      </c>
      <c r="E2591" s="23">
        <f t="shared" si="417"/>
        <v>31</v>
      </c>
      <c r="F2591" s="3">
        <f t="shared" si="419"/>
        <v>7482819.1264483249</v>
      </c>
      <c r="G2591" s="3">
        <f t="shared" si="422"/>
        <v>1283762.8817720874</v>
      </c>
      <c r="H2591" s="3">
        <f t="shared" si="420"/>
        <v>62356.82605373604</v>
      </c>
      <c r="I2591" s="3">
        <f t="shared" si="418"/>
        <v>1221406.0557183514</v>
      </c>
      <c r="J2591" s="3">
        <f t="shared" si="421"/>
        <v>6261413.0707299737</v>
      </c>
      <c r="K2591" s="24"/>
      <c r="L2591" s="24">
        <f t="shared" si="423"/>
        <v>5240206.1083534025</v>
      </c>
    </row>
    <row r="2592" spans="2:12" x14ac:dyDescent="0.35">
      <c r="B2592" s="1">
        <v>20</v>
      </c>
      <c r="C2592" s="22">
        <v>45444</v>
      </c>
      <c r="D2592" s="22">
        <v>45473</v>
      </c>
      <c r="E2592" s="23">
        <f t="shared" si="417"/>
        <v>30</v>
      </c>
      <c r="F2592" s="3">
        <f t="shared" si="419"/>
        <v>6261413.0707299737</v>
      </c>
      <c r="G2592" s="3">
        <f t="shared" si="422"/>
        <v>1283762.8817720874</v>
      </c>
      <c r="H2592" s="3">
        <f t="shared" si="420"/>
        <v>52178.442256083115</v>
      </c>
      <c r="I2592" s="3">
        <f t="shared" si="418"/>
        <v>1231584.4395160044</v>
      </c>
      <c r="J2592" s="3">
        <f t="shared" si="421"/>
        <v>5029828.6312139696</v>
      </c>
      <c r="K2592" s="24">
        <v>6000000</v>
      </c>
      <c r="L2592" s="24">
        <f t="shared" si="423"/>
        <v>523968.99012549035</v>
      </c>
    </row>
    <row r="2593" spans="2:19" x14ac:dyDescent="0.35">
      <c r="B2593" s="1">
        <v>21</v>
      </c>
      <c r="C2593" s="22">
        <v>45474</v>
      </c>
      <c r="D2593" s="22">
        <v>45504</v>
      </c>
      <c r="E2593" s="23">
        <f t="shared" si="417"/>
        <v>31</v>
      </c>
      <c r="F2593" s="3">
        <f t="shared" si="419"/>
        <v>5029828.6312139696</v>
      </c>
      <c r="G2593" s="3">
        <f t="shared" si="422"/>
        <v>1283762.8817720874</v>
      </c>
      <c r="H2593" s="3">
        <f t="shared" si="420"/>
        <v>41915.238593449743</v>
      </c>
      <c r="I2593" s="3">
        <f t="shared" si="418"/>
        <v>1241847.6431786376</v>
      </c>
      <c r="J2593" s="3">
        <f t="shared" si="421"/>
        <v>3787980.9880353319</v>
      </c>
      <c r="K2593" s="24"/>
      <c r="L2593" s="24">
        <f t="shared" si="423"/>
        <v>1807731.8718975778</v>
      </c>
    </row>
    <row r="2594" spans="2:19" x14ac:dyDescent="0.35">
      <c r="B2594" s="1">
        <v>22</v>
      </c>
      <c r="C2594" s="22">
        <v>45505</v>
      </c>
      <c r="D2594" s="22">
        <v>45535</v>
      </c>
      <c r="E2594" s="23">
        <f t="shared" si="417"/>
        <v>31</v>
      </c>
      <c r="F2594" s="3">
        <f t="shared" si="419"/>
        <v>3787980.9880353319</v>
      </c>
      <c r="G2594" s="3">
        <f t="shared" si="422"/>
        <v>1283762.8817720874</v>
      </c>
      <c r="H2594" s="3">
        <f t="shared" si="420"/>
        <v>31566.508233627766</v>
      </c>
      <c r="I2594" s="3">
        <f t="shared" si="418"/>
        <v>1252196.3735384597</v>
      </c>
      <c r="J2594" s="3">
        <f t="shared" si="421"/>
        <v>2535784.6144968723</v>
      </c>
      <c r="K2594" s="24"/>
      <c r="L2594" s="24">
        <f t="shared" si="423"/>
        <v>3091494.7536696652</v>
      </c>
    </row>
    <row r="2595" spans="2:19" x14ac:dyDescent="0.35">
      <c r="B2595" s="1">
        <v>23</v>
      </c>
      <c r="C2595" s="22">
        <v>45536</v>
      </c>
      <c r="D2595" s="22">
        <v>45565</v>
      </c>
      <c r="E2595" s="23">
        <f t="shared" si="417"/>
        <v>30</v>
      </c>
      <c r="F2595" s="3">
        <f t="shared" si="419"/>
        <v>2535784.6144968723</v>
      </c>
      <c r="G2595" s="3">
        <f t="shared" si="422"/>
        <v>1283762.8817720874</v>
      </c>
      <c r="H2595" s="3">
        <f t="shared" si="420"/>
        <v>21131.538454140602</v>
      </c>
      <c r="I2595" s="3">
        <f t="shared" si="418"/>
        <v>1262631.3433179469</v>
      </c>
      <c r="J2595" s="3">
        <f t="shared" si="421"/>
        <v>1273153.2711789254</v>
      </c>
      <c r="K2595" s="24">
        <v>2500000</v>
      </c>
      <c r="L2595" s="24">
        <f t="shared" si="423"/>
        <v>1875257.6354417522</v>
      </c>
    </row>
    <row r="2596" spans="2:19" x14ac:dyDescent="0.35">
      <c r="B2596" s="1">
        <v>24</v>
      </c>
      <c r="C2596" s="22">
        <v>45566</v>
      </c>
      <c r="D2596" s="22">
        <v>45596</v>
      </c>
      <c r="E2596" s="23">
        <f t="shared" si="417"/>
        <v>31</v>
      </c>
      <c r="F2596" s="3">
        <f t="shared" si="419"/>
        <v>1273153.2711789254</v>
      </c>
      <c r="G2596" s="3">
        <f t="shared" si="422"/>
        <v>1283762.8817720874</v>
      </c>
      <c r="H2596" s="3">
        <f t="shared" si="420"/>
        <v>10609.610593157711</v>
      </c>
      <c r="I2596" s="3">
        <f t="shared" si="418"/>
        <v>1273153.2711789296</v>
      </c>
      <c r="J2596" s="3">
        <f t="shared" si="421"/>
        <v>-4.1909515857696533E-9</v>
      </c>
      <c r="K2596" s="24">
        <f>1500000+1689000</f>
        <v>3189000</v>
      </c>
      <c r="L2596" s="205">
        <f t="shared" si="423"/>
        <v>-29979.482786160428</v>
      </c>
    </row>
    <row r="2597" spans="2:19" x14ac:dyDescent="0.35">
      <c r="B2597" s="1"/>
      <c r="C2597" s="22"/>
      <c r="D2597" s="22"/>
      <c r="E2597" s="23"/>
      <c r="F2597" s="3"/>
      <c r="G2597" s="3"/>
      <c r="H2597" s="3"/>
      <c r="I2597" s="3"/>
      <c r="J2597" s="3"/>
      <c r="K2597" s="24"/>
      <c r="L2597" s="24"/>
    </row>
    <row r="2598" spans="2:19" x14ac:dyDescent="0.35">
      <c r="B2598" s="1"/>
      <c r="C2598" s="22"/>
      <c r="D2598" s="22"/>
      <c r="E2598" s="28">
        <f>SUM(E2572:E2596)</f>
        <v>736</v>
      </c>
      <c r="F2598" s="3"/>
      <c r="G2598" s="3"/>
      <c r="H2598" s="3"/>
      <c r="I2598" s="3"/>
      <c r="J2598" s="3"/>
      <c r="K2598" s="24"/>
      <c r="L2598" s="24"/>
    </row>
    <row r="2599" spans="2:19" x14ac:dyDescent="0.35">
      <c r="B2599" s="1"/>
      <c r="C2599" s="22"/>
      <c r="D2599" s="22"/>
      <c r="E2599" s="23"/>
      <c r="F2599" s="3"/>
      <c r="G2599" s="3"/>
      <c r="H2599" s="3"/>
      <c r="I2599" s="3"/>
      <c r="J2599" s="3"/>
      <c r="K2599" s="24"/>
      <c r="L2599" s="24"/>
    </row>
    <row r="2600" spans="2:19" x14ac:dyDescent="0.35">
      <c r="B2600" s="1"/>
      <c r="C2600" s="22"/>
      <c r="D2600" s="22"/>
      <c r="E2600" s="23"/>
      <c r="F2600" s="3"/>
      <c r="G2600" s="3"/>
      <c r="H2600" s="3"/>
      <c r="I2600" s="3"/>
      <c r="J2600" s="3"/>
      <c r="K2600" s="24"/>
      <c r="L2600" s="24"/>
    </row>
    <row r="2601" spans="2:19" x14ac:dyDescent="0.35">
      <c r="B2601" s="1"/>
      <c r="C2601" s="22"/>
      <c r="D2601" s="22"/>
      <c r="E2601" s="23"/>
      <c r="F2601" s="3"/>
      <c r="G2601" s="3"/>
      <c r="H2601" s="3"/>
      <c r="I2601" s="3"/>
      <c r="J2601" s="3"/>
      <c r="K2601" s="24"/>
      <c r="L2601" s="24"/>
    </row>
    <row r="2602" spans="2:19" x14ac:dyDescent="0.35">
      <c r="B2602" s="1"/>
      <c r="C2602" s="22"/>
      <c r="D2602" s="22"/>
      <c r="E2602" s="23"/>
      <c r="F2602" s="3"/>
      <c r="G2602" s="3"/>
      <c r="H2602" s="3"/>
      <c r="I2602" s="3"/>
      <c r="J2602" s="3"/>
      <c r="K2602" s="24"/>
      <c r="L2602" s="24"/>
    </row>
    <row r="2603" spans="2:19" x14ac:dyDescent="0.35">
      <c r="B2603" s="1"/>
      <c r="C2603" s="22"/>
      <c r="D2603" s="22"/>
      <c r="E2603" s="23"/>
      <c r="F2603" s="3"/>
      <c r="G2603" s="3"/>
      <c r="H2603" s="3"/>
      <c r="I2603" s="3"/>
      <c r="J2603" s="3"/>
      <c r="K2603" s="24"/>
      <c r="L2603" s="24"/>
    </row>
    <row r="2604" spans="2:19" x14ac:dyDescent="0.35">
      <c r="B2604" s="1"/>
      <c r="C2604" s="22"/>
      <c r="D2604" s="22"/>
      <c r="E2604" s="23"/>
      <c r="F2604" s="3"/>
      <c r="G2604" s="3"/>
      <c r="H2604" s="3"/>
      <c r="I2604" s="3"/>
      <c r="J2604" s="3"/>
      <c r="K2604" s="24"/>
      <c r="L2604" s="24"/>
    </row>
    <row r="2605" spans="2:19" x14ac:dyDescent="0.35">
      <c r="B2605" s="1"/>
      <c r="C2605" s="8" t="s">
        <v>914</v>
      </c>
      <c r="D2605" s="3"/>
      <c r="E2605" s="3"/>
      <c r="F2605" s="3"/>
      <c r="G2605" s="3"/>
      <c r="H2605" s="3"/>
      <c r="I2605" s="3"/>
      <c r="J2605" s="3"/>
      <c r="K2605" s="3"/>
      <c r="L2605" s="3"/>
      <c r="R2605" s="438" t="s">
        <v>832</v>
      </c>
      <c r="S2605" s="432" t="str">
        <f>IFERROR(INDEX(Blocks!$I$2:$I$101,MATCH(48,Blocks!$A$2:$A$101,0)),"")</f>
        <v>000104450000049</v>
      </c>
    </row>
    <row r="2606" spans="2:19" x14ac:dyDescent="0.35">
      <c r="B2606" s="1"/>
      <c r="C2606" s="1"/>
      <c r="D2606" s="3"/>
      <c r="E2606" s="3"/>
      <c r="F2606" s="3"/>
      <c r="G2606" s="3"/>
      <c r="H2606" s="3"/>
      <c r="I2606" s="3"/>
      <c r="J2606" s="3"/>
      <c r="K2606" s="3"/>
      <c r="L2606" s="3"/>
      <c r="R2606" s="438" t="s">
        <v>834</v>
      </c>
      <c r="S2606" s="432" t="str">
        <f>IFERROR(INDEX(Blocks!$H$2:$H$101,MATCH(48,Blocks!$A$2:$A$101,0)),"")</f>
        <v>Uchi Conservation Limited</v>
      </c>
    </row>
    <row r="2607" spans="2:19" x14ac:dyDescent="0.35">
      <c r="B2607" s="1"/>
      <c r="C2607" s="9" t="s">
        <v>835</v>
      </c>
      <c r="D2607" s="10">
        <v>10000000</v>
      </c>
      <c r="E2607" s="3"/>
      <c r="F2607" s="3"/>
      <c r="G2607" s="3"/>
      <c r="H2607" s="3"/>
      <c r="I2607" s="3"/>
      <c r="J2607" s="3"/>
      <c r="K2607" s="3"/>
      <c r="L2607" s="3"/>
      <c r="R2607" s="438" t="s">
        <v>223</v>
      </c>
      <c r="S2607" s="433">
        <f>IFERROR(INDEX('E-Banker master'!$N$2:$N$186,MATCH(S2605,'E-Banker master'!$A$2:$A$186,0)),"")</f>
        <v>10000000</v>
      </c>
    </row>
    <row r="2608" spans="2:19" x14ac:dyDescent="0.35">
      <c r="B2608" s="1"/>
      <c r="C2608" s="11" t="s">
        <v>837</v>
      </c>
      <c r="D2608" s="12">
        <v>0.1</v>
      </c>
      <c r="E2608" s="13"/>
      <c r="F2608" s="3"/>
      <c r="G2608" s="3"/>
      <c r="H2608" s="3"/>
      <c r="I2608" s="3"/>
      <c r="J2608" s="3"/>
      <c r="K2608" s="3"/>
      <c r="L2608" s="3"/>
      <c r="R2608" s="438" t="s">
        <v>52</v>
      </c>
      <c r="S2608" s="433">
        <f>IFERROR(INDEX('E-Banker master'!$P$2:$P$186,MATCH(S2605,'E-Banker master'!$A$2:$A$186,0)),"")</f>
        <v>6882460.2000000002</v>
      </c>
    </row>
    <row r="2609" spans="2:12" x14ac:dyDescent="0.35">
      <c r="B2609" s="1"/>
      <c r="C2609" s="11" t="s">
        <v>838</v>
      </c>
      <c r="D2609" s="14">
        <v>2</v>
      </c>
      <c r="E2609" s="1"/>
      <c r="F2609" s="3"/>
      <c r="G2609" s="3"/>
      <c r="H2609" s="3"/>
      <c r="I2609" s="3"/>
      <c r="J2609" s="3"/>
      <c r="K2609" s="1"/>
      <c r="L2609" s="1"/>
    </row>
    <row r="2610" spans="2:12" x14ac:dyDescent="0.35">
      <c r="B2610" s="1"/>
      <c r="C2610" s="11" t="s">
        <v>839</v>
      </c>
      <c r="D2610" s="14">
        <v>12</v>
      </c>
      <c r="E2610" s="1"/>
      <c r="F2610" s="3"/>
      <c r="G2610" s="3"/>
      <c r="H2610" s="3"/>
      <c r="I2610" s="3"/>
      <c r="J2610" s="3"/>
      <c r="K2610" s="1"/>
      <c r="L2610" s="1"/>
    </row>
    <row r="2611" spans="2:12" x14ac:dyDescent="0.35">
      <c r="B2611" s="1"/>
      <c r="C2611" s="11" t="s">
        <v>843</v>
      </c>
      <c r="D2611" s="15">
        <f>D2609*D2610</f>
        <v>24</v>
      </c>
      <c r="E2611" s="1"/>
      <c r="F2611" s="3"/>
      <c r="G2611" s="3"/>
      <c r="H2611" s="3"/>
      <c r="I2611" s="3"/>
      <c r="J2611" s="3"/>
      <c r="K2611" s="1"/>
      <c r="L2611" s="1"/>
    </row>
    <row r="2612" spans="2:12" x14ac:dyDescent="0.35">
      <c r="B2612" s="1"/>
      <c r="C2612" s="11" t="s">
        <v>844</v>
      </c>
      <c r="D2612" s="16">
        <v>365</v>
      </c>
      <c r="E2612" s="1"/>
      <c r="F2612" s="3"/>
      <c r="G2612" s="3"/>
      <c r="H2612" s="3"/>
      <c r="I2612" s="3"/>
      <c r="J2612" s="3"/>
      <c r="K2612" s="1"/>
      <c r="L2612" s="1"/>
    </row>
    <row r="2613" spans="2:12" x14ac:dyDescent="0.35">
      <c r="B2613" s="1"/>
      <c r="C2613" s="17" t="s">
        <v>845</v>
      </c>
      <c r="D2613" s="18">
        <f>-PMT(D2608/D2610,D2611,D2607,0,0)</f>
        <v>461449.26337516506</v>
      </c>
      <c r="E2613" s="3"/>
      <c r="F2613" s="3"/>
      <c r="G2613" s="3"/>
      <c r="H2613" s="3"/>
      <c r="I2613" s="3"/>
      <c r="J2613" s="3"/>
      <c r="K2613" s="1"/>
      <c r="L2613" s="1"/>
    </row>
    <row r="2614" spans="2:12" x14ac:dyDescent="0.35">
      <c r="B2614" s="1"/>
      <c r="C2614" s="1"/>
      <c r="D2614" s="3"/>
      <c r="E2614" s="3"/>
      <c r="F2614" s="3"/>
      <c r="G2614" s="3"/>
      <c r="H2614" s="3"/>
      <c r="I2614" s="3"/>
      <c r="J2614" s="3"/>
      <c r="K2614" s="1"/>
      <c r="L2614" s="1"/>
    </row>
    <row r="2615" spans="2:12" x14ac:dyDescent="0.35">
      <c r="B2615" s="1"/>
      <c r="C2615" s="19" t="s">
        <v>846</v>
      </c>
      <c r="D2615" s="20" t="s">
        <v>847</v>
      </c>
      <c r="E2615" s="20" t="s">
        <v>764</v>
      </c>
      <c r="F2615" s="270" t="s">
        <v>848</v>
      </c>
      <c r="G2615" s="270" t="s">
        <v>849</v>
      </c>
      <c r="H2615" s="270" t="s">
        <v>742</v>
      </c>
      <c r="I2615" s="270" t="s">
        <v>740</v>
      </c>
      <c r="J2615" s="270" t="s">
        <v>850</v>
      </c>
      <c r="K2615" s="21" t="s">
        <v>851</v>
      </c>
      <c r="L2615" s="21" t="s">
        <v>852</v>
      </c>
    </row>
    <row r="2616" spans="2:12" x14ac:dyDescent="0.35">
      <c r="B2616" s="1">
        <v>0</v>
      </c>
      <c r="C2616" s="22">
        <v>44867</v>
      </c>
      <c r="D2616" s="22">
        <v>44895</v>
      </c>
      <c r="E2616" s="23">
        <f t="shared" ref="E2616:E2640" si="424">D2616-C2616+1</f>
        <v>29</v>
      </c>
      <c r="F2616" s="3">
        <f>D2607</f>
        <v>10000000</v>
      </c>
      <c r="G2616" s="3"/>
      <c r="H2616" s="3">
        <f>D2608/D2610*E2616*F2616/30</f>
        <v>80555.555555555547</v>
      </c>
      <c r="I2616" s="3">
        <f t="shared" ref="I2616:I2640" si="425">G2616-H2616</f>
        <v>-80555.555555555547</v>
      </c>
      <c r="J2616" s="3">
        <f>F2616+F2607-I2616</f>
        <v>10080555.555555556</v>
      </c>
      <c r="K2616" s="24"/>
      <c r="L2616" s="24"/>
    </row>
    <row r="2617" spans="2:12" x14ac:dyDescent="0.35">
      <c r="B2617" s="1">
        <v>1</v>
      </c>
      <c r="C2617" s="22">
        <v>44896</v>
      </c>
      <c r="D2617" s="22">
        <v>44926</v>
      </c>
      <c r="E2617" s="23">
        <f t="shared" si="424"/>
        <v>31</v>
      </c>
      <c r="F2617" s="3">
        <f t="shared" ref="F2617:F2640" si="426">J2616</f>
        <v>10080555.555555556</v>
      </c>
      <c r="G2617" s="3"/>
      <c r="H2617" s="3">
        <f t="shared" ref="H2617:H2640" si="427">($D$2608/$D$2610*F2617)</f>
        <v>84004.629629629635</v>
      </c>
      <c r="I2617" s="3">
        <f t="shared" si="425"/>
        <v>-84004.629629629635</v>
      </c>
      <c r="J2617" s="3">
        <f t="shared" ref="J2617:J2640" si="428">F2617-I2617</f>
        <v>10164560.185185185</v>
      </c>
      <c r="K2617" s="24"/>
      <c r="L2617" s="24"/>
    </row>
    <row r="2618" spans="2:12" x14ac:dyDescent="0.35">
      <c r="B2618" s="1">
        <v>2</v>
      </c>
      <c r="C2618" s="22">
        <v>44927</v>
      </c>
      <c r="D2618" s="22">
        <v>44957</v>
      </c>
      <c r="E2618" s="23">
        <f t="shared" si="424"/>
        <v>31</v>
      </c>
      <c r="F2618" s="3">
        <f t="shared" si="426"/>
        <v>10164560.185185185</v>
      </c>
      <c r="G2618" s="3"/>
      <c r="H2618" s="3">
        <f t="shared" si="427"/>
        <v>84704.668209876545</v>
      </c>
      <c r="I2618" s="3">
        <f t="shared" si="425"/>
        <v>-84704.668209876545</v>
      </c>
      <c r="J2618" s="3">
        <f t="shared" si="428"/>
        <v>10249264.853395062</v>
      </c>
    </row>
    <row r="2619" spans="2:12" x14ac:dyDescent="0.35">
      <c r="B2619" s="1">
        <v>3</v>
      </c>
      <c r="C2619" s="22">
        <v>44958</v>
      </c>
      <c r="D2619" s="22">
        <v>44985</v>
      </c>
      <c r="E2619" s="23">
        <f t="shared" si="424"/>
        <v>28</v>
      </c>
      <c r="F2619" s="3">
        <f t="shared" si="426"/>
        <v>10249264.853395062</v>
      </c>
      <c r="G2619" s="3"/>
      <c r="H2619" s="3">
        <f t="shared" si="427"/>
        <v>85410.540444958839</v>
      </c>
      <c r="I2619" s="3">
        <f t="shared" si="425"/>
        <v>-85410.540444958839</v>
      </c>
      <c r="J2619" s="3">
        <f t="shared" si="428"/>
        <v>10334675.393840021</v>
      </c>
      <c r="K2619" s="24">
        <v>535000</v>
      </c>
      <c r="L2619" s="24"/>
    </row>
    <row r="2620" spans="2:12" x14ac:dyDescent="0.35">
      <c r="B2620" s="1">
        <v>4</v>
      </c>
      <c r="C2620" s="22">
        <v>44986</v>
      </c>
      <c r="D2620" s="22">
        <v>45016</v>
      </c>
      <c r="E2620" s="23">
        <f t="shared" si="424"/>
        <v>31</v>
      </c>
      <c r="F2620" s="3">
        <f t="shared" si="426"/>
        <v>10334675.393840021</v>
      </c>
      <c r="G2620" s="3">
        <f t="shared" ref="G2620:G2640" si="429">-PMT($D$2608/$D$2610,21,$F$2620,,0)</f>
        <v>538486.35509499651</v>
      </c>
      <c r="H2620" s="3">
        <f t="shared" si="427"/>
        <v>86122.294948666837</v>
      </c>
      <c r="I2620" s="3">
        <f t="shared" si="425"/>
        <v>452364.06014632969</v>
      </c>
      <c r="J2620" s="3">
        <f t="shared" si="428"/>
        <v>9882311.3336936906</v>
      </c>
      <c r="K2620" s="24"/>
      <c r="L2620" s="24">
        <f>G2620-K2619</f>
        <v>3486.3550949965138</v>
      </c>
    </row>
    <row r="2621" spans="2:12" x14ac:dyDescent="0.35">
      <c r="B2621" s="1">
        <v>5</v>
      </c>
      <c r="C2621" s="22">
        <v>45017</v>
      </c>
      <c r="D2621" s="22">
        <v>45046</v>
      </c>
      <c r="E2621" s="23">
        <f t="shared" si="424"/>
        <v>30</v>
      </c>
      <c r="F2621" s="3">
        <f t="shared" si="426"/>
        <v>9882311.3336936906</v>
      </c>
      <c r="G2621" s="3">
        <f t="shared" si="429"/>
        <v>538486.35509499651</v>
      </c>
      <c r="H2621" s="3">
        <f t="shared" si="427"/>
        <v>82352.594447447424</v>
      </c>
      <c r="I2621" s="3">
        <f t="shared" si="425"/>
        <v>456133.76064754906</v>
      </c>
      <c r="J2621" s="3">
        <f t="shared" si="428"/>
        <v>9426177.5730461422</v>
      </c>
      <c r="K2621" s="24"/>
      <c r="L2621" s="24">
        <f>L2620+G2621</f>
        <v>541972.71018999303</v>
      </c>
    </row>
    <row r="2622" spans="2:12" x14ac:dyDescent="0.35">
      <c r="B2622" s="1">
        <v>6</v>
      </c>
      <c r="C2622" s="22">
        <v>45047</v>
      </c>
      <c r="D2622" s="22">
        <v>45077</v>
      </c>
      <c r="E2622" s="23">
        <f t="shared" si="424"/>
        <v>31</v>
      </c>
      <c r="F2622" s="3">
        <f t="shared" si="426"/>
        <v>9426177.5730461422</v>
      </c>
      <c r="G2622" s="3">
        <f t="shared" si="429"/>
        <v>538486.35509499651</v>
      </c>
      <c r="H2622" s="3">
        <f t="shared" si="427"/>
        <v>78551.47977538452</v>
      </c>
      <c r="I2622" s="3">
        <f t="shared" si="425"/>
        <v>459934.87531961198</v>
      </c>
      <c r="J2622" s="3">
        <f t="shared" si="428"/>
        <v>8966242.697726531</v>
      </c>
      <c r="K2622" s="24">
        <v>535000</v>
      </c>
      <c r="L2622" s="24">
        <f t="shared" ref="L2622:L2639" si="430">L2621+G2622-K2622</f>
        <v>545459.06528498954</v>
      </c>
    </row>
    <row r="2623" spans="2:12" x14ac:dyDescent="0.35">
      <c r="B2623" s="1">
        <v>7</v>
      </c>
      <c r="C2623" s="22">
        <v>45078</v>
      </c>
      <c r="D2623" s="22">
        <v>45107</v>
      </c>
      <c r="E2623" s="23">
        <f t="shared" si="424"/>
        <v>30</v>
      </c>
      <c r="F2623" s="3">
        <f t="shared" si="426"/>
        <v>8966242.697726531</v>
      </c>
      <c r="G2623" s="3">
        <f t="shared" si="429"/>
        <v>538486.35509499651</v>
      </c>
      <c r="H2623" s="3">
        <f t="shared" si="427"/>
        <v>74718.689147721088</v>
      </c>
      <c r="I2623" s="3">
        <f t="shared" si="425"/>
        <v>463767.66594727541</v>
      </c>
      <c r="J2623" s="3">
        <f t="shared" si="428"/>
        <v>8502475.0317792557</v>
      </c>
      <c r="K2623" s="24"/>
      <c r="L2623" s="24">
        <f t="shared" si="430"/>
        <v>1083945.4203799861</v>
      </c>
    </row>
    <row r="2624" spans="2:12" x14ac:dyDescent="0.35">
      <c r="B2624" s="1">
        <v>8</v>
      </c>
      <c r="C2624" s="22">
        <v>45108</v>
      </c>
      <c r="D2624" s="22">
        <v>45138</v>
      </c>
      <c r="E2624" s="23">
        <f t="shared" si="424"/>
        <v>31</v>
      </c>
      <c r="F2624" s="3">
        <f t="shared" si="426"/>
        <v>8502475.0317792557</v>
      </c>
      <c r="G2624" s="3">
        <f t="shared" si="429"/>
        <v>538486.35509499651</v>
      </c>
      <c r="H2624" s="3">
        <f t="shared" si="427"/>
        <v>70853.958598160461</v>
      </c>
      <c r="I2624" s="3">
        <f t="shared" si="425"/>
        <v>467632.39649683604</v>
      </c>
      <c r="J2624" s="3">
        <f t="shared" si="428"/>
        <v>8034842.6352824196</v>
      </c>
      <c r="K2624" s="24"/>
      <c r="L2624" s="24">
        <f t="shared" si="430"/>
        <v>1622431.7754749826</v>
      </c>
    </row>
    <row r="2625" spans="2:12" x14ac:dyDescent="0.35">
      <c r="B2625" s="1">
        <v>9</v>
      </c>
      <c r="C2625" s="22">
        <v>45139</v>
      </c>
      <c r="D2625" s="22">
        <v>45169</v>
      </c>
      <c r="E2625" s="23">
        <f t="shared" si="424"/>
        <v>31</v>
      </c>
      <c r="F2625" s="3">
        <f t="shared" si="426"/>
        <v>8034842.6352824196</v>
      </c>
      <c r="G2625" s="3">
        <f t="shared" si="429"/>
        <v>538486.35509499651</v>
      </c>
      <c r="H2625" s="3">
        <f t="shared" si="427"/>
        <v>66957.021960686834</v>
      </c>
      <c r="I2625" s="3">
        <f t="shared" si="425"/>
        <v>471529.33313430968</v>
      </c>
      <c r="J2625" s="3">
        <f t="shared" si="428"/>
        <v>7563313.3021481102</v>
      </c>
      <c r="K2625" s="24"/>
      <c r="L2625" s="24">
        <f t="shared" si="430"/>
        <v>2160918.1305699791</v>
      </c>
    </row>
    <row r="2626" spans="2:12" x14ac:dyDescent="0.35">
      <c r="B2626" s="1">
        <v>10</v>
      </c>
      <c r="C2626" s="22">
        <v>45170</v>
      </c>
      <c r="D2626" s="22">
        <v>45199</v>
      </c>
      <c r="E2626" s="23">
        <f t="shared" si="424"/>
        <v>30</v>
      </c>
      <c r="F2626" s="3">
        <f t="shared" si="426"/>
        <v>7563313.3021481102</v>
      </c>
      <c r="G2626" s="3">
        <f t="shared" si="429"/>
        <v>538486.35509499651</v>
      </c>
      <c r="H2626" s="3">
        <f t="shared" si="427"/>
        <v>63027.610851234254</v>
      </c>
      <c r="I2626" s="3">
        <f t="shared" si="425"/>
        <v>475458.74424376228</v>
      </c>
      <c r="J2626" s="3">
        <f t="shared" si="428"/>
        <v>7087854.5579043478</v>
      </c>
      <c r="K2626" s="24"/>
      <c r="L2626" s="24">
        <f t="shared" si="430"/>
        <v>2699404.4856649758</v>
      </c>
    </row>
    <row r="2627" spans="2:12" x14ac:dyDescent="0.35">
      <c r="B2627" s="1">
        <v>11</v>
      </c>
      <c r="C2627" s="22">
        <v>45200</v>
      </c>
      <c r="D2627" s="22">
        <v>45230</v>
      </c>
      <c r="E2627" s="23">
        <f t="shared" si="424"/>
        <v>31</v>
      </c>
      <c r="F2627" s="3">
        <f t="shared" si="426"/>
        <v>7087854.5579043478</v>
      </c>
      <c r="G2627" s="3">
        <f t="shared" si="429"/>
        <v>538486.35509499651</v>
      </c>
      <c r="H2627" s="3">
        <f t="shared" si="427"/>
        <v>59065.454649202897</v>
      </c>
      <c r="I2627" s="3">
        <f t="shared" si="425"/>
        <v>479420.90044579364</v>
      </c>
      <c r="J2627" s="3">
        <f t="shared" si="428"/>
        <v>6608433.657458554</v>
      </c>
      <c r="K2627" s="24"/>
      <c r="L2627" s="24">
        <f t="shared" si="430"/>
        <v>3237890.8407599721</v>
      </c>
    </row>
    <row r="2628" spans="2:12" x14ac:dyDescent="0.35">
      <c r="B2628" s="1">
        <v>12</v>
      </c>
      <c r="C2628" s="22">
        <v>45231</v>
      </c>
      <c r="D2628" s="22">
        <v>45260</v>
      </c>
      <c r="E2628" s="23">
        <f t="shared" si="424"/>
        <v>30</v>
      </c>
      <c r="F2628" s="3">
        <f t="shared" si="426"/>
        <v>6608433.657458554</v>
      </c>
      <c r="G2628" s="3">
        <f t="shared" si="429"/>
        <v>538486.35509499651</v>
      </c>
      <c r="H2628" s="3">
        <f t="shared" si="427"/>
        <v>55070.280478821282</v>
      </c>
      <c r="I2628" s="3">
        <f t="shared" si="425"/>
        <v>483416.07461617526</v>
      </c>
      <c r="J2628" s="3">
        <f t="shared" si="428"/>
        <v>6125017.5828423789</v>
      </c>
      <c r="K2628" s="24"/>
      <c r="L2628" s="24">
        <f t="shared" si="430"/>
        <v>3776377.1958549684</v>
      </c>
    </row>
    <row r="2629" spans="2:12" x14ac:dyDescent="0.35">
      <c r="B2629" s="1">
        <v>13</v>
      </c>
      <c r="C2629" s="22">
        <v>45261</v>
      </c>
      <c r="D2629" s="22">
        <v>45291</v>
      </c>
      <c r="E2629" s="23">
        <f t="shared" si="424"/>
        <v>31</v>
      </c>
      <c r="F2629" s="3">
        <f t="shared" si="426"/>
        <v>6125017.5828423789</v>
      </c>
      <c r="G2629" s="3">
        <f t="shared" si="429"/>
        <v>538486.35509499651</v>
      </c>
      <c r="H2629" s="3">
        <f t="shared" si="427"/>
        <v>51041.813190353154</v>
      </c>
      <c r="I2629" s="3">
        <f t="shared" si="425"/>
        <v>487444.54190464335</v>
      </c>
      <c r="J2629" s="3">
        <f t="shared" si="428"/>
        <v>5637573.0409377357</v>
      </c>
      <c r="K2629" s="24"/>
      <c r="L2629" s="24">
        <f t="shared" si="430"/>
        <v>4314863.5509499647</v>
      </c>
    </row>
    <row r="2630" spans="2:12" x14ac:dyDescent="0.35">
      <c r="B2630" s="1">
        <v>14</v>
      </c>
      <c r="C2630" s="22">
        <v>45292</v>
      </c>
      <c r="D2630" s="22">
        <v>45322</v>
      </c>
      <c r="E2630" s="23">
        <f t="shared" si="424"/>
        <v>31</v>
      </c>
      <c r="F2630" s="3">
        <f t="shared" si="426"/>
        <v>5637573.0409377357</v>
      </c>
      <c r="G2630" s="3">
        <f t="shared" si="429"/>
        <v>538486.35509499651</v>
      </c>
      <c r="H2630" s="3">
        <f t="shared" si="427"/>
        <v>46979.775341147797</v>
      </c>
      <c r="I2630" s="3">
        <f t="shared" si="425"/>
        <v>491506.57975384872</v>
      </c>
      <c r="J2630" s="3">
        <f t="shared" si="428"/>
        <v>5146066.461183887</v>
      </c>
      <c r="K2630" s="24"/>
      <c r="L2630" s="24">
        <f t="shared" si="430"/>
        <v>4853349.906044961</v>
      </c>
    </row>
    <row r="2631" spans="2:12" x14ac:dyDescent="0.35">
      <c r="B2631" s="1">
        <v>15</v>
      </c>
      <c r="C2631" s="22">
        <v>45323</v>
      </c>
      <c r="D2631" s="22">
        <v>45351</v>
      </c>
      <c r="E2631" s="23">
        <f t="shared" si="424"/>
        <v>29</v>
      </c>
      <c r="F2631" s="3">
        <f t="shared" si="426"/>
        <v>5146066.461183887</v>
      </c>
      <c r="G2631" s="3">
        <f t="shared" si="429"/>
        <v>538486.35509499651</v>
      </c>
      <c r="H2631" s="3">
        <f t="shared" si="427"/>
        <v>42883.887176532393</v>
      </c>
      <c r="I2631" s="3">
        <f t="shared" si="425"/>
        <v>495602.4679184641</v>
      </c>
      <c r="J2631" s="3">
        <f t="shared" si="428"/>
        <v>4650463.993265423</v>
      </c>
      <c r="K2631" s="24"/>
      <c r="L2631" s="24">
        <f t="shared" si="430"/>
        <v>5391836.2611399572</v>
      </c>
    </row>
    <row r="2632" spans="2:12" x14ac:dyDescent="0.35">
      <c r="B2632" s="1">
        <v>16</v>
      </c>
      <c r="C2632" s="22">
        <v>45352</v>
      </c>
      <c r="D2632" s="22">
        <v>45382</v>
      </c>
      <c r="E2632" s="23">
        <f t="shared" si="424"/>
        <v>31</v>
      </c>
      <c r="F2632" s="3">
        <f t="shared" si="426"/>
        <v>4650463.993265423</v>
      </c>
      <c r="G2632" s="3">
        <f t="shared" si="429"/>
        <v>538486.35509499651</v>
      </c>
      <c r="H2632" s="3">
        <f t="shared" si="427"/>
        <v>38753.866610545192</v>
      </c>
      <c r="I2632" s="3">
        <f t="shared" si="425"/>
        <v>499732.48848445131</v>
      </c>
      <c r="J2632" s="3">
        <f t="shared" si="428"/>
        <v>4150731.5047809714</v>
      </c>
      <c r="K2632" s="24"/>
      <c r="L2632" s="24">
        <f t="shared" si="430"/>
        <v>5930322.6162349535</v>
      </c>
    </row>
    <row r="2633" spans="2:12" x14ac:dyDescent="0.35">
      <c r="B2633" s="1">
        <v>17</v>
      </c>
      <c r="C2633" s="22">
        <v>45383</v>
      </c>
      <c r="D2633" s="22">
        <v>45412</v>
      </c>
      <c r="E2633" s="23">
        <f t="shared" si="424"/>
        <v>30</v>
      </c>
      <c r="F2633" s="3">
        <f t="shared" si="426"/>
        <v>4150731.5047809714</v>
      </c>
      <c r="G2633" s="3">
        <f t="shared" si="429"/>
        <v>538486.35509499651</v>
      </c>
      <c r="H2633" s="3">
        <f t="shared" si="427"/>
        <v>34589.429206508095</v>
      </c>
      <c r="I2633" s="3">
        <f t="shared" si="425"/>
        <v>503896.92588848842</v>
      </c>
      <c r="J2633" s="3">
        <f t="shared" si="428"/>
        <v>3646834.5788924829</v>
      </c>
      <c r="K2633" s="24"/>
      <c r="L2633" s="24">
        <f t="shared" si="430"/>
        <v>6468808.9713299498</v>
      </c>
    </row>
    <row r="2634" spans="2:12" x14ac:dyDescent="0.35">
      <c r="B2634" s="1">
        <v>18</v>
      </c>
      <c r="C2634" s="22">
        <v>45413</v>
      </c>
      <c r="D2634" s="22">
        <v>45443</v>
      </c>
      <c r="E2634" s="23">
        <f t="shared" si="424"/>
        <v>31</v>
      </c>
      <c r="F2634" s="3">
        <f t="shared" si="426"/>
        <v>3646834.5788924829</v>
      </c>
      <c r="G2634" s="3">
        <f t="shared" si="429"/>
        <v>538486.35509499651</v>
      </c>
      <c r="H2634" s="3">
        <f t="shared" si="427"/>
        <v>30390.288157437357</v>
      </c>
      <c r="I2634" s="3">
        <f t="shared" si="425"/>
        <v>508096.06693755917</v>
      </c>
      <c r="J2634" s="3">
        <f t="shared" si="428"/>
        <v>3138738.5119549236</v>
      </c>
      <c r="K2634" s="24"/>
      <c r="L2634" s="24">
        <f t="shared" si="430"/>
        <v>7007295.3264249461</v>
      </c>
    </row>
    <row r="2635" spans="2:12" x14ac:dyDescent="0.35">
      <c r="B2635" s="1">
        <v>19</v>
      </c>
      <c r="C2635" s="22">
        <v>45444</v>
      </c>
      <c r="D2635" s="22">
        <v>45473</v>
      </c>
      <c r="E2635" s="23">
        <f t="shared" si="424"/>
        <v>30</v>
      </c>
      <c r="F2635" s="3">
        <f t="shared" si="426"/>
        <v>3138738.5119549236</v>
      </c>
      <c r="G2635" s="3">
        <f t="shared" si="429"/>
        <v>538486.35509499651</v>
      </c>
      <c r="H2635" s="3">
        <f t="shared" si="427"/>
        <v>26156.154266291029</v>
      </c>
      <c r="I2635" s="3">
        <f t="shared" si="425"/>
        <v>512330.20082870551</v>
      </c>
      <c r="J2635" s="3">
        <f t="shared" si="428"/>
        <v>2626408.3111262182</v>
      </c>
      <c r="K2635" s="24"/>
      <c r="L2635" s="24">
        <f t="shared" si="430"/>
        <v>7545781.6815199424</v>
      </c>
    </row>
    <row r="2636" spans="2:12" x14ac:dyDescent="0.35">
      <c r="B2636" s="1">
        <v>20</v>
      </c>
      <c r="C2636" s="22">
        <v>45474</v>
      </c>
      <c r="D2636" s="22">
        <v>45504</v>
      </c>
      <c r="E2636" s="23">
        <f t="shared" si="424"/>
        <v>31</v>
      </c>
      <c r="F2636" s="3">
        <f t="shared" si="426"/>
        <v>2626408.3111262182</v>
      </c>
      <c r="G2636" s="3">
        <f t="shared" si="429"/>
        <v>538486.35509499651</v>
      </c>
      <c r="H2636" s="3">
        <f t="shared" si="427"/>
        <v>21886.735926051817</v>
      </c>
      <c r="I2636" s="3">
        <f t="shared" si="425"/>
        <v>516599.61916894472</v>
      </c>
      <c r="J2636" s="3">
        <f t="shared" si="428"/>
        <v>2109808.6919572735</v>
      </c>
      <c r="K2636" s="24">
        <v>535000</v>
      </c>
      <c r="L2636" s="24">
        <f t="shared" si="430"/>
        <v>7549268.0366149386</v>
      </c>
    </row>
    <row r="2637" spans="2:12" x14ac:dyDescent="0.35">
      <c r="B2637" s="1">
        <v>21</v>
      </c>
      <c r="C2637" s="22">
        <v>45505</v>
      </c>
      <c r="D2637" s="22">
        <v>45535</v>
      </c>
      <c r="E2637" s="23">
        <f t="shared" si="424"/>
        <v>31</v>
      </c>
      <c r="F2637" s="3">
        <f t="shared" si="426"/>
        <v>2109808.6919572735</v>
      </c>
      <c r="G2637" s="3">
        <f t="shared" si="429"/>
        <v>538486.35509499651</v>
      </c>
      <c r="H2637" s="3">
        <f t="shared" si="427"/>
        <v>17581.739099643946</v>
      </c>
      <c r="I2637" s="3">
        <f t="shared" si="425"/>
        <v>520904.61599535256</v>
      </c>
      <c r="J2637" s="3">
        <f t="shared" si="428"/>
        <v>1588904.0759619209</v>
      </c>
      <c r="K2637" s="24">
        <f>500000+500000</f>
        <v>1000000</v>
      </c>
      <c r="L2637" s="24">
        <f t="shared" si="430"/>
        <v>7087754.3917099349</v>
      </c>
    </row>
    <row r="2638" spans="2:12" x14ac:dyDescent="0.35">
      <c r="B2638" s="1">
        <v>22</v>
      </c>
      <c r="C2638" s="22">
        <v>45536</v>
      </c>
      <c r="D2638" s="22">
        <v>45565</v>
      </c>
      <c r="E2638" s="23">
        <f t="shared" si="424"/>
        <v>30</v>
      </c>
      <c r="F2638" s="3">
        <f t="shared" si="426"/>
        <v>1588904.0759619209</v>
      </c>
      <c r="G2638" s="3">
        <f t="shared" si="429"/>
        <v>538486.35509499651</v>
      </c>
      <c r="H2638" s="3">
        <f t="shared" si="427"/>
        <v>13240.867299682674</v>
      </c>
      <c r="I2638" s="3">
        <f t="shared" si="425"/>
        <v>525245.48779531382</v>
      </c>
      <c r="J2638" s="3">
        <f t="shared" si="428"/>
        <v>1063658.5881666071</v>
      </c>
      <c r="K2638" s="24"/>
      <c r="L2638" s="24">
        <f t="shared" si="430"/>
        <v>7626240.7468049312</v>
      </c>
    </row>
    <row r="2639" spans="2:12" x14ac:dyDescent="0.35">
      <c r="B2639" s="1">
        <v>23</v>
      </c>
      <c r="C2639" s="22">
        <v>45566</v>
      </c>
      <c r="D2639" s="22">
        <v>45596</v>
      </c>
      <c r="E2639" s="23">
        <f t="shared" si="424"/>
        <v>31</v>
      </c>
      <c r="F2639" s="3">
        <f t="shared" si="426"/>
        <v>1063658.5881666071</v>
      </c>
      <c r="G2639" s="3">
        <f t="shared" si="429"/>
        <v>538486.35509499651</v>
      </c>
      <c r="H2639" s="3">
        <f t="shared" si="427"/>
        <v>8863.8215680550584</v>
      </c>
      <c r="I2639" s="3">
        <f t="shared" si="425"/>
        <v>529622.53352694144</v>
      </c>
      <c r="J2639" s="3">
        <f t="shared" si="428"/>
        <v>534036.05463966564</v>
      </c>
      <c r="K2639" s="24">
        <f>500000+500000+500000+500000</f>
        <v>2000000</v>
      </c>
      <c r="L2639" s="204">
        <f t="shared" si="430"/>
        <v>6164727.1018999275</v>
      </c>
    </row>
    <row r="2640" spans="2:12" x14ac:dyDescent="0.35">
      <c r="B2640" s="1">
        <v>24</v>
      </c>
      <c r="C2640" s="22">
        <v>45597</v>
      </c>
      <c r="D2640" s="22">
        <v>45626</v>
      </c>
      <c r="E2640" s="23">
        <f t="shared" si="424"/>
        <v>30</v>
      </c>
      <c r="F2640" s="3">
        <f t="shared" si="426"/>
        <v>534036.05463966564</v>
      </c>
      <c r="G2640" s="3">
        <f t="shared" si="429"/>
        <v>538486.35509499651</v>
      </c>
      <c r="H2640" s="3">
        <f t="shared" si="427"/>
        <v>4450.3004553305473</v>
      </c>
      <c r="I2640" s="3">
        <f t="shared" si="425"/>
        <v>534036.05463966599</v>
      </c>
      <c r="J2640" s="3">
        <f t="shared" si="428"/>
        <v>0</v>
      </c>
      <c r="K2640" s="24"/>
      <c r="L2640" s="24"/>
    </row>
    <row r="2641" spans="2:19" x14ac:dyDescent="0.35">
      <c r="B2641" s="1"/>
      <c r="C2641" s="22"/>
      <c r="D2641" s="22"/>
      <c r="E2641" s="23"/>
      <c r="F2641" s="3"/>
      <c r="G2641" s="3"/>
      <c r="H2641" s="3"/>
      <c r="I2641" s="3"/>
      <c r="J2641" s="3"/>
      <c r="K2641" s="24"/>
      <c r="L2641" s="24"/>
    </row>
    <row r="2642" spans="2:19" x14ac:dyDescent="0.35">
      <c r="B2642" s="1"/>
      <c r="C2642" s="22"/>
      <c r="D2642" s="22"/>
      <c r="E2642" s="28">
        <f>SUM(E2616:E2640)</f>
        <v>760</v>
      </c>
      <c r="F2642" s="3"/>
      <c r="G2642" s="3"/>
      <c r="H2642" s="3"/>
      <c r="I2642" s="3"/>
      <c r="J2642" s="3"/>
      <c r="K2642" s="24"/>
      <c r="L2642" s="24"/>
    </row>
    <row r="2643" spans="2:19" x14ac:dyDescent="0.35">
      <c r="B2643" s="1"/>
      <c r="C2643" s="22"/>
      <c r="D2643" s="22"/>
      <c r="E2643" s="23"/>
      <c r="F2643" s="3"/>
      <c r="G2643" s="3"/>
      <c r="H2643" s="3"/>
      <c r="I2643" s="3"/>
      <c r="J2643" s="3"/>
      <c r="K2643" s="24"/>
      <c r="L2643" s="24"/>
    </row>
    <row r="2644" spans="2:19" x14ac:dyDescent="0.35">
      <c r="B2644" s="1"/>
      <c r="C2644" s="22"/>
      <c r="D2644" s="22"/>
      <c r="E2644" s="23"/>
      <c r="F2644" s="3"/>
      <c r="G2644" s="3"/>
      <c r="H2644" s="3"/>
      <c r="I2644" s="3"/>
      <c r="J2644" s="3"/>
      <c r="K2644" s="24"/>
      <c r="L2644" s="24"/>
    </row>
    <row r="2645" spans="2:19" x14ac:dyDescent="0.35">
      <c r="B2645" s="1"/>
      <c r="C2645" s="22"/>
      <c r="D2645" s="22"/>
      <c r="E2645" s="23"/>
      <c r="F2645" s="3"/>
      <c r="G2645" s="3"/>
      <c r="H2645" s="3"/>
      <c r="I2645" s="3"/>
      <c r="J2645" s="3"/>
      <c r="K2645" s="24"/>
      <c r="L2645" s="24"/>
    </row>
    <row r="2646" spans="2:19" x14ac:dyDescent="0.35">
      <c r="B2646" s="1"/>
      <c r="C2646" s="22"/>
      <c r="D2646" s="22"/>
      <c r="E2646" s="23"/>
      <c r="F2646" s="3"/>
      <c r="G2646" s="3"/>
      <c r="H2646" s="3"/>
      <c r="I2646" s="3"/>
      <c r="J2646" s="3"/>
      <c r="K2646" s="24"/>
      <c r="L2646" s="24"/>
    </row>
    <row r="2647" spans="2:19" x14ac:dyDescent="0.35">
      <c r="B2647" s="1"/>
      <c r="C2647" s="8" t="s">
        <v>611</v>
      </c>
      <c r="D2647" s="3"/>
      <c r="E2647" s="3"/>
      <c r="F2647" s="3"/>
      <c r="G2647" s="3"/>
      <c r="H2647" s="3"/>
      <c r="I2647" s="3"/>
      <c r="J2647" s="3"/>
      <c r="K2647" s="3"/>
      <c r="L2647" s="3"/>
      <c r="R2647" s="438" t="s">
        <v>832</v>
      </c>
      <c r="S2647" s="432" t="str">
        <f>IFERROR(INDEX(Blocks!$I$2:$I$101,MATCH(49,Blocks!$A$2:$A$101,0)),"")</f>
        <v>000104450000050</v>
      </c>
    </row>
    <row r="2648" spans="2:19" x14ac:dyDescent="0.35">
      <c r="B2648" s="1"/>
      <c r="C2648" s="1"/>
      <c r="D2648" s="3"/>
      <c r="E2648" s="3"/>
      <c r="F2648" s="3"/>
      <c r="G2648" s="3"/>
      <c r="H2648" s="3"/>
      <c r="I2648" s="3"/>
      <c r="J2648" s="3"/>
      <c r="K2648" s="3"/>
      <c r="L2648" s="3"/>
      <c r="R2648" s="438" t="s">
        <v>834</v>
      </c>
      <c r="S2648" s="432" t="str">
        <f>IFERROR(INDEX(Blocks!$H$2:$H$101,MATCH(49,Blocks!$A$2:$A$101,0)),"")</f>
        <v>Greendom Farming</v>
      </c>
    </row>
    <row r="2649" spans="2:19" x14ac:dyDescent="0.35">
      <c r="B2649" s="1"/>
      <c r="C2649" s="9" t="s">
        <v>835</v>
      </c>
      <c r="D2649" s="10">
        <v>10000000</v>
      </c>
      <c r="E2649" s="3"/>
      <c r="F2649" s="3"/>
      <c r="G2649" s="3"/>
      <c r="H2649" s="3"/>
      <c r="I2649" s="3"/>
      <c r="J2649" s="3"/>
      <c r="K2649" s="3"/>
      <c r="L2649" s="3"/>
      <c r="R2649" s="438" t="s">
        <v>223</v>
      </c>
      <c r="S2649" s="433">
        <f>IFERROR(INDEX('E-Banker master'!$N$2:$N$186,MATCH(S2647,'E-Banker master'!$A$2:$A$186,0)),"")</f>
        <v>10000000</v>
      </c>
    </row>
    <row r="2650" spans="2:19" x14ac:dyDescent="0.35">
      <c r="B2650" s="1"/>
      <c r="C2650" s="11" t="s">
        <v>837</v>
      </c>
      <c r="D2650" s="12">
        <v>0.1</v>
      </c>
      <c r="E2650" s="13"/>
      <c r="F2650" s="3"/>
      <c r="G2650" s="3"/>
      <c r="H2650" s="3"/>
      <c r="I2650" s="3"/>
      <c r="J2650" s="3"/>
      <c r="K2650" s="3"/>
      <c r="L2650" s="3"/>
      <c r="R2650" s="438" t="s">
        <v>52</v>
      </c>
      <c r="S2650" s="433">
        <f>IFERROR(INDEX('E-Banker master'!$P$2:$P$186,MATCH(S2647,'E-Banker master'!$A$2:$A$186,0)),"")</f>
        <v>1072059.3799999999</v>
      </c>
    </row>
    <row r="2651" spans="2:19" x14ac:dyDescent="0.35">
      <c r="B2651" s="1"/>
      <c r="C2651" s="11" t="s">
        <v>838</v>
      </c>
      <c r="D2651" s="14">
        <v>2</v>
      </c>
      <c r="E2651" s="1"/>
      <c r="F2651" s="3"/>
      <c r="G2651" s="3"/>
      <c r="H2651" s="3"/>
      <c r="I2651" s="3"/>
      <c r="J2651" s="3"/>
      <c r="K2651" s="1"/>
      <c r="L2651" s="1"/>
    </row>
    <row r="2652" spans="2:19" x14ac:dyDescent="0.35">
      <c r="B2652" s="1"/>
      <c r="C2652" s="11" t="s">
        <v>839</v>
      </c>
      <c r="D2652" s="14">
        <v>12</v>
      </c>
      <c r="E2652" s="1"/>
      <c r="F2652" s="3"/>
      <c r="G2652" s="3"/>
      <c r="H2652" s="3"/>
      <c r="I2652" s="3"/>
      <c r="J2652" s="3"/>
      <c r="K2652" s="1"/>
      <c r="L2652" s="1"/>
    </row>
    <row r="2653" spans="2:19" x14ac:dyDescent="0.35">
      <c r="B2653" s="1"/>
      <c r="C2653" s="11" t="s">
        <v>843</v>
      </c>
      <c r="D2653" s="15">
        <f>D2651*D2652</f>
        <v>24</v>
      </c>
      <c r="E2653" s="1"/>
      <c r="F2653" s="3"/>
      <c r="G2653" s="3"/>
      <c r="H2653" s="3"/>
      <c r="I2653" s="3"/>
      <c r="J2653" s="3"/>
      <c r="K2653" s="1"/>
      <c r="L2653" s="1"/>
    </row>
    <row r="2654" spans="2:19" x14ac:dyDescent="0.35">
      <c r="B2654" s="1"/>
      <c r="C2654" s="11" t="s">
        <v>844</v>
      </c>
      <c r="D2654" s="16">
        <v>365</v>
      </c>
      <c r="E2654" s="1"/>
      <c r="F2654" s="3"/>
      <c r="G2654" s="3"/>
      <c r="H2654" s="3"/>
      <c r="I2654" s="3"/>
      <c r="J2654" s="3"/>
      <c r="K2654" s="1"/>
      <c r="L2654" s="1"/>
    </row>
    <row r="2655" spans="2:19" x14ac:dyDescent="0.35">
      <c r="B2655" s="1"/>
      <c r="C2655" s="17" t="s">
        <v>845</v>
      </c>
      <c r="D2655" s="18">
        <f>-PMT(D2650/D2652,D2653,D2649,0,0)</f>
        <v>461449.26337516506</v>
      </c>
      <c r="E2655" s="3"/>
      <c r="F2655" s="3"/>
      <c r="G2655" s="3"/>
      <c r="H2655" s="3"/>
      <c r="I2655" s="3"/>
      <c r="J2655" s="3"/>
      <c r="K2655" s="1"/>
      <c r="L2655" s="1"/>
    </row>
    <row r="2656" spans="2:19" x14ac:dyDescent="0.35">
      <c r="B2656" s="1"/>
      <c r="C2656" s="1"/>
      <c r="D2656" s="3"/>
      <c r="E2656" s="3"/>
      <c r="F2656" s="3"/>
      <c r="G2656" s="3"/>
      <c r="H2656" s="3"/>
      <c r="I2656" s="3"/>
      <c r="J2656" s="3"/>
      <c r="K2656" s="1"/>
      <c r="L2656" s="1"/>
    </row>
    <row r="2657" spans="2:12" x14ac:dyDescent="0.35">
      <c r="B2657" s="1"/>
      <c r="C2657" s="19" t="s">
        <v>846</v>
      </c>
      <c r="D2657" s="20" t="s">
        <v>847</v>
      </c>
      <c r="E2657" s="20" t="s">
        <v>764</v>
      </c>
      <c r="F2657" s="270" t="s">
        <v>848</v>
      </c>
      <c r="G2657" s="270" t="s">
        <v>849</v>
      </c>
      <c r="H2657" s="270" t="s">
        <v>742</v>
      </c>
      <c r="I2657" s="270" t="s">
        <v>740</v>
      </c>
      <c r="J2657" s="270" t="s">
        <v>850</v>
      </c>
      <c r="K2657" s="21" t="s">
        <v>851</v>
      </c>
      <c r="L2657" s="21" t="s">
        <v>852</v>
      </c>
    </row>
    <row r="2658" spans="2:12" x14ac:dyDescent="0.35">
      <c r="B2658" s="1">
        <v>0</v>
      </c>
      <c r="C2658" s="22">
        <v>44874</v>
      </c>
      <c r="D2658" s="22">
        <v>44895</v>
      </c>
      <c r="E2658" s="23">
        <f t="shared" ref="E2658:E2682" si="431">D2658-C2658+1</f>
        <v>22</v>
      </c>
      <c r="F2658" s="3">
        <f>D2649</f>
        <v>10000000</v>
      </c>
      <c r="G2658" s="3"/>
      <c r="H2658" s="3">
        <f>D2650/D2652*E2658*F2658/30</f>
        <v>61111.111111111109</v>
      </c>
      <c r="I2658" s="3">
        <f t="shared" ref="I2658:I2682" si="432">G2658-H2658</f>
        <v>-61111.111111111109</v>
      </c>
      <c r="J2658" s="3">
        <f>F2658+F2649-I2658</f>
        <v>10061111.111111112</v>
      </c>
      <c r="K2658" s="24"/>
      <c r="L2658" s="24"/>
    </row>
    <row r="2659" spans="2:12" x14ac:dyDescent="0.35">
      <c r="B2659" s="1">
        <v>1</v>
      </c>
      <c r="C2659" s="22">
        <v>44896</v>
      </c>
      <c r="D2659" s="22">
        <v>44926</v>
      </c>
      <c r="E2659" s="23">
        <f t="shared" si="431"/>
        <v>31</v>
      </c>
      <c r="F2659" s="3">
        <f t="shared" ref="F2659:F2682" si="433">J2658</f>
        <v>10061111.111111112</v>
      </c>
      <c r="G2659" s="3"/>
      <c r="H2659" s="3">
        <f t="shared" ref="H2659:H2682" si="434">($D$2650/$D$2652*F2659)</f>
        <v>83842.592592592599</v>
      </c>
      <c r="I2659" s="3">
        <f t="shared" si="432"/>
        <v>-83842.592592592599</v>
      </c>
      <c r="J2659" s="3">
        <f t="shared" ref="J2659:J2682" si="435">F2659-I2659</f>
        <v>10144953.703703705</v>
      </c>
      <c r="K2659" s="24"/>
      <c r="L2659" s="24"/>
    </row>
    <row r="2660" spans="2:12" x14ac:dyDescent="0.35">
      <c r="B2660" s="1">
        <v>2</v>
      </c>
      <c r="C2660" s="22">
        <v>44927</v>
      </c>
      <c r="D2660" s="22">
        <v>44957</v>
      </c>
      <c r="E2660" s="23">
        <f t="shared" si="431"/>
        <v>31</v>
      </c>
      <c r="F2660" s="3">
        <f t="shared" si="433"/>
        <v>10144953.703703705</v>
      </c>
      <c r="G2660" s="3"/>
      <c r="H2660" s="3">
        <f t="shared" si="434"/>
        <v>84541.280864197543</v>
      </c>
      <c r="I2660" s="3">
        <f t="shared" si="432"/>
        <v>-84541.280864197543</v>
      </c>
      <c r="J2660" s="3">
        <f t="shared" si="435"/>
        <v>10229494.984567903</v>
      </c>
    </row>
    <row r="2661" spans="2:12" x14ac:dyDescent="0.35">
      <c r="B2661" s="1">
        <v>3</v>
      </c>
      <c r="C2661" s="22">
        <v>44958</v>
      </c>
      <c r="D2661" s="22">
        <v>44985</v>
      </c>
      <c r="E2661" s="23">
        <f t="shared" si="431"/>
        <v>28</v>
      </c>
      <c r="F2661" s="3">
        <f t="shared" si="433"/>
        <v>10229494.984567903</v>
      </c>
      <c r="G2661" s="3"/>
      <c r="H2661" s="3">
        <f t="shared" si="434"/>
        <v>85245.791538065852</v>
      </c>
      <c r="I2661" s="3">
        <f t="shared" si="432"/>
        <v>-85245.791538065852</v>
      </c>
      <c r="J2661" s="3">
        <f t="shared" si="435"/>
        <v>10314740.776105968</v>
      </c>
      <c r="K2661" s="24"/>
      <c r="L2661" s="24"/>
    </row>
    <row r="2662" spans="2:12" x14ac:dyDescent="0.35">
      <c r="B2662" s="1">
        <v>4</v>
      </c>
      <c r="C2662" s="22">
        <v>44986</v>
      </c>
      <c r="D2662" s="22">
        <v>45016</v>
      </c>
      <c r="E2662" s="23">
        <f t="shared" si="431"/>
        <v>31</v>
      </c>
      <c r="F2662" s="3">
        <f t="shared" si="433"/>
        <v>10314740.776105968</v>
      </c>
      <c r="G2662" s="3">
        <f t="shared" ref="G2662:G2682" si="436">-PMT($D$2650/$D$2652,21,$F$2662,,0)</f>
        <v>537447.66551503923</v>
      </c>
      <c r="H2662" s="3">
        <f t="shared" si="434"/>
        <v>85956.173134216398</v>
      </c>
      <c r="I2662" s="3">
        <f t="shared" si="432"/>
        <v>451491.49238082283</v>
      </c>
      <c r="J2662" s="3">
        <f t="shared" si="435"/>
        <v>9863249.2837251462</v>
      </c>
      <c r="K2662" s="24"/>
      <c r="L2662" s="24">
        <f>G2662</f>
        <v>537447.66551503923</v>
      </c>
    </row>
    <row r="2663" spans="2:12" x14ac:dyDescent="0.35">
      <c r="B2663" s="1">
        <v>5</v>
      </c>
      <c r="C2663" s="22">
        <v>45017</v>
      </c>
      <c r="D2663" s="22">
        <v>45046</v>
      </c>
      <c r="E2663" s="23">
        <f t="shared" si="431"/>
        <v>30</v>
      </c>
      <c r="F2663" s="3">
        <f t="shared" si="433"/>
        <v>9863249.2837251462</v>
      </c>
      <c r="G2663" s="3">
        <f t="shared" si="436"/>
        <v>537447.66551503923</v>
      </c>
      <c r="H2663" s="3">
        <f t="shared" si="434"/>
        <v>82193.744031042879</v>
      </c>
      <c r="I2663" s="3">
        <f t="shared" si="432"/>
        <v>455253.92148399632</v>
      </c>
      <c r="J2663" s="3">
        <f t="shared" si="435"/>
        <v>9407995.3622411489</v>
      </c>
      <c r="K2663" s="24"/>
      <c r="L2663" s="24">
        <f>L2662+G2663</f>
        <v>1074895.3310300785</v>
      </c>
    </row>
    <row r="2664" spans="2:12" x14ac:dyDescent="0.35">
      <c r="B2664" s="1">
        <v>6</v>
      </c>
      <c r="C2664" s="22">
        <v>45047</v>
      </c>
      <c r="D2664" s="22">
        <v>45077</v>
      </c>
      <c r="E2664" s="23">
        <f t="shared" si="431"/>
        <v>31</v>
      </c>
      <c r="F2664" s="3">
        <f t="shared" si="433"/>
        <v>9407995.3622411489</v>
      </c>
      <c r="G2664" s="3">
        <f t="shared" si="436"/>
        <v>537447.66551503923</v>
      </c>
      <c r="H2664" s="3">
        <f t="shared" si="434"/>
        <v>78399.961352009574</v>
      </c>
      <c r="I2664" s="3">
        <f t="shared" si="432"/>
        <v>459047.70416302967</v>
      </c>
      <c r="J2664" s="3">
        <f t="shared" si="435"/>
        <v>8948947.6580781192</v>
      </c>
      <c r="K2664" s="24">
        <v>534183.21</v>
      </c>
      <c r="L2664" s="24">
        <f t="shared" ref="L2664:L2681" si="437">L2663+G2664-K2664</f>
        <v>1078159.7865451179</v>
      </c>
    </row>
    <row r="2665" spans="2:12" x14ac:dyDescent="0.35">
      <c r="B2665" s="1">
        <v>7</v>
      </c>
      <c r="C2665" s="22">
        <v>45078</v>
      </c>
      <c r="D2665" s="22">
        <v>45107</v>
      </c>
      <c r="E2665" s="23">
        <f t="shared" si="431"/>
        <v>30</v>
      </c>
      <c r="F2665" s="3">
        <f t="shared" si="433"/>
        <v>8948947.6580781192</v>
      </c>
      <c r="G2665" s="3">
        <f t="shared" si="436"/>
        <v>537447.66551503923</v>
      </c>
      <c r="H2665" s="3">
        <f t="shared" si="434"/>
        <v>74574.563817317656</v>
      </c>
      <c r="I2665" s="3">
        <f t="shared" si="432"/>
        <v>462873.10169772158</v>
      </c>
      <c r="J2665" s="3">
        <f t="shared" si="435"/>
        <v>8486074.5563803967</v>
      </c>
      <c r="K2665" s="24">
        <v>534184</v>
      </c>
      <c r="L2665" s="24">
        <f t="shared" si="437"/>
        <v>1081423.452060157</v>
      </c>
    </row>
    <row r="2666" spans="2:12" x14ac:dyDescent="0.35">
      <c r="B2666" s="1">
        <v>8</v>
      </c>
      <c r="C2666" s="22">
        <v>45108</v>
      </c>
      <c r="D2666" s="22">
        <v>45138</v>
      </c>
      <c r="E2666" s="23">
        <f t="shared" si="431"/>
        <v>31</v>
      </c>
      <c r="F2666" s="3">
        <f t="shared" si="433"/>
        <v>8486074.5563803967</v>
      </c>
      <c r="G2666" s="3">
        <f t="shared" si="436"/>
        <v>537447.66551503923</v>
      </c>
      <c r="H2666" s="3">
        <f t="shared" si="434"/>
        <v>70717.287969836645</v>
      </c>
      <c r="I2666" s="3">
        <f t="shared" si="432"/>
        <v>466730.37754520262</v>
      </c>
      <c r="J2666" s="3">
        <f t="shared" si="435"/>
        <v>8019344.1788351946</v>
      </c>
      <c r="K2666" s="24"/>
      <c r="L2666" s="24">
        <f t="shared" si="437"/>
        <v>1618871.1175751961</v>
      </c>
    </row>
    <row r="2667" spans="2:12" x14ac:dyDescent="0.35">
      <c r="B2667" s="1">
        <v>9</v>
      </c>
      <c r="C2667" s="22">
        <v>45139</v>
      </c>
      <c r="D2667" s="22">
        <v>45169</v>
      </c>
      <c r="E2667" s="23">
        <f t="shared" si="431"/>
        <v>31</v>
      </c>
      <c r="F2667" s="3">
        <f t="shared" si="433"/>
        <v>8019344.1788351946</v>
      </c>
      <c r="G2667" s="3">
        <f t="shared" si="436"/>
        <v>537447.66551503923</v>
      </c>
      <c r="H2667" s="3">
        <f t="shared" si="434"/>
        <v>66827.868156959958</v>
      </c>
      <c r="I2667" s="3">
        <f t="shared" si="432"/>
        <v>470619.79735807929</v>
      </c>
      <c r="J2667" s="3">
        <f t="shared" si="435"/>
        <v>7548724.3814771157</v>
      </c>
      <c r="K2667" s="24"/>
      <c r="L2667" s="24">
        <f t="shared" si="437"/>
        <v>2156318.7830902352</v>
      </c>
    </row>
    <row r="2668" spans="2:12" x14ac:dyDescent="0.35">
      <c r="B2668" s="1">
        <v>10</v>
      </c>
      <c r="C2668" s="22">
        <v>45170</v>
      </c>
      <c r="D2668" s="22">
        <v>45199</v>
      </c>
      <c r="E2668" s="23">
        <f t="shared" si="431"/>
        <v>30</v>
      </c>
      <c r="F2668" s="3">
        <f t="shared" si="433"/>
        <v>7548724.3814771157</v>
      </c>
      <c r="G2668" s="3">
        <f t="shared" si="436"/>
        <v>537447.66551503923</v>
      </c>
      <c r="H2668" s="3">
        <f t="shared" si="434"/>
        <v>62906.0365123093</v>
      </c>
      <c r="I2668" s="3">
        <f t="shared" si="432"/>
        <v>474541.62900272995</v>
      </c>
      <c r="J2668" s="3">
        <f t="shared" si="435"/>
        <v>7074182.7524743853</v>
      </c>
      <c r="K2668" s="24">
        <v>534183.21</v>
      </c>
      <c r="L2668" s="24">
        <f t="shared" si="437"/>
        <v>2159583.2386052744</v>
      </c>
    </row>
    <row r="2669" spans="2:12" x14ac:dyDescent="0.35">
      <c r="B2669" s="1">
        <v>11</v>
      </c>
      <c r="C2669" s="22">
        <v>45200</v>
      </c>
      <c r="D2669" s="22">
        <v>45230</v>
      </c>
      <c r="E2669" s="23">
        <f t="shared" si="431"/>
        <v>31</v>
      </c>
      <c r="F2669" s="3">
        <f t="shared" si="433"/>
        <v>7074182.7524743853</v>
      </c>
      <c r="G2669" s="3">
        <f t="shared" si="436"/>
        <v>537447.66551503923</v>
      </c>
      <c r="H2669" s="3">
        <f t="shared" si="434"/>
        <v>58951.522937286543</v>
      </c>
      <c r="I2669" s="3">
        <f t="shared" si="432"/>
        <v>478496.1425777527</v>
      </c>
      <c r="J2669" s="3">
        <f t="shared" si="435"/>
        <v>6595686.6098966328</v>
      </c>
      <c r="K2669" s="24"/>
      <c r="L2669" s="24">
        <f t="shared" si="437"/>
        <v>2697030.9041203135</v>
      </c>
    </row>
    <row r="2670" spans="2:12" x14ac:dyDescent="0.35">
      <c r="B2670" s="1">
        <v>12</v>
      </c>
      <c r="C2670" s="22">
        <v>45231</v>
      </c>
      <c r="D2670" s="22">
        <v>45260</v>
      </c>
      <c r="E2670" s="23">
        <f t="shared" si="431"/>
        <v>30</v>
      </c>
      <c r="F2670" s="3">
        <f t="shared" si="433"/>
        <v>6595686.6098966328</v>
      </c>
      <c r="G2670" s="3">
        <f t="shared" si="436"/>
        <v>537447.66551503923</v>
      </c>
      <c r="H2670" s="3">
        <f t="shared" si="434"/>
        <v>54964.055082471939</v>
      </c>
      <c r="I2670" s="3">
        <f t="shared" si="432"/>
        <v>482483.61043256731</v>
      </c>
      <c r="J2670" s="3">
        <f t="shared" si="435"/>
        <v>6113202.9994640658</v>
      </c>
      <c r="K2670" s="24"/>
      <c r="L2670" s="24">
        <f t="shared" si="437"/>
        <v>3234478.5696353526</v>
      </c>
    </row>
    <row r="2671" spans="2:12" x14ac:dyDescent="0.35">
      <c r="B2671" s="1">
        <v>13</v>
      </c>
      <c r="C2671" s="22">
        <v>45261</v>
      </c>
      <c r="D2671" s="22">
        <v>45291</v>
      </c>
      <c r="E2671" s="23">
        <f t="shared" si="431"/>
        <v>31</v>
      </c>
      <c r="F2671" s="3">
        <f t="shared" si="433"/>
        <v>6113202.9994640658</v>
      </c>
      <c r="G2671" s="3">
        <f t="shared" si="436"/>
        <v>537447.66551503923</v>
      </c>
      <c r="H2671" s="3">
        <f t="shared" si="434"/>
        <v>50943.358328867216</v>
      </c>
      <c r="I2671" s="3">
        <f t="shared" si="432"/>
        <v>486504.30718617199</v>
      </c>
      <c r="J2671" s="3">
        <f t="shared" si="435"/>
        <v>5626698.6922778934</v>
      </c>
      <c r="K2671" s="24">
        <v>534184</v>
      </c>
      <c r="L2671" s="24">
        <f t="shared" si="437"/>
        <v>3237742.2351503917</v>
      </c>
    </row>
    <row r="2672" spans="2:12" x14ac:dyDescent="0.35">
      <c r="B2672" s="1">
        <v>14</v>
      </c>
      <c r="C2672" s="22">
        <v>45292</v>
      </c>
      <c r="D2672" s="22">
        <v>45322</v>
      </c>
      <c r="E2672" s="23">
        <f t="shared" si="431"/>
        <v>31</v>
      </c>
      <c r="F2672" s="3">
        <f t="shared" si="433"/>
        <v>5626698.6922778934</v>
      </c>
      <c r="G2672" s="3">
        <f t="shared" si="436"/>
        <v>537447.66551503923</v>
      </c>
      <c r="H2672" s="3">
        <f t="shared" si="434"/>
        <v>46889.155768982448</v>
      </c>
      <c r="I2672" s="3">
        <f t="shared" si="432"/>
        <v>490558.50974605681</v>
      </c>
      <c r="J2672" s="3">
        <f t="shared" si="435"/>
        <v>5136140.1825318364</v>
      </c>
      <c r="K2672" s="24"/>
      <c r="L2672" s="24">
        <f t="shared" si="437"/>
        <v>3775189.9006654308</v>
      </c>
    </row>
    <row r="2673" spans="2:12" x14ac:dyDescent="0.35">
      <c r="B2673" s="1">
        <v>15</v>
      </c>
      <c r="C2673" s="22">
        <v>45323</v>
      </c>
      <c r="D2673" s="22">
        <v>45351</v>
      </c>
      <c r="E2673" s="23">
        <f t="shared" si="431"/>
        <v>29</v>
      </c>
      <c r="F2673" s="3">
        <f t="shared" si="433"/>
        <v>5136140.1825318364</v>
      </c>
      <c r="G2673" s="3">
        <f t="shared" si="436"/>
        <v>537447.66551503923</v>
      </c>
      <c r="H2673" s="3">
        <f t="shared" si="434"/>
        <v>42801.168187765303</v>
      </c>
      <c r="I2673" s="3">
        <f t="shared" si="432"/>
        <v>494646.49732727394</v>
      </c>
      <c r="J2673" s="3">
        <f t="shared" si="435"/>
        <v>4641493.6852045627</v>
      </c>
      <c r="K2673" s="24">
        <v>2000000</v>
      </c>
      <c r="L2673" s="24">
        <f t="shared" si="437"/>
        <v>2312637.5661804704</v>
      </c>
    </row>
    <row r="2674" spans="2:12" x14ac:dyDescent="0.35">
      <c r="B2674" s="1">
        <v>16</v>
      </c>
      <c r="C2674" s="22">
        <v>45352</v>
      </c>
      <c r="D2674" s="22">
        <v>45382</v>
      </c>
      <c r="E2674" s="23">
        <f t="shared" si="431"/>
        <v>31</v>
      </c>
      <c r="F2674" s="3">
        <f t="shared" si="433"/>
        <v>4641493.6852045627</v>
      </c>
      <c r="G2674" s="3">
        <f t="shared" si="436"/>
        <v>537447.66551503923</v>
      </c>
      <c r="H2674" s="3">
        <f t="shared" si="434"/>
        <v>38679.114043371359</v>
      </c>
      <c r="I2674" s="3">
        <f t="shared" si="432"/>
        <v>498768.55147166789</v>
      </c>
      <c r="J2674" s="3">
        <f t="shared" si="435"/>
        <v>4142725.1337328949</v>
      </c>
      <c r="K2674" s="24"/>
      <c r="L2674" s="24">
        <f t="shared" si="437"/>
        <v>2850085.2316955095</v>
      </c>
    </row>
    <row r="2675" spans="2:12" x14ac:dyDescent="0.35">
      <c r="B2675" s="1">
        <v>17</v>
      </c>
      <c r="C2675" s="22">
        <v>45383</v>
      </c>
      <c r="D2675" s="22">
        <v>45412</v>
      </c>
      <c r="E2675" s="23">
        <f t="shared" si="431"/>
        <v>30</v>
      </c>
      <c r="F2675" s="3">
        <f t="shared" si="433"/>
        <v>4142725.1337328949</v>
      </c>
      <c r="G2675" s="3">
        <f t="shared" si="436"/>
        <v>537447.66551503923</v>
      </c>
      <c r="H2675" s="3">
        <f t="shared" si="434"/>
        <v>34522.709447774127</v>
      </c>
      <c r="I2675" s="3">
        <f t="shared" si="432"/>
        <v>502924.95606726513</v>
      </c>
      <c r="J2675" s="3">
        <f t="shared" si="435"/>
        <v>3639800.1776656299</v>
      </c>
      <c r="K2675" s="24">
        <v>1000000</v>
      </c>
      <c r="L2675" s="24">
        <f t="shared" si="437"/>
        <v>2387532.8972105486</v>
      </c>
    </row>
    <row r="2676" spans="2:12" x14ac:dyDescent="0.35">
      <c r="B2676" s="1">
        <v>18</v>
      </c>
      <c r="C2676" s="22">
        <v>45413</v>
      </c>
      <c r="D2676" s="22">
        <v>45443</v>
      </c>
      <c r="E2676" s="23">
        <f t="shared" si="431"/>
        <v>31</v>
      </c>
      <c r="F2676" s="3">
        <f t="shared" si="433"/>
        <v>3639800.1776656299</v>
      </c>
      <c r="G2676" s="3">
        <f t="shared" si="436"/>
        <v>537447.66551503923</v>
      </c>
      <c r="H2676" s="3">
        <f t="shared" si="434"/>
        <v>30331.668147213582</v>
      </c>
      <c r="I2676" s="3">
        <f t="shared" si="432"/>
        <v>507115.99736782565</v>
      </c>
      <c r="J2676" s="3">
        <f t="shared" si="435"/>
        <v>3132684.1802978041</v>
      </c>
      <c r="K2676" s="24"/>
      <c r="L2676" s="24">
        <f t="shared" si="437"/>
        <v>2924980.5627255877</v>
      </c>
    </row>
    <row r="2677" spans="2:12" x14ac:dyDescent="0.35">
      <c r="B2677" s="1">
        <v>19</v>
      </c>
      <c r="C2677" s="22">
        <v>45444</v>
      </c>
      <c r="D2677" s="22">
        <v>45473</v>
      </c>
      <c r="E2677" s="23">
        <f t="shared" si="431"/>
        <v>30</v>
      </c>
      <c r="F2677" s="3">
        <f t="shared" si="433"/>
        <v>3132684.1802978041</v>
      </c>
      <c r="G2677" s="3">
        <f t="shared" si="436"/>
        <v>537447.66551503923</v>
      </c>
      <c r="H2677" s="3">
        <f t="shared" si="434"/>
        <v>26105.701502481701</v>
      </c>
      <c r="I2677" s="3">
        <f t="shared" si="432"/>
        <v>511341.96401255752</v>
      </c>
      <c r="J2677" s="3">
        <f t="shared" si="435"/>
        <v>2621342.2162852464</v>
      </c>
      <c r="K2677" s="24">
        <v>3000000</v>
      </c>
      <c r="L2677" s="24">
        <f t="shared" si="437"/>
        <v>462428.22824062686</v>
      </c>
    </row>
    <row r="2678" spans="2:12" x14ac:dyDescent="0.35">
      <c r="B2678" s="1">
        <v>20</v>
      </c>
      <c r="C2678" s="22">
        <v>45474</v>
      </c>
      <c r="D2678" s="22">
        <v>45504</v>
      </c>
      <c r="E2678" s="23">
        <f t="shared" si="431"/>
        <v>31</v>
      </c>
      <c r="F2678" s="3">
        <f t="shared" si="433"/>
        <v>2621342.2162852464</v>
      </c>
      <c r="G2678" s="3">
        <f t="shared" si="436"/>
        <v>537447.66551503923</v>
      </c>
      <c r="H2678" s="3">
        <f t="shared" si="434"/>
        <v>21844.51846904372</v>
      </c>
      <c r="I2678" s="3">
        <f t="shared" si="432"/>
        <v>515603.14704599552</v>
      </c>
      <c r="J2678" s="3">
        <f t="shared" si="435"/>
        <v>2105739.0692392508</v>
      </c>
      <c r="K2678" s="24">
        <f>534250+534250</f>
        <v>1068500</v>
      </c>
      <c r="L2678" s="24">
        <f t="shared" si="437"/>
        <v>-68624.106244333903</v>
      </c>
    </row>
    <row r="2679" spans="2:12" x14ac:dyDescent="0.35">
      <c r="B2679" s="1">
        <v>21</v>
      </c>
      <c r="C2679" s="22">
        <v>45505</v>
      </c>
      <c r="D2679" s="22">
        <v>45535</v>
      </c>
      <c r="E2679" s="23">
        <f t="shared" si="431"/>
        <v>31</v>
      </c>
      <c r="F2679" s="3">
        <f t="shared" si="433"/>
        <v>2105739.0692392508</v>
      </c>
      <c r="G2679" s="3">
        <f t="shared" si="436"/>
        <v>537447.66551503923</v>
      </c>
      <c r="H2679" s="3">
        <f t="shared" si="434"/>
        <v>17547.825576993757</v>
      </c>
      <c r="I2679" s="3">
        <f t="shared" si="432"/>
        <v>519899.83993804548</v>
      </c>
      <c r="J2679" s="3">
        <f t="shared" si="435"/>
        <v>1585839.2293012054</v>
      </c>
      <c r="K2679" s="24"/>
      <c r="L2679" s="24">
        <f t="shared" si="437"/>
        <v>468823.55927070533</v>
      </c>
    </row>
    <row r="2680" spans="2:12" x14ac:dyDescent="0.35">
      <c r="B2680" s="1">
        <v>22</v>
      </c>
      <c r="C2680" s="22">
        <v>45536</v>
      </c>
      <c r="D2680" s="22">
        <v>45565</v>
      </c>
      <c r="E2680" s="23">
        <f t="shared" si="431"/>
        <v>30</v>
      </c>
      <c r="F2680" s="3">
        <f t="shared" si="433"/>
        <v>1585839.2293012054</v>
      </c>
      <c r="G2680" s="3">
        <f t="shared" si="436"/>
        <v>537447.66551503923</v>
      </c>
      <c r="H2680" s="3">
        <f t="shared" si="434"/>
        <v>13215.326910843378</v>
      </c>
      <c r="I2680" s="3">
        <f t="shared" si="432"/>
        <v>524232.33860419586</v>
      </c>
      <c r="J2680" s="3">
        <f t="shared" si="435"/>
        <v>1061606.8906970094</v>
      </c>
      <c r="K2680" s="24">
        <v>534250</v>
      </c>
      <c r="L2680" s="24">
        <f t="shared" si="437"/>
        <v>472021.22478574456</v>
      </c>
    </row>
    <row r="2681" spans="2:12" x14ac:dyDescent="0.35">
      <c r="B2681" s="1">
        <v>23</v>
      </c>
      <c r="C2681" s="22">
        <v>45566</v>
      </c>
      <c r="D2681" s="22">
        <v>45596</v>
      </c>
      <c r="E2681" s="23">
        <f t="shared" si="431"/>
        <v>31</v>
      </c>
      <c r="F2681" s="3">
        <f t="shared" si="433"/>
        <v>1061606.8906970094</v>
      </c>
      <c r="G2681" s="3">
        <f t="shared" si="436"/>
        <v>537447.66551503923</v>
      </c>
      <c r="H2681" s="3">
        <f t="shared" si="434"/>
        <v>8846.7240891417441</v>
      </c>
      <c r="I2681" s="3">
        <f t="shared" si="432"/>
        <v>528600.94142589753</v>
      </c>
      <c r="J2681" s="3">
        <f t="shared" si="435"/>
        <v>533005.94927111187</v>
      </c>
      <c r="K2681" s="24">
        <v>473000</v>
      </c>
      <c r="L2681" s="205">
        <f t="shared" si="437"/>
        <v>536468.89030078379</v>
      </c>
    </row>
    <row r="2682" spans="2:12" x14ac:dyDescent="0.35">
      <c r="B2682" s="1">
        <v>24</v>
      </c>
      <c r="C2682" s="22">
        <v>45597</v>
      </c>
      <c r="D2682" s="22">
        <v>45626</v>
      </c>
      <c r="E2682" s="23">
        <f t="shared" si="431"/>
        <v>30</v>
      </c>
      <c r="F2682" s="3">
        <f t="shared" si="433"/>
        <v>533005.94927111187</v>
      </c>
      <c r="G2682" s="3">
        <f t="shared" si="436"/>
        <v>537447.66551503923</v>
      </c>
      <c r="H2682" s="3">
        <f t="shared" si="434"/>
        <v>4441.7162439259318</v>
      </c>
      <c r="I2682" s="3">
        <f t="shared" si="432"/>
        <v>533005.94927111326</v>
      </c>
      <c r="J2682" s="3">
        <f t="shared" si="435"/>
        <v>-1.3969838619232178E-9</v>
      </c>
      <c r="K2682" s="24"/>
      <c r="L2682" s="24"/>
    </row>
    <row r="2683" spans="2:12" x14ac:dyDescent="0.35">
      <c r="B2683" s="1"/>
      <c r="C2683" s="22"/>
      <c r="D2683" s="22"/>
      <c r="E2683" s="23"/>
      <c r="F2683" s="3"/>
      <c r="G2683" s="3"/>
      <c r="H2683" s="3"/>
      <c r="I2683" s="3"/>
      <c r="J2683" s="3"/>
      <c r="K2683" s="24"/>
      <c r="L2683" s="24"/>
    </row>
    <row r="2684" spans="2:12" x14ac:dyDescent="0.35">
      <c r="B2684" s="1"/>
      <c r="C2684" s="22"/>
      <c r="D2684" s="22"/>
      <c r="E2684" s="28">
        <f>SUM(E2658:E2682)</f>
        <v>753</v>
      </c>
      <c r="F2684" s="3"/>
      <c r="G2684" s="3"/>
      <c r="H2684" s="3"/>
      <c r="I2684" s="3"/>
      <c r="J2684" s="3"/>
      <c r="K2684" s="24"/>
      <c r="L2684" s="24"/>
    </row>
    <row r="2688" spans="2:12" ht="12.65" customHeight="1" x14ac:dyDescent="0.35"/>
    <row r="2692" spans="2:19" x14ac:dyDescent="0.35">
      <c r="B2692" s="1"/>
      <c r="C2692" s="8" t="s">
        <v>612</v>
      </c>
      <c r="D2692" s="3"/>
      <c r="E2692" s="3"/>
      <c r="F2692" s="3"/>
      <c r="G2692" s="3"/>
      <c r="H2692" s="3"/>
      <c r="I2692" s="3"/>
      <c r="J2692" s="3"/>
      <c r="K2692" s="3"/>
      <c r="L2692" s="3"/>
      <c r="R2692" s="438" t="s">
        <v>832</v>
      </c>
      <c r="S2692" s="432" t="str">
        <f>IFERROR(INDEX(Blocks!$I$2:$I$101,MATCH(50,Blocks!$A$2:$A$101,0)),"")</f>
        <v>000104450000051</v>
      </c>
    </row>
    <row r="2693" spans="2:19" x14ac:dyDescent="0.35">
      <c r="B2693" s="1"/>
      <c r="C2693" s="1"/>
      <c r="D2693" s="3"/>
      <c r="E2693" s="3"/>
      <c r="F2693" s="3"/>
      <c r="G2693" s="3"/>
      <c r="H2693" s="3"/>
      <c r="I2693" s="3"/>
      <c r="J2693" s="3"/>
      <c r="K2693" s="3"/>
      <c r="L2693" s="3"/>
      <c r="R2693" s="438" t="s">
        <v>834</v>
      </c>
      <c r="S2693" s="432" t="str">
        <f>IFERROR(INDEX(Blocks!$H$2:$H$101,MATCH(50,Blocks!$A$2:$A$101,0)),"")</f>
        <v>JAT Investments</v>
      </c>
    </row>
    <row r="2694" spans="2:19" x14ac:dyDescent="0.35">
      <c r="B2694" s="1"/>
      <c r="C2694" s="9" t="s">
        <v>835</v>
      </c>
      <c r="D2694" s="10">
        <v>24000000</v>
      </c>
      <c r="E2694" s="3"/>
      <c r="F2694" s="3"/>
      <c r="G2694" s="3"/>
      <c r="H2694" s="3"/>
      <c r="I2694" s="3"/>
      <c r="J2694" s="3"/>
      <c r="K2694" s="3"/>
      <c r="L2694" s="3"/>
      <c r="R2694" s="438" t="s">
        <v>223</v>
      </c>
      <c r="S2694" s="433">
        <f>IFERROR(INDEX('E-Banker master'!$N$2:$N$186,MATCH(S2692,'E-Banker master'!$A$2:$A$186,0)),"")</f>
        <v>0</v>
      </c>
    </row>
    <row r="2695" spans="2:19" x14ac:dyDescent="0.35">
      <c r="B2695" s="1"/>
      <c r="C2695" s="11" t="s">
        <v>837</v>
      </c>
      <c r="D2695" s="12">
        <v>0.1</v>
      </c>
      <c r="E2695" s="13"/>
      <c r="F2695" s="3"/>
      <c r="G2695" s="3"/>
      <c r="H2695" s="3"/>
      <c r="I2695" s="3"/>
      <c r="J2695" s="3"/>
      <c r="K2695" s="3"/>
      <c r="L2695" s="3"/>
      <c r="R2695" s="438" t="s">
        <v>52</v>
      </c>
      <c r="S2695" s="433">
        <f>IFERROR(INDEX('E-Banker master'!$P$2:$P$186,MATCH(S2692,'E-Banker master'!$A$2:$A$186,0)),"")</f>
        <v>0</v>
      </c>
    </row>
    <row r="2696" spans="2:19" x14ac:dyDescent="0.35">
      <c r="B2696" s="1"/>
      <c r="C2696" s="11" t="s">
        <v>838</v>
      </c>
      <c r="D2696" s="14">
        <v>2</v>
      </c>
      <c r="E2696" s="1"/>
      <c r="F2696" s="3"/>
      <c r="G2696" s="3"/>
      <c r="H2696" s="3"/>
      <c r="I2696" s="3"/>
      <c r="J2696" s="3"/>
      <c r="K2696" s="1"/>
      <c r="L2696" s="1"/>
    </row>
    <row r="2697" spans="2:19" x14ac:dyDescent="0.35">
      <c r="B2697" s="1"/>
      <c r="C2697" s="11" t="s">
        <v>839</v>
      </c>
      <c r="D2697" s="14">
        <v>12</v>
      </c>
      <c r="E2697" s="1"/>
      <c r="F2697" s="3"/>
      <c r="G2697" s="3"/>
      <c r="H2697" s="3"/>
      <c r="I2697" s="3"/>
      <c r="J2697" s="3"/>
      <c r="K2697" s="1"/>
      <c r="L2697" s="1"/>
    </row>
    <row r="2698" spans="2:19" x14ac:dyDescent="0.35">
      <c r="B2698" s="1"/>
      <c r="C2698" s="11" t="s">
        <v>843</v>
      </c>
      <c r="D2698" s="15">
        <f>D2696*D2697</f>
        <v>24</v>
      </c>
      <c r="E2698" s="1"/>
      <c r="F2698" s="3"/>
      <c r="G2698" s="3"/>
      <c r="H2698" s="3"/>
      <c r="I2698" s="3"/>
      <c r="J2698" s="3"/>
      <c r="K2698" s="1"/>
      <c r="L2698" s="1"/>
    </row>
    <row r="2699" spans="2:19" x14ac:dyDescent="0.35">
      <c r="B2699" s="1"/>
      <c r="C2699" s="11" t="s">
        <v>844</v>
      </c>
      <c r="D2699" s="16">
        <v>365</v>
      </c>
      <c r="E2699" s="1"/>
      <c r="F2699" s="3"/>
      <c r="G2699" s="3"/>
      <c r="H2699" s="3"/>
      <c r="I2699" s="3"/>
      <c r="J2699" s="3"/>
      <c r="K2699" s="1"/>
      <c r="L2699" s="1"/>
    </row>
    <row r="2700" spans="2:19" x14ac:dyDescent="0.35">
      <c r="B2700" s="1"/>
      <c r="C2700" s="17" t="s">
        <v>845</v>
      </c>
      <c r="D2700" s="18">
        <f>-PMT(D2695/D2697,D2698,D2694,0,0)</f>
        <v>1107478.2321003962</v>
      </c>
      <c r="E2700" s="3"/>
      <c r="F2700" s="3"/>
      <c r="G2700" s="3"/>
      <c r="H2700" s="3"/>
      <c r="I2700" s="3"/>
      <c r="J2700" s="3"/>
      <c r="K2700" s="1"/>
      <c r="L2700" s="1"/>
    </row>
    <row r="2701" spans="2:19" x14ac:dyDescent="0.35">
      <c r="B2701" s="1"/>
      <c r="C2701" s="1"/>
      <c r="D2701" s="3"/>
      <c r="E2701" s="3"/>
      <c r="F2701" s="3"/>
      <c r="G2701" s="3"/>
      <c r="H2701" s="3"/>
      <c r="I2701" s="3"/>
      <c r="J2701" s="3"/>
      <c r="K2701" s="1"/>
      <c r="L2701" s="1"/>
    </row>
    <row r="2702" spans="2:19" x14ac:dyDescent="0.35">
      <c r="B2702" s="1"/>
      <c r="C2702" s="19" t="s">
        <v>846</v>
      </c>
      <c r="D2702" s="20" t="s">
        <v>847</v>
      </c>
      <c r="E2702" s="20" t="s">
        <v>764</v>
      </c>
      <c r="F2702" s="270" t="s">
        <v>848</v>
      </c>
      <c r="G2702" s="270" t="s">
        <v>849</v>
      </c>
      <c r="H2702" s="270" t="s">
        <v>742</v>
      </c>
      <c r="I2702" s="270" t="s">
        <v>740</v>
      </c>
      <c r="J2702" s="270" t="s">
        <v>850</v>
      </c>
      <c r="K2702" s="21" t="s">
        <v>851</v>
      </c>
      <c r="L2702" s="21" t="s">
        <v>852</v>
      </c>
    </row>
    <row r="2703" spans="2:19" x14ac:dyDescent="0.35">
      <c r="B2703" s="1">
        <v>0</v>
      </c>
      <c r="C2703" s="22">
        <v>44875</v>
      </c>
      <c r="D2703" s="22">
        <v>44895</v>
      </c>
      <c r="E2703" s="23">
        <f t="shared" ref="E2703:E2727" si="438">D2703-C2703+1</f>
        <v>21</v>
      </c>
      <c r="F2703" s="3">
        <f>D2694</f>
        <v>24000000</v>
      </c>
      <c r="G2703" s="3"/>
      <c r="H2703" s="290">
        <f>D2695/D2697*E2703*F2703/30</f>
        <v>140000</v>
      </c>
      <c r="I2703" s="3">
        <f t="shared" ref="I2703:I2727" si="439">G2703-H2703</f>
        <v>-140000</v>
      </c>
      <c r="J2703" s="3">
        <f>F2703+F2694-I2703</f>
        <v>24140000</v>
      </c>
      <c r="K2703" s="24"/>
      <c r="L2703" s="24"/>
    </row>
    <row r="2704" spans="2:19" x14ac:dyDescent="0.35">
      <c r="B2704" s="1">
        <v>1</v>
      </c>
      <c r="C2704" s="22">
        <v>44896</v>
      </c>
      <c r="D2704" s="22">
        <v>44926</v>
      </c>
      <c r="E2704" s="23">
        <f t="shared" si="438"/>
        <v>31</v>
      </c>
      <c r="F2704" s="3">
        <f t="shared" ref="F2704:F2727" si="440">J2703</f>
        <v>24140000</v>
      </c>
      <c r="G2704" s="3"/>
      <c r="H2704" s="290">
        <f t="shared" ref="H2704:H2727" si="441">($D$2695/$D$2697*F2704)</f>
        <v>201166.66666666666</v>
      </c>
      <c r="I2704" s="3">
        <f t="shared" si="439"/>
        <v>-201166.66666666666</v>
      </c>
      <c r="J2704" s="3">
        <f t="shared" ref="J2704:J2727" si="442">F2704-I2704</f>
        <v>24341166.666666668</v>
      </c>
      <c r="K2704" s="24"/>
      <c r="L2704" s="24"/>
    </row>
    <row r="2705" spans="2:14" x14ac:dyDescent="0.35">
      <c r="B2705" s="1">
        <v>2</v>
      </c>
      <c r="C2705" s="22">
        <v>44927</v>
      </c>
      <c r="D2705" s="22">
        <v>44957</v>
      </c>
      <c r="E2705" s="23">
        <f t="shared" si="438"/>
        <v>31</v>
      </c>
      <c r="F2705" s="3">
        <f t="shared" si="440"/>
        <v>24341166.666666668</v>
      </c>
      <c r="G2705" s="3"/>
      <c r="H2705" s="290">
        <f t="shared" si="441"/>
        <v>202843.05555555556</v>
      </c>
      <c r="I2705" s="3">
        <f t="shared" si="439"/>
        <v>-202843.05555555556</v>
      </c>
      <c r="J2705" s="3">
        <f t="shared" si="442"/>
        <v>24544009.722222224</v>
      </c>
    </row>
    <row r="2706" spans="2:14" x14ac:dyDescent="0.35">
      <c r="B2706" s="1">
        <v>3</v>
      </c>
      <c r="C2706" s="22">
        <v>44958</v>
      </c>
      <c r="D2706" s="22">
        <v>44985</v>
      </c>
      <c r="E2706" s="23">
        <f t="shared" si="438"/>
        <v>28</v>
      </c>
      <c r="F2706" s="3">
        <f t="shared" si="440"/>
        <v>24544009.722222224</v>
      </c>
      <c r="G2706" s="3"/>
      <c r="H2706" s="290">
        <f t="shared" si="441"/>
        <v>204533.41435185185</v>
      </c>
      <c r="I2706" s="3">
        <f t="shared" si="439"/>
        <v>-204533.41435185185</v>
      </c>
      <c r="J2706" s="3">
        <f t="shared" si="442"/>
        <v>24748543.136574075</v>
      </c>
      <c r="K2706" s="24"/>
      <c r="L2706" s="24"/>
    </row>
    <row r="2707" spans="2:14" x14ac:dyDescent="0.35">
      <c r="B2707" s="1">
        <v>4</v>
      </c>
      <c r="C2707" s="22">
        <v>44986</v>
      </c>
      <c r="D2707" s="22">
        <v>45016</v>
      </c>
      <c r="E2707" s="23">
        <f t="shared" si="438"/>
        <v>31</v>
      </c>
      <c r="F2707" s="3">
        <f t="shared" si="440"/>
        <v>24748543.136574075</v>
      </c>
      <c r="G2707" s="3">
        <f t="shared" ref="G2707:G2727" si="443">-PMT($D$2695/$D$2697,21,$F$2707,,0)</f>
        <v>1289518.2750943943</v>
      </c>
      <c r="H2707" s="290">
        <f t="shared" si="441"/>
        <v>206237.85947145062</v>
      </c>
      <c r="I2707" s="3">
        <f t="shared" si="439"/>
        <v>1083280.4156229438</v>
      </c>
      <c r="J2707" s="3">
        <f t="shared" si="442"/>
        <v>23665262.720951132</v>
      </c>
      <c r="K2707" s="24"/>
      <c r="L2707" s="24">
        <f>G2707</f>
        <v>1289518.2750943943</v>
      </c>
    </row>
    <row r="2708" spans="2:14" x14ac:dyDescent="0.35">
      <c r="B2708" s="1">
        <v>5</v>
      </c>
      <c r="C2708" s="22">
        <v>45017</v>
      </c>
      <c r="D2708" s="22">
        <v>45046</v>
      </c>
      <c r="E2708" s="23">
        <f t="shared" si="438"/>
        <v>30</v>
      </c>
      <c r="F2708" s="3">
        <f t="shared" si="440"/>
        <v>23665262.720951132</v>
      </c>
      <c r="G2708" s="3">
        <f t="shared" si="443"/>
        <v>1289518.2750943943</v>
      </c>
      <c r="H2708" s="290">
        <f t="shared" si="441"/>
        <v>197210.52267459276</v>
      </c>
      <c r="I2708" s="3">
        <f t="shared" si="439"/>
        <v>1092307.7524198017</v>
      </c>
      <c r="J2708" s="3">
        <f t="shared" si="442"/>
        <v>22572954.968531329</v>
      </c>
      <c r="K2708" s="24"/>
      <c r="L2708" s="24">
        <f>L2707+G2708</f>
        <v>2579036.5501887887</v>
      </c>
    </row>
    <row r="2709" spans="2:14" x14ac:dyDescent="0.35">
      <c r="B2709" s="1">
        <v>6</v>
      </c>
      <c r="C2709" s="22">
        <v>45047</v>
      </c>
      <c r="D2709" s="22">
        <v>45077</v>
      </c>
      <c r="E2709" s="23">
        <f t="shared" si="438"/>
        <v>31</v>
      </c>
      <c r="F2709" s="3">
        <f t="shared" si="440"/>
        <v>22572954.968531329</v>
      </c>
      <c r="G2709" s="3">
        <f t="shared" si="443"/>
        <v>1289518.2750943943</v>
      </c>
      <c r="H2709" s="290">
        <f t="shared" si="441"/>
        <v>188107.95807109441</v>
      </c>
      <c r="I2709" s="3">
        <f t="shared" si="439"/>
        <v>1101410.3170232999</v>
      </c>
      <c r="J2709" s="3">
        <f t="shared" si="442"/>
        <v>21471544.65150803</v>
      </c>
      <c r="K2709" s="24">
        <v>1250000</v>
      </c>
      <c r="L2709" s="24">
        <f t="shared" ref="L2709:L2716" si="444">L2708+G2709-K2709</f>
        <v>2618554.8252831828</v>
      </c>
      <c r="N2709" s="141">
        <f>J2709+L2709</f>
        <v>24090099.47679121</v>
      </c>
    </row>
    <row r="2710" spans="2:14" x14ac:dyDescent="0.35">
      <c r="B2710" s="1">
        <v>7</v>
      </c>
      <c r="C2710" s="22">
        <v>45078</v>
      </c>
      <c r="D2710" s="22">
        <v>45107</v>
      </c>
      <c r="E2710" s="23">
        <f t="shared" si="438"/>
        <v>30</v>
      </c>
      <c r="F2710" s="3">
        <f t="shared" si="440"/>
        <v>21471544.65150803</v>
      </c>
      <c r="G2710" s="3">
        <f t="shared" si="443"/>
        <v>1289518.2750943943</v>
      </c>
      <c r="H2710" s="290">
        <f t="shared" si="441"/>
        <v>178929.53876256692</v>
      </c>
      <c r="I2710" s="3">
        <f t="shared" si="439"/>
        <v>1110588.7363318275</v>
      </c>
      <c r="J2710" s="3">
        <f t="shared" si="442"/>
        <v>20360955.915176202</v>
      </c>
      <c r="K2710" s="24">
        <f>1289518.28+1289550</f>
        <v>2579068.2800000003</v>
      </c>
      <c r="L2710" s="24">
        <f t="shared" si="444"/>
        <v>1329004.8203775771</v>
      </c>
    </row>
    <row r="2711" spans="2:14" x14ac:dyDescent="0.35">
      <c r="B2711" s="1">
        <v>8</v>
      </c>
      <c r="C2711" s="22">
        <v>45108</v>
      </c>
      <c r="D2711" s="22">
        <v>45138</v>
      </c>
      <c r="E2711" s="23">
        <f t="shared" si="438"/>
        <v>31</v>
      </c>
      <c r="F2711" s="3">
        <f t="shared" si="440"/>
        <v>20360955.915176202</v>
      </c>
      <c r="G2711" s="3">
        <f t="shared" si="443"/>
        <v>1289518.2750943943</v>
      </c>
      <c r="H2711" s="290">
        <f t="shared" si="441"/>
        <v>169674.63262646834</v>
      </c>
      <c r="I2711" s="3">
        <f t="shared" si="439"/>
        <v>1119843.642467926</v>
      </c>
      <c r="J2711" s="3">
        <f t="shared" si="442"/>
        <v>19241112.272708274</v>
      </c>
      <c r="K2711" s="24"/>
      <c r="L2711" s="24">
        <f t="shared" si="444"/>
        <v>2618523.0954719717</v>
      </c>
    </row>
    <row r="2712" spans="2:14" x14ac:dyDescent="0.35">
      <c r="B2712" s="1">
        <v>9</v>
      </c>
      <c r="C2712" s="22">
        <v>45139</v>
      </c>
      <c r="D2712" s="22">
        <v>45169</v>
      </c>
      <c r="E2712" s="23">
        <f t="shared" si="438"/>
        <v>31</v>
      </c>
      <c r="F2712" s="3">
        <f t="shared" si="440"/>
        <v>19241112.272708274</v>
      </c>
      <c r="G2712" s="3">
        <f t="shared" si="443"/>
        <v>1289518.2750943943</v>
      </c>
      <c r="H2712" s="290">
        <f t="shared" si="441"/>
        <v>160342.60227256894</v>
      </c>
      <c r="I2712" s="3">
        <f t="shared" si="439"/>
        <v>1129175.6728218254</v>
      </c>
      <c r="J2712" s="3">
        <f t="shared" si="442"/>
        <v>18111936.599886447</v>
      </c>
      <c r="K2712" s="24">
        <v>1289550</v>
      </c>
      <c r="L2712" s="24">
        <f t="shared" si="444"/>
        <v>2618491.3705663662</v>
      </c>
    </row>
    <row r="2713" spans="2:14" x14ac:dyDescent="0.35">
      <c r="B2713" s="1">
        <v>10</v>
      </c>
      <c r="C2713" s="22">
        <v>45170</v>
      </c>
      <c r="D2713" s="22">
        <v>45199</v>
      </c>
      <c r="E2713" s="23">
        <f t="shared" si="438"/>
        <v>30</v>
      </c>
      <c r="F2713" s="3">
        <f t="shared" si="440"/>
        <v>18111936.599886447</v>
      </c>
      <c r="G2713" s="3">
        <f t="shared" si="443"/>
        <v>1289518.2750943943</v>
      </c>
      <c r="H2713" s="290">
        <f t="shared" si="441"/>
        <v>150932.80499905371</v>
      </c>
      <c r="I2713" s="3">
        <f t="shared" si="439"/>
        <v>1138585.4700953406</v>
      </c>
      <c r="J2713" s="3">
        <f t="shared" si="442"/>
        <v>16973351.129791107</v>
      </c>
      <c r="K2713" s="24">
        <v>1289550</v>
      </c>
      <c r="L2713" s="24">
        <f t="shared" si="444"/>
        <v>2618459.6456607608</v>
      </c>
    </row>
    <row r="2714" spans="2:14" x14ac:dyDescent="0.35">
      <c r="B2714" s="1">
        <v>11</v>
      </c>
      <c r="C2714" s="22">
        <v>45200</v>
      </c>
      <c r="D2714" s="22">
        <v>45230</v>
      </c>
      <c r="E2714" s="23">
        <f t="shared" si="438"/>
        <v>31</v>
      </c>
      <c r="F2714" s="3">
        <f t="shared" si="440"/>
        <v>16973351.129791107</v>
      </c>
      <c r="G2714" s="3">
        <f t="shared" si="443"/>
        <v>1289518.2750943943</v>
      </c>
      <c r="H2714" s="3">
        <f t="shared" si="441"/>
        <v>141444.59274825922</v>
      </c>
      <c r="I2714" s="3">
        <f t="shared" si="439"/>
        <v>1148073.6823461351</v>
      </c>
      <c r="J2714" s="3">
        <f t="shared" si="442"/>
        <v>15825277.447444972</v>
      </c>
      <c r="K2714" s="24">
        <f>1290000+1289550</f>
        <v>2579550</v>
      </c>
      <c r="L2714" s="24">
        <f t="shared" si="444"/>
        <v>1328427.9207551554</v>
      </c>
    </row>
    <row r="2715" spans="2:14" x14ac:dyDescent="0.35">
      <c r="B2715" s="1">
        <v>12</v>
      </c>
      <c r="C2715" s="22">
        <v>45231</v>
      </c>
      <c r="D2715" s="22">
        <v>45260</v>
      </c>
      <c r="E2715" s="23">
        <f t="shared" si="438"/>
        <v>30</v>
      </c>
      <c r="F2715" s="3">
        <f t="shared" si="440"/>
        <v>15825277.447444972</v>
      </c>
      <c r="G2715" s="3">
        <f t="shared" si="443"/>
        <v>1289518.2750943943</v>
      </c>
      <c r="H2715" s="3">
        <f t="shared" si="441"/>
        <v>131877.31206204143</v>
      </c>
      <c r="I2715" s="3">
        <f t="shared" si="439"/>
        <v>1157640.963032353</v>
      </c>
      <c r="J2715" s="3">
        <f t="shared" si="442"/>
        <v>14667636.484412618</v>
      </c>
      <c r="K2715" s="24">
        <v>1289550</v>
      </c>
      <c r="L2715" s="24">
        <f t="shared" si="444"/>
        <v>1328396.19584955</v>
      </c>
    </row>
    <row r="2716" spans="2:14" x14ac:dyDescent="0.35">
      <c r="B2716" s="1">
        <v>13</v>
      </c>
      <c r="C2716" s="22">
        <v>45261</v>
      </c>
      <c r="D2716" s="22">
        <v>45291</v>
      </c>
      <c r="E2716" s="23">
        <f t="shared" si="438"/>
        <v>31</v>
      </c>
      <c r="F2716" s="3">
        <f t="shared" si="440"/>
        <v>14667636.484412618</v>
      </c>
      <c r="G2716" s="3">
        <f t="shared" si="443"/>
        <v>1289518.2750943943</v>
      </c>
      <c r="H2716" s="3">
        <f t="shared" si="441"/>
        <v>122230.30403677182</v>
      </c>
      <c r="I2716" s="3">
        <f t="shared" si="439"/>
        <v>1167287.9710576225</v>
      </c>
      <c r="J2716" s="3">
        <f t="shared" si="442"/>
        <v>13500348.513354996</v>
      </c>
      <c r="K2716" s="24">
        <v>15997000</v>
      </c>
      <c r="L2716" s="205">
        <f t="shared" si="444"/>
        <v>-13379085.529056055</v>
      </c>
    </row>
    <row r="2717" spans="2:14" x14ac:dyDescent="0.35">
      <c r="B2717" s="1">
        <v>14</v>
      </c>
      <c r="C2717" s="22">
        <v>45292</v>
      </c>
      <c r="D2717" s="22">
        <v>45322</v>
      </c>
      <c r="E2717" s="23">
        <f t="shared" si="438"/>
        <v>31</v>
      </c>
      <c r="F2717" s="3">
        <f t="shared" si="440"/>
        <v>13500348.513354996</v>
      </c>
      <c r="G2717" s="3">
        <f t="shared" si="443"/>
        <v>1289518.2750943943</v>
      </c>
      <c r="H2717" s="3">
        <f t="shared" si="441"/>
        <v>112502.9042779583</v>
      </c>
      <c r="I2717" s="3">
        <f t="shared" si="439"/>
        <v>1177015.3708164361</v>
      </c>
      <c r="J2717" s="3">
        <f t="shared" si="442"/>
        <v>12323333.142538561</v>
      </c>
      <c r="K2717" s="24"/>
      <c r="L2717" s="24"/>
    </row>
    <row r="2718" spans="2:14" x14ac:dyDescent="0.35">
      <c r="B2718" s="1">
        <v>15</v>
      </c>
      <c r="C2718" s="22">
        <v>45323</v>
      </c>
      <c r="D2718" s="22">
        <v>45351</v>
      </c>
      <c r="E2718" s="23">
        <f t="shared" si="438"/>
        <v>29</v>
      </c>
      <c r="F2718" s="3">
        <f t="shared" si="440"/>
        <v>12323333.142538561</v>
      </c>
      <c r="G2718" s="3">
        <f t="shared" si="443"/>
        <v>1289518.2750943943</v>
      </c>
      <c r="H2718" s="3">
        <f t="shared" si="441"/>
        <v>102694.44285448801</v>
      </c>
      <c r="I2718" s="3">
        <f t="shared" si="439"/>
        <v>1186823.8322399063</v>
      </c>
      <c r="J2718" s="3">
        <f t="shared" si="442"/>
        <v>11136509.310298655</v>
      </c>
      <c r="K2718" s="24"/>
      <c r="L2718" s="24"/>
    </row>
    <row r="2719" spans="2:14" x14ac:dyDescent="0.35">
      <c r="B2719" s="1">
        <v>16</v>
      </c>
      <c r="C2719" s="22">
        <v>45352</v>
      </c>
      <c r="D2719" s="22">
        <v>45382</v>
      </c>
      <c r="E2719" s="23">
        <f t="shared" si="438"/>
        <v>31</v>
      </c>
      <c r="F2719" s="3">
        <f t="shared" si="440"/>
        <v>11136509.310298655</v>
      </c>
      <c r="G2719" s="3">
        <f t="shared" si="443"/>
        <v>1289518.2750943943</v>
      </c>
      <c r="H2719" s="3">
        <f t="shared" si="441"/>
        <v>92804.244252488788</v>
      </c>
      <c r="I2719" s="3">
        <f t="shared" si="439"/>
        <v>1196714.0308419056</v>
      </c>
      <c r="J2719" s="3">
        <f t="shared" si="442"/>
        <v>9939795.2794567496</v>
      </c>
      <c r="K2719" s="24"/>
      <c r="L2719" s="24"/>
    </row>
    <row r="2720" spans="2:14" x14ac:dyDescent="0.35">
      <c r="B2720" s="1">
        <v>17</v>
      </c>
      <c r="C2720" s="22">
        <v>45383</v>
      </c>
      <c r="D2720" s="22">
        <v>45412</v>
      </c>
      <c r="E2720" s="23">
        <f t="shared" si="438"/>
        <v>30</v>
      </c>
      <c r="F2720" s="3">
        <f t="shared" si="440"/>
        <v>9939795.2794567496</v>
      </c>
      <c r="G2720" s="3">
        <f t="shared" si="443"/>
        <v>1289518.2750943943</v>
      </c>
      <c r="H2720" s="3">
        <f t="shared" si="441"/>
        <v>82831.627328806251</v>
      </c>
      <c r="I2720" s="3">
        <f t="shared" si="439"/>
        <v>1206686.647765588</v>
      </c>
      <c r="J2720" s="3">
        <f t="shared" si="442"/>
        <v>8733108.6316911615</v>
      </c>
      <c r="K2720" s="24"/>
      <c r="L2720" s="24"/>
    </row>
    <row r="2721" spans="2:12" x14ac:dyDescent="0.35">
      <c r="B2721" s="1">
        <v>18</v>
      </c>
      <c r="C2721" s="22">
        <v>45413</v>
      </c>
      <c r="D2721" s="22">
        <v>45443</v>
      </c>
      <c r="E2721" s="23">
        <f t="shared" si="438"/>
        <v>31</v>
      </c>
      <c r="F2721" s="3">
        <f t="shared" si="440"/>
        <v>8733108.6316911615</v>
      </c>
      <c r="G2721" s="3">
        <f t="shared" si="443"/>
        <v>1289518.2750943943</v>
      </c>
      <c r="H2721" s="3">
        <f t="shared" si="441"/>
        <v>72775.905264093017</v>
      </c>
      <c r="I2721" s="3">
        <f t="shared" si="439"/>
        <v>1216742.3698303013</v>
      </c>
      <c r="J2721" s="3">
        <f t="shared" si="442"/>
        <v>7516366.2618608605</v>
      </c>
      <c r="K2721" s="24"/>
      <c r="L2721" s="24"/>
    </row>
    <row r="2722" spans="2:12" x14ac:dyDescent="0.35">
      <c r="B2722" s="1">
        <v>19</v>
      </c>
      <c r="C2722" s="22">
        <v>45444</v>
      </c>
      <c r="D2722" s="22">
        <v>45473</v>
      </c>
      <c r="E2722" s="23">
        <f t="shared" si="438"/>
        <v>30</v>
      </c>
      <c r="F2722" s="3">
        <f t="shared" si="440"/>
        <v>7516366.2618608605</v>
      </c>
      <c r="G2722" s="3">
        <f t="shared" si="443"/>
        <v>1289518.2750943943</v>
      </c>
      <c r="H2722" s="3">
        <f t="shared" si="441"/>
        <v>62636.385515507172</v>
      </c>
      <c r="I2722" s="3">
        <f t="shared" si="439"/>
        <v>1226881.8895788873</v>
      </c>
      <c r="J2722" s="3">
        <f t="shared" si="442"/>
        <v>6289484.3722819733</v>
      </c>
      <c r="K2722" s="24"/>
      <c r="L2722" s="24"/>
    </row>
    <row r="2723" spans="2:12" x14ac:dyDescent="0.35">
      <c r="B2723" s="1">
        <v>20</v>
      </c>
      <c r="C2723" s="22">
        <v>45474</v>
      </c>
      <c r="D2723" s="22">
        <v>45504</v>
      </c>
      <c r="E2723" s="23">
        <f t="shared" si="438"/>
        <v>31</v>
      </c>
      <c r="F2723" s="3">
        <f t="shared" si="440"/>
        <v>6289484.3722819733</v>
      </c>
      <c r="G2723" s="3">
        <f t="shared" si="443"/>
        <v>1289518.2750943943</v>
      </c>
      <c r="H2723" s="3">
        <f t="shared" si="441"/>
        <v>52412.369769016441</v>
      </c>
      <c r="I2723" s="3">
        <f t="shared" si="439"/>
        <v>1237105.9053253778</v>
      </c>
      <c r="J2723" s="3">
        <f t="shared" si="442"/>
        <v>5052378.466956595</v>
      </c>
      <c r="K2723" s="24"/>
      <c r="L2723" s="24"/>
    </row>
    <row r="2724" spans="2:12" x14ac:dyDescent="0.35">
      <c r="B2724" s="1">
        <v>21</v>
      </c>
      <c r="C2724" s="22">
        <v>45505</v>
      </c>
      <c r="D2724" s="22">
        <v>45535</v>
      </c>
      <c r="E2724" s="23">
        <f t="shared" si="438"/>
        <v>31</v>
      </c>
      <c r="F2724" s="3">
        <f t="shared" si="440"/>
        <v>5052378.466956595</v>
      </c>
      <c r="G2724" s="3">
        <f t="shared" si="443"/>
        <v>1289518.2750943943</v>
      </c>
      <c r="H2724" s="3">
        <f t="shared" si="441"/>
        <v>42103.153891304959</v>
      </c>
      <c r="I2724" s="3">
        <f t="shared" si="439"/>
        <v>1247415.1212030894</v>
      </c>
      <c r="J2724" s="3">
        <f t="shared" si="442"/>
        <v>3804963.3457535058</v>
      </c>
      <c r="K2724" s="24"/>
      <c r="L2724" s="24"/>
    </row>
    <row r="2725" spans="2:12" x14ac:dyDescent="0.35">
      <c r="B2725" s="1">
        <v>22</v>
      </c>
      <c r="C2725" s="22">
        <v>45536</v>
      </c>
      <c r="D2725" s="22">
        <v>45565</v>
      </c>
      <c r="E2725" s="23">
        <f t="shared" si="438"/>
        <v>30</v>
      </c>
      <c r="F2725" s="3">
        <f t="shared" si="440"/>
        <v>3804963.3457535058</v>
      </c>
      <c r="G2725" s="3">
        <f t="shared" si="443"/>
        <v>1289518.2750943943</v>
      </c>
      <c r="H2725" s="3">
        <f t="shared" si="441"/>
        <v>31708.027881279213</v>
      </c>
      <c r="I2725" s="3">
        <f t="shared" si="439"/>
        <v>1257810.2472131152</v>
      </c>
      <c r="J2725" s="3">
        <f t="shared" si="442"/>
        <v>2547153.0985403908</v>
      </c>
      <c r="K2725" s="24"/>
      <c r="L2725" s="24"/>
    </row>
    <row r="2726" spans="2:12" x14ac:dyDescent="0.35">
      <c r="B2726" s="1">
        <v>23</v>
      </c>
      <c r="C2726" s="22">
        <v>45566</v>
      </c>
      <c r="D2726" s="22">
        <v>45596</v>
      </c>
      <c r="E2726" s="23">
        <f t="shared" si="438"/>
        <v>31</v>
      </c>
      <c r="F2726" s="3">
        <f t="shared" si="440"/>
        <v>2547153.0985403908</v>
      </c>
      <c r="G2726" s="3">
        <f t="shared" si="443"/>
        <v>1289518.2750943943</v>
      </c>
      <c r="H2726" s="3">
        <f t="shared" si="441"/>
        <v>21226.275821169922</v>
      </c>
      <c r="I2726" s="3">
        <f t="shared" si="439"/>
        <v>1268291.9992732245</v>
      </c>
      <c r="J2726" s="3">
        <f t="shared" si="442"/>
        <v>1278861.0992671663</v>
      </c>
      <c r="K2726" s="24"/>
      <c r="L2726" s="24"/>
    </row>
    <row r="2727" spans="2:12" x14ac:dyDescent="0.35">
      <c r="B2727" s="1">
        <v>24</v>
      </c>
      <c r="C2727" s="22">
        <v>45597</v>
      </c>
      <c r="D2727" s="22">
        <v>45626</v>
      </c>
      <c r="E2727" s="23">
        <f t="shared" si="438"/>
        <v>30</v>
      </c>
      <c r="F2727" s="3">
        <f t="shared" si="440"/>
        <v>1278861.0992671663</v>
      </c>
      <c r="G2727" s="3">
        <f t="shared" si="443"/>
        <v>1289518.2750943943</v>
      </c>
      <c r="H2727" s="3">
        <f t="shared" si="441"/>
        <v>10657.175827226387</v>
      </c>
      <c r="I2727" s="3">
        <f t="shared" si="439"/>
        <v>1278861.099267168</v>
      </c>
      <c r="J2727" s="3">
        <f t="shared" si="442"/>
        <v>0</v>
      </c>
      <c r="K2727" s="24"/>
      <c r="L2727" s="24"/>
    </row>
    <row r="2728" spans="2:12" x14ac:dyDescent="0.35">
      <c r="B2728" s="1"/>
      <c r="C2728" s="22"/>
      <c r="D2728" s="22"/>
      <c r="E2728" s="23"/>
      <c r="F2728" s="3"/>
      <c r="G2728" s="3"/>
      <c r="H2728" s="3"/>
      <c r="I2728" s="3"/>
      <c r="J2728" s="3"/>
      <c r="K2728" s="24"/>
      <c r="L2728" s="24"/>
    </row>
    <row r="2729" spans="2:12" x14ac:dyDescent="0.35">
      <c r="B2729" s="1"/>
      <c r="C2729" s="22"/>
      <c r="D2729" s="22"/>
      <c r="E2729" s="28">
        <f>SUM(E2703:E2727)</f>
        <v>752</v>
      </c>
      <c r="F2729" s="3"/>
      <c r="G2729" s="3"/>
      <c r="H2729" s="3"/>
      <c r="I2729" s="3"/>
      <c r="J2729" s="3"/>
      <c r="K2729" s="24"/>
      <c r="L2729" s="24"/>
    </row>
    <row r="2739" spans="2:19" x14ac:dyDescent="0.35">
      <c r="B2739" s="1"/>
      <c r="C2739" s="8" t="s">
        <v>505</v>
      </c>
      <c r="D2739" s="3"/>
      <c r="E2739" s="3"/>
      <c r="F2739" s="3"/>
      <c r="G2739" s="3"/>
      <c r="H2739" s="3"/>
      <c r="I2739" s="3"/>
      <c r="J2739" s="3"/>
      <c r="K2739" s="3"/>
      <c r="L2739" s="3"/>
      <c r="R2739" s="438" t="s">
        <v>832</v>
      </c>
      <c r="S2739" s="432" t="str">
        <f>IFERROR(INDEX(Blocks!$I$2:$I$101,MATCH(51,Blocks!$A$2:$A$101,0)),"")</f>
        <v>000104420000052</v>
      </c>
    </row>
    <row r="2740" spans="2:19" x14ac:dyDescent="0.35">
      <c r="B2740" s="1"/>
      <c r="C2740" s="1"/>
      <c r="D2740" s="3" t="s">
        <v>915</v>
      </c>
      <c r="E2740" s="3"/>
      <c r="F2740" s="3"/>
      <c r="G2740" s="3" t="s">
        <v>901</v>
      </c>
      <c r="H2740" s="3" t="s">
        <v>916</v>
      </c>
      <c r="J2740" s="3" t="s">
        <v>917</v>
      </c>
      <c r="K2740" s="3" t="s">
        <v>918</v>
      </c>
      <c r="L2740" s="3"/>
      <c r="R2740" s="438" t="s">
        <v>834</v>
      </c>
      <c r="S2740" s="432" t="str">
        <f>IFERROR(INDEX(Blocks!$H$2:$H$101,MATCH(51,Blocks!$A$2:$A$101,0)),"")</f>
        <v>Kambewu Organic Fertilizer Investments</v>
      </c>
    </row>
    <row r="2741" spans="2:19" x14ac:dyDescent="0.35">
      <c r="B2741" s="1"/>
      <c r="C2741" s="9" t="s">
        <v>835</v>
      </c>
      <c r="D2741" s="10">
        <v>11138947</v>
      </c>
      <c r="E2741" s="3"/>
      <c r="F2741" s="3"/>
      <c r="G2741" s="3">
        <v>32244925.5</v>
      </c>
      <c r="H2741" s="3">
        <v>17319667.02</v>
      </c>
      <c r="J2741" s="3">
        <v>21200287.899999999</v>
      </c>
      <c r="K2741" s="3">
        <v>21262672.879999999</v>
      </c>
      <c r="L2741" s="3"/>
      <c r="R2741" s="438" t="s">
        <v>223</v>
      </c>
      <c r="S2741" s="433">
        <f>IFERROR(INDEX('E-Banker master'!$N$2:$N$186,MATCH(S2739,'E-Banker master'!$A$2:$A$186,0)),"")</f>
        <v>103166500</v>
      </c>
    </row>
    <row r="2742" spans="2:19" x14ac:dyDescent="0.35">
      <c r="B2742" s="1"/>
      <c r="C2742" s="11" t="s">
        <v>837</v>
      </c>
      <c r="D2742" s="12">
        <v>0.246</v>
      </c>
      <c r="E2742" s="13"/>
      <c r="F2742" s="3" t="s">
        <v>828</v>
      </c>
      <c r="G2742" s="231" t="s">
        <v>829</v>
      </c>
      <c r="H2742" s="231" t="s">
        <v>830</v>
      </c>
      <c r="I2742" s="231" t="s">
        <v>831</v>
      </c>
      <c r="J2742" s="231" t="s">
        <v>840</v>
      </c>
      <c r="K2742" s="231" t="s">
        <v>841</v>
      </c>
      <c r="L2742" s="231" t="s">
        <v>842</v>
      </c>
      <c r="M2742" s="231" t="s">
        <v>855</v>
      </c>
      <c r="N2742" s="231" t="s">
        <v>919</v>
      </c>
      <c r="O2742" s="231" t="s">
        <v>865</v>
      </c>
      <c r="P2742" s="231" t="s">
        <v>911</v>
      </c>
      <c r="R2742" s="438" t="s">
        <v>52</v>
      </c>
      <c r="S2742" s="433">
        <f>IFERROR(INDEX('E-Banker master'!$P$2:$P$186,MATCH(S2739,'E-Banker master'!$A$2:$A$186,0)),"")</f>
        <v>172069095.46000001</v>
      </c>
    </row>
    <row r="2743" spans="2:19" x14ac:dyDescent="0.35">
      <c r="B2743" s="1"/>
      <c r="C2743" s="11" t="s">
        <v>838</v>
      </c>
      <c r="D2743" s="14">
        <v>4</v>
      </c>
      <c r="E2743" s="1"/>
      <c r="F2743" s="231">
        <v>44896</v>
      </c>
      <c r="G2743" s="231">
        <v>45047</v>
      </c>
      <c r="H2743" s="230">
        <v>45108</v>
      </c>
      <c r="I2743" s="231">
        <v>45139</v>
      </c>
      <c r="J2743" s="230">
        <v>45170</v>
      </c>
      <c r="K2743" s="230">
        <v>45200</v>
      </c>
      <c r="L2743" s="230">
        <v>45261</v>
      </c>
      <c r="M2743" s="230">
        <v>44958</v>
      </c>
      <c r="N2743" s="230">
        <v>45047</v>
      </c>
      <c r="O2743" s="230">
        <v>45078</v>
      </c>
      <c r="P2743" s="230">
        <v>45078</v>
      </c>
    </row>
    <row r="2744" spans="2:19" x14ac:dyDescent="0.35">
      <c r="B2744" s="1"/>
      <c r="C2744" s="11" t="s">
        <v>839</v>
      </c>
      <c r="D2744" s="14">
        <v>12</v>
      </c>
      <c r="E2744" s="1"/>
      <c r="F2744" s="231" t="s">
        <v>836</v>
      </c>
      <c r="G2744" s="231" t="s">
        <v>836</v>
      </c>
      <c r="H2744" s="231" t="s">
        <v>836</v>
      </c>
      <c r="I2744" s="231" t="s">
        <v>836</v>
      </c>
      <c r="J2744" s="231" t="s">
        <v>836</v>
      </c>
      <c r="K2744" s="231" t="s">
        <v>836</v>
      </c>
      <c r="L2744" s="231" t="s">
        <v>836</v>
      </c>
      <c r="M2744" s="231" t="s">
        <v>836</v>
      </c>
      <c r="N2744" s="231" t="s">
        <v>836</v>
      </c>
      <c r="O2744" s="231" t="s">
        <v>836</v>
      </c>
      <c r="P2744" s="231" t="s">
        <v>836</v>
      </c>
    </row>
    <row r="2745" spans="2:19" x14ac:dyDescent="0.35">
      <c r="B2745" s="1"/>
      <c r="C2745" s="11" t="s">
        <v>843</v>
      </c>
      <c r="D2745" s="15">
        <f>D2743*D2744</f>
        <v>48</v>
      </c>
      <c r="E2745" s="1"/>
      <c r="F2745" s="3">
        <f>D2742+0.7%</f>
        <v>0.253</v>
      </c>
      <c r="G2745" s="3">
        <f>F2745+2.7%</f>
        <v>0.28000000000000003</v>
      </c>
      <c r="H2745" s="13">
        <f>G2745+1.4%</f>
        <v>0.29400000000000004</v>
      </c>
      <c r="I2745" s="3">
        <f>J2387+1.3%</f>
        <v>0.31100000000000005</v>
      </c>
      <c r="J2745" s="257">
        <f>I2745+0.7%</f>
        <v>0.31800000000000006</v>
      </c>
      <c r="K2745" s="257">
        <f>J2745+0.1%</f>
        <v>0.31900000000000006</v>
      </c>
      <c r="L2745" s="13">
        <f>K2745+0.1%</f>
        <v>0.32000000000000006</v>
      </c>
      <c r="M2745" s="13">
        <f>L2745+1.3%</f>
        <v>0.33300000000000007</v>
      </c>
      <c r="N2745" s="13">
        <f>M2745+0.1%</f>
        <v>0.33400000000000007</v>
      </c>
      <c r="O2745" s="13">
        <f>N2745+0.1%</f>
        <v>0.33500000000000008</v>
      </c>
      <c r="P2745" s="13">
        <f>O2745+0.3%</f>
        <v>0.33800000000000008</v>
      </c>
    </row>
    <row r="2746" spans="2:19" x14ac:dyDescent="0.35">
      <c r="B2746" s="1"/>
      <c r="C2746" s="11" t="s">
        <v>844</v>
      </c>
      <c r="D2746" s="16">
        <v>365</v>
      </c>
      <c r="E2746" s="1"/>
      <c r="F2746" s="3"/>
      <c r="G2746" s="3"/>
      <c r="H2746" s="3"/>
      <c r="J2746" s="3"/>
      <c r="K2746" s="1"/>
      <c r="L2746" s="1"/>
    </row>
    <row r="2747" spans="2:19" x14ac:dyDescent="0.35">
      <c r="B2747" s="1"/>
      <c r="C2747" s="17" t="s">
        <v>845</v>
      </c>
      <c r="D2747" s="18">
        <f>-PMT(D2742/D2744,D2745,D2741,0,0)</f>
        <v>366854.78578353941</v>
      </c>
      <c r="E2747" s="3"/>
      <c r="F2747" s="3"/>
      <c r="G2747" s="3"/>
      <c r="H2747" s="3"/>
      <c r="I2747" s="3"/>
      <c r="J2747" s="3"/>
      <c r="K2747" s="1"/>
      <c r="L2747" s="1"/>
    </row>
    <row r="2748" spans="2:19" x14ac:dyDescent="0.35">
      <c r="B2748" s="1"/>
      <c r="C2748" s="1"/>
      <c r="D2748" s="3"/>
      <c r="E2748" s="3"/>
      <c r="F2748" s="3"/>
      <c r="G2748" s="3"/>
      <c r="H2748" s="3"/>
      <c r="I2748" s="3"/>
      <c r="J2748" s="3"/>
      <c r="K2748" s="1"/>
      <c r="L2748" s="1"/>
    </row>
    <row r="2749" spans="2:19" x14ac:dyDescent="0.35">
      <c r="B2749" s="1"/>
      <c r="C2749" s="19" t="s">
        <v>846</v>
      </c>
      <c r="D2749" s="20" t="s">
        <v>847</v>
      </c>
      <c r="E2749" s="20" t="s">
        <v>764</v>
      </c>
      <c r="F2749" s="270" t="s">
        <v>848</v>
      </c>
      <c r="G2749" s="270" t="s">
        <v>849</v>
      </c>
      <c r="H2749" s="270" t="s">
        <v>742</v>
      </c>
      <c r="I2749" s="270" t="s">
        <v>740</v>
      </c>
      <c r="J2749" s="270" t="s">
        <v>850</v>
      </c>
      <c r="K2749" s="21" t="s">
        <v>851</v>
      </c>
      <c r="L2749" s="21" t="s">
        <v>852</v>
      </c>
    </row>
    <row r="2750" spans="2:19" x14ac:dyDescent="0.35">
      <c r="B2750" s="1">
        <v>0</v>
      </c>
      <c r="C2750" s="22">
        <v>44883</v>
      </c>
      <c r="D2750" s="22">
        <v>44895</v>
      </c>
      <c r="E2750" s="23">
        <f t="shared" ref="E2750:E2781" si="445">D2750-C2750+1</f>
        <v>13</v>
      </c>
      <c r="F2750" s="3">
        <f>D2741</f>
        <v>11138947</v>
      </c>
      <c r="G2750" s="3"/>
      <c r="H2750" s="3">
        <f>($D$2742/$D$2744*F2750*E2750/30)</f>
        <v>98950.979183333329</v>
      </c>
      <c r="I2750" s="3">
        <f t="shared" ref="I2750:I2781" si="446">G2750-H2750</f>
        <v>-98950.979183333329</v>
      </c>
      <c r="J2750" s="3">
        <f>F2750+F2741-I2750</f>
        <v>11237897.979183333</v>
      </c>
      <c r="K2750" s="24"/>
      <c r="L2750" s="24"/>
    </row>
    <row r="2751" spans="2:19" x14ac:dyDescent="0.35">
      <c r="B2751" s="1">
        <v>1</v>
      </c>
      <c r="C2751" s="22">
        <v>44896</v>
      </c>
      <c r="D2751" s="22">
        <v>44926</v>
      </c>
      <c r="E2751" s="23">
        <f t="shared" si="445"/>
        <v>31</v>
      </c>
      <c r="F2751" s="3">
        <f t="shared" ref="F2751:F2765" si="447">J2750</f>
        <v>11237897.979183333</v>
      </c>
      <c r="G2751" s="3"/>
      <c r="H2751" s="3">
        <f>($F$2745/$D$2744*F2751)+(G2741*23*F2745/365)</f>
        <v>750995.96956659469</v>
      </c>
      <c r="I2751" s="3">
        <f t="shared" si="446"/>
        <v>-750995.96956659469</v>
      </c>
      <c r="J2751" s="3">
        <f>F2751-I2751+G2741</f>
        <v>44233819.44874993</v>
      </c>
      <c r="K2751" s="24"/>
      <c r="L2751" s="24"/>
    </row>
    <row r="2752" spans="2:19" x14ac:dyDescent="0.35">
      <c r="B2752" s="1">
        <v>2</v>
      </c>
      <c r="C2752" s="22">
        <v>44927</v>
      </c>
      <c r="D2752" s="22">
        <v>44957</v>
      </c>
      <c r="E2752" s="23">
        <f t="shared" si="445"/>
        <v>31</v>
      </c>
      <c r="F2752" s="3">
        <f t="shared" si="447"/>
        <v>44233819.44874993</v>
      </c>
      <c r="G2752" s="3"/>
      <c r="H2752" s="3">
        <f>($F$2745/$D$2744*F2752)</f>
        <v>932596.36004447762</v>
      </c>
      <c r="I2752" s="3">
        <f t="shared" si="446"/>
        <v>-932596.36004447762</v>
      </c>
      <c r="J2752" s="3">
        <f>F2752-I2752</f>
        <v>45166415.808794409</v>
      </c>
    </row>
    <row r="2753" spans="2:13" x14ac:dyDescent="0.35">
      <c r="B2753" s="1">
        <v>3</v>
      </c>
      <c r="C2753" s="22">
        <v>44958</v>
      </c>
      <c r="D2753" s="22">
        <v>44985</v>
      </c>
      <c r="E2753" s="23">
        <f t="shared" si="445"/>
        <v>28</v>
      </c>
      <c r="F2753" s="3">
        <f t="shared" si="447"/>
        <v>45166415.808794409</v>
      </c>
      <c r="G2753" s="3"/>
      <c r="H2753" s="3">
        <f>($F$2745/$D$2744*F2753)+(H2741*F2745*21/365)</f>
        <v>1204366.52018042</v>
      </c>
      <c r="I2753" s="3">
        <f t="shared" si="446"/>
        <v>-1204366.52018042</v>
      </c>
      <c r="J2753" s="3">
        <f>F2753-I2753+H2741</f>
        <v>63690449.348974824</v>
      </c>
      <c r="K2753" s="24"/>
      <c r="L2753" s="24"/>
    </row>
    <row r="2754" spans="2:13" x14ac:dyDescent="0.35">
      <c r="B2754" s="1">
        <v>4</v>
      </c>
      <c r="C2754" s="22">
        <v>44986</v>
      </c>
      <c r="D2754" s="22">
        <v>45016</v>
      </c>
      <c r="E2754" s="23">
        <f t="shared" si="445"/>
        <v>31</v>
      </c>
      <c r="F2754" s="3">
        <f t="shared" si="447"/>
        <v>63690449.348974824</v>
      </c>
      <c r="G2754" s="3"/>
      <c r="H2754" s="3">
        <f>($F$2745/$D$2744*F2754)</f>
        <v>1342806.9737742192</v>
      </c>
      <c r="I2754" s="3">
        <f t="shared" si="446"/>
        <v>-1342806.9737742192</v>
      </c>
      <c r="J2754" s="3">
        <f>F2754-I2754+J2741</f>
        <v>86233544.22274904</v>
      </c>
      <c r="K2754" s="24"/>
      <c r="L2754" s="24"/>
    </row>
    <row r="2755" spans="2:13" x14ac:dyDescent="0.35">
      <c r="B2755" s="1">
        <v>5</v>
      </c>
      <c r="C2755" s="22">
        <v>45017</v>
      </c>
      <c r="D2755" s="22">
        <v>45046</v>
      </c>
      <c r="E2755" s="23">
        <f t="shared" si="445"/>
        <v>30</v>
      </c>
      <c r="F2755" s="3">
        <f t="shared" si="447"/>
        <v>86233544.22274904</v>
      </c>
      <c r="G2755" s="3"/>
      <c r="H2755" s="3">
        <f>($F$2745/$D$2744*F2755)</f>
        <v>1818090.5573629588</v>
      </c>
      <c r="I2755" s="3">
        <f t="shared" si="446"/>
        <v>-1818090.5573629588</v>
      </c>
      <c r="J2755" s="3">
        <f>F2755-I2755</f>
        <v>88051634.780111998</v>
      </c>
      <c r="K2755" s="24"/>
      <c r="L2755" s="24"/>
    </row>
    <row r="2756" spans="2:13" x14ac:dyDescent="0.35">
      <c r="B2756" s="1">
        <v>6</v>
      </c>
      <c r="C2756" s="22">
        <v>45047</v>
      </c>
      <c r="D2756" s="22">
        <v>45077</v>
      </c>
      <c r="E2756" s="23">
        <f t="shared" si="445"/>
        <v>31</v>
      </c>
      <c r="F2756" s="3">
        <f t="shared" si="447"/>
        <v>88051634.780111998</v>
      </c>
      <c r="G2756" s="3"/>
      <c r="H2756" s="3">
        <f>($G$2745/$D$2744*F2756)</f>
        <v>2054538.14486928</v>
      </c>
      <c r="I2756" s="3">
        <f t="shared" si="446"/>
        <v>-2054538.14486928</v>
      </c>
      <c r="J2756" s="3">
        <f>F2756-I2756</f>
        <v>90106172.924981281</v>
      </c>
      <c r="K2756" s="24"/>
      <c r="L2756" s="26"/>
    </row>
    <row r="2757" spans="2:13" x14ac:dyDescent="0.35">
      <c r="B2757" s="1">
        <v>7</v>
      </c>
      <c r="C2757" s="22">
        <v>45078</v>
      </c>
      <c r="D2757" s="22">
        <v>45107</v>
      </c>
      <c r="E2757" s="23">
        <f t="shared" si="445"/>
        <v>30</v>
      </c>
      <c r="F2757" s="3">
        <f t="shared" si="447"/>
        <v>90106172.924981281</v>
      </c>
      <c r="G2757" s="3"/>
      <c r="H2757" s="3">
        <f>($G$2745/$D$2744*F2757)</f>
        <v>2102477.3682495635</v>
      </c>
      <c r="I2757" s="3">
        <f t="shared" si="446"/>
        <v>-2102477.3682495635</v>
      </c>
      <c r="J2757" s="3">
        <f>F2757-I2757+K2741</f>
        <v>113471323.17323084</v>
      </c>
      <c r="K2757" s="24"/>
      <c r="L2757" s="24"/>
    </row>
    <row r="2758" spans="2:13" x14ac:dyDescent="0.35">
      <c r="B2758" s="1">
        <v>8</v>
      </c>
      <c r="C2758" s="22">
        <v>45108</v>
      </c>
      <c r="D2758" s="22">
        <v>45138</v>
      </c>
      <c r="E2758" s="23">
        <f t="shared" si="445"/>
        <v>31</v>
      </c>
      <c r="F2758" s="3">
        <f t="shared" si="447"/>
        <v>113471323.17323084</v>
      </c>
      <c r="G2758" s="3"/>
      <c r="H2758" s="3">
        <f>($H$2745/$D$2744*F2758)</f>
        <v>2780047.417744156</v>
      </c>
      <c r="I2758" s="3">
        <f t="shared" si="446"/>
        <v>-2780047.417744156</v>
      </c>
      <c r="J2758" s="3">
        <f t="shared" ref="J2758:J2798" si="448">F2758-I2758</f>
        <v>116251370.590975</v>
      </c>
      <c r="K2758" s="24"/>
      <c r="L2758" s="24"/>
    </row>
    <row r="2759" spans="2:13" x14ac:dyDescent="0.35">
      <c r="B2759" s="1">
        <v>9</v>
      </c>
      <c r="C2759" s="22">
        <v>45139</v>
      </c>
      <c r="D2759" s="22">
        <v>45169</v>
      </c>
      <c r="E2759" s="23">
        <f t="shared" si="445"/>
        <v>31</v>
      </c>
      <c r="F2759" s="3">
        <f t="shared" si="447"/>
        <v>116251370.590975</v>
      </c>
      <c r="G2759" s="3"/>
      <c r="H2759" s="3">
        <f>($I$2745/$D$2744*F2759)</f>
        <v>3012848.021149436</v>
      </c>
      <c r="I2759" s="3">
        <f t="shared" si="446"/>
        <v>-3012848.021149436</v>
      </c>
      <c r="J2759" s="3">
        <f t="shared" si="448"/>
        <v>119264218.61212444</v>
      </c>
      <c r="K2759" s="24"/>
      <c r="L2759" s="26"/>
    </row>
    <row r="2760" spans="2:13" x14ac:dyDescent="0.35">
      <c r="B2760" s="1">
        <v>10</v>
      </c>
      <c r="C2760" s="22">
        <v>45170</v>
      </c>
      <c r="D2760" s="22">
        <v>45199</v>
      </c>
      <c r="E2760" s="23">
        <f t="shared" si="445"/>
        <v>30</v>
      </c>
      <c r="F2760" s="3">
        <f t="shared" si="447"/>
        <v>119264218.61212444</v>
      </c>
      <c r="G2760" s="3"/>
      <c r="H2760" s="3">
        <f>($J$2745/$D$2744*F2760)</f>
        <v>3160501.7932212986</v>
      </c>
      <c r="I2760" s="3">
        <f t="shared" si="446"/>
        <v>-3160501.7932212986</v>
      </c>
      <c r="J2760" s="3">
        <f t="shared" si="448"/>
        <v>122424720.40534574</v>
      </c>
      <c r="K2760" s="24"/>
      <c r="L2760" s="24"/>
    </row>
    <row r="2761" spans="2:13" x14ac:dyDescent="0.35">
      <c r="B2761" s="1">
        <v>11</v>
      </c>
      <c r="C2761" s="22">
        <v>45200</v>
      </c>
      <c r="D2761" s="22">
        <v>45230</v>
      </c>
      <c r="E2761" s="23">
        <f t="shared" si="445"/>
        <v>31</v>
      </c>
      <c r="F2761" s="3">
        <f t="shared" si="447"/>
        <v>122424720.40534574</v>
      </c>
      <c r="G2761" s="3"/>
      <c r="H2761" s="3">
        <f>($K$2745/$D$2744*F2761)</f>
        <v>3254457.1507754414</v>
      </c>
      <c r="I2761" s="3">
        <f t="shared" si="446"/>
        <v>-3254457.1507754414</v>
      </c>
      <c r="J2761" s="3">
        <f t="shared" si="448"/>
        <v>125679177.55612119</v>
      </c>
      <c r="K2761" s="24"/>
      <c r="L2761" s="24"/>
    </row>
    <row r="2762" spans="2:13" x14ac:dyDescent="0.35">
      <c r="B2762" s="1">
        <v>12</v>
      </c>
      <c r="C2762" s="22">
        <v>45231</v>
      </c>
      <c r="D2762" s="22">
        <v>45260</v>
      </c>
      <c r="E2762" s="23">
        <f t="shared" si="445"/>
        <v>30</v>
      </c>
      <c r="F2762" s="3">
        <f t="shared" si="447"/>
        <v>125679177.55612119</v>
      </c>
      <c r="G2762" s="3"/>
      <c r="H2762" s="3">
        <f>($K$2745/$D$2744*F2762)</f>
        <v>3340971.4700335553</v>
      </c>
      <c r="I2762" s="3">
        <f t="shared" si="446"/>
        <v>-3340971.4700335553</v>
      </c>
      <c r="J2762" s="3">
        <f t="shared" si="448"/>
        <v>129020149.02615474</v>
      </c>
      <c r="K2762" s="24"/>
      <c r="L2762" s="24">
        <v>0</v>
      </c>
    </row>
    <row r="2763" spans="2:13" x14ac:dyDescent="0.35">
      <c r="B2763" s="1">
        <v>13</v>
      </c>
      <c r="C2763" s="22">
        <v>45261</v>
      </c>
      <c r="D2763" s="22">
        <v>45291</v>
      </c>
      <c r="E2763" s="23">
        <f t="shared" si="445"/>
        <v>31</v>
      </c>
      <c r="F2763" s="3">
        <f t="shared" si="447"/>
        <v>129020149.02615474</v>
      </c>
      <c r="G2763" s="356">
        <f>-PMT($L$2745/$D$2744,36,$F$2763,,0)</f>
        <v>5619395.5771349622</v>
      </c>
      <c r="H2763" s="3">
        <f>($L$2745/$D$2744*F2763)</f>
        <v>3440537.3073641271</v>
      </c>
      <c r="I2763" s="3">
        <f t="shared" si="446"/>
        <v>2178858.2697708351</v>
      </c>
      <c r="J2763" s="3">
        <f t="shared" si="448"/>
        <v>126841290.75638391</v>
      </c>
      <c r="K2763" s="24"/>
      <c r="L2763" s="24">
        <f>L2762+G2763-K2763</f>
        <v>5619395.5771349622</v>
      </c>
    </row>
    <row r="2764" spans="2:13" x14ac:dyDescent="0.35">
      <c r="B2764" s="1">
        <v>14</v>
      </c>
      <c r="C2764" s="22">
        <v>45292</v>
      </c>
      <c r="D2764" s="22">
        <v>45322</v>
      </c>
      <c r="E2764" s="23">
        <f t="shared" si="445"/>
        <v>31</v>
      </c>
      <c r="F2764" s="3">
        <f t="shared" si="447"/>
        <v>126841290.75638391</v>
      </c>
      <c r="G2764" s="356">
        <f>-PMT($L$2745/$D$2744,36,$F$2763,,0)</f>
        <v>5619395.5771349622</v>
      </c>
      <c r="H2764" s="3">
        <f>($L$2745/$D$2744*F2764)</f>
        <v>3382434.4201702382</v>
      </c>
      <c r="I2764" s="3">
        <f t="shared" si="446"/>
        <v>2236961.156964724</v>
      </c>
      <c r="J2764" s="3">
        <f t="shared" si="448"/>
        <v>124604329.59941919</v>
      </c>
      <c r="K2764" s="24"/>
      <c r="L2764" s="24">
        <f>L2763+G2764-K2764</f>
        <v>11238791.154269924</v>
      </c>
    </row>
    <row r="2765" spans="2:13" x14ac:dyDescent="0.35">
      <c r="B2765" s="1">
        <v>15</v>
      </c>
      <c r="C2765" s="22">
        <v>45323</v>
      </c>
      <c r="D2765" s="22">
        <v>45351</v>
      </c>
      <c r="E2765" s="23">
        <f t="shared" si="445"/>
        <v>29</v>
      </c>
      <c r="F2765" s="3">
        <f t="shared" si="447"/>
        <v>124604329.59941919</v>
      </c>
      <c r="G2765" s="356">
        <f>-PMT($M$2745/$D$2744,34,$F$2765,,0)</f>
        <v>5708706.454430175</v>
      </c>
      <c r="H2765" s="3">
        <f>($M$2745/$D$2744*F2765)</f>
        <v>3457770.1463838834</v>
      </c>
      <c r="I2765" s="3">
        <f t="shared" si="446"/>
        <v>2250936.3080462916</v>
      </c>
      <c r="J2765" s="3">
        <f t="shared" si="448"/>
        <v>122353393.2913729</v>
      </c>
      <c r="K2765" s="24"/>
      <c r="L2765" s="357">
        <f>L2764+G2765-K2765</f>
        <v>16947497.6087001</v>
      </c>
      <c r="M2765" s="7" t="s">
        <v>920</v>
      </c>
    </row>
    <row r="2766" spans="2:13" x14ac:dyDescent="0.35">
      <c r="B2766" s="1">
        <v>16</v>
      </c>
      <c r="C2766" s="22">
        <v>45352</v>
      </c>
      <c r="D2766" s="22">
        <v>45382</v>
      </c>
      <c r="E2766" s="23">
        <f t="shared" si="445"/>
        <v>31</v>
      </c>
      <c r="F2766" s="3">
        <f>J2765+L2765</f>
        <v>139300890.90007299</v>
      </c>
      <c r="G2766" s="3">
        <f>-PMT($M$2745/$D$2744,33,$F$2766,,0)</f>
        <v>6499434.740607162</v>
      </c>
      <c r="H2766" s="3">
        <f>($M$2745/$D$2744*F2766)</f>
        <v>3865599.7224770267</v>
      </c>
      <c r="I2766" s="3">
        <f t="shared" si="446"/>
        <v>2633835.0181301353</v>
      </c>
      <c r="J2766" s="3">
        <f t="shared" si="448"/>
        <v>136667055.88194287</v>
      </c>
      <c r="K2766" s="24"/>
      <c r="L2766" s="24"/>
    </row>
    <row r="2767" spans="2:13" x14ac:dyDescent="0.35">
      <c r="B2767" s="1">
        <v>17</v>
      </c>
      <c r="C2767" s="22">
        <v>45383</v>
      </c>
      <c r="D2767" s="22">
        <v>45412</v>
      </c>
      <c r="E2767" s="23">
        <f t="shared" si="445"/>
        <v>30</v>
      </c>
      <c r="F2767" s="3">
        <f t="shared" ref="F2767:F2798" si="449">J2766</f>
        <v>136667055.88194287</v>
      </c>
      <c r="G2767" s="3">
        <f>-PMT($M$2745/$D$2744,33,$F$2766,,0)</f>
        <v>6499434.740607162</v>
      </c>
      <c r="H2767" s="3">
        <f>($M$2745/$D$2744*F2767)</f>
        <v>3792510.8007239155</v>
      </c>
      <c r="I2767" s="3">
        <f t="shared" si="446"/>
        <v>2706923.9398832466</v>
      </c>
      <c r="J2767" s="3">
        <f t="shared" si="448"/>
        <v>133960131.94205962</v>
      </c>
      <c r="K2767" s="24"/>
      <c r="L2767" s="24"/>
    </row>
    <row r="2768" spans="2:13" x14ac:dyDescent="0.35">
      <c r="B2768" s="1">
        <v>18</v>
      </c>
      <c r="C2768" s="22">
        <v>45413</v>
      </c>
      <c r="D2768" s="22">
        <v>45443</v>
      </c>
      <c r="E2768" s="23">
        <f t="shared" si="445"/>
        <v>31</v>
      </c>
      <c r="F2768" s="3">
        <f t="shared" si="449"/>
        <v>133960131.94205962</v>
      </c>
      <c r="G2768" s="3">
        <f>-PMT($N$2745/$D$2744,31,$F$2768,,0)</f>
        <v>6506728.4500463223</v>
      </c>
      <c r="H2768" s="3">
        <f>($N$2745/$D$2744*F2768)</f>
        <v>3728557.0057206601</v>
      </c>
      <c r="I2768" s="3">
        <f t="shared" si="446"/>
        <v>2778171.4443256622</v>
      </c>
      <c r="J2768" s="3">
        <f t="shared" si="448"/>
        <v>131181960.49773397</v>
      </c>
      <c r="K2768" s="24"/>
      <c r="L2768" s="24"/>
    </row>
    <row r="2769" spans="2:12" x14ac:dyDescent="0.35">
      <c r="B2769" s="1">
        <v>19</v>
      </c>
      <c r="C2769" s="22">
        <v>45444</v>
      </c>
      <c r="D2769" s="22">
        <v>45473</v>
      </c>
      <c r="E2769" s="23">
        <f t="shared" si="445"/>
        <v>30</v>
      </c>
      <c r="F2769" s="3">
        <f t="shared" si="449"/>
        <v>131181960.49773397</v>
      </c>
      <c r="G2769" s="3">
        <f>-PMT($O$2745/$D$2744,30,$F$2769,,0)</f>
        <v>6513834.5138569213</v>
      </c>
      <c r="H2769" s="3">
        <f>($O$2745/$D$2744*F2769)</f>
        <v>3662163.0638950742</v>
      </c>
      <c r="I2769" s="3">
        <f t="shared" si="446"/>
        <v>2851671.4499618472</v>
      </c>
      <c r="J2769" s="3">
        <f t="shared" si="448"/>
        <v>128330289.04777212</v>
      </c>
      <c r="K2769" s="24"/>
      <c r="L2769" s="24"/>
    </row>
    <row r="2770" spans="2:12" x14ac:dyDescent="0.35">
      <c r="B2770" s="1">
        <v>20</v>
      </c>
      <c r="C2770" s="22">
        <v>45474</v>
      </c>
      <c r="D2770" s="22">
        <v>45504</v>
      </c>
      <c r="E2770" s="23">
        <f t="shared" si="445"/>
        <v>31</v>
      </c>
      <c r="F2770" s="3">
        <f t="shared" si="449"/>
        <v>128330289.04777212</v>
      </c>
      <c r="G2770" s="3">
        <f t="shared" ref="G2770:G2798" si="450">-PMT($P$2745/$D$2744,29,$F$2770,,0)</f>
        <v>6534593.99556298</v>
      </c>
      <c r="H2770" s="3">
        <f t="shared" ref="H2770:H2798" si="451">($P$2745/$D$2744*F2770)</f>
        <v>3614636.4748455822</v>
      </c>
      <c r="I2770" s="3">
        <f t="shared" si="446"/>
        <v>2919957.5207173978</v>
      </c>
      <c r="J2770" s="3">
        <f t="shared" si="448"/>
        <v>125410331.52705473</v>
      </c>
      <c r="K2770" s="24"/>
      <c r="L2770" s="24"/>
    </row>
    <row r="2771" spans="2:12" x14ac:dyDescent="0.35">
      <c r="B2771" s="1">
        <v>21</v>
      </c>
      <c r="C2771" s="22">
        <v>45505</v>
      </c>
      <c r="D2771" s="22">
        <v>45535</v>
      </c>
      <c r="E2771" s="23">
        <f t="shared" si="445"/>
        <v>31</v>
      </c>
      <c r="F2771" s="3">
        <f t="shared" si="449"/>
        <v>125410331.52705473</v>
      </c>
      <c r="G2771" s="3">
        <f t="shared" si="450"/>
        <v>6534593.99556298</v>
      </c>
      <c r="H2771" s="3">
        <f t="shared" si="451"/>
        <v>3532391.004678709</v>
      </c>
      <c r="I2771" s="3">
        <f t="shared" si="446"/>
        <v>3002202.990884271</v>
      </c>
      <c r="J2771" s="3">
        <f t="shared" si="448"/>
        <v>122408128.53617045</v>
      </c>
      <c r="K2771" s="24"/>
      <c r="L2771" s="24"/>
    </row>
    <row r="2772" spans="2:12" x14ac:dyDescent="0.35">
      <c r="B2772" s="1">
        <v>22</v>
      </c>
      <c r="C2772" s="22">
        <v>45536</v>
      </c>
      <c r="D2772" s="22">
        <v>45565</v>
      </c>
      <c r="E2772" s="23">
        <f t="shared" si="445"/>
        <v>30</v>
      </c>
      <c r="F2772" s="3">
        <f t="shared" si="449"/>
        <v>122408128.53617045</v>
      </c>
      <c r="G2772" s="3">
        <f t="shared" si="450"/>
        <v>6534593.99556298</v>
      </c>
      <c r="H2772" s="3">
        <f t="shared" si="451"/>
        <v>3447828.9537688019</v>
      </c>
      <c r="I2772" s="3">
        <f t="shared" si="446"/>
        <v>3086765.0417941781</v>
      </c>
      <c r="J2772" s="3">
        <f t="shared" si="448"/>
        <v>119321363.49437627</v>
      </c>
      <c r="K2772" s="24"/>
      <c r="L2772" s="24"/>
    </row>
    <row r="2773" spans="2:12" x14ac:dyDescent="0.35">
      <c r="B2773" s="1">
        <v>23</v>
      </c>
      <c r="C2773" s="22">
        <v>45566</v>
      </c>
      <c r="D2773" s="22">
        <v>45596</v>
      </c>
      <c r="E2773" s="23">
        <f t="shared" si="445"/>
        <v>31</v>
      </c>
      <c r="F2773" s="3">
        <f t="shared" si="449"/>
        <v>119321363.49437627</v>
      </c>
      <c r="G2773" s="3">
        <f t="shared" si="450"/>
        <v>6534593.99556298</v>
      </c>
      <c r="H2773" s="3">
        <f t="shared" si="451"/>
        <v>3360885.0717582656</v>
      </c>
      <c r="I2773" s="3">
        <f t="shared" si="446"/>
        <v>3173708.9238047143</v>
      </c>
      <c r="J2773" s="3">
        <f t="shared" si="448"/>
        <v>116147654.57057156</v>
      </c>
      <c r="K2773" s="24"/>
      <c r="L2773" s="24"/>
    </row>
    <row r="2774" spans="2:12" x14ac:dyDescent="0.35">
      <c r="B2774" s="1">
        <v>24</v>
      </c>
      <c r="C2774" s="22">
        <v>45597</v>
      </c>
      <c r="D2774" s="22">
        <v>45626</v>
      </c>
      <c r="E2774" s="23">
        <f t="shared" si="445"/>
        <v>30</v>
      </c>
      <c r="F2774" s="3">
        <f t="shared" si="449"/>
        <v>116147654.57057156</v>
      </c>
      <c r="G2774" s="3">
        <f t="shared" si="450"/>
        <v>6534593.99556298</v>
      </c>
      <c r="H2774" s="3">
        <f t="shared" si="451"/>
        <v>3271492.2704044329</v>
      </c>
      <c r="I2774" s="3">
        <f t="shared" si="446"/>
        <v>3263101.7251585471</v>
      </c>
      <c r="J2774" s="3">
        <f t="shared" si="448"/>
        <v>112884552.84541301</v>
      </c>
      <c r="K2774" s="24"/>
      <c r="L2774" s="24"/>
    </row>
    <row r="2775" spans="2:12" x14ac:dyDescent="0.35">
      <c r="B2775" s="1">
        <v>25</v>
      </c>
      <c r="C2775" s="22">
        <v>45627</v>
      </c>
      <c r="D2775" s="22">
        <v>45657</v>
      </c>
      <c r="E2775" s="23">
        <f t="shared" si="445"/>
        <v>31</v>
      </c>
      <c r="F2775" s="3">
        <f t="shared" si="449"/>
        <v>112884552.84541301</v>
      </c>
      <c r="G2775" s="3">
        <f t="shared" si="450"/>
        <v>6534593.99556298</v>
      </c>
      <c r="H2775" s="3">
        <f t="shared" si="451"/>
        <v>3179581.5718124672</v>
      </c>
      <c r="I2775" s="3">
        <f t="shared" si="446"/>
        <v>3355012.4237505128</v>
      </c>
      <c r="J2775" s="3">
        <f t="shared" si="448"/>
        <v>109529540.42166249</v>
      </c>
      <c r="K2775" s="24"/>
      <c r="L2775" s="24"/>
    </row>
    <row r="2776" spans="2:12" ht="14.25" customHeight="1" x14ac:dyDescent="0.35">
      <c r="B2776" s="1">
        <v>26</v>
      </c>
      <c r="C2776" s="22">
        <v>45658</v>
      </c>
      <c r="D2776" s="22">
        <v>45688</v>
      </c>
      <c r="E2776" s="23">
        <f t="shared" si="445"/>
        <v>31</v>
      </c>
      <c r="F2776" s="3">
        <f t="shared" si="449"/>
        <v>109529540.42166249</v>
      </c>
      <c r="G2776" s="3">
        <f t="shared" si="450"/>
        <v>6534593.99556298</v>
      </c>
      <c r="H2776" s="3">
        <f t="shared" si="451"/>
        <v>3085082.055210161</v>
      </c>
      <c r="I2776" s="3">
        <f t="shared" si="446"/>
        <v>3449511.9403528189</v>
      </c>
      <c r="J2776" s="3">
        <f t="shared" si="448"/>
        <v>106080028.48130968</v>
      </c>
      <c r="K2776" s="1" t="s">
        <v>921</v>
      </c>
      <c r="L2776" s="232"/>
    </row>
    <row r="2777" spans="2:12" x14ac:dyDescent="0.35">
      <c r="B2777" s="1">
        <v>27</v>
      </c>
      <c r="C2777" s="22">
        <v>45689</v>
      </c>
      <c r="D2777" s="22">
        <v>45716</v>
      </c>
      <c r="E2777" s="23">
        <f t="shared" si="445"/>
        <v>28</v>
      </c>
      <c r="F2777" s="3">
        <f t="shared" si="449"/>
        <v>106080028.48130968</v>
      </c>
      <c r="G2777" s="3">
        <f t="shared" si="450"/>
        <v>6534593.99556298</v>
      </c>
      <c r="H2777" s="3">
        <f t="shared" si="451"/>
        <v>2987920.8022235567</v>
      </c>
      <c r="I2777" s="3">
        <f t="shared" si="446"/>
        <v>3546673.1933394233</v>
      </c>
      <c r="J2777" s="3">
        <f t="shared" si="448"/>
        <v>102533355.28797026</v>
      </c>
    </row>
    <row r="2778" spans="2:12" x14ac:dyDescent="0.35">
      <c r="B2778" s="1">
        <v>28</v>
      </c>
      <c r="C2778" s="22">
        <v>45717</v>
      </c>
      <c r="D2778" s="22">
        <v>45747</v>
      </c>
      <c r="E2778" s="23">
        <f t="shared" si="445"/>
        <v>31</v>
      </c>
      <c r="F2778" s="3">
        <f t="shared" si="449"/>
        <v>102533355.28797026</v>
      </c>
      <c r="G2778" s="3">
        <f t="shared" si="450"/>
        <v>6534593.99556298</v>
      </c>
      <c r="H2778" s="3">
        <f t="shared" si="451"/>
        <v>2888022.8406111631</v>
      </c>
      <c r="I2778" s="3">
        <f t="shared" si="446"/>
        <v>3646571.1549518169</v>
      </c>
      <c r="J2778" s="3">
        <f t="shared" si="448"/>
        <v>98886784.133018449</v>
      </c>
    </row>
    <row r="2779" spans="2:12" x14ac:dyDescent="0.35">
      <c r="B2779" s="1">
        <v>29</v>
      </c>
      <c r="C2779" s="22">
        <v>45748</v>
      </c>
      <c r="D2779" s="22">
        <v>45777</v>
      </c>
      <c r="E2779" s="23">
        <f t="shared" si="445"/>
        <v>30</v>
      </c>
      <c r="F2779" s="3">
        <f t="shared" si="449"/>
        <v>98886784.133018449</v>
      </c>
      <c r="G2779" s="3">
        <f t="shared" si="450"/>
        <v>6534593.99556298</v>
      </c>
      <c r="H2779" s="3">
        <f t="shared" si="451"/>
        <v>2785311.0864133537</v>
      </c>
      <c r="I2779" s="3">
        <f t="shared" si="446"/>
        <v>3749282.9091496263</v>
      </c>
      <c r="J2779" s="3">
        <f t="shared" si="448"/>
        <v>95137501.223868817</v>
      </c>
    </row>
    <row r="2780" spans="2:12" x14ac:dyDescent="0.35">
      <c r="B2780" s="1">
        <v>30</v>
      </c>
      <c r="C2780" s="22">
        <v>45778</v>
      </c>
      <c r="D2780" s="22">
        <v>45808</v>
      </c>
      <c r="E2780" s="23">
        <f t="shared" si="445"/>
        <v>31</v>
      </c>
      <c r="F2780" s="3">
        <f t="shared" si="449"/>
        <v>95137501.223868817</v>
      </c>
      <c r="G2780" s="3">
        <f t="shared" si="450"/>
        <v>6534593.99556298</v>
      </c>
      <c r="H2780" s="3">
        <f t="shared" si="451"/>
        <v>2679706.2844723058</v>
      </c>
      <c r="I2780" s="3">
        <f t="shared" si="446"/>
        <v>3854887.7110906742</v>
      </c>
      <c r="J2780" s="3">
        <f t="shared" si="448"/>
        <v>91282613.512778148</v>
      </c>
    </row>
    <row r="2781" spans="2:12" x14ac:dyDescent="0.35">
      <c r="B2781" s="1">
        <v>31</v>
      </c>
      <c r="C2781" s="22">
        <v>45809</v>
      </c>
      <c r="D2781" s="22">
        <v>45838</v>
      </c>
      <c r="E2781" s="23">
        <f t="shared" si="445"/>
        <v>30</v>
      </c>
      <c r="F2781" s="3">
        <f t="shared" si="449"/>
        <v>91282613.512778148</v>
      </c>
      <c r="G2781" s="3">
        <f t="shared" si="450"/>
        <v>6534593.99556298</v>
      </c>
      <c r="H2781" s="3">
        <f t="shared" si="451"/>
        <v>2571126.9472765853</v>
      </c>
      <c r="I2781" s="3">
        <f t="shared" si="446"/>
        <v>3963467.0482863947</v>
      </c>
      <c r="J2781" s="3">
        <f t="shared" si="448"/>
        <v>87319146.464491755</v>
      </c>
    </row>
    <row r="2782" spans="2:12" x14ac:dyDescent="0.35">
      <c r="B2782" s="1">
        <v>32</v>
      </c>
      <c r="C2782" s="22">
        <v>45839</v>
      </c>
      <c r="D2782" s="22">
        <v>45869</v>
      </c>
      <c r="E2782" s="23">
        <f t="shared" ref="E2782:E2798" si="452">D2782-C2782+1</f>
        <v>31</v>
      </c>
      <c r="F2782" s="3">
        <f t="shared" si="449"/>
        <v>87319146.464491755</v>
      </c>
      <c r="G2782" s="3">
        <f t="shared" si="450"/>
        <v>6534593.99556298</v>
      </c>
      <c r="H2782" s="3">
        <f t="shared" si="451"/>
        <v>2459489.2920831852</v>
      </c>
      <c r="I2782" s="3">
        <f t="shared" ref="I2782:I2798" si="453">G2782-H2782</f>
        <v>4075104.7034797948</v>
      </c>
      <c r="J2782" s="3">
        <f t="shared" si="448"/>
        <v>83244041.761011958</v>
      </c>
    </row>
    <row r="2783" spans="2:12" x14ac:dyDescent="0.35">
      <c r="B2783" s="1">
        <v>33</v>
      </c>
      <c r="C2783" s="22">
        <v>45870</v>
      </c>
      <c r="D2783" s="22">
        <v>45900</v>
      </c>
      <c r="E2783" s="23">
        <f t="shared" si="452"/>
        <v>31</v>
      </c>
      <c r="F2783" s="3">
        <f t="shared" si="449"/>
        <v>83244041.761011958</v>
      </c>
      <c r="G2783" s="3">
        <f t="shared" si="450"/>
        <v>6534593.99556298</v>
      </c>
      <c r="H2783" s="3">
        <f t="shared" si="451"/>
        <v>2344707.176268504</v>
      </c>
      <c r="I2783" s="3">
        <f t="shared" si="453"/>
        <v>4189886.819294476</v>
      </c>
      <c r="J2783" s="3">
        <f t="shared" si="448"/>
        <v>79054154.941717476</v>
      </c>
    </row>
    <row r="2784" spans="2:12" x14ac:dyDescent="0.35">
      <c r="B2784" s="1">
        <v>34</v>
      </c>
      <c r="C2784" s="22">
        <v>45901</v>
      </c>
      <c r="D2784" s="22">
        <v>45930</v>
      </c>
      <c r="E2784" s="23">
        <f t="shared" si="452"/>
        <v>30</v>
      </c>
      <c r="F2784" s="3">
        <f t="shared" si="449"/>
        <v>79054154.941717476</v>
      </c>
      <c r="G2784" s="3">
        <f t="shared" si="450"/>
        <v>6534593.99556298</v>
      </c>
      <c r="H2784" s="3">
        <f t="shared" si="451"/>
        <v>2226692.0308583761</v>
      </c>
      <c r="I2784" s="3">
        <f t="shared" si="453"/>
        <v>4307901.9647046039</v>
      </c>
      <c r="J2784" s="3">
        <f t="shared" si="448"/>
        <v>74746252.977012873</v>
      </c>
    </row>
    <row r="2785" spans="2:10" x14ac:dyDescent="0.35">
      <c r="B2785" s="1">
        <v>35</v>
      </c>
      <c r="C2785" s="22">
        <v>45931</v>
      </c>
      <c r="D2785" s="22">
        <v>45961</v>
      </c>
      <c r="E2785" s="23">
        <f t="shared" si="452"/>
        <v>31</v>
      </c>
      <c r="F2785" s="3">
        <f t="shared" si="449"/>
        <v>74746252.977012873</v>
      </c>
      <c r="G2785" s="3">
        <f t="shared" si="450"/>
        <v>6534593.99556298</v>
      </c>
      <c r="H2785" s="3">
        <f t="shared" si="451"/>
        <v>2105352.792185863</v>
      </c>
      <c r="I2785" s="3">
        <f t="shared" si="453"/>
        <v>4429241.2033771165</v>
      </c>
      <c r="J2785" s="3">
        <f t="shared" si="448"/>
        <v>70317011.77363576</v>
      </c>
    </row>
    <row r="2786" spans="2:10" x14ac:dyDescent="0.35">
      <c r="B2786" s="1">
        <v>36</v>
      </c>
      <c r="C2786" s="22">
        <v>45962</v>
      </c>
      <c r="D2786" s="22">
        <v>45991</v>
      </c>
      <c r="E2786" s="23">
        <f t="shared" si="452"/>
        <v>30</v>
      </c>
      <c r="F2786" s="3">
        <f t="shared" si="449"/>
        <v>70317011.77363576</v>
      </c>
      <c r="G2786" s="3">
        <f t="shared" si="450"/>
        <v>6534593.99556298</v>
      </c>
      <c r="H2786" s="3">
        <f t="shared" si="451"/>
        <v>1980595.8316240744</v>
      </c>
      <c r="I2786" s="3">
        <f t="shared" si="453"/>
        <v>4553998.163938906</v>
      </c>
      <c r="J2786" s="3">
        <f t="shared" si="448"/>
        <v>65763013.60969685</v>
      </c>
    </row>
    <row r="2787" spans="2:10" x14ac:dyDescent="0.35">
      <c r="B2787" s="1">
        <v>37</v>
      </c>
      <c r="C2787" s="22">
        <v>45992</v>
      </c>
      <c r="D2787" s="22">
        <v>46022</v>
      </c>
      <c r="E2787" s="23">
        <f t="shared" si="452"/>
        <v>31</v>
      </c>
      <c r="F2787" s="3">
        <f t="shared" si="449"/>
        <v>65763013.60969685</v>
      </c>
      <c r="G2787" s="3">
        <f t="shared" si="450"/>
        <v>6534593.99556298</v>
      </c>
      <c r="H2787" s="3">
        <f t="shared" si="451"/>
        <v>1852324.8833397951</v>
      </c>
      <c r="I2787" s="3">
        <f t="shared" si="453"/>
        <v>4682269.1122231847</v>
      </c>
      <c r="J2787" s="3">
        <f t="shared" si="448"/>
        <v>61080744.497473665</v>
      </c>
    </row>
    <row r="2788" spans="2:10" x14ac:dyDescent="0.35">
      <c r="B2788" s="1">
        <v>38</v>
      </c>
      <c r="C2788" s="22">
        <v>46023</v>
      </c>
      <c r="D2788" s="22">
        <v>46053</v>
      </c>
      <c r="E2788" s="23">
        <f t="shared" si="452"/>
        <v>31</v>
      </c>
      <c r="F2788" s="3">
        <f t="shared" si="449"/>
        <v>61080744.497473665</v>
      </c>
      <c r="G2788" s="3">
        <f t="shared" si="450"/>
        <v>6534593.99556298</v>
      </c>
      <c r="H2788" s="3">
        <f t="shared" si="451"/>
        <v>1720440.9700121754</v>
      </c>
      <c r="I2788" s="3">
        <f t="shared" si="453"/>
        <v>4814153.025550805</v>
      </c>
      <c r="J2788" s="3">
        <f t="shared" si="448"/>
        <v>56266591.47192286</v>
      </c>
    </row>
    <row r="2789" spans="2:10" x14ac:dyDescent="0.35">
      <c r="B2789" s="1">
        <v>39</v>
      </c>
      <c r="C2789" s="22">
        <v>46054</v>
      </c>
      <c r="D2789" s="22">
        <v>46081</v>
      </c>
      <c r="E2789" s="23">
        <f t="shared" si="452"/>
        <v>28</v>
      </c>
      <c r="F2789" s="3">
        <f t="shared" si="449"/>
        <v>56266591.47192286</v>
      </c>
      <c r="G2789" s="3">
        <f t="shared" si="450"/>
        <v>6534593.99556298</v>
      </c>
      <c r="H2789" s="3">
        <f t="shared" si="451"/>
        <v>1584842.326459161</v>
      </c>
      <c r="I2789" s="3">
        <f t="shared" si="453"/>
        <v>4949751.6691038189</v>
      </c>
      <c r="J2789" s="3">
        <f t="shared" si="448"/>
        <v>51316839.802819043</v>
      </c>
    </row>
    <row r="2790" spans="2:10" x14ac:dyDescent="0.35">
      <c r="B2790" s="1">
        <v>40</v>
      </c>
      <c r="C2790" s="22">
        <v>46082</v>
      </c>
      <c r="D2790" s="22">
        <v>46112</v>
      </c>
      <c r="E2790" s="23">
        <f t="shared" si="452"/>
        <v>31</v>
      </c>
      <c r="F2790" s="3">
        <f t="shared" si="449"/>
        <v>51316839.802819043</v>
      </c>
      <c r="G2790" s="3">
        <f t="shared" si="450"/>
        <v>6534593.99556298</v>
      </c>
      <c r="H2790" s="3">
        <f t="shared" si="451"/>
        <v>1445424.3211127368</v>
      </c>
      <c r="I2790" s="3">
        <f t="shared" si="453"/>
        <v>5089169.6744502429</v>
      </c>
      <c r="J2790" s="3">
        <f t="shared" si="448"/>
        <v>46227670.128368802</v>
      </c>
    </row>
    <row r="2791" spans="2:10" x14ac:dyDescent="0.35">
      <c r="B2791" s="1">
        <v>41</v>
      </c>
      <c r="C2791" s="22">
        <v>46113</v>
      </c>
      <c r="D2791" s="22">
        <v>46142</v>
      </c>
      <c r="E2791" s="23">
        <f t="shared" si="452"/>
        <v>30</v>
      </c>
      <c r="F2791" s="3">
        <f t="shared" si="449"/>
        <v>46227670.128368802</v>
      </c>
      <c r="G2791" s="3">
        <f t="shared" si="450"/>
        <v>6534593.99556298</v>
      </c>
      <c r="H2791" s="3">
        <f t="shared" si="451"/>
        <v>1302079.3752823882</v>
      </c>
      <c r="I2791" s="3">
        <f t="shared" si="453"/>
        <v>5232514.6202805918</v>
      </c>
      <c r="J2791" s="3">
        <f t="shared" si="448"/>
        <v>40995155.508088209</v>
      </c>
    </row>
    <row r="2792" spans="2:10" x14ac:dyDescent="0.35">
      <c r="B2792" s="1">
        <v>42</v>
      </c>
      <c r="C2792" s="22">
        <v>46143</v>
      </c>
      <c r="D2792" s="22">
        <v>46173</v>
      </c>
      <c r="E2792" s="23">
        <f t="shared" si="452"/>
        <v>31</v>
      </c>
      <c r="F2792" s="3">
        <f t="shared" si="449"/>
        <v>40995155.508088209</v>
      </c>
      <c r="G2792" s="3">
        <f t="shared" si="450"/>
        <v>6534593.99556298</v>
      </c>
      <c r="H2792" s="3">
        <f t="shared" si="451"/>
        <v>1154696.8801444848</v>
      </c>
      <c r="I2792" s="3">
        <f t="shared" si="453"/>
        <v>5379897.1154184956</v>
      </c>
      <c r="J2792" s="3">
        <f t="shared" si="448"/>
        <v>35615258.392669715</v>
      </c>
    </row>
    <row r="2793" spans="2:10" x14ac:dyDescent="0.35">
      <c r="B2793" s="1">
        <v>43</v>
      </c>
      <c r="C2793" s="22">
        <v>46174</v>
      </c>
      <c r="D2793" s="22">
        <v>46203</v>
      </c>
      <c r="E2793" s="23">
        <f t="shared" si="452"/>
        <v>30</v>
      </c>
      <c r="F2793" s="3">
        <f t="shared" si="449"/>
        <v>35615258.392669715</v>
      </c>
      <c r="G2793" s="3">
        <f t="shared" si="450"/>
        <v>6534593.99556298</v>
      </c>
      <c r="H2793" s="3">
        <f t="shared" si="451"/>
        <v>1003163.1113935305</v>
      </c>
      <c r="I2793" s="3">
        <f t="shared" si="453"/>
        <v>5531430.8841694491</v>
      </c>
      <c r="J2793" s="3">
        <f t="shared" si="448"/>
        <v>30083827.508500267</v>
      </c>
    </row>
    <row r="2794" spans="2:10" x14ac:dyDescent="0.35">
      <c r="B2794" s="1">
        <v>44</v>
      </c>
      <c r="C2794" s="22">
        <v>46204</v>
      </c>
      <c r="D2794" s="22">
        <v>46234</v>
      </c>
      <c r="E2794" s="23">
        <f t="shared" si="452"/>
        <v>31</v>
      </c>
      <c r="F2794" s="3">
        <f t="shared" si="449"/>
        <v>30083827.508500267</v>
      </c>
      <c r="G2794" s="3">
        <f t="shared" si="450"/>
        <v>6534593.99556298</v>
      </c>
      <c r="H2794" s="3">
        <f t="shared" si="451"/>
        <v>847361.14148942439</v>
      </c>
      <c r="I2794" s="3">
        <f t="shared" si="453"/>
        <v>5687232.8540735552</v>
      </c>
      <c r="J2794" s="3">
        <f t="shared" si="448"/>
        <v>24396594.654426713</v>
      </c>
    </row>
    <row r="2795" spans="2:10" x14ac:dyDescent="0.35">
      <c r="B2795" s="1">
        <v>45</v>
      </c>
      <c r="C2795" s="22">
        <v>46235</v>
      </c>
      <c r="D2795" s="22">
        <v>46265</v>
      </c>
      <c r="E2795" s="23">
        <f t="shared" si="452"/>
        <v>31</v>
      </c>
      <c r="F2795" s="3">
        <f t="shared" si="449"/>
        <v>24396594.654426713</v>
      </c>
      <c r="G2795" s="3">
        <f t="shared" si="450"/>
        <v>6534593.99556298</v>
      </c>
      <c r="H2795" s="3">
        <f t="shared" si="451"/>
        <v>687170.7494330192</v>
      </c>
      <c r="I2795" s="3">
        <f t="shared" si="453"/>
        <v>5847423.2461299608</v>
      </c>
      <c r="J2795" s="3">
        <f t="shared" si="448"/>
        <v>18549171.408296753</v>
      </c>
    </row>
    <row r="2796" spans="2:10" x14ac:dyDescent="0.35">
      <c r="B2796" s="1">
        <v>46</v>
      </c>
      <c r="C2796" s="22">
        <v>46266</v>
      </c>
      <c r="D2796" s="22">
        <v>46295</v>
      </c>
      <c r="E2796" s="23">
        <f t="shared" si="452"/>
        <v>30</v>
      </c>
      <c r="F2796" s="3">
        <f t="shared" si="449"/>
        <v>18549171.408296753</v>
      </c>
      <c r="G2796" s="3">
        <f t="shared" si="450"/>
        <v>6534593.99556298</v>
      </c>
      <c r="H2796" s="3">
        <f t="shared" si="451"/>
        <v>522468.32800035866</v>
      </c>
      <c r="I2796" s="3">
        <f t="shared" si="453"/>
        <v>6012125.6675626216</v>
      </c>
      <c r="J2796" s="3">
        <f t="shared" si="448"/>
        <v>12537045.74073413</v>
      </c>
    </row>
    <row r="2797" spans="2:10" x14ac:dyDescent="0.35">
      <c r="B2797" s="1">
        <v>47</v>
      </c>
      <c r="C2797" s="22">
        <v>46296</v>
      </c>
      <c r="D2797" s="22">
        <v>46326</v>
      </c>
      <c r="E2797" s="23">
        <f t="shared" si="452"/>
        <v>31</v>
      </c>
      <c r="F2797" s="3">
        <f t="shared" si="449"/>
        <v>12537045.74073413</v>
      </c>
      <c r="G2797" s="3">
        <f t="shared" si="450"/>
        <v>6534593.99556298</v>
      </c>
      <c r="H2797" s="3">
        <f t="shared" si="451"/>
        <v>353126.78836401139</v>
      </c>
      <c r="I2797" s="3">
        <f t="shared" si="453"/>
        <v>6181467.2071989682</v>
      </c>
      <c r="J2797" s="3">
        <f t="shared" si="448"/>
        <v>6355578.533535162</v>
      </c>
    </row>
    <row r="2798" spans="2:10" x14ac:dyDescent="0.35">
      <c r="B2798" s="1">
        <v>48</v>
      </c>
      <c r="C2798" s="22">
        <v>46327</v>
      </c>
      <c r="D2798" s="22">
        <v>46356</v>
      </c>
      <c r="E2798" s="23">
        <f t="shared" si="452"/>
        <v>30</v>
      </c>
      <c r="F2798" s="3">
        <f t="shared" si="449"/>
        <v>6355578.533535162</v>
      </c>
      <c r="G2798" s="3">
        <f t="shared" si="450"/>
        <v>6534593.99556298</v>
      </c>
      <c r="H2798" s="3">
        <f t="shared" si="451"/>
        <v>179015.46202790711</v>
      </c>
      <c r="I2798" s="3">
        <f t="shared" si="453"/>
        <v>6355578.5335350726</v>
      </c>
      <c r="J2798" s="3">
        <f t="shared" si="448"/>
        <v>8.9406967163085938E-8</v>
      </c>
    </row>
    <row r="2799" spans="2:10" x14ac:dyDescent="0.35">
      <c r="B2799" s="1"/>
      <c r="C2799" s="22"/>
      <c r="D2799" s="22"/>
      <c r="E2799" s="23"/>
      <c r="F2799" s="3"/>
      <c r="G2799" s="3"/>
      <c r="H2799" s="3"/>
      <c r="I2799" s="3"/>
      <c r="J2799" s="3"/>
    </row>
    <row r="2800" spans="2:10" x14ac:dyDescent="0.35">
      <c r="B2800" s="1"/>
      <c r="E2800" s="28">
        <f>SUM(E2750:E2798)</f>
        <v>1474</v>
      </c>
      <c r="H2800" s="3"/>
    </row>
    <row r="2801" spans="2:19" x14ac:dyDescent="0.35">
      <c r="B2801" s="1"/>
    </row>
    <row r="2802" spans="2:19" x14ac:dyDescent="0.35">
      <c r="B2802" s="1"/>
    </row>
    <row r="2803" spans="2:19" x14ac:dyDescent="0.35">
      <c r="B2803" s="1"/>
    </row>
    <row r="2804" spans="2:19" x14ac:dyDescent="0.35">
      <c r="B2804" s="1"/>
    </row>
    <row r="2809" spans="2:19" x14ac:dyDescent="0.35">
      <c r="B2809" s="1"/>
      <c r="C2809" s="8" t="s">
        <v>922</v>
      </c>
      <c r="D2809" s="3"/>
      <c r="E2809" s="3"/>
      <c r="F2809" s="3"/>
      <c r="G2809" s="3"/>
      <c r="H2809" s="3"/>
      <c r="I2809" s="3"/>
      <c r="J2809" s="3"/>
      <c r="K2809" s="3"/>
      <c r="L2809" s="3"/>
      <c r="R2809" s="438" t="s">
        <v>832</v>
      </c>
      <c r="S2809" s="432" t="str">
        <f>IFERROR(INDEX(Blocks!$I$2:$I$101,MATCH(52,Blocks!$A$2:$A$101,0)),"")</f>
        <v>000104450000053</v>
      </c>
    </row>
    <row r="2810" spans="2:19" x14ac:dyDescent="0.35">
      <c r="B2810" s="1"/>
      <c r="C2810" s="1"/>
      <c r="D2810" s="3"/>
      <c r="E2810" s="3"/>
      <c r="F2810" s="3"/>
      <c r="G2810" s="3"/>
      <c r="H2810" s="3"/>
      <c r="I2810" s="3"/>
      <c r="J2810" s="3"/>
      <c r="K2810" s="3"/>
      <c r="L2810" s="3"/>
      <c r="R2810" s="438" t="s">
        <v>834</v>
      </c>
      <c r="S2810" s="432" t="str">
        <f>IFERROR(INDEX(Blocks!$H$2:$H$101,MATCH(52,Blocks!$A$2:$A$101,0)),"")</f>
        <v>Kwithu Producers and Marketing Cooperativ</v>
      </c>
    </row>
    <row r="2811" spans="2:19" x14ac:dyDescent="0.35">
      <c r="B2811" s="1"/>
      <c r="C2811" s="9" t="s">
        <v>835</v>
      </c>
      <c r="D2811" s="10">
        <v>90900000</v>
      </c>
      <c r="E2811" s="3"/>
      <c r="F2811" s="3"/>
      <c r="G2811" s="3"/>
      <c r="H2811" s="3"/>
      <c r="I2811" s="3"/>
      <c r="J2811" s="3"/>
      <c r="K2811" s="3"/>
      <c r="L2811" s="3"/>
      <c r="R2811" s="438" t="s">
        <v>223</v>
      </c>
      <c r="S2811" s="433">
        <f>IFERROR(INDEX('E-Banker master'!$N$2:$N$186,MATCH(S2809,'E-Banker master'!$A$2:$A$186,0)),"")</f>
        <v>90900000</v>
      </c>
    </row>
    <row r="2812" spans="2:19" x14ac:dyDescent="0.35">
      <c r="B2812" s="1"/>
      <c r="C2812" s="11" t="s">
        <v>837</v>
      </c>
      <c r="D2812" s="12">
        <v>0.1</v>
      </c>
      <c r="E2812" s="13"/>
      <c r="F2812" s="3"/>
      <c r="G2812" s="3"/>
      <c r="H2812" s="3"/>
      <c r="I2812" s="3"/>
      <c r="J2812" s="3"/>
      <c r="K2812" s="3"/>
      <c r="L2812" s="3"/>
      <c r="R2812" s="438" t="s">
        <v>52</v>
      </c>
      <c r="S2812" s="433">
        <f>IFERROR(INDEX('E-Banker master'!$P$2:$P$186,MATCH(S2809,'E-Banker master'!$A$2:$A$186,0)),"")</f>
        <v>44388654.57</v>
      </c>
    </row>
    <row r="2813" spans="2:19" x14ac:dyDescent="0.35">
      <c r="B2813" s="1"/>
      <c r="C2813" s="11" t="s">
        <v>838</v>
      </c>
      <c r="D2813" s="14">
        <v>3</v>
      </c>
      <c r="E2813" s="1"/>
      <c r="F2813" s="3"/>
      <c r="G2813" s="3"/>
      <c r="H2813" s="3"/>
      <c r="I2813" s="3"/>
      <c r="J2813" s="3"/>
      <c r="K2813" s="1"/>
      <c r="L2813" s="1"/>
    </row>
    <row r="2814" spans="2:19" x14ac:dyDescent="0.35">
      <c r="B2814" s="1"/>
      <c r="C2814" s="11" t="s">
        <v>839</v>
      </c>
      <c r="D2814" s="14">
        <v>12</v>
      </c>
      <c r="E2814" s="1"/>
      <c r="F2814" s="3"/>
      <c r="G2814" s="3"/>
      <c r="H2814" s="3"/>
      <c r="I2814" s="3"/>
      <c r="J2814" s="3"/>
      <c r="K2814" s="1"/>
      <c r="L2814" s="1"/>
    </row>
    <row r="2815" spans="2:19" x14ac:dyDescent="0.35">
      <c r="B2815" s="1"/>
      <c r="C2815" s="11" t="s">
        <v>843</v>
      </c>
      <c r="D2815" s="15">
        <f>D2813*D2814</f>
        <v>36</v>
      </c>
      <c r="E2815" s="1"/>
      <c r="F2815" s="3"/>
      <c r="G2815" s="3"/>
      <c r="H2815" s="3"/>
      <c r="I2815" s="3"/>
      <c r="J2815" s="3"/>
      <c r="K2815" s="1"/>
      <c r="L2815" s="1"/>
    </row>
    <row r="2816" spans="2:19" x14ac:dyDescent="0.35">
      <c r="B2816" s="1"/>
      <c r="C2816" s="11" t="s">
        <v>844</v>
      </c>
      <c r="D2816" s="16">
        <v>365</v>
      </c>
      <c r="E2816" s="1"/>
      <c r="F2816" s="3"/>
      <c r="G2816" s="3"/>
      <c r="H2816" s="3"/>
      <c r="I2816" s="3"/>
      <c r="J2816" s="3"/>
      <c r="K2816" s="1"/>
      <c r="L2816" s="1"/>
    </row>
    <row r="2817" spans="2:12" x14ac:dyDescent="0.35">
      <c r="B2817" s="1"/>
      <c r="C2817" s="17" t="s">
        <v>845</v>
      </c>
      <c r="D2817" s="18">
        <f>-PMT(D2812/D2814,D2815,D2811,0,0)</f>
        <v>2933087.3159198272</v>
      </c>
      <c r="E2817" s="3"/>
      <c r="F2817" s="3"/>
      <c r="G2817" s="3"/>
      <c r="H2817" s="3"/>
      <c r="I2817" s="3"/>
      <c r="J2817" s="3"/>
      <c r="K2817" s="1"/>
      <c r="L2817" s="1"/>
    </row>
    <row r="2818" spans="2:12" x14ac:dyDescent="0.35">
      <c r="B2818" s="1"/>
      <c r="C2818" s="1"/>
      <c r="D2818" s="3"/>
      <c r="E2818" s="3"/>
      <c r="F2818" s="3"/>
      <c r="G2818" s="3"/>
      <c r="H2818" s="3"/>
      <c r="I2818" s="3"/>
      <c r="J2818" s="3"/>
      <c r="K2818" s="1"/>
      <c r="L2818" s="1"/>
    </row>
    <row r="2819" spans="2:12" x14ac:dyDescent="0.35">
      <c r="B2819" s="1"/>
      <c r="C2819" s="19" t="s">
        <v>846</v>
      </c>
      <c r="D2819" s="20" t="s">
        <v>847</v>
      </c>
      <c r="E2819" s="20" t="s">
        <v>764</v>
      </c>
      <c r="F2819" s="270" t="s">
        <v>848</v>
      </c>
      <c r="G2819" s="270" t="s">
        <v>849</v>
      </c>
      <c r="H2819" s="270" t="s">
        <v>742</v>
      </c>
      <c r="I2819" s="270" t="s">
        <v>740</v>
      </c>
      <c r="J2819" s="270" t="s">
        <v>850</v>
      </c>
      <c r="K2819" s="21" t="s">
        <v>851</v>
      </c>
      <c r="L2819" s="21" t="s">
        <v>852</v>
      </c>
    </row>
    <row r="2820" spans="2:12" x14ac:dyDescent="0.35">
      <c r="B2820" s="1">
        <v>0</v>
      </c>
      <c r="C2820" s="22">
        <v>44950</v>
      </c>
      <c r="D2820" s="22">
        <v>44957</v>
      </c>
      <c r="E2820" s="23">
        <f t="shared" ref="E2820:E2856" si="454">D2820-C2820+1</f>
        <v>8</v>
      </c>
      <c r="F2820" s="3">
        <f>D2811</f>
        <v>90900000</v>
      </c>
      <c r="G2820" s="3"/>
      <c r="H2820" s="3">
        <f>D2812/D2814*E2820*F2820/31</f>
        <v>195483.87096774194</v>
      </c>
      <c r="I2820" s="3">
        <v>0</v>
      </c>
      <c r="J2820" s="3">
        <f>F2820+F2811-I2820</f>
        <v>90900000</v>
      </c>
      <c r="K2820" s="24"/>
      <c r="L2820" s="24"/>
    </row>
    <row r="2821" spans="2:12" x14ac:dyDescent="0.35">
      <c r="B2821" s="1">
        <v>1</v>
      </c>
      <c r="C2821" s="22">
        <v>44958</v>
      </c>
      <c r="D2821" s="22">
        <v>44985</v>
      </c>
      <c r="E2821" s="23">
        <f t="shared" si="454"/>
        <v>28</v>
      </c>
      <c r="F2821" s="3">
        <f t="shared" ref="F2821:F2856" si="455">J2820</f>
        <v>90900000</v>
      </c>
      <c r="G2821" s="3"/>
      <c r="H2821" s="3">
        <f t="shared" ref="H2821:H2856" si="456">($D$2812/$D$2814*F2821)</f>
        <v>757500</v>
      </c>
      <c r="I2821" s="3">
        <v>0</v>
      </c>
      <c r="J2821" s="3">
        <f t="shared" ref="J2821:J2856" si="457">F2821-I2821</f>
        <v>90900000</v>
      </c>
      <c r="K2821" s="24"/>
      <c r="L2821" s="24"/>
    </row>
    <row r="2822" spans="2:12" x14ac:dyDescent="0.35">
      <c r="B2822" s="1">
        <v>2</v>
      </c>
      <c r="C2822" s="22">
        <v>44986</v>
      </c>
      <c r="D2822" s="22">
        <v>45016</v>
      </c>
      <c r="E2822" s="23">
        <f t="shared" si="454"/>
        <v>31</v>
      </c>
      <c r="F2822" s="3">
        <f t="shared" si="455"/>
        <v>90900000</v>
      </c>
      <c r="G2822" s="3"/>
      <c r="H2822" s="3">
        <f t="shared" si="456"/>
        <v>757500</v>
      </c>
      <c r="I2822" s="3">
        <v>0</v>
      </c>
      <c r="J2822" s="3">
        <f t="shared" si="457"/>
        <v>90900000</v>
      </c>
      <c r="K2822" s="3">
        <v>787721</v>
      </c>
      <c r="L2822" s="25">
        <f>SUM(H2820:H2822)-K2822</f>
        <v>922762.87096774206</v>
      </c>
    </row>
    <row r="2823" spans="2:12" x14ac:dyDescent="0.35">
      <c r="B2823" s="1">
        <v>3</v>
      </c>
      <c r="C2823" s="22">
        <v>45017</v>
      </c>
      <c r="D2823" s="22">
        <v>45046</v>
      </c>
      <c r="E2823" s="23">
        <f t="shared" si="454"/>
        <v>30</v>
      </c>
      <c r="F2823" s="3">
        <f t="shared" si="455"/>
        <v>90900000</v>
      </c>
      <c r="G2823" s="3"/>
      <c r="H2823" s="3">
        <f t="shared" si="456"/>
        <v>757500</v>
      </c>
      <c r="I2823" s="3">
        <v>0</v>
      </c>
      <c r="J2823" s="3">
        <f t="shared" si="457"/>
        <v>90900000</v>
      </c>
      <c r="K2823" s="24">
        <f>757500+757500</f>
        <v>1515000</v>
      </c>
      <c r="L2823" s="25">
        <f>L2822+H2823-K2823</f>
        <v>165262.87096774206</v>
      </c>
    </row>
    <row r="2824" spans="2:12" x14ac:dyDescent="0.35">
      <c r="B2824" s="1">
        <v>4</v>
      </c>
      <c r="C2824" s="22">
        <v>45047</v>
      </c>
      <c r="D2824" s="22">
        <v>45077</v>
      </c>
      <c r="E2824" s="23">
        <f t="shared" si="454"/>
        <v>31</v>
      </c>
      <c r="F2824" s="3">
        <f t="shared" si="455"/>
        <v>90900000</v>
      </c>
      <c r="G2824" s="3">
        <f t="shared" ref="G2824:G2856" si="458">-PMT($D$2812/$D$2814,33,$F$2824,,0)</f>
        <v>3162022.7256353302</v>
      </c>
      <c r="H2824" s="3">
        <f t="shared" si="456"/>
        <v>757500</v>
      </c>
      <c r="I2824" s="3">
        <f t="shared" ref="I2824:I2856" si="459">G2824-H2824</f>
        <v>2404522.7256353302</v>
      </c>
      <c r="J2824" s="3">
        <f t="shared" si="457"/>
        <v>88495477.274364665</v>
      </c>
      <c r="K2824" s="24">
        <v>3162023</v>
      </c>
      <c r="L2824" s="25">
        <f t="shared" ref="L2824:L2841" si="460">L2823+G2824-K2824</f>
        <v>165262.59660307225</v>
      </c>
    </row>
    <row r="2825" spans="2:12" x14ac:dyDescent="0.35">
      <c r="B2825" s="1">
        <v>5</v>
      </c>
      <c r="C2825" s="22">
        <v>45078</v>
      </c>
      <c r="D2825" s="22">
        <v>45107</v>
      </c>
      <c r="E2825" s="23">
        <f t="shared" si="454"/>
        <v>30</v>
      </c>
      <c r="F2825" s="3">
        <f t="shared" si="455"/>
        <v>88495477.274364665</v>
      </c>
      <c r="G2825" s="3">
        <f t="shared" si="458"/>
        <v>3162022.7256353302</v>
      </c>
      <c r="H2825" s="3">
        <f t="shared" si="456"/>
        <v>737462.31061970559</v>
      </c>
      <c r="I2825" s="3">
        <f t="shared" si="459"/>
        <v>2424560.4150156248</v>
      </c>
      <c r="J2825" s="3">
        <f t="shared" si="457"/>
        <v>86070916.859349042</v>
      </c>
      <c r="K2825" s="24">
        <v>3162022.73</v>
      </c>
      <c r="L2825" s="264">
        <f t="shared" si="460"/>
        <v>165262.59223840246</v>
      </c>
    </row>
    <row r="2826" spans="2:12" x14ac:dyDescent="0.35">
      <c r="B2826" s="1">
        <v>6</v>
      </c>
      <c r="C2826" s="22">
        <v>45108</v>
      </c>
      <c r="D2826" s="22">
        <v>45138</v>
      </c>
      <c r="E2826" s="23">
        <f t="shared" si="454"/>
        <v>31</v>
      </c>
      <c r="F2826" s="3">
        <f t="shared" si="455"/>
        <v>86070916.859349042</v>
      </c>
      <c r="G2826" s="3">
        <f t="shared" si="458"/>
        <v>3162022.7256353302</v>
      </c>
      <c r="H2826" s="3">
        <f t="shared" si="456"/>
        <v>717257.64049457537</v>
      </c>
      <c r="I2826" s="3">
        <f t="shared" si="459"/>
        <v>2444765.0851407549</v>
      </c>
      <c r="J2826" s="3">
        <f t="shared" si="457"/>
        <v>83626151.774208292</v>
      </c>
      <c r="K2826" s="24">
        <v>3162022.73</v>
      </c>
      <c r="L2826" s="25">
        <f t="shared" si="460"/>
        <v>165262.58787373267</v>
      </c>
    </row>
    <row r="2827" spans="2:12" x14ac:dyDescent="0.35">
      <c r="B2827" s="1">
        <v>7</v>
      </c>
      <c r="C2827" s="22">
        <v>45139</v>
      </c>
      <c r="D2827" s="22">
        <v>45169</v>
      </c>
      <c r="E2827" s="23">
        <f t="shared" si="454"/>
        <v>31</v>
      </c>
      <c r="F2827" s="3">
        <f t="shared" si="455"/>
        <v>83626151.774208292</v>
      </c>
      <c r="G2827" s="3">
        <f t="shared" si="458"/>
        <v>3162022.7256353302</v>
      </c>
      <c r="H2827" s="3">
        <f t="shared" si="456"/>
        <v>696884.59811840241</v>
      </c>
      <c r="I2827" s="3">
        <f t="shared" si="459"/>
        <v>2465138.1275169277</v>
      </c>
      <c r="J2827" s="3">
        <f t="shared" si="457"/>
        <v>81161013.646691367</v>
      </c>
      <c r="K2827" s="24">
        <v>3162022.73</v>
      </c>
      <c r="L2827" s="25">
        <f t="shared" si="460"/>
        <v>165262.58350906288</v>
      </c>
    </row>
    <row r="2828" spans="2:12" x14ac:dyDescent="0.35">
      <c r="B2828" s="1">
        <v>8</v>
      </c>
      <c r="C2828" s="22">
        <v>45170</v>
      </c>
      <c r="D2828" s="22">
        <v>45199</v>
      </c>
      <c r="E2828" s="23">
        <f t="shared" si="454"/>
        <v>30</v>
      </c>
      <c r="F2828" s="3">
        <f t="shared" si="455"/>
        <v>81161013.646691367</v>
      </c>
      <c r="G2828" s="3">
        <f t="shared" si="458"/>
        <v>3162022.7256353302</v>
      </c>
      <c r="H2828" s="3">
        <f t="shared" si="456"/>
        <v>676341.78038909473</v>
      </c>
      <c r="I2828" s="3">
        <f t="shared" si="459"/>
        <v>2485680.9452462355</v>
      </c>
      <c r="J2828" s="3">
        <f t="shared" si="457"/>
        <v>78675332.701445132</v>
      </c>
      <c r="K2828" s="24">
        <v>3162022.73</v>
      </c>
      <c r="L2828" s="25">
        <f t="shared" si="460"/>
        <v>165262.57914439309</v>
      </c>
    </row>
    <row r="2829" spans="2:12" x14ac:dyDescent="0.35">
      <c r="B2829" s="1">
        <v>9</v>
      </c>
      <c r="C2829" s="22">
        <v>45200</v>
      </c>
      <c r="D2829" s="22">
        <v>45230</v>
      </c>
      <c r="E2829" s="23">
        <f t="shared" si="454"/>
        <v>31</v>
      </c>
      <c r="F2829" s="3">
        <f t="shared" si="455"/>
        <v>78675332.701445132</v>
      </c>
      <c r="G2829" s="3">
        <f t="shared" si="458"/>
        <v>3162022.7256353302</v>
      </c>
      <c r="H2829" s="3">
        <f t="shared" si="456"/>
        <v>655627.77251204278</v>
      </c>
      <c r="I2829" s="3">
        <f t="shared" si="459"/>
        <v>2506394.9531232873</v>
      </c>
      <c r="J2829" s="3">
        <f t="shared" si="457"/>
        <v>76168937.748321846</v>
      </c>
      <c r="K2829" s="24">
        <v>3162023</v>
      </c>
      <c r="L2829" s="25">
        <f t="shared" si="460"/>
        <v>165262.30477972329</v>
      </c>
    </row>
    <row r="2830" spans="2:12" x14ac:dyDescent="0.35">
      <c r="B2830" s="1">
        <v>10</v>
      </c>
      <c r="C2830" s="22">
        <v>45231</v>
      </c>
      <c r="D2830" s="22">
        <v>45260</v>
      </c>
      <c r="E2830" s="23">
        <f t="shared" si="454"/>
        <v>30</v>
      </c>
      <c r="F2830" s="3">
        <f t="shared" si="455"/>
        <v>76168937.748321846</v>
      </c>
      <c r="G2830" s="3">
        <f t="shared" si="458"/>
        <v>3162022.7256353302</v>
      </c>
      <c r="H2830" s="3">
        <f t="shared" si="456"/>
        <v>634741.14790268207</v>
      </c>
      <c r="I2830" s="3">
        <f t="shared" si="459"/>
        <v>2527281.5777326482</v>
      </c>
      <c r="J2830" s="3">
        <f t="shared" si="457"/>
        <v>73641656.170589194</v>
      </c>
      <c r="K2830" s="24">
        <v>3162023</v>
      </c>
      <c r="L2830" s="25">
        <f t="shared" si="460"/>
        <v>165262.03041505348</v>
      </c>
    </row>
    <row r="2831" spans="2:12" x14ac:dyDescent="0.35">
      <c r="B2831" s="1">
        <v>11</v>
      </c>
      <c r="C2831" s="22">
        <v>45261</v>
      </c>
      <c r="D2831" s="22">
        <v>45291</v>
      </c>
      <c r="E2831" s="23">
        <f t="shared" si="454"/>
        <v>31</v>
      </c>
      <c r="F2831" s="3">
        <f t="shared" si="455"/>
        <v>73641656.170589194</v>
      </c>
      <c r="G2831" s="3">
        <f t="shared" si="458"/>
        <v>3162022.7256353302</v>
      </c>
      <c r="H2831" s="3">
        <f t="shared" si="456"/>
        <v>613680.46808824327</v>
      </c>
      <c r="I2831" s="3">
        <f t="shared" si="459"/>
        <v>2548342.257547087</v>
      </c>
      <c r="J2831" s="3">
        <f t="shared" si="457"/>
        <v>71093313.913042113</v>
      </c>
      <c r="K2831" s="24">
        <v>3162023</v>
      </c>
      <c r="L2831" s="25">
        <f t="shared" si="460"/>
        <v>165261.75605038367</v>
      </c>
    </row>
    <row r="2832" spans="2:12" x14ac:dyDescent="0.35">
      <c r="B2832" s="1">
        <v>12</v>
      </c>
      <c r="C2832" s="22">
        <v>45292</v>
      </c>
      <c r="D2832" s="22">
        <v>45322</v>
      </c>
      <c r="E2832" s="23">
        <f t="shared" si="454"/>
        <v>31</v>
      </c>
      <c r="F2832" s="3">
        <f t="shared" si="455"/>
        <v>71093313.913042113</v>
      </c>
      <c r="G2832" s="3">
        <f t="shared" si="458"/>
        <v>3162022.7256353302</v>
      </c>
      <c r="H2832" s="3">
        <f t="shared" si="456"/>
        <v>592444.28260868427</v>
      </c>
      <c r="I2832" s="3">
        <f t="shared" si="459"/>
        <v>2569578.443026646</v>
      </c>
      <c r="J2832" s="3">
        <f t="shared" si="457"/>
        <v>68523735.470015466</v>
      </c>
      <c r="K2832" s="24">
        <v>3162023</v>
      </c>
      <c r="L2832" s="25">
        <f t="shared" si="460"/>
        <v>165261.48168571386</v>
      </c>
    </row>
    <row r="2833" spans="2:12" x14ac:dyDescent="0.35">
      <c r="B2833" s="1">
        <v>13</v>
      </c>
      <c r="C2833" s="22">
        <v>45323</v>
      </c>
      <c r="D2833" s="22">
        <v>45351</v>
      </c>
      <c r="E2833" s="23">
        <f t="shared" si="454"/>
        <v>29</v>
      </c>
      <c r="F2833" s="3">
        <f t="shared" si="455"/>
        <v>68523735.470015466</v>
      </c>
      <c r="G2833" s="3">
        <f t="shared" si="458"/>
        <v>3162022.7256353302</v>
      </c>
      <c r="H2833" s="3">
        <f t="shared" si="456"/>
        <v>571031.1289167956</v>
      </c>
      <c r="I2833" s="3">
        <f t="shared" si="459"/>
        <v>2590991.5967185348</v>
      </c>
      <c r="J2833" s="3">
        <f t="shared" si="457"/>
        <v>65932743.873296931</v>
      </c>
      <c r="K2833" s="24">
        <v>3162023</v>
      </c>
      <c r="L2833" s="25">
        <f t="shared" si="460"/>
        <v>165261.20732104406</v>
      </c>
    </row>
    <row r="2834" spans="2:12" x14ac:dyDescent="0.35">
      <c r="B2834" s="1">
        <v>14</v>
      </c>
      <c r="C2834" s="22">
        <v>45352</v>
      </c>
      <c r="D2834" s="22">
        <v>45382</v>
      </c>
      <c r="E2834" s="23">
        <f t="shared" si="454"/>
        <v>31</v>
      </c>
      <c r="F2834" s="3">
        <f t="shared" si="455"/>
        <v>65932743.873296931</v>
      </c>
      <c r="G2834" s="3">
        <f t="shared" si="458"/>
        <v>3162022.7256353302</v>
      </c>
      <c r="H2834" s="3">
        <f t="shared" si="456"/>
        <v>549439.53227747441</v>
      </c>
      <c r="I2834" s="3">
        <f t="shared" si="459"/>
        <v>2612583.193357856</v>
      </c>
      <c r="J2834" s="3">
        <f t="shared" si="457"/>
        <v>63320160.679939076</v>
      </c>
      <c r="K2834" s="24">
        <v>3162023</v>
      </c>
      <c r="L2834" s="25">
        <f t="shared" si="460"/>
        <v>165260.93295637425</v>
      </c>
    </row>
    <row r="2835" spans="2:12" x14ac:dyDescent="0.35">
      <c r="B2835" s="1">
        <v>15</v>
      </c>
      <c r="C2835" s="22">
        <v>45383</v>
      </c>
      <c r="D2835" s="22">
        <v>45412</v>
      </c>
      <c r="E2835" s="23">
        <f t="shared" si="454"/>
        <v>30</v>
      </c>
      <c r="F2835" s="3">
        <f t="shared" si="455"/>
        <v>63320160.679939076</v>
      </c>
      <c r="G2835" s="3">
        <f t="shared" si="458"/>
        <v>3162022.7256353302</v>
      </c>
      <c r="H2835" s="3">
        <f t="shared" si="456"/>
        <v>527668.00566615898</v>
      </c>
      <c r="I2835" s="3">
        <f t="shared" si="459"/>
        <v>2634354.7199691711</v>
      </c>
      <c r="J2835" s="3">
        <f t="shared" si="457"/>
        <v>60685805.959969908</v>
      </c>
      <c r="K2835" s="24">
        <v>3162023</v>
      </c>
      <c r="L2835" s="25">
        <f t="shared" si="460"/>
        <v>165260.65859170444</v>
      </c>
    </row>
    <row r="2836" spans="2:12" x14ac:dyDescent="0.35">
      <c r="B2836" s="1">
        <v>16</v>
      </c>
      <c r="C2836" s="22">
        <v>45413</v>
      </c>
      <c r="D2836" s="22">
        <v>45443</v>
      </c>
      <c r="E2836" s="23">
        <f t="shared" si="454"/>
        <v>31</v>
      </c>
      <c r="F2836" s="3">
        <f t="shared" si="455"/>
        <v>60685805.959969908</v>
      </c>
      <c r="G2836" s="3">
        <f t="shared" si="458"/>
        <v>3162022.7256353302</v>
      </c>
      <c r="H2836" s="3">
        <f t="shared" si="456"/>
        <v>505715.0496664159</v>
      </c>
      <c r="I2836" s="3">
        <f t="shared" si="459"/>
        <v>2656307.6759689143</v>
      </c>
      <c r="J2836" s="3">
        <f t="shared" si="457"/>
        <v>58029498.284000993</v>
      </c>
      <c r="K2836" s="24"/>
      <c r="L2836" s="25">
        <f t="shared" si="460"/>
        <v>3327283.3842270346</v>
      </c>
    </row>
    <row r="2837" spans="2:12" x14ac:dyDescent="0.35">
      <c r="B2837" s="1">
        <v>17</v>
      </c>
      <c r="C2837" s="22">
        <v>45444</v>
      </c>
      <c r="D2837" s="22">
        <v>45473</v>
      </c>
      <c r="E2837" s="23">
        <f t="shared" si="454"/>
        <v>30</v>
      </c>
      <c r="F2837" s="3">
        <f t="shared" si="455"/>
        <v>58029498.284000993</v>
      </c>
      <c r="G2837" s="3">
        <f t="shared" si="458"/>
        <v>3162022.7256353302</v>
      </c>
      <c r="H2837" s="290">
        <f t="shared" si="456"/>
        <v>483579.15236667491</v>
      </c>
      <c r="I2837" s="3">
        <f t="shared" si="459"/>
        <v>2678443.5732686552</v>
      </c>
      <c r="J2837" s="3">
        <f t="shared" si="457"/>
        <v>55351054.710732341</v>
      </c>
      <c r="K2837" s="24">
        <f>165260.38+3162023+3162023</f>
        <v>6489306.3799999999</v>
      </c>
      <c r="L2837" s="25">
        <f t="shared" si="460"/>
        <v>-0.27013763505965471</v>
      </c>
    </row>
    <row r="2838" spans="2:12" x14ac:dyDescent="0.35">
      <c r="B2838" s="1">
        <v>18</v>
      </c>
      <c r="C2838" s="22">
        <v>45474</v>
      </c>
      <c r="D2838" s="22">
        <v>45504</v>
      </c>
      <c r="E2838" s="23">
        <f t="shared" si="454"/>
        <v>31</v>
      </c>
      <c r="F2838" s="3">
        <f t="shared" si="455"/>
        <v>55351054.710732341</v>
      </c>
      <c r="G2838" s="3">
        <f t="shared" si="458"/>
        <v>3162022.7256353302</v>
      </c>
      <c r="H2838" s="3">
        <f t="shared" si="456"/>
        <v>461258.78925610281</v>
      </c>
      <c r="I2838" s="3">
        <f t="shared" si="459"/>
        <v>2700763.9363792273</v>
      </c>
      <c r="J2838" s="3">
        <f t="shared" si="457"/>
        <v>52650290.774353117</v>
      </c>
      <c r="K2838" s="24">
        <v>3162023</v>
      </c>
      <c r="L2838" s="25">
        <f t="shared" si="460"/>
        <v>-0.54450230486690998</v>
      </c>
    </row>
    <row r="2839" spans="2:12" x14ac:dyDescent="0.35">
      <c r="B2839" s="1">
        <v>19</v>
      </c>
      <c r="C2839" s="22">
        <v>45505</v>
      </c>
      <c r="D2839" s="22">
        <v>45535</v>
      </c>
      <c r="E2839" s="23">
        <f t="shared" si="454"/>
        <v>31</v>
      </c>
      <c r="F2839" s="3">
        <f t="shared" si="455"/>
        <v>52650290.774353117</v>
      </c>
      <c r="G2839" s="3">
        <f t="shared" si="458"/>
        <v>3162022.7256353302</v>
      </c>
      <c r="H2839" s="3">
        <f t="shared" si="456"/>
        <v>438752.4231196093</v>
      </c>
      <c r="I2839" s="3">
        <f t="shared" si="459"/>
        <v>2723270.3025157209</v>
      </c>
      <c r="J2839" s="3">
        <f t="shared" si="457"/>
        <v>49927020.471837394</v>
      </c>
      <c r="K2839" s="24"/>
      <c r="L2839" s="25">
        <f t="shared" si="460"/>
        <v>3162022.1811330253</v>
      </c>
    </row>
    <row r="2840" spans="2:12" x14ac:dyDescent="0.35">
      <c r="B2840" s="1">
        <v>20</v>
      </c>
      <c r="C2840" s="22">
        <v>45536</v>
      </c>
      <c r="D2840" s="22">
        <v>45565</v>
      </c>
      <c r="E2840" s="23">
        <f t="shared" si="454"/>
        <v>30</v>
      </c>
      <c r="F2840" s="3">
        <f t="shared" si="455"/>
        <v>49927020.471837394</v>
      </c>
      <c r="G2840" s="3">
        <f t="shared" si="458"/>
        <v>3162022.7256353302</v>
      </c>
      <c r="H2840" s="3">
        <f t="shared" si="456"/>
        <v>416058.50393197825</v>
      </c>
      <c r="I2840" s="3">
        <f t="shared" si="459"/>
        <v>2745964.2217033519</v>
      </c>
      <c r="J2840" s="3">
        <f t="shared" si="457"/>
        <v>47181056.250134043</v>
      </c>
      <c r="K2840" s="24">
        <f>3162023+3162023</f>
        <v>6324046</v>
      </c>
      <c r="L2840" s="25">
        <f t="shared" si="460"/>
        <v>-1.0932316444814205</v>
      </c>
    </row>
    <row r="2841" spans="2:12" x14ac:dyDescent="0.35">
      <c r="B2841" s="1">
        <v>21</v>
      </c>
      <c r="C2841" s="22">
        <v>45566</v>
      </c>
      <c r="D2841" s="22">
        <v>45596</v>
      </c>
      <c r="E2841" s="23">
        <f t="shared" si="454"/>
        <v>31</v>
      </c>
      <c r="F2841" s="3">
        <f t="shared" si="455"/>
        <v>47181056.250134043</v>
      </c>
      <c r="G2841" s="3">
        <f t="shared" si="458"/>
        <v>3162022.7256353302</v>
      </c>
      <c r="H2841" s="3">
        <f t="shared" si="456"/>
        <v>393175.46875111701</v>
      </c>
      <c r="I2841" s="3">
        <f t="shared" si="459"/>
        <v>2768847.2568842131</v>
      </c>
      <c r="J2841" s="3">
        <f t="shared" si="457"/>
        <v>44412208.993249834</v>
      </c>
      <c r="K2841" s="24">
        <v>3162023</v>
      </c>
      <c r="L2841" s="301">
        <f t="shared" si="460"/>
        <v>-1.3675963142886758</v>
      </c>
    </row>
    <row r="2842" spans="2:12" x14ac:dyDescent="0.35">
      <c r="B2842" s="1">
        <v>22</v>
      </c>
      <c r="C2842" s="22">
        <v>45597</v>
      </c>
      <c r="D2842" s="22">
        <v>45626</v>
      </c>
      <c r="E2842" s="23">
        <f t="shared" si="454"/>
        <v>30</v>
      </c>
      <c r="F2842" s="3">
        <f t="shared" si="455"/>
        <v>44412208.993249834</v>
      </c>
      <c r="G2842" s="3">
        <f t="shared" si="458"/>
        <v>3162022.7256353302</v>
      </c>
      <c r="H2842" s="3">
        <f t="shared" si="456"/>
        <v>370101.74161041528</v>
      </c>
      <c r="I2842" s="3">
        <f t="shared" si="459"/>
        <v>2791920.9840249149</v>
      </c>
      <c r="J2842" s="3">
        <f t="shared" si="457"/>
        <v>41620288.009224921</v>
      </c>
      <c r="K2842" s="24"/>
      <c r="L2842" s="24"/>
    </row>
    <row r="2843" spans="2:12" x14ac:dyDescent="0.35">
      <c r="B2843" s="1">
        <v>23</v>
      </c>
      <c r="C2843" s="22">
        <v>45627</v>
      </c>
      <c r="D2843" s="22">
        <v>45657</v>
      </c>
      <c r="E2843" s="23">
        <f t="shared" si="454"/>
        <v>31</v>
      </c>
      <c r="F2843" s="3">
        <f t="shared" si="455"/>
        <v>41620288.009224921</v>
      </c>
      <c r="G2843" s="3">
        <f t="shared" si="458"/>
        <v>3162022.7256353302</v>
      </c>
      <c r="H2843" s="3">
        <f t="shared" si="456"/>
        <v>346835.73341020767</v>
      </c>
      <c r="I2843" s="3">
        <f t="shared" si="459"/>
        <v>2815186.9922251226</v>
      </c>
      <c r="J2843" s="3">
        <f t="shared" si="457"/>
        <v>38805101.016999796</v>
      </c>
      <c r="K2843" s="24"/>
      <c r="L2843" s="24"/>
    </row>
    <row r="2844" spans="2:12" x14ac:dyDescent="0.35">
      <c r="B2844" s="1">
        <v>24</v>
      </c>
      <c r="C2844" s="22">
        <v>45658</v>
      </c>
      <c r="D2844" s="22">
        <v>45688</v>
      </c>
      <c r="E2844" s="23">
        <f t="shared" si="454"/>
        <v>31</v>
      </c>
      <c r="F2844" s="3">
        <f t="shared" si="455"/>
        <v>38805101.016999796</v>
      </c>
      <c r="G2844" s="3">
        <f t="shared" si="458"/>
        <v>3162022.7256353302</v>
      </c>
      <c r="H2844" s="3">
        <f t="shared" si="456"/>
        <v>323375.84180833161</v>
      </c>
      <c r="I2844" s="3">
        <f t="shared" si="459"/>
        <v>2838646.8838269985</v>
      </c>
      <c r="J2844" s="3">
        <f t="shared" si="457"/>
        <v>35966454.133172795</v>
      </c>
      <c r="K2844" s="24"/>
      <c r="L2844" s="24"/>
    </row>
    <row r="2845" spans="2:12" x14ac:dyDescent="0.35">
      <c r="B2845" s="1">
        <v>25</v>
      </c>
      <c r="C2845" s="22">
        <v>45689</v>
      </c>
      <c r="D2845" s="22">
        <v>45716</v>
      </c>
      <c r="E2845" s="23">
        <f t="shared" si="454"/>
        <v>28</v>
      </c>
      <c r="F2845" s="3">
        <f t="shared" si="455"/>
        <v>35966454.133172795</v>
      </c>
      <c r="G2845" s="3">
        <f t="shared" si="458"/>
        <v>3162022.7256353302</v>
      </c>
      <c r="H2845" s="3">
        <f t="shared" si="456"/>
        <v>299720.4511097733</v>
      </c>
      <c r="I2845" s="3">
        <f t="shared" si="459"/>
        <v>2862302.2745255567</v>
      </c>
      <c r="J2845" s="3">
        <f t="shared" si="457"/>
        <v>33104151.858647238</v>
      </c>
      <c r="K2845" s="24"/>
      <c r="L2845" s="24"/>
    </row>
    <row r="2846" spans="2:12" x14ac:dyDescent="0.35">
      <c r="B2846" s="1">
        <v>26</v>
      </c>
      <c r="C2846" s="22">
        <v>45717</v>
      </c>
      <c r="D2846" s="22">
        <v>45747</v>
      </c>
      <c r="E2846" s="23">
        <f t="shared" si="454"/>
        <v>31</v>
      </c>
      <c r="F2846" s="3">
        <f t="shared" si="455"/>
        <v>33104151.858647238</v>
      </c>
      <c r="G2846" s="3">
        <f t="shared" si="458"/>
        <v>3162022.7256353302</v>
      </c>
      <c r="H2846" s="3">
        <f t="shared" si="456"/>
        <v>275867.93215539365</v>
      </c>
      <c r="I2846" s="3">
        <f t="shared" si="459"/>
        <v>2886154.7934799367</v>
      </c>
      <c r="J2846" s="3">
        <f t="shared" si="457"/>
        <v>30217997.0651673</v>
      </c>
      <c r="K2846" s="24"/>
      <c r="L2846" s="24"/>
    </row>
    <row r="2847" spans="2:12" x14ac:dyDescent="0.35">
      <c r="B2847" s="1">
        <v>27</v>
      </c>
      <c r="C2847" s="22">
        <v>45748</v>
      </c>
      <c r="D2847" s="22">
        <v>45777</v>
      </c>
      <c r="E2847" s="23">
        <f t="shared" si="454"/>
        <v>30</v>
      </c>
      <c r="F2847" s="3">
        <f t="shared" si="455"/>
        <v>30217997.0651673</v>
      </c>
      <c r="G2847" s="3">
        <f t="shared" si="458"/>
        <v>3162022.7256353302</v>
      </c>
      <c r="H2847" s="3">
        <f t="shared" si="456"/>
        <v>251816.64220972749</v>
      </c>
      <c r="I2847" s="3">
        <f t="shared" si="459"/>
        <v>2910206.0834256029</v>
      </c>
      <c r="J2847" s="3">
        <f t="shared" si="457"/>
        <v>27307790.981741697</v>
      </c>
      <c r="K2847" s="24"/>
      <c r="L2847" s="24"/>
    </row>
    <row r="2848" spans="2:12" x14ac:dyDescent="0.35">
      <c r="B2848" s="1">
        <v>28</v>
      </c>
      <c r="C2848" s="22">
        <v>45778</v>
      </c>
      <c r="D2848" s="22">
        <v>45808</v>
      </c>
      <c r="E2848" s="23">
        <f t="shared" si="454"/>
        <v>31</v>
      </c>
      <c r="F2848" s="3">
        <f t="shared" si="455"/>
        <v>27307790.981741697</v>
      </c>
      <c r="G2848" s="3">
        <f t="shared" si="458"/>
        <v>3162022.7256353302</v>
      </c>
      <c r="H2848" s="3">
        <f t="shared" si="456"/>
        <v>227564.92484784746</v>
      </c>
      <c r="I2848" s="3">
        <f t="shared" si="459"/>
        <v>2934457.8007874829</v>
      </c>
      <c r="J2848" s="3">
        <f t="shared" si="457"/>
        <v>24373333.180954214</v>
      </c>
      <c r="K2848" s="24"/>
      <c r="L2848" s="24"/>
    </row>
    <row r="2849" spans="2:19" x14ac:dyDescent="0.35">
      <c r="B2849" s="1">
        <v>29</v>
      </c>
      <c r="C2849" s="22">
        <v>45809</v>
      </c>
      <c r="D2849" s="22">
        <v>45838</v>
      </c>
      <c r="E2849" s="23">
        <f t="shared" si="454"/>
        <v>30</v>
      </c>
      <c r="F2849" s="3">
        <f t="shared" si="455"/>
        <v>24373333.180954214</v>
      </c>
      <c r="G2849" s="3">
        <f t="shared" si="458"/>
        <v>3162022.7256353302</v>
      </c>
      <c r="H2849" s="3">
        <f t="shared" si="456"/>
        <v>203111.10984128513</v>
      </c>
      <c r="I2849" s="3">
        <f t="shared" si="459"/>
        <v>2958911.6157940449</v>
      </c>
      <c r="J2849" s="3">
        <f t="shared" si="457"/>
        <v>21414421.56516017</v>
      </c>
      <c r="K2849" s="24"/>
      <c r="L2849" s="24"/>
    </row>
    <row r="2850" spans="2:19" x14ac:dyDescent="0.35">
      <c r="B2850" s="1">
        <v>30</v>
      </c>
      <c r="C2850" s="22">
        <v>45839</v>
      </c>
      <c r="D2850" s="22">
        <v>45869</v>
      </c>
      <c r="E2850" s="23">
        <f t="shared" si="454"/>
        <v>31</v>
      </c>
      <c r="F2850" s="3">
        <f t="shared" si="455"/>
        <v>21414421.56516017</v>
      </c>
      <c r="G2850" s="3">
        <f t="shared" si="458"/>
        <v>3162022.7256353302</v>
      </c>
      <c r="H2850" s="3">
        <f t="shared" si="456"/>
        <v>178453.51304300141</v>
      </c>
      <c r="I2850" s="3">
        <f t="shared" si="459"/>
        <v>2983569.2125923289</v>
      </c>
      <c r="J2850" s="3">
        <f t="shared" si="457"/>
        <v>18430852.35256784</v>
      </c>
      <c r="K2850" s="24"/>
      <c r="L2850" s="24"/>
    </row>
    <row r="2851" spans="2:19" x14ac:dyDescent="0.35">
      <c r="B2851" s="1">
        <v>31</v>
      </c>
      <c r="C2851" s="22">
        <v>45870</v>
      </c>
      <c r="D2851" s="22">
        <v>45900</v>
      </c>
      <c r="E2851" s="23">
        <f t="shared" si="454"/>
        <v>31</v>
      </c>
      <c r="F2851" s="3">
        <f t="shared" si="455"/>
        <v>18430852.35256784</v>
      </c>
      <c r="G2851" s="3">
        <f t="shared" si="458"/>
        <v>3162022.7256353302</v>
      </c>
      <c r="H2851" s="3">
        <f t="shared" si="456"/>
        <v>153590.43627139868</v>
      </c>
      <c r="I2851" s="3">
        <f t="shared" si="459"/>
        <v>3008432.2893639314</v>
      </c>
      <c r="J2851" s="3">
        <f t="shared" si="457"/>
        <v>15422420.063203909</v>
      </c>
      <c r="K2851" s="24"/>
      <c r="L2851" s="24"/>
    </row>
    <row r="2852" spans="2:19" x14ac:dyDescent="0.35">
      <c r="B2852" s="1">
        <v>32</v>
      </c>
      <c r="C2852" s="22">
        <v>45901</v>
      </c>
      <c r="D2852" s="22">
        <v>45930</v>
      </c>
      <c r="E2852" s="23">
        <f t="shared" si="454"/>
        <v>30</v>
      </c>
      <c r="F2852" s="3">
        <f t="shared" si="455"/>
        <v>15422420.063203909</v>
      </c>
      <c r="G2852" s="3">
        <f t="shared" si="458"/>
        <v>3162022.7256353302</v>
      </c>
      <c r="H2852" s="3">
        <f t="shared" si="456"/>
        <v>128520.16719336591</v>
      </c>
      <c r="I2852" s="3">
        <f t="shared" si="459"/>
        <v>3033502.5584419644</v>
      </c>
      <c r="J2852" s="3">
        <f t="shared" si="457"/>
        <v>12388917.504761944</v>
      </c>
      <c r="K2852" s="24"/>
      <c r="L2852" s="24"/>
    </row>
    <row r="2853" spans="2:19" x14ac:dyDescent="0.35">
      <c r="B2853" s="1">
        <v>33</v>
      </c>
      <c r="C2853" s="22">
        <v>45931</v>
      </c>
      <c r="D2853" s="22">
        <v>45961</v>
      </c>
      <c r="E2853" s="23">
        <f t="shared" si="454"/>
        <v>31</v>
      </c>
      <c r="F2853" s="3">
        <f t="shared" si="455"/>
        <v>12388917.504761944</v>
      </c>
      <c r="G2853" s="3">
        <f t="shared" si="458"/>
        <v>3162022.7256353302</v>
      </c>
      <c r="H2853" s="3">
        <f t="shared" si="456"/>
        <v>103240.97920634953</v>
      </c>
      <c r="I2853" s="3">
        <f t="shared" si="459"/>
        <v>3058781.7464289805</v>
      </c>
      <c r="J2853" s="3">
        <f t="shared" si="457"/>
        <v>9330135.758332964</v>
      </c>
      <c r="K2853" s="24"/>
      <c r="L2853" s="24"/>
    </row>
    <row r="2854" spans="2:19" x14ac:dyDescent="0.35">
      <c r="B2854" s="1">
        <v>34</v>
      </c>
      <c r="C2854" s="22">
        <v>45962</v>
      </c>
      <c r="D2854" s="22">
        <v>45991</v>
      </c>
      <c r="E2854" s="23">
        <f t="shared" si="454"/>
        <v>30</v>
      </c>
      <c r="F2854" s="3">
        <f t="shared" si="455"/>
        <v>9330135.758332964</v>
      </c>
      <c r="G2854" s="3">
        <f t="shared" si="458"/>
        <v>3162022.7256353302</v>
      </c>
      <c r="H2854" s="3">
        <f t="shared" si="456"/>
        <v>77751.131319441367</v>
      </c>
      <c r="I2854" s="3">
        <f t="shared" si="459"/>
        <v>3084271.5943158888</v>
      </c>
      <c r="J2854" s="3">
        <f t="shared" si="457"/>
        <v>6245864.1640170757</v>
      </c>
      <c r="K2854" s="24"/>
      <c r="L2854" s="24"/>
    </row>
    <row r="2855" spans="2:19" x14ac:dyDescent="0.35">
      <c r="B2855" s="1">
        <v>35</v>
      </c>
      <c r="C2855" s="22">
        <v>45992</v>
      </c>
      <c r="D2855" s="22">
        <v>46022</v>
      </c>
      <c r="E2855" s="23">
        <f t="shared" si="454"/>
        <v>31</v>
      </c>
      <c r="F2855" s="3">
        <f t="shared" si="455"/>
        <v>6245864.1640170757</v>
      </c>
      <c r="G2855" s="3">
        <f t="shared" si="458"/>
        <v>3162022.7256353302</v>
      </c>
      <c r="H2855" s="3">
        <f t="shared" si="456"/>
        <v>52048.868033475628</v>
      </c>
      <c r="I2855" s="3">
        <f t="shared" si="459"/>
        <v>3109973.8576018545</v>
      </c>
      <c r="J2855" s="3">
        <f t="shared" si="457"/>
        <v>3135890.3064152212</v>
      </c>
      <c r="K2855" s="24"/>
      <c r="L2855" s="24"/>
    </row>
    <row r="2856" spans="2:19" x14ac:dyDescent="0.35">
      <c r="B2856" s="1">
        <v>36</v>
      </c>
      <c r="C2856" s="22">
        <v>46023</v>
      </c>
      <c r="D2856" s="22">
        <v>46053</v>
      </c>
      <c r="E2856" s="23">
        <f t="shared" si="454"/>
        <v>31</v>
      </c>
      <c r="F2856" s="3">
        <f t="shared" si="455"/>
        <v>3135890.3064152212</v>
      </c>
      <c r="G2856" s="3">
        <f t="shared" si="458"/>
        <v>3162022.7256353302</v>
      </c>
      <c r="H2856" s="3">
        <f t="shared" si="456"/>
        <v>26132.419220126842</v>
      </c>
      <c r="I2856" s="3">
        <f t="shared" si="459"/>
        <v>3135890.3064152035</v>
      </c>
      <c r="J2856" s="3">
        <f t="shared" si="457"/>
        <v>1.7695128917694092E-8</v>
      </c>
      <c r="K2856" s="24"/>
      <c r="L2856" s="24"/>
    </row>
    <row r="2857" spans="2:19" x14ac:dyDescent="0.35">
      <c r="B2857" s="1"/>
      <c r="C2857" s="22"/>
      <c r="D2857" s="22"/>
      <c r="E2857" s="23"/>
      <c r="F2857" s="3"/>
      <c r="G2857" s="3"/>
      <c r="H2857" s="3"/>
      <c r="I2857" s="3"/>
      <c r="J2857" s="3"/>
      <c r="K2857" s="24"/>
      <c r="L2857" s="24"/>
    </row>
    <row r="2858" spans="2:19" x14ac:dyDescent="0.35">
      <c r="B2858" s="1"/>
      <c r="C2858" s="22"/>
      <c r="D2858" s="22"/>
      <c r="E2858" s="28">
        <f>SUM(E2820:E2844)</f>
        <v>739</v>
      </c>
      <c r="F2858" s="3"/>
      <c r="G2858" s="3"/>
      <c r="H2858" s="3"/>
      <c r="I2858" s="3"/>
      <c r="J2858" s="3"/>
      <c r="K2858" s="24"/>
      <c r="L2858" s="24"/>
    </row>
    <row r="2864" spans="2:19" x14ac:dyDescent="0.35">
      <c r="B2864" s="1"/>
      <c r="C2864" s="8" t="s">
        <v>923</v>
      </c>
      <c r="D2864" s="3"/>
      <c r="E2864" s="3"/>
      <c r="F2864" s="3"/>
      <c r="G2864" s="3"/>
      <c r="H2864" s="3"/>
      <c r="I2864" s="3"/>
      <c r="J2864" s="3"/>
      <c r="K2864" s="3"/>
      <c r="L2864" s="3"/>
      <c r="R2864" s="438" t="s">
        <v>832</v>
      </c>
      <c r="S2864" s="432" t="str">
        <f>IFERROR(INDEX(Blocks!$I$2:$I$101,MATCH(53,Blocks!$A$2:$A$101,0)),"")</f>
        <v>000104430000054</v>
      </c>
    </row>
    <row r="2865" spans="2:19" x14ac:dyDescent="0.35">
      <c r="B2865" s="1"/>
      <c r="C2865" s="1"/>
      <c r="D2865" s="3"/>
      <c r="E2865" s="3"/>
      <c r="F2865" s="231" t="s">
        <v>829</v>
      </c>
      <c r="G2865" s="231" t="s">
        <v>830</v>
      </c>
      <c r="H2865" s="231" t="s">
        <v>924</v>
      </c>
      <c r="I2865" s="231" t="s">
        <v>840</v>
      </c>
      <c r="J2865" s="231" t="s">
        <v>841</v>
      </c>
      <c r="K2865" s="231" t="s">
        <v>842</v>
      </c>
      <c r="L2865" s="231" t="s">
        <v>855</v>
      </c>
      <c r="M2865" s="231" t="s">
        <v>919</v>
      </c>
      <c r="N2865" s="231" t="s">
        <v>877</v>
      </c>
      <c r="R2865" s="438" t="s">
        <v>834</v>
      </c>
      <c r="S2865" s="432" t="str">
        <f>IFERROR(INDEX(Blocks!$H$2:$H$101,MATCH(53,Blocks!$A$2:$A$101,0)),"")</f>
        <v>VNC Bricks &amp; Construction Group Ltd</v>
      </c>
    </row>
    <row r="2866" spans="2:19" x14ac:dyDescent="0.35">
      <c r="B2866" s="1"/>
      <c r="C2866" s="9" t="s">
        <v>835</v>
      </c>
      <c r="D2866" s="10">
        <v>200000000</v>
      </c>
      <c r="E2866" s="3"/>
      <c r="F2866" s="296">
        <v>45047</v>
      </c>
      <c r="G2866" s="231">
        <v>45108</v>
      </c>
      <c r="H2866" s="296">
        <v>45139</v>
      </c>
      <c r="I2866" s="231">
        <v>45170</v>
      </c>
      <c r="J2866" s="296">
        <v>45200</v>
      </c>
      <c r="K2866" s="230">
        <v>45261</v>
      </c>
      <c r="L2866" s="230">
        <v>44958</v>
      </c>
      <c r="M2866" s="230">
        <v>45047</v>
      </c>
      <c r="N2866" s="230">
        <v>45047</v>
      </c>
      <c r="R2866" s="438" t="s">
        <v>223</v>
      </c>
      <c r="S2866" s="433">
        <f>IFERROR(INDEX('E-Banker master'!$N$2:$N$186,MATCH(S2864,'E-Banker master'!$A$2:$A$186,0)),"")</f>
        <v>200000000</v>
      </c>
    </row>
    <row r="2867" spans="2:19" x14ac:dyDescent="0.35">
      <c r="B2867" s="1"/>
      <c r="C2867" s="11" t="s">
        <v>837</v>
      </c>
      <c r="D2867" s="12">
        <v>0.253</v>
      </c>
      <c r="E2867" s="13"/>
      <c r="F2867" s="231" t="s">
        <v>836</v>
      </c>
      <c r="G2867" s="231" t="s">
        <v>836</v>
      </c>
      <c r="H2867" s="231" t="s">
        <v>836</v>
      </c>
      <c r="I2867" s="231" t="s">
        <v>836</v>
      </c>
      <c r="J2867" s="231" t="s">
        <v>836</v>
      </c>
      <c r="K2867" s="231" t="s">
        <v>836</v>
      </c>
      <c r="L2867" s="231" t="s">
        <v>836</v>
      </c>
      <c r="M2867" s="231" t="s">
        <v>836</v>
      </c>
      <c r="N2867" s="231" t="s">
        <v>836</v>
      </c>
      <c r="R2867" s="438" t="s">
        <v>52</v>
      </c>
      <c r="S2867" s="433">
        <f>IFERROR(INDEX('E-Banker master'!$P$2:$P$186,MATCH(S2864,'E-Banker master'!$A$2:$A$186,0)),"")</f>
        <v>235751878.34999999</v>
      </c>
    </row>
    <row r="2868" spans="2:19" x14ac:dyDescent="0.35">
      <c r="B2868" s="1"/>
      <c r="C2868" s="11" t="s">
        <v>838</v>
      </c>
      <c r="D2868" s="14">
        <v>4</v>
      </c>
      <c r="E2868" s="1"/>
      <c r="F2868" s="295">
        <f>D2867+2.7%</f>
        <v>0.28000000000000003</v>
      </c>
      <c r="G2868" s="3">
        <f>F2868+1.4%</f>
        <v>0.29400000000000004</v>
      </c>
      <c r="H2868" s="295">
        <f>G2868+1.3%</f>
        <v>0.30700000000000005</v>
      </c>
      <c r="I2868" s="3">
        <f>H2868+0.7%</f>
        <v>0.31400000000000006</v>
      </c>
      <c r="J2868" s="295">
        <f>I2868+0.1%</f>
        <v>0.31500000000000006</v>
      </c>
      <c r="K2868" s="13">
        <f>J2868+0.1%</f>
        <v>0.31600000000000006</v>
      </c>
      <c r="L2868" s="13">
        <f>K2868+1.3%</f>
        <v>0.32900000000000007</v>
      </c>
      <c r="M2868" s="13">
        <f>L2868+0.1%</f>
        <v>0.33000000000000007</v>
      </c>
      <c r="N2868" s="13">
        <f>M2868+0.1%</f>
        <v>0.33100000000000007</v>
      </c>
    </row>
    <row r="2869" spans="2:19" x14ac:dyDescent="0.35">
      <c r="B2869" s="1"/>
      <c r="C2869" s="11" t="s">
        <v>839</v>
      </c>
      <c r="D2869" s="14">
        <v>12</v>
      </c>
      <c r="E2869" s="1"/>
      <c r="F2869" s="3"/>
      <c r="G2869" s="3"/>
      <c r="H2869" s="3"/>
      <c r="I2869" s="3"/>
      <c r="J2869" s="3"/>
      <c r="K2869" s="1"/>
      <c r="L2869" s="1"/>
    </row>
    <row r="2870" spans="2:19" x14ac:dyDescent="0.35">
      <c r="B2870" s="1"/>
      <c r="C2870" s="11" t="s">
        <v>843</v>
      </c>
      <c r="D2870" s="15">
        <f>D2868*D2869</f>
        <v>48</v>
      </c>
      <c r="E2870" s="1"/>
      <c r="F2870" s="231" t="s">
        <v>878</v>
      </c>
      <c r="G2870" s="3"/>
      <c r="H2870" s="3"/>
      <c r="I2870" s="3"/>
      <c r="J2870" s="3"/>
      <c r="K2870" s="1"/>
      <c r="L2870" s="1"/>
    </row>
    <row r="2871" spans="2:19" x14ac:dyDescent="0.35">
      <c r="B2871" s="1"/>
      <c r="C2871" s="11" t="s">
        <v>844</v>
      </c>
      <c r="D2871" s="16">
        <v>365</v>
      </c>
      <c r="E2871" s="1"/>
      <c r="F2871" s="230">
        <v>45047</v>
      </c>
      <c r="G2871" s="3"/>
      <c r="H2871" s="3"/>
      <c r="I2871" s="3"/>
      <c r="J2871" s="3"/>
      <c r="K2871" s="1"/>
      <c r="L2871" s="1"/>
    </row>
    <row r="2872" spans="2:19" x14ac:dyDescent="0.35">
      <c r="B2872" s="1"/>
      <c r="C2872" s="17" t="s">
        <v>845</v>
      </c>
      <c r="D2872" s="18">
        <f>-PMT(D2867/D2869,D2870,D2866,0,0)</f>
        <v>6664934.1509926589</v>
      </c>
      <c r="E2872" s="3"/>
      <c r="F2872" s="231" t="s">
        <v>836</v>
      </c>
      <c r="G2872" s="3"/>
      <c r="H2872" s="3"/>
      <c r="I2872" s="3"/>
      <c r="J2872" s="3"/>
      <c r="K2872" s="1"/>
      <c r="L2872" s="1"/>
    </row>
    <row r="2873" spans="2:19" x14ac:dyDescent="0.35">
      <c r="B2873" s="1"/>
      <c r="C2873" s="1"/>
      <c r="D2873" s="3"/>
      <c r="E2873" s="3"/>
      <c r="F2873" s="13">
        <f>N2868+0.3%</f>
        <v>0.33400000000000007</v>
      </c>
      <c r="G2873" s="3"/>
      <c r="H2873" s="3"/>
      <c r="I2873" s="3"/>
      <c r="J2873" s="3"/>
      <c r="K2873" s="1"/>
      <c r="L2873" s="1"/>
    </row>
    <row r="2874" spans="2:19" x14ac:dyDescent="0.35">
      <c r="B2874" s="1"/>
      <c r="C2874" s="19" t="s">
        <v>846</v>
      </c>
      <c r="D2874" s="20" t="s">
        <v>847</v>
      </c>
      <c r="E2874" s="20" t="s">
        <v>764</v>
      </c>
      <c r="F2874" s="270" t="s">
        <v>848</v>
      </c>
      <c r="G2874" s="270" t="s">
        <v>849</v>
      </c>
      <c r="H2874" s="270" t="s">
        <v>742</v>
      </c>
      <c r="I2874" s="270" t="s">
        <v>740</v>
      </c>
      <c r="J2874" s="270" t="s">
        <v>850</v>
      </c>
      <c r="K2874" s="21" t="s">
        <v>851</v>
      </c>
      <c r="L2874" s="21" t="s">
        <v>852</v>
      </c>
    </row>
    <row r="2875" spans="2:19" x14ac:dyDescent="0.35">
      <c r="B2875" s="1">
        <v>0</v>
      </c>
      <c r="C2875" s="22">
        <v>44952</v>
      </c>
      <c r="D2875" s="22">
        <v>44957</v>
      </c>
      <c r="E2875" s="23">
        <f t="shared" ref="E2875:E2906" si="461">D2875-C2875+1</f>
        <v>6</v>
      </c>
      <c r="F2875" s="3">
        <f>D2866</f>
        <v>200000000</v>
      </c>
      <c r="G2875" s="3"/>
      <c r="H2875" s="3">
        <f>D2867/D2869*E2875*F2875/31</f>
        <v>816129.03225806449</v>
      </c>
      <c r="I2875" s="3">
        <f t="shared" ref="I2875:I2906" si="462">G2875-H2875</f>
        <v>-816129.03225806449</v>
      </c>
      <c r="J2875" s="3">
        <f>F2875+F2866-I2875</f>
        <v>200861176.03225806</v>
      </c>
      <c r="K2875" s="24"/>
      <c r="L2875" s="24"/>
    </row>
    <row r="2876" spans="2:19" x14ac:dyDescent="0.35">
      <c r="B2876" s="1">
        <v>1</v>
      </c>
      <c r="C2876" s="22">
        <v>44958</v>
      </c>
      <c r="D2876" s="22">
        <v>44985</v>
      </c>
      <c r="E2876" s="23">
        <f t="shared" si="461"/>
        <v>28</v>
      </c>
      <c r="F2876" s="3">
        <f t="shared" ref="F2876:F2923" si="463">J2875</f>
        <v>200861176.03225806</v>
      </c>
      <c r="G2876" s="3"/>
      <c r="H2876" s="3">
        <f>($D$2867/$D$2869*F2876)</f>
        <v>4234823.1280134404</v>
      </c>
      <c r="I2876" s="3">
        <f t="shared" si="462"/>
        <v>-4234823.1280134404</v>
      </c>
      <c r="J2876" s="3">
        <f t="shared" ref="J2876:J2923" si="464">F2876-I2876</f>
        <v>205095999.1602715</v>
      </c>
      <c r="K2876" s="24"/>
      <c r="L2876" s="24"/>
    </row>
    <row r="2877" spans="2:19" x14ac:dyDescent="0.35">
      <c r="B2877" s="1">
        <v>2</v>
      </c>
      <c r="C2877" s="22">
        <v>44986</v>
      </c>
      <c r="D2877" s="22">
        <v>45016</v>
      </c>
      <c r="E2877" s="23">
        <f t="shared" si="461"/>
        <v>31</v>
      </c>
      <c r="F2877" s="3">
        <f t="shared" si="463"/>
        <v>205095999.1602715</v>
      </c>
      <c r="G2877" s="3"/>
      <c r="H2877" s="3">
        <f>($D$2867/$D$2869*F2877)</f>
        <v>4324107.3156290576</v>
      </c>
      <c r="I2877" s="3">
        <f t="shared" si="462"/>
        <v>-4324107.3156290576</v>
      </c>
      <c r="J2877" s="3">
        <f t="shared" si="464"/>
        <v>209420106.47590056</v>
      </c>
    </row>
    <row r="2878" spans="2:19" x14ac:dyDescent="0.35">
      <c r="B2878" s="1">
        <v>3</v>
      </c>
      <c r="C2878" s="22">
        <v>45017</v>
      </c>
      <c r="D2878" s="22">
        <v>45046</v>
      </c>
      <c r="E2878" s="23">
        <f t="shared" si="461"/>
        <v>30</v>
      </c>
      <c r="F2878" s="3">
        <f t="shared" si="463"/>
        <v>209420106.47590056</v>
      </c>
      <c r="G2878" s="3"/>
      <c r="H2878" s="3">
        <f>($D$2867/$D$2869*F2878)</f>
        <v>4415273.9115335699</v>
      </c>
      <c r="I2878" s="3">
        <f t="shared" si="462"/>
        <v>-4415273.9115335699</v>
      </c>
      <c r="J2878" s="3">
        <f t="shared" si="464"/>
        <v>213835380.38743412</v>
      </c>
      <c r="K2878" s="24"/>
      <c r="L2878" s="24"/>
    </row>
    <row r="2879" spans="2:19" x14ac:dyDescent="0.35">
      <c r="B2879" s="1">
        <v>4</v>
      </c>
      <c r="C2879" s="22">
        <v>45047</v>
      </c>
      <c r="D2879" s="22">
        <v>45077</v>
      </c>
      <c r="E2879" s="23">
        <f t="shared" si="461"/>
        <v>31</v>
      </c>
      <c r="F2879" s="3">
        <f t="shared" si="463"/>
        <v>213835380.38743412</v>
      </c>
      <c r="G2879" s="3"/>
      <c r="H2879" s="3">
        <f>($F$2868/$D$2869*F2879)</f>
        <v>4989492.2090401296</v>
      </c>
      <c r="I2879" s="3">
        <f t="shared" si="462"/>
        <v>-4989492.2090401296</v>
      </c>
      <c r="J2879" s="3">
        <f t="shared" si="464"/>
        <v>218824872.59647426</v>
      </c>
      <c r="K2879" s="24"/>
      <c r="L2879" s="24"/>
    </row>
    <row r="2880" spans="2:19" x14ac:dyDescent="0.35">
      <c r="B2880" s="1">
        <v>5</v>
      </c>
      <c r="C2880" s="22">
        <v>45078</v>
      </c>
      <c r="D2880" s="22">
        <v>45107</v>
      </c>
      <c r="E2880" s="23">
        <f t="shared" si="461"/>
        <v>30</v>
      </c>
      <c r="F2880" s="3">
        <f t="shared" si="463"/>
        <v>218824872.59647426</v>
      </c>
      <c r="G2880" s="3"/>
      <c r="H2880" s="3">
        <f>($F$2868/$D$2869*F2880)</f>
        <v>5105913.6939177327</v>
      </c>
      <c r="I2880" s="3">
        <f t="shared" si="462"/>
        <v>-5105913.6939177327</v>
      </c>
      <c r="J2880" s="3">
        <f t="shared" si="464"/>
        <v>223930786.29039198</v>
      </c>
      <c r="K2880" s="24"/>
      <c r="L2880" s="24"/>
    </row>
    <row r="2881" spans="2:12" x14ac:dyDescent="0.35">
      <c r="B2881" s="1">
        <v>6</v>
      </c>
      <c r="C2881" s="22">
        <v>45108</v>
      </c>
      <c r="D2881" s="22">
        <v>45138</v>
      </c>
      <c r="E2881" s="23">
        <f t="shared" si="461"/>
        <v>31</v>
      </c>
      <c r="F2881" s="3">
        <f t="shared" si="463"/>
        <v>223930786.29039198</v>
      </c>
      <c r="G2881" s="3"/>
      <c r="H2881" s="3">
        <f>($G$2868/$D$2869*F2881)</f>
        <v>5486304.2641146043</v>
      </c>
      <c r="I2881" s="3">
        <f t="shared" si="462"/>
        <v>-5486304.2641146043</v>
      </c>
      <c r="J2881" s="3">
        <f t="shared" si="464"/>
        <v>229417090.5545066</v>
      </c>
      <c r="K2881" s="24"/>
      <c r="L2881" s="26"/>
    </row>
    <row r="2882" spans="2:12" x14ac:dyDescent="0.35">
      <c r="B2882" s="1">
        <v>7</v>
      </c>
      <c r="C2882" s="22">
        <v>45139</v>
      </c>
      <c r="D2882" s="22">
        <v>45169</v>
      </c>
      <c r="E2882" s="23">
        <f t="shared" si="461"/>
        <v>31</v>
      </c>
      <c r="F2882" s="3">
        <f t="shared" si="463"/>
        <v>229417090.5545066</v>
      </c>
      <c r="G2882" s="3">
        <f>-PMT($H$2868/$D$2869,42,$F$2882,,0)</f>
        <v>8975967.0814693589</v>
      </c>
      <c r="H2882" s="3">
        <f>($H$2868/$D$2869*F2882)</f>
        <v>5869253.9000194613</v>
      </c>
      <c r="I2882" s="3">
        <f t="shared" si="462"/>
        <v>3106713.1814498976</v>
      </c>
      <c r="J2882" s="3">
        <f t="shared" si="464"/>
        <v>226310377.37305671</v>
      </c>
      <c r="K2882" s="24"/>
      <c r="L2882" s="25">
        <f t="shared" ref="L2882:L2896" si="465">L2881+G2882-K2882</f>
        <v>8975967.0814693589</v>
      </c>
    </row>
    <row r="2883" spans="2:12" x14ac:dyDescent="0.35">
      <c r="B2883" s="1">
        <v>8</v>
      </c>
      <c r="C2883" s="22">
        <v>45170</v>
      </c>
      <c r="D2883" s="22">
        <v>45199</v>
      </c>
      <c r="E2883" s="23">
        <f t="shared" si="461"/>
        <v>30</v>
      </c>
      <c r="F2883" s="3">
        <f t="shared" si="463"/>
        <v>226310377.37305671</v>
      </c>
      <c r="G2883" s="3">
        <f>-PMT($I$2868/$D$2869,41,$F$2883,,0)</f>
        <v>9065666.3010450583</v>
      </c>
      <c r="H2883" s="3">
        <f>($I$2868/$D$2869*F2883)</f>
        <v>5921788.2079283185</v>
      </c>
      <c r="I2883" s="3">
        <f t="shared" si="462"/>
        <v>3143878.0931167398</v>
      </c>
      <c r="J2883" s="3">
        <f t="shared" si="464"/>
        <v>223166499.27993998</v>
      </c>
      <c r="K2883" s="24"/>
      <c r="L2883" s="25">
        <f t="shared" si="465"/>
        <v>18041633.382514417</v>
      </c>
    </row>
    <row r="2884" spans="2:12" x14ac:dyDescent="0.35">
      <c r="B2884" s="1">
        <v>9</v>
      </c>
      <c r="C2884" s="22">
        <v>45200</v>
      </c>
      <c r="D2884" s="22">
        <v>45230</v>
      </c>
      <c r="E2884" s="23">
        <f t="shared" si="461"/>
        <v>31</v>
      </c>
      <c r="F2884" s="3">
        <f t="shared" si="463"/>
        <v>223166499.27993998</v>
      </c>
      <c r="G2884" s="3">
        <f>-PMT($J$2868/$D$2869,40,$F$2884,,0)</f>
        <v>9078273.095664179</v>
      </c>
      <c r="H2884" s="3">
        <f>($J$2868/$D$2869*F2884)</f>
        <v>5858120.6060984256</v>
      </c>
      <c r="I2884" s="3">
        <f t="shared" si="462"/>
        <v>3220152.4895657534</v>
      </c>
      <c r="J2884" s="3">
        <f t="shared" si="464"/>
        <v>219946346.79037422</v>
      </c>
      <c r="K2884" s="24"/>
      <c r="L2884" s="25">
        <f t="shared" si="465"/>
        <v>27119906.478178598</v>
      </c>
    </row>
    <row r="2885" spans="2:12" x14ac:dyDescent="0.35">
      <c r="B2885" s="1">
        <v>10</v>
      </c>
      <c r="C2885" s="22">
        <v>45231</v>
      </c>
      <c r="D2885" s="22">
        <v>45260</v>
      </c>
      <c r="E2885" s="23">
        <f t="shared" si="461"/>
        <v>30</v>
      </c>
      <c r="F2885" s="3">
        <f t="shared" si="463"/>
        <v>219946346.79037422</v>
      </c>
      <c r="G2885" s="3">
        <f>-PMT($J$2868/$D$2869,40,$F$2884,,0)</f>
        <v>9078273.095664179</v>
      </c>
      <c r="H2885" s="3">
        <f>($J$2868/$D$2869*F2885)</f>
        <v>5773591.6032473249</v>
      </c>
      <c r="I2885" s="3">
        <f t="shared" si="462"/>
        <v>3304681.492416854</v>
      </c>
      <c r="J2885" s="3">
        <f t="shared" si="464"/>
        <v>216641665.29795736</v>
      </c>
      <c r="K2885" s="24"/>
      <c r="L2885" s="25">
        <f t="shared" si="465"/>
        <v>36198179.573842779</v>
      </c>
    </row>
    <row r="2886" spans="2:12" x14ac:dyDescent="0.35">
      <c r="B2886" s="1">
        <v>11</v>
      </c>
      <c r="C2886" s="22">
        <v>45261</v>
      </c>
      <c r="D2886" s="22">
        <v>45291</v>
      </c>
      <c r="E2886" s="23">
        <f t="shared" si="461"/>
        <v>31</v>
      </c>
      <c r="F2886" s="3">
        <f t="shared" si="463"/>
        <v>216641665.29795736</v>
      </c>
      <c r="G2886" s="3">
        <f>-PMT($K$2868/$D$2869,38,$F$2886,,0)</f>
        <v>9090391.4987791348</v>
      </c>
      <c r="H2886" s="3">
        <f>($K$2868/$D$2869*F2886)</f>
        <v>5704897.1861795448</v>
      </c>
      <c r="I2886" s="3">
        <f t="shared" si="462"/>
        <v>3385494.31259959</v>
      </c>
      <c r="J2886" s="3">
        <f t="shared" si="464"/>
        <v>213256170.98535776</v>
      </c>
      <c r="K2886" s="24"/>
      <c r="L2886" s="25">
        <f t="shared" si="465"/>
        <v>45288571.072621912</v>
      </c>
    </row>
    <row r="2887" spans="2:12" x14ac:dyDescent="0.35">
      <c r="B2887" s="1">
        <v>12</v>
      </c>
      <c r="C2887" s="22">
        <v>45292</v>
      </c>
      <c r="D2887" s="22">
        <v>45322</v>
      </c>
      <c r="E2887" s="23">
        <f t="shared" si="461"/>
        <v>31</v>
      </c>
      <c r="F2887" s="3">
        <f t="shared" si="463"/>
        <v>213256170.98535776</v>
      </c>
      <c r="G2887" s="3">
        <f>-PMT($K$2868/$D$2869,38,$F$2886,,0)</f>
        <v>9090391.4987791348</v>
      </c>
      <c r="H2887" s="3">
        <f>($K$2868/$D$2869*F2887)</f>
        <v>5615745.8359477548</v>
      </c>
      <c r="I2887" s="3">
        <f t="shared" si="462"/>
        <v>3474645.66283138</v>
      </c>
      <c r="J2887" s="3">
        <f t="shared" si="464"/>
        <v>209781525.3225264</v>
      </c>
      <c r="K2887" s="24"/>
      <c r="L2887" s="25">
        <f t="shared" si="465"/>
        <v>54378962.571401045</v>
      </c>
    </row>
    <row r="2888" spans="2:12" x14ac:dyDescent="0.35">
      <c r="B2888" s="1">
        <v>13</v>
      </c>
      <c r="C2888" s="22">
        <v>45323</v>
      </c>
      <c r="D2888" s="22">
        <v>45351</v>
      </c>
      <c r="E2888" s="23">
        <f t="shared" si="461"/>
        <v>29</v>
      </c>
      <c r="F2888" s="3">
        <f t="shared" si="463"/>
        <v>209781525.3225264</v>
      </c>
      <c r="G2888" s="3">
        <f>-PMT($L$2868/$D$2869,36,$F$2888,,0)</f>
        <v>9242022.5986361466</v>
      </c>
      <c r="H2888" s="3">
        <f>($L$2868/$D$2869*F2888)</f>
        <v>5751510.1525926003</v>
      </c>
      <c r="I2888" s="3">
        <f t="shared" si="462"/>
        <v>3490512.4460435463</v>
      </c>
      <c r="J2888" s="3">
        <f t="shared" si="464"/>
        <v>206291012.87648284</v>
      </c>
      <c r="K2888" s="24"/>
      <c r="L2888" s="25">
        <f t="shared" si="465"/>
        <v>63620985.170037195</v>
      </c>
    </row>
    <row r="2889" spans="2:12" x14ac:dyDescent="0.35">
      <c r="B2889" s="1">
        <v>14</v>
      </c>
      <c r="C2889" s="22">
        <v>45352</v>
      </c>
      <c r="D2889" s="22">
        <v>45382</v>
      </c>
      <c r="E2889" s="23">
        <f t="shared" si="461"/>
        <v>31</v>
      </c>
      <c r="F2889" s="3">
        <f t="shared" si="463"/>
        <v>206291012.87648284</v>
      </c>
      <c r="G2889" s="3">
        <f>-PMT($L$2868/$D$2869,36,$F$2888,,0)</f>
        <v>9242022.5986361466</v>
      </c>
      <c r="H2889" s="3">
        <f>($L$2868/$D$2869*F2889)</f>
        <v>5655811.9363635723</v>
      </c>
      <c r="I2889" s="3">
        <f t="shared" si="462"/>
        <v>3586210.6622725744</v>
      </c>
      <c r="J2889" s="3">
        <f t="shared" si="464"/>
        <v>202704802.21421027</v>
      </c>
      <c r="K2889" s="24"/>
      <c r="L2889" s="25">
        <f t="shared" si="465"/>
        <v>72863007.768673345</v>
      </c>
    </row>
    <row r="2890" spans="2:12" x14ac:dyDescent="0.35">
      <c r="B2890" s="1">
        <v>15</v>
      </c>
      <c r="C2890" s="22">
        <v>45383</v>
      </c>
      <c r="D2890" s="22">
        <v>45412</v>
      </c>
      <c r="E2890" s="23">
        <f t="shared" si="461"/>
        <v>30</v>
      </c>
      <c r="F2890" s="3">
        <f t="shared" si="463"/>
        <v>202704802.21421027</v>
      </c>
      <c r="G2890" s="3">
        <f>-PMT($L$2868/$D$2869,36,$F$2888,,0)</f>
        <v>9242022.5986361466</v>
      </c>
      <c r="H2890" s="3">
        <f>($L$2868/$D$2869*F2890)</f>
        <v>5557489.9940395998</v>
      </c>
      <c r="I2890" s="3">
        <f t="shared" si="462"/>
        <v>3684532.6045965469</v>
      </c>
      <c r="J2890" s="3">
        <f t="shared" si="464"/>
        <v>199020269.60961372</v>
      </c>
      <c r="K2890" s="24"/>
      <c r="L2890" s="25">
        <f t="shared" si="465"/>
        <v>82105030.367309496</v>
      </c>
    </row>
    <row r="2891" spans="2:12" x14ac:dyDescent="0.35">
      <c r="B2891" s="1">
        <v>16</v>
      </c>
      <c r="C2891" s="22">
        <v>45413</v>
      </c>
      <c r="D2891" s="22">
        <v>45443</v>
      </c>
      <c r="E2891" s="23">
        <f t="shared" si="461"/>
        <v>31</v>
      </c>
      <c r="F2891" s="3">
        <f t="shared" si="463"/>
        <v>199020269.60961372</v>
      </c>
      <c r="G2891" s="3">
        <f>-PMT($M$2868/$D$2869,33,$F$2891,,0)</f>
        <v>9252955.1317160148</v>
      </c>
      <c r="H2891" s="3">
        <f>($M$2868/$D$2869*F2891)</f>
        <v>5473057.4142643791</v>
      </c>
      <c r="I2891" s="3">
        <f t="shared" si="462"/>
        <v>3779897.7174516357</v>
      </c>
      <c r="J2891" s="3">
        <f t="shared" si="464"/>
        <v>195240371.89216208</v>
      </c>
      <c r="K2891" s="24"/>
      <c r="L2891" s="25">
        <f t="shared" si="465"/>
        <v>91357985.499025509</v>
      </c>
    </row>
    <row r="2892" spans="2:12" x14ac:dyDescent="0.35">
      <c r="B2892" s="1">
        <v>17</v>
      </c>
      <c r="C2892" s="22">
        <v>45444</v>
      </c>
      <c r="D2892" s="22">
        <v>45473</v>
      </c>
      <c r="E2892" s="23">
        <f t="shared" si="461"/>
        <v>30</v>
      </c>
      <c r="F2892" s="3">
        <f t="shared" si="463"/>
        <v>195240371.89216208</v>
      </c>
      <c r="G2892" s="3">
        <f>-PMT($N$2868/$D$2869,32,$F$2892,,0)</f>
        <v>9263626.5232573394</v>
      </c>
      <c r="H2892" s="3">
        <f>($N$2868/$D$2869*F2892)</f>
        <v>5385380.2580254721</v>
      </c>
      <c r="I2892" s="3">
        <f t="shared" si="462"/>
        <v>3878246.2652318673</v>
      </c>
      <c r="J2892" s="3">
        <f t="shared" si="464"/>
        <v>191362125.62693021</v>
      </c>
      <c r="K2892" s="24"/>
      <c r="L2892" s="25">
        <f t="shared" si="465"/>
        <v>100621612.02228285</v>
      </c>
    </row>
    <row r="2893" spans="2:12" x14ac:dyDescent="0.35">
      <c r="B2893" s="1">
        <v>18</v>
      </c>
      <c r="C2893" s="22">
        <v>45474</v>
      </c>
      <c r="D2893" s="22">
        <v>45504</v>
      </c>
      <c r="E2893" s="23">
        <f t="shared" si="461"/>
        <v>31</v>
      </c>
      <c r="F2893" s="3">
        <f t="shared" si="463"/>
        <v>191362125.62693021</v>
      </c>
      <c r="G2893" s="3">
        <f t="shared" ref="G2893:G2923" si="466">-PMT($F$2873/$D$2869,31,$F$2893,,0)</f>
        <v>9294865.3381189052</v>
      </c>
      <c r="H2893" s="3">
        <f t="shared" ref="H2893:H2923" si="467">($F$2873/$D$2869*F2893)</f>
        <v>5326245.8299495587</v>
      </c>
      <c r="I2893" s="3">
        <f t="shared" si="462"/>
        <v>3968619.5081693465</v>
      </c>
      <c r="J2893" s="3">
        <f t="shared" si="464"/>
        <v>187393506.11876085</v>
      </c>
      <c r="K2893" s="24"/>
      <c r="L2893" s="25">
        <f t="shared" si="465"/>
        <v>109916477.36040176</v>
      </c>
    </row>
    <row r="2894" spans="2:12" x14ac:dyDescent="0.35">
      <c r="B2894" s="1">
        <v>19</v>
      </c>
      <c r="C2894" s="22">
        <v>45505</v>
      </c>
      <c r="D2894" s="22">
        <v>45535</v>
      </c>
      <c r="E2894" s="23">
        <f t="shared" si="461"/>
        <v>31</v>
      </c>
      <c r="F2894" s="3">
        <f t="shared" si="463"/>
        <v>187393506.11876085</v>
      </c>
      <c r="G2894" s="3">
        <f t="shared" si="466"/>
        <v>9294865.3381189052</v>
      </c>
      <c r="H2894" s="3">
        <f t="shared" si="467"/>
        <v>5215785.920305511</v>
      </c>
      <c r="I2894" s="3">
        <f t="shared" si="462"/>
        <v>4079079.4178133942</v>
      </c>
      <c r="J2894" s="3">
        <f t="shared" si="464"/>
        <v>183314426.70094746</v>
      </c>
      <c r="K2894" s="24">
        <v>20000000</v>
      </c>
      <c r="L2894" s="25">
        <f t="shared" si="465"/>
        <v>99211342.698520675</v>
      </c>
    </row>
    <row r="2895" spans="2:12" x14ac:dyDescent="0.35">
      <c r="B2895" s="1">
        <v>20</v>
      </c>
      <c r="C2895" s="22">
        <v>45536</v>
      </c>
      <c r="D2895" s="22">
        <v>45565</v>
      </c>
      <c r="E2895" s="23">
        <f t="shared" si="461"/>
        <v>30</v>
      </c>
      <c r="F2895" s="3">
        <f t="shared" si="463"/>
        <v>183314426.70094746</v>
      </c>
      <c r="G2895" s="3">
        <f t="shared" si="466"/>
        <v>9294865.3381189052</v>
      </c>
      <c r="H2895" s="3">
        <f t="shared" si="467"/>
        <v>5102251.5431763716</v>
      </c>
      <c r="I2895" s="3">
        <f t="shared" si="462"/>
        <v>4192613.7949425336</v>
      </c>
      <c r="J2895" s="3">
        <f t="shared" si="464"/>
        <v>179121812.90600494</v>
      </c>
      <c r="K2895" s="24">
        <v>30000000</v>
      </c>
      <c r="L2895" s="25">
        <f t="shared" si="465"/>
        <v>78506208.036639586</v>
      </c>
    </row>
    <row r="2896" spans="2:12" x14ac:dyDescent="0.35">
      <c r="B2896" s="1">
        <v>21</v>
      </c>
      <c r="C2896" s="22">
        <v>45566</v>
      </c>
      <c r="D2896" s="22">
        <v>45596</v>
      </c>
      <c r="E2896" s="23">
        <f t="shared" si="461"/>
        <v>31</v>
      </c>
      <c r="F2896" s="3">
        <f t="shared" si="463"/>
        <v>179121812.90600494</v>
      </c>
      <c r="G2896" s="3">
        <f t="shared" si="466"/>
        <v>9294865.3381189052</v>
      </c>
      <c r="H2896" s="3">
        <f t="shared" si="467"/>
        <v>4985557.1258838046</v>
      </c>
      <c r="I2896" s="3">
        <f t="shared" si="462"/>
        <v>4309308.2122351006</v>
      </c>
      <c r="J2896" s="3">
        <f t="shared" si="464"/>
        <v>174812504.69376984</v>
      </c>
      <c r="K2896" s="24">
        <v>30000000</v>
      </c>
      <c r="L2896" s="302">
        <f t="shared" si="465"/>
        <v>57801073.374758497</v>
      </c>
    </row>
    <row r="2897" spans="2:12" x14ac:dyDescent="0.35">
      <c r="B2897" s="1">
        <v>22</v>
      </c>
      <c r="C2897" s="22">
        <v>45597</v>
      </c>
      <c r="D2897" s="22">
        <v>45626</v>
      </c>
      <c r="E2897" s="23">
        <f t="shared" si="461"/>
        <v>30</v>
      </c>
      <c r="F2897" s="3">
        <f t="shared" si="463"/>
        <v>174812504.69376984</v>
      </c>
      <c r="G2897" s="3">
        <f t="shared" si="466"/>
        <v>9294865.3381189052</v>
      </c>
      <c r="H2897" s="3">
        <f t="shared" si="467"/>
        <v>4865614.7139765946</v>
      </c>
      <c r="I2897" s="3">
        <f t="shared" si="462"/>
        <v>4429250.6241423106</v>
      </c>
      <c r="J2897" s="3">
        <f t="shared" si="464"/>
        <v>170383254.06962752</v>
      </c>
      <c r="K2897" s="24"/>
      <c r="L2897" s="24"/>
    </row>
    <row r="2898" spans="2:12" x14ac:dyDescent="0.35">
      <c r="B2898" s="1">
        <v>23</v>
      </c>
      <c r="C2898" s="22">
        <v>45627</v>
      </c>
      <c r="D2898" s="22">
        <v>45657</v>
      </c>
      <c r="E2898" s="23">
        <f t="shared" si="461"/>
        <v>31</v>
      </c>
      <c r="F2898" s="3">
        <f t="shared" si="463"/>
        <v>170383254.06962752</v>
      </c>
      <c r="G2898" s="3">
        <f t="shared" si="466"/>
        <v>9294865.3381189052</v>
      </c>
      <c r="H2898" s="3">
        <f t="shared" si="467"/>
        <v>4742333.9049379667</v>
      </c>
      <c r="I2898" s="3">
        <f t="shared" si="462"/>
        <v>4552531.4331809385</v>
      </c>
      <c r="J2898" s="3">
        <f t="shared" si="464"/>
        <v>165830722.6364466</v>
      </c>
      <c r="K2898" s="24"/>
      <c r="L2898" s="24"/>
    </row>
    <row r="2899" spans="2:12" x14ac:dyDescent="0.35">
      <c r="B2899" s="1">
        <v>24</v>
      </c>
      <c r="C2899" s="22">
        <v>45658</v>
      </c>
      <c r="D2899" s="22">
        <v>45688</v>
      </c>
      <c r="E2899" s="23">
        <f t="shared" si="461"/>
        <v>31</v>
      </c>
      <c r="F2899" s="3">
        <f t="shared" si="463"/>
        <v>165830722.6364466</v>
      </c>
      <c r="G2899" s="3">
        <f t="shared" si="466"/>
        <v>9294865.3381189052</v>
      </c>
      <c r="H2899" s="3">
        <f t="shared" si="467"/>
        <v>4615621.7800477641</v>
      </c>
      <c r="I2899" s="3">
        <f t="shared" si="462"/>
        <v>4679243.5580711411</v>
      </c>
      <c r="J2899" s="3">
        <f t="shared" si="464"/>
        <v>161151479.07837546</v>
      </c>
      <c r="K2899" s="24"/>
      <c r="L2899" s="24"/>
    </row>
    <row r="2900" spans="2:12" x14ac:dyDescent="0.35">
      <c r="B2900" s="1">
        <v>25</v>
      </c>
      <c r="C2900" s="22">
        <v>45689</v>
      </c>
      <c r="D2900" s="22">
        <v>45716</v>
      </c>
      <c r="E2900" s="23">
        <f t="shared" si="461"/>
        <v>28</v>
      </c>
      <c r="F2900" s="3">
        <f t="shared" si="463"/>
        <v>161151479.07837546</v>
      </c>
      <c r="G2900" s="3">
        <f t="shared" si="466"/>
        <v>9294865.3381189052</v>
      </c>
      <c r="H2900" s="3">
        <f t="shared" si="467"/>
        <v>4485382.8343481179</v>
      </c>
      <c r="I2900" s="3">
        <f t="shared" si="462"/>
        <v>4809482.5037707873</v>
      </c>
      <c r="J2900" s="3">
        <f t="shared" si="464"/>
        <v>156341996.57460466</v>
      </c>
      <c r="K2900" s="24"/>
      <c r="L2900" s="24"/>
    </row>
    <row r="2901" spans="2:12" x14ac:dyDescent="0.35">
      <c r="B2901" s="1">
        <v>26</v>
      </c>
      <c r="C2901" s="22">
        <v>45717</v>
      </c>
      <c r="D2901" s="22">
        <v>45747</v>
      </c>
      <c r="E2901" s="23">
        <f t="shared" si="461"/>
        <v>31</v>
      </c>
      <c r="F2901" s="3">
        <f t="shared" si="463"/>
        <v>156341996.57460466</v>
      </c>
      <c r="G2901" s="3">
        <f t="shared" si="466"/>
        <v>9294865.3381189052</v>
      </c>
      <c r="H2901" s="3">
        <f t="shared" si="467"/>
        <v>4351518.904659831</v>
      </c>
      <c r="I2901" s="3">
        <f t="shared" si="462"/>
        <v>4943346.4334590742</v>
      </c>
      <c r="J2901" s="3">
        <f t="shared" si="464"/>
        <v>151398650.14114559</v>
      </c>
      <c r="K2901" s="24"/>
      <c r="L2901" s="24"/>
    </row>
    <row r="2902" spans="2:12" x14ac:dyDescent="0.35">
      <c r="B2902" s="1">
        <v>27</v>
      </c>
      <c r="C2902" s="22">
        <v>45748</v>
      </c>
      <c r="D2902" s="22">
        <v>45777</v>
      </c>
      <c r="E2902" s="23">
        <f t="shared" si="461"/>
        <v>30</v>
      </c>
      <c r="F2902" s="3">
        <f t="shared" si="463"/>
        <v>151398650.14114559</v>
      </c>
      <c r="G2902" s="3">
        <f t="shared" si="466"/>
        <v>9294865.3381189052</v>
      </c>
      <c r="H2902" s="3">
        <f t="shared" si="467"/>
        <v>4213929.0955952192</v>
      </c>
      <c r="I2902" s="3">
        <f t="shared" si="462"/>
        <v>5080936.242523686</v>
      </c>
      <c r="J2902" s="3">
        <f t="shared" si="464"/>
        <v>146317713.89862189</v>
      </c>
      <c r="K2902" s="24"/>
      <c r="L2902" s="24"/>
    </row>
    <row r="2903" spans="2:12" x14ac:dyDescent="0.35">
      <c r="B2903" s="1">
        <v>28</v>
      </c>
      <c r="C2903" s="22">
        <v>45778</v>
      </c>
      <c r="D2903" s="22">
        <v>45808</v>
      </c>
      <c r="E2903" s="23">
        <f t="shared" si="461"/>
        <v>31</v>
      </c>
      <c r="F2903" s="3">
        <f t="shared" si="463"/>
        <v>146317713.89862189</v>
      </c>
      <c r="G2903" s="3">
        <f t="shared" si="466"/>
        <v>9294865.3381189052</v>
      </c>
      <c r="H2903" s="3">
        <f t="shared" si="467"/>
        <v>4072509.7035116432</v>
      </c>
      <c r="I2903" s="3">
        <f t="shared" si="462"/>
        <v>5222355.634607262</v>
      </c>
      <c r="J2903" s="3">
        <f t="shared" si="464"/>
        <v>141095358.26401463</v>
      </c>
      <c r="K2903" s="24"/>
      <c r="L2903" s="24"/>
    </row>
    <row r="2904" spans="2:12" x14ac:dyDescent="0.35">
      <c r="B2904" s="1">
        <v>29</v>
      </c>
      <c r="C2904" s="22">
        <v>45809</v>
      </c>
      <c r="D2904" s="22">
        <v>45838</v>
      </c>
      <c r="E2904" s="23">
        <f t="shared" si="461"/>
        <v>30</v>
      </c>
      <c r="F2904" s="3">
        <f t="shared" si="463"/>
        <v>141095358.26401463</v>
      </c>
      <c r="G2904" s="3">
        <f t="shared" si="466"/>
        <v>9294865.3381189052</v>
      </c>
      <c r="H2904" s="3">
        <f t="shared" si="467"/>
        <v>3927154.138348408</v>
      </c>
      <c r="I2904" s="3">
        <f t="shared" si="462"/>
        <v>5367711.1997704972</v>
      </c>
      <c r="J2904" s="3">
        <f t="shared" si="464"/>
        <v>135727647.06424412</v>
      </c>
      <c r="K2904" s="24"/>
      <c r="L2904" s="24"/>
    </row>
    <row r="2905" spans="2:12" x14ac:dyDescent="0.35">
      <c r="B2905" s="1">
        <v>30</v>
      </c>
      <c r="C2905" s="22">
        <v>45839</v>
      </c>
      <c r="D2905" s="22">
        <v>45869</v>
      </c>
      <c r="E2905" s="23">
        <f t="shared" si="461"/>
        <v>31</v>
      </c>
      <c r="F2905" s="3">
        <f t="shared" si="463"/>
        <v>135727647.06424412</v>
      </c>
      <c r="G2905" s="3">
        <f t="shared" si="466"/>
        <v>9294865.3381189052</v>
      </c>
      <c r="H2905" s="3">
        <f t="shared" si="467"/>
        <v>3777752.8432881287</v>
      </c>
      <c r="I2905" s="3">
        <f t="shared" si="462"/>
        <v>5517112.494830776</v>
      </c>
      <c r="J2905" s="3">
        <f t="shared" si="464"/>
        <v>130210534.56941335</v>
      </c>
      <c r="K2905" s="24"/>
      <c r="L2905" s="24"/>
    </row>
    <row r="2906" spans="2:12" x14ac:dyDescent="0.35">
      <c r="B2906" s="1">
        <v>31</v>
      </c>
      <c r="C2906" s="22">
        <v>45870</v>
      </c>
      <c r="D2906" s="22">
        <v>45900</v>
      </c>
      <c r="E2906" s="23">
        <f t="shared" si="461"/>
        <v>31</v>
      </c>
      <c r="F2906" s="3">
        <f t="shared" si="463"/>
        <v>130210534.56941335</v>
      </c>
      <c r="G2906" s="3">
        <f t="shared" si="466"/>
        <v>9294865.3381189052</v>
      </c>
      <c r="H2906" s="3">
        <f t="shared" si="467"/>
        <v>3624193.2121820054</v>
      </c>
      <c r="I2906" s="3">
        <f t="shared" si="462"/>
        <v>5670672.1259368993</v>
      </c>
      <c r="J2906" s="3">
        <f t="shared" si="464"/>
        <v>124539862.44347645</v>
      </c>
      <c r="K2906" s="24"/>
      <c r="L2906" s="24"/>
    </row>
    <row r="2907" spans="2:12" x14ac:dyDescent="0.35">
      <c r="B2907" s="1">
        <v>32</v>
      </c>
      <c r="C2907" s="22">
        <v>45901</v>
      </c>
      <c r="D2907" s="22">
        <v>45930</v>
      </c>
      <c r="E2907" s="23">
        <f t="shared" ref="E2907:E2923" si="468">D2907-C2907+1</f>
        <v>30</v>
      </c>
      <c r="F2907" s="3">
        <f t="shared" si="463"/>
        <v>124539862.44347645</v>
      </c>
      <c r="G2907" s="3">
        <f t="shared" si="466"/>
        <v>9294865.3381189052</v>
      </c>
      <c r="H2907" s="3">
        <f t="shared" si="467"/>
        <v>3466359.504676762</v>
      </c>
      <c r="I2907" s="3">
        <f t="shared" ref="I2907:I2923" si="469">G2907-H2907</f>
        <v>5828505.8334421432</v>
      </c>
      <c r="J2907" s="3">
        <f t="shared" si="464"/>
        <v>118711356.61003432</v>
      </c>
      <c r="K2907" s="24"/>
      <c r="L2907" s="24"/>
    </row>
    <row r="2908" spans="2:12" x14ac:dyDescent="0.35">
      <c r="B2908" s="1">
        <v>33</v>
      </c>
      <c r="C2908" s="22">
        <v>45931</v>
      </c>
      <c r="D2908" s="22">
        <v>45961</v>
      </c>
      <c r="E2908" s="23">
        <f t="shared" si="468"/>
        <v>31</v>
      </c>
      <c r="F2908" s="3">
        <f t="shared" si="463"/>
        <v>118711356.61003432</v>
      </c>
      <c r="G2908" s="3">
        <f t="shared" si="466"/>
        <v>9294865.3381189052</v>
      </c>
      <c r="H2908" s="3">
        <f t="shared" si="467"/>
        <v>3304132.7589792889</v>
      </c>
      <c r="I2908" s="3">
        <f t="shared" si="469"/>
        <v>5990732.5791396163</v>
      </c>
      <c r="J2908" s="3">
        <f t="shared" si="464"/>
        <v>112720624.0308947</v>
      </c>
      <c r="K2908" s="24"/>
      <c r="L2908" s="24"/>
    </row>
    <row r="2909" spans="2:12" x14ac:dyDescent="0.35">
      <c r="B2909" s="1">
        <v>34</v>
      </c>
      <c r="C2909" s="22">
        <v>45962</v>
      </c>
      <c r="D2909" s="22">
        <v>45991</v>
      </c>
      <c r="E2909" s="23">
        <f t="shared" si="468"/>
        <v>30</v>
      </c>
      <c r="F2909" s="3">
        <f t="shared" si="463"/>
        <v>112720624.0308947</v>
      </c>
      <c r="G2909" s="3">
        <f t="shared" si="466"/>
        <v>9294865.3381189052</v>
      </c>
      <c r="H2909" s="3">
        <f t="shared" si="467"/>
        <v>3137390.7021932364</v>
      </c>
      <c r="I2909" s="3">
        <f t="shared" si="469"/>
        <v>6157474.6359256692</v>
      </c>
      <c r="J2909" s="3">
        <f t="shared" si="464"/>
        <v>106563149.39496903</v>
      </c>
      <c r="K2909" s="24"/>
      <c r="L2909" s="24"/>
    </row>
    <row r="2910" spans="2:12" x14ac:dyDescent="0.35">
      <c r="B2910" s="1">
        <v>35</v>
      </c>
      <c r="C2910" s="22">
        <v>45992</v>
      </c>
      <c r="D2910" s="22">
        <v>46022</v>
      </c>
      <c r="E2910" s="23">
        <f t="shared" si="468"/>
        <v>31</v>
      </c>
      <c r="F2910" s="3">
        <f t="shared" si="463"/>
        <v>106563149.39496903</v>
      </c>
      <c r="G2910" s="3">
        <f t="shared" si="466"/>
        <v>9294865.3381189052</v>
      </c>
      <c r="H2910" s="3">
        <f t="shared" si="467"/>
        <v>2966007.6581599717</v>
      </c>
      <c r="I2910" s="3">
        <f t="shared" si="469"/>
        <v>6328857.679958934</v>
      </c>
      <c r="J2910" s="3">
        <f t="shared" si="464"/>
        <v>100234291.71501009</v>
      </c>
      <c r="K2910" s="24"/>
      <c r="L2910" s="24"/>
    </row>
    <row r="2911" spans="2:12" x14ac:dyDescent="0.35">
      <c r="B2911" s="1">
        <v>36</v>
      </c>
      <c r="C2911" s="22">
        <v>46023</v>
      </c>
      <c r="D2911" s="22">
        <v>46053</v>
      </c>
      <c r="E2911" s="23">
        <f t="shared" si="468"/>
        <v>31</v>
      </c>
      <c r="F2911" s="3">
        <f t="shared" si="463"/>
        <v>100234291.71501009</v>
      </c>
      <c r="G2911" s="3">
        <f t="shared" si="466"/>
        <v>9294865.3381189052</v>
      </c>
      <c r="H2911" s="3">
        <f t="shared" si="467"/>
        <v>2789854.452734448</v>
      </c>
      <c r="I2911" s="3">
        <f t="shared" si="469"/>
        <v>6505010.8853844572</v>
      </c>
      <c r="J2911" s="3">
        <f t="shared" si="464"/>
        <v>93729280.829625636</v>
      </c>
      <c r="K2911" s="24"/>
      <c r="L2911" s="24"/>
    </row>
    <row r="2912" spans="2:12" x14ac:dyDescent="0.35">
      <c r="B2912" s="1">
        <v>37</v>
      </c>
      <c r="C2912" s="22">
        <v>46054</v>
      </c>
      <c r="D2912" s="22">
        <v>46081</v>
      </c>
      <c r="E2912" s="23">
        <f t="shared" si="468"/>
        <v>28</v>
      </c>
      <c r="F2912" s="3">
        <f t="shared" si="463"/>
        <v>93729280.829625636</v>
      </c>
      <c r="G2912" s="3">
        <f t="shared" si="466"/>
        <v>9294865.3381189052</v>
      </c>
      <c r="H2912" s="3">
        <f t="shared" si="467"/>
        <v>2608798.3164245808</v>
      </c>
      <c r="I2912" s="3">
        <f t="shared" si="469"/>
        <v>6686067.0216943249</v>
      </c>
      <c r="J2912" s="3">
        <f t="shared" si="464"/>
        <v>87043213.807931304</v>
      </c>
      <c r="K2912" s="24"/>
      <c r="L2912" s="24"/>
    </row>
    <row r="2913" spans="2:12" x14ac:dyDescent="0.35">
      <c r="B2913" s="1">
        <v>38</v>
      </c>
      <c r="C2913" s="22">
        <v>46082</v>
      </c>
      <c r="D2913" s="22">
        <v>46112</v>
      </c>
      <c r="E2913" s="23">
        <f t="shared" si="468"/>
        <v>31</v>
      </c>
      <c r="F2913" s="3">
        <f t="shared" si="463"/>
        <v>87043213.807931304</v>
      </c>
      <c r="G2913" s="3">
        <f t="shared" si="466"/>
        <v>9294865.3381189052</v>
      </c>
      <c r="H2913" s="3">
        <f t="shared" si="467"/>
        <v>2422702.7843207549</v>
      </c>
      <c r="I2913" s="3">
        <f t="shared" si="469"/>
        <v>6872162.5537981503</v>
      </c>
      <c r="J2913" s="3">
        <f t="shared" si="464"/>
        <v>80171051.25413315</v>
      </c>
      <c r="K2913" s="24"/>
      <c r="L2913" s="24"/>
    </row>
    <row r="2914" spans="2:12" x14ac:dyDescent="0.35">
      <c r="B2914" s="1">
        <v>39</v>
      </c>
      <c r="C2914" s="22">
        <v>46113</v>
      </c>
      <c r="D2914" s="22">
        <v>46142</v>
      </c>
      <c r="E2914" s="23">
        <f t="shared" si="468"/>
        <v>30</v>
      </c>
      <c r="F2914" s="3">
        <f t="shared" si="463"/>
        <v>80171051.25413315</v>
      </c>
      <c r="G2914" s="3">
        <f t="shared" si="466"/>
        <v>9294865.3381189052</v>
      </c>
      <c r="H2914" s="3">
        <f t="shared" si="467"/>
        <v>2231427.5932400399</v>
      </c>
      <c r="I2914" s="3">
        <f t="shared" si="469"/>
        <v>7063437.7448788658</v>
      </c>
      <c r="J2914" s="3">
        <f t="shared" si="464"/>
        <v>73107613.509254277</v>
      </c>
      <c r="K2914" s="24"/>
      <c r="L2914" s="24"/>
    </row>
    <row r="2915" spans="2:12" x14ac:dyDescent="0.35">
      <c r="B2915" s="1">
        <v>40</v>
      </c>
      <c r="C2915" s="22">
        <v>46143</v>
      </c>
      <c r="D2915" s="22">
        <v>46173</v>
      </c>
      <c r="E2915" s="23">
        <f t="shared" si="468"/>
        <v>31</v>
      </c>
      <c r="F2915" s="3">
        <f t="shared" si="463"/>
        <v>73107613.509254277</v>
      </c>
      <c r="G2915" s="3">
        <f t="shared" si="466"/>
        <v>9294865.3381189052</v>
      </c>
      <c r="H2915" s="3">
        <f t="shared" si="467"/>
        <v>2034828.5760075778</v>
      </c>
      <c r="I2915" s="3">
        <f t="shared" si="469"/>
        <v>7260036.7621113276</v>
      </c>
      <c r="J2915" s="3">
        <f t="shared" si="464"/>
        <v>65847576.747142948</v>
      </c>
      <c r="K2915" s="24"/>
      <c r="L2915" s="24"/>
    </row>
    <row r="2916" spans="2:12" x14ac:dyDescent="0.35">
      <c r="B2916" s="1">
        <v>41</v>
      </c>
      <c r="C2916" s="22">
        <v>46174</v>
      </c>
      <c r="D2916" s="22">
        <v>46203</v>
      </c>
      <c r="E2916" s="23">
        <f t="shared" si="468"/>
        <v>30</v>
      </c>
      <c r="F2916" s="3">
        <f t="shared" si="463"/>
        <v>65847576.747142948</v>
      </c>
      <c r="G2916" s="3">
        <f t="shared" si="466"/>
        <v>9294865.3381189052</v>
      </c>
      <c r="H2916" s="3">
        <f t="shared" si="467"/>
        <v>1832757.5527954791</v>
      </c>
      <c r="I2916" s="3">
        <f t="shared" si="469"/>
        <v>7462107.7853234261</v>
      </c>
      <c r="J2916" s="3">
        <f t="shared" si="464"/>
        <v>58385468.961819522</v>
      </c>
      <c r="K2916" s="24"/>
      <c r="L2916" s="24"/>
    </row>
    <row r="2917" spans="2:12" x14ac:dyDescent="0.35">
      <c r="B2917" s="1">
        <v>42</v>
      </c>
      <c r="C2917" s="22">
        <v>46204</v>
      </c>
      <c r="D2917" s="22">
        <v>46234</v>
      </c>
      <c r="E2917" s="23">
        <f t="shared" si="468"/>
        <v>31</v>
      </c>
      <c r="F2917" s="3">
        <f t="shared" si="463"/>
        <v>58385468.961819522</v>
      </c>
      <c r="G2917" s="3">
        <f t="shared" si="466"/>
        <v>9294865.3381189052</v>
      </c>
      <c r="H2917" s="3">
        <f t="shared" si="467"/>
        <v>1625062.2194373102</v>
      </c>
      <c r="I2917" s="3">
        <f t="shared" si="469"/>
        <v>7669803.1186815947</v>
      </c>
      <c r="J2917" s="3">
        <f t="shared" si="464"/>
        <v>50715665.843137927</v>
      </c>
      <c r="K2917" s="24"/>
      <c r="L2917" s="24"/>
    </row>
    <row r="2918" spans="2:12" x14ac:dyDescent="0.35">
      <c r="B2918" s="1">
        <v>43</v>
      </c>
      <c r="C2918" s="22">
        <v>46235</v>
      </c>
      <c r="D2918" s="22">
        <v>46265</v>
      </c>
      <c r="E2918" s="23">
        <f t="shared" si="468"/>
        <v>31</v>
      </c>
      <c r="F2918" s="3">
        <f t="shared" si="463"/>
        <v>50715665.843137927</v>
      </c>
      <c r="G2918" s="3">
        <f t="shared" si="466"/>
        <v>9294865.3381189052</v>
      </c>
      <c r="H2918" s="3">
        <f t="shared" si="467"/>
        <v>1411586.0326340059</v>
      </c>
      <c r="I2918" s="3">
        <f t="shared" si="469"/>
        <v>7883279.3054848993</v>
      </c>
      <c r="J2918" s="3">
        <f t="shared" si="464"/>
        <v>42832386.537653029</v>
      </c>
      <c r="K2918" s="24"/>
      <c r="L2918" s="24"/>
    </row>
    <row r="2919" spans="2:12" x14ac:dyDescent="0.35">
      <c r="B2919" s="1">
        <v>44</v>
      </c>
      <c r="C2919" s="22">
        <v>46266</v>
      </c>
      <c r="D2919" s="22">
        <v>46295</v>
      </c>
      <c r="E2919" s="23">
        <f t="shared" si="468"/>
        <v>30</v>
      </c>
      <c r="F2919" s="3">
        <f t="shared" si="463"/>
        <v>42832386.537653029</v>
      </c>
      <c r="G2919" s="3">
        <f t="shared" si="466"/>
        <v>9294865.3381189052</v>
      </c>
      <c r="H2919" s="3">
        <f t="shared" si="467"/>
        <v>1192168.0919646763</v>
      </c>
      <c r="I2919" s="3">
        <f t="shared" si="469"/>
        <v>8102697.2461542292</v>
      </c>
      <c r="J2919" s="3">
        <f t="shared" si="464"/>
        <v>34729689.291498803</v>
      </c>
      <c r="K2919" s="24"/>
      <c r="L2919" s="24"/>
    </row>
    <row r="2920" spans="2:12" x14ac:dyDescent="0.35">
      <c r="B2920" s="1">
        <v>45</v>
      </c>
      <c r="C2920" s="22">
        <v>46296</v>
      </c>
      <c r="D2920" s="22">
        <v>46326</v>
      </c>
      <c r="E2920" s="23">
        <f t="shared" si="468"/>
        <v>31</v>
      </c>
      <c r="F2920" s="3">
        <f t="shared" si="463"/>
        <v>34729689.291498803</v>
      </c>
      <c r="G2920" s="3">
        <f t="shared" si="466"/>
        <v>9294865.3381189052</v>
      </c>
      <c r="H2920" s="3">
        <f t="shared" si="467"/>
        <v>966643.01861338352</v>
      </c>
      <c r="I2920" s="3">
        <f t="shared" si="469"/>
        <v>8328222.319505522</v>
      </c>
      <c r="J2920" s="3">
        <f t="shared" si="464"/>
        <v>26401466.971993282</v>
      </c>
      <c r="K2920" s="24"/>
      <c r="L2920" s="24"/>
    </row>
    <row r="2921" spans="2:12" x14ac:dyDescent="0.35">
      <c r="B2921" s="1">
        <v>46</v>
      </c>
      <c r="C2921" s="22">
        <v>46327</v>
      </c>
      <c r="D2921" s="22">
        <v>46356</v>
      </c>
      <c r="E2921" s="23">
        <f t="shared" si="468"/>
        <v>30</v>
      </c>
      <c r="F2921" s="3">
        <f t="shared" si="463"/>
        <v>26401466.971993282</v>
      </c>
      <c r="G2921" s="3">
        <f t="shared" si="466"/>
        <v>9294865.3381189052</v>
      </c>
      <c r="H2921" s="3">
        <f t="shared" si="467"/>
        <v>734840.83072047983</v>
      </c>
      <c r="I2921" s="3">
        <f t="shared" si="469"/>
        <v>8560024.5073984247</v>
      </c>
      <c r="J2921" s="3">
        <f t="shared" si="464"/>
        <v>17841442.464594856</v>
      </c>
      <c r="K2921" s="24"/>
      <c r="L2921" s="24"/>
    </row>
    <row r="2922" spans="2:12" x14ac:dyDescent="0.35">
      <c r="B2922" s="1">
        <v>47</v>
      </c>
      <c r="C2922" s="22">
        <v>46357</v>
      </c>
      <c r="D2922" s="22">
        <v>46387</v>
      </c>
      <c r="E2922" s="23">
        <f t="shared" si="468"/>
        <v>31</v>
      </c>
      <c r="F2922" s="3">
        <f t="shared" si="463"/>
        <v>17841442.464594856</v>
      </c>
      <c r="G2922" s="3">
        <f t="shared" si="466"/>
        <v>9294865.3381189052</v>
      </c>
      <c r="H2922" s="3">
        <f t="shared" si="467"/>
        <v>496586.81526455691</v>
      </c>
      <c r="I2922" s="3">
        <f t="shared" si="469"/>
        <v>8798278.5228543486</v>
      </c>
      <c r="J2922" s="3">
        <f t="shared" si="464"/>
        <v>9043163.9417405073</v>
      </c>
      <c r="K2922" s="24"/>
      <c r="L2922" s="24"/>
    </row>
    <row r="2923" spans="2:12" x14ac:dyDescent="0.35">
      <c r="B2923" s="1">
        <v>48</v>
      </c>
      <c r="C2923" s="22">
        <v>46388</v>
      </c>
      <c r="D2923" s="22">
        <v>46418</v>
      </c>
      <c r="E2923" s="23">
        <f t="shared" si="468"/>
        <v>31</v>
      </c>
      <c r="F2923" s="3">
        <f t="shared" si="463"/>
        <v>9043163.9417405073</v>
      </c>
      <c r="G2923" s="3">
        <f t="shared" si="466"/>
        <v>9294865.3381189052</v>
      </c>
      <c r="H2923" s="3">
        <f t="shared" si="467"/>
        <v>251701.39637844416</v>
      </c>
      <c r="I2923" s="3">
        <f t="shared" si="469"/>
        <v>9043163.9417404607</v>
      </c>
      <c r="J2923" s="3">
        <f t="shared" si="464"/>
        <v>4.6566128730773926E-8</v>
      </c>
      <c r="K2923" s="24"/>
      <c r="L2923" s="24"/>
    </row>
    <row r="2924" spans="2:12" x14ac:dyDescent="0.35">
      <c r="B2924" s="1"/>
      <c r="C2924" s="22"/>
      <c r="D2924" s="22"/>
      <c r="E2924" s="23"/>
      <c r="F2924" s="3"/>
      <c r="G2924" s="3"/>
      <c r="H2924" s="3"/>
      <c r="I2924" s="3"/>
      <c r="J2924" s="3"/>
      <c r="K2924" s="24"/>
      <c r="L2924" s="24"/>
    </row>
    <row r="2925" spans="2:12" x14ac:dyDescent="0.35">
      <c r="B2925" s="1"/>
      <c r="C2925" s="22"/>
      <c r="D2925" s="22"/>
      <c r="E2925" s="28">
        <f>SUM(E2875:E2899)</f>
        <v>737</v>
      </c>
      <c r="F2925" s="3"/>
      <c r="G2925" s="3"/>
      <c r="H2925" s="3"/>
      <c r="I2925" s="3"/>
      <c r="J2925" s="3"/>
      <c r="K2925" s="24"/>
      <c r="L2925" s="24"/>
    </row>
    <row r="2930" spans="2:19" x14ac:dyDescent="0.35">
      <c r="B2930" s="1"/>
      <c r="C2930" s="8" t="s">
        <v>925</v>
      </c>
      <c r="D2930" s="3"/>
      <c r="E2930" s="3"/>
      <c r="F2930" s="3"/>
      <c r="G2930" s="3"/>
      <c r="H2930" s="3"/>
      <c r="I2930" s="3"/>
      <c r="J2930" s="3"/>
      <c r="K2930" s="3"/>
      <c r="L2930" s="3"/>
      <c r="R2930" s="438" t="s">
        <v>832</v>
      </c>
      <c r="S2930" s="432" t="str">
        <f>IFERROR(INDEX(Blocks!$I$2:$I$101,MATCH(54,Blocks!$A$2:$A$101,0)),"")</f>
        <v>000104460000055</v>
      </c>
    </row>
    <row r="2931" spans="2:19" x14ac:dyDescent="0.35">
      <c r="B2931" s="1"/>
      <c r="C2931" s="1"/>
      <c r="D2931" s="3"/>
      <c r="E2931" s="3"/>
      <c r="F2931" s="3" t="s">
        <v>905</v>
      </c>
      <c r="G2931" s="3" t="s">
        <v>881</v>
      </c>
      <c r="H2931" s="3" t="s">
        <v>926</v>
      </c>
      <c r="J2931" s="3"/>
      <c r="K2931" s="3"/>
      <c r="L2931" s="3"/>
      <c r="R2931" s="438" t="s">
        <v>834</v>
      </c>
      <c r="S2931" s="432" t="str">
        <f>IFERROR(INDEX(Blocks!$H$2:$H$101,MATCH(54,Blocks!$A$2:$A$101,0)),"")</f>
        <v>Ruo Textiles Limited</v>
      </c>
    </row>
    <row r="2932" spans="2:19" x14ac:dyDescent="0.35">
      <c r="B2932" s="1"/>
      <c r="C2932" s="9" t="s">
        <v>835</v>
      </c>
      <c r="D2932" s="10">
        <v>70000000</v>
      </c>
      <c r="E2932" s="3"/>
      <c r="F2932" s="3">
        <v>9673171.1099999994</v>
      </c>
      <c r="G2932" s="3">
        <v>4659041.0999999996</v>
      </c>
      <c r="H2932" s="3">
        <v>7130495.9199999999</v>
      </c>
      <c r="J2932" s="3"/>
      <c r="K2932" s="3"/>
      <c r="L2932" s="3"/>
      <c r="R2932" s="438" t="s">
        <v>223</v>
      </c>
      <c r="S2932" s="433">
        <f>IFERROR(INDEX('E-Banker master'!$N$2:$N$186,MATCH(S2930,'E-Banker master'!$A$2:$A$186,0)),"")</f>
        <v>21462708.129999999</v>
      </c>
    </row>
    <row r="2933" spans="2:19" x14ac:dyDescent="0.35">
      <c r="B2933" s="1"/>
      <c r="C2933" s="11" t="s">
        <v>837</v>
      </c>
      <c r="D2933" s="12">
        <v>0.1</v>
      </c>
      <c r="E2933" s="13"/>
      <c r="F2933" s="3"/>
      <c r="G2933" s="3"/>
      <c r="H2933" s="3"/>
      <c r="I2933" s="3"/>
      <c r="J2933" s="3"/>
      <c r="K2933" s="3"/>
      <c r="L2933" s="3"/>
      <c r="R2933" s="438" t="s">
        <v>52</v>
      </c>
      <c r="S2933" s="433">
        <f>IFERROR(INDEX('E-Banker master'!$P$2:$P$186,MATCH(S2930,'E-Banker master'!$A$2:$A$186,0)),"")</f>
        <v>17003080.02</v>
      </c>
    </row>
    <row r="2934" spans="2:19" x14ac:dyDescent="0.35">
      <c r="B2934" s="1"/>
      <c r="C2934" s="11" t="s">
        <v>838</v>
      </c>
      <c r="D2934" s="14">
        <v>3</v>
      </c>
      <c r="E2934" s="1"/>
      <c r="F2934" s="3"/>
      <c r="G2934" s="3"/>
      <c r="H2934" s="3"/>
      <c r="I2934" s="3"/>
      <c r="J2934" s="3"/>
      <c r="K2934" s="1"/>
      <c r="L2934" s="1"/>
    </row>
    <row r="2935" spans="2:19" x14ac:dyDescent="0.35">
      <c r="B2935" s="1"/>
      <c r="C2935" s="11" t="s">
        <v>839</v>
      </c>
      <c r="D2935" s="14">
        <v>12</v>
      </c>
      <c r="E2935" s="1"/>
      <c r="F2935" s="3"/>
      <c r="G2935" s="3"/>
      <c r="H2935" s="3"/>
      <c r="I2935" s="3"/>
      <c r="J2935" s="3"/>
      <c r="K2935" s="1"/>
      <c r="L2935" s="1"/>
    </row>
    <row r="2936" spans="2:19" x14ac:dyDescent="0.35">
      <c r="B2936" s="1"/>
      <c r="C2936" s="11" t="s">
        <v>843</v>
      </c>
      <c r="D2936" s="15">
        <f>D2934*D2935</f>
        <v>36</v>
      </c>
      <c r="E2936" s="1"/>
      <c r="F2936" s="3"/>
      <c r="G2936" s="3"/>
      <c r="H2936" s="3"/>
      <c r="I2936" s="3"/>
      <c r="J2936" s="3"/>
      <c r="K2936" s="1"/>
      <c r="L2936" s="1"/>
    </row>
    <row r="2937" spans="2:19" x14ac:dyDescent="0.35">
      <c r="B2937" s="1"/>
      <c r="C2937" s="11" t="s">
        <v>844</v>
      </c>
      <c r="D2937" s="16">
        <v>365</v>
      </c>
      <c r="E2937" s="1"/>
      <c r="F2937" s="3"/>
      <c r="G2937" s="3"/>
      <c r="H2937" s="3"/>
      <c r="I2937" s="3"/>
      <c r="J2937" s="3"/>
      <c r="K2937" s="1"/>
      <c r="L2937" s="1"/>
    </row>
    <row r="2938" spans="2:19" x14ac:dyDescent="0.35">
      <c r="B2938" s="1"/>
      <c r="C2938" s="17" t="s">
        <v>845</v>
      </c>
      <c r="D2938" s="18">
        <f>-PMT(D2933/D2935,D2936,D2932,0,0)</f>
        <v>2258703.1035686238</v>
      </c>
      <c r="E2938" s="3"/>
      <c r="F2938" s="3"/>
      <c r="G2938" s="3"/>
      <c r="H2938" s="3"/>
      <c r="I2938" s="3"/>
      <c r="J2938" s="3"/>
      <c r="K2938" s="1"/>
      <c r="L2938" s="1"/>
    </row>
    <row r="2939" spans="2:19" x14ac:dyDescent="0.35">
      <c r="B2939" s="1"/>
      <c r="C2939" s="1"/>
      <c r="D2939" s="3"/>
      <c r="E2939" s="3"/>
      <c r="F2939" s="3"/>
      <c r="G2939" s="3"/>
      <c r="H2939" s="3"/>
      <c r="I2939" s="3"/>
      <c r="J2939" s="3"/>
      <c r="K2939" s="1"/>
      <c r="L2939" s="1"/>
    </row>
    <row r="2940" spans="2:19" x14ac:dyDescent="0.35">
      <c r="B2940" s="1"/>
      <c r="C2940" s="19" t="s">
        <v>846</v>
      </c>
      <c r="D2940" s="20" t="s">
        <v>847</v>
      </c>
      <c r="E2940" s="20" t="s">
        <v>764</v>
      </c>
      <c r="F2940" s="270" t="s">
        <v>848</v>
      </c>
      <c r="G2940" s="270" t="s">
        <v>849</v>
      </c>
      <c r="H2940" s="270" t="s">
        <v>742</v>
      </c>
      <c r="I2940" s="270" t="s">
        <v>740</v>
      </c>
      <c r="J2940" s="270" t="s">
        <v>850</v>
      </c>
      <c r="K2940" s="21" t="s">
        <v>851</v>
      </c>
      <c r="L2940" s="21" t="s">
        <v>852</v>
      </c>
    </row>
    <row r="2941" spans="2:19" x14ac:dyDescent="0.35">
      <c r="B2941" s="1">
        <v>0</v>
      </c>
      <c r="C2941" s="22">
        <v>44952</v>
      </c>
      <c r="D2941" s="22">
        <v>44957</v>
      </c>
      <c r="E2941" s="23">
        <f t="shared" ref="E2941:E2977" si="470">D2941-C2941+1</f>
        <v>6</v>
      </c>
      <c r="F2941" s="3">
        <f>F2932</f>
        <v>9673171.1099999994</v>
      </c>
      <c r="G2941" s="3"/>
      <c r="H2941" s="3">
        <f>D2933/D2935*E2941*F2941/31</f>
        <v>15601.888887096775</v>
      </c>
      <c r="I2941" s="3">
        <v>0</v>
      </c>
      <c r="J2941" s="3">
        <f>F2941-I2941</f>
        <v>9673171.1099999994</v>
      </c>
      <c r="K2941" s="24"/>
      <c r="L2941" s="24"/>
    </row>
    <row r="2942" spans="2:19" x14ac:dyDescent="0.35">
      <c r="B2942" s="1">
        <v>1</v>
      </c>
      <c r="C2942" s="22">
        <v>44958</v>
      </c>
      <c r="D2942" s="22">
        <v>44985</v>
      </c>
      <c r="E2942" s="23">
        <f t="shared" si="470"/>
        <v>28</v>
      </c>
      <c r="F2942" s="3">
        <f t="shared" ref="F2942:F2977" si="471">J2941</f>
        <v>9673171.1099999994</v>
      </c>
      <c r="G2942" s="3"/>
      <c r="H2942" s="3">
        <f>($D$2933/$D$2935*F2942)+(G2932*D2933*26/365)</f>
        <v>113797.44927739725</v>
      </c>
      <c r="I2942" s="3">
        <v>0</v>
      </c>
      <c r="J2942" s="3">
        <f>F2942-I2942+G2932</f>
        <v>14332212.209999999</v>
      </c>
      <c r="K2942" s="24"/>
      <c r="L2942" s="24"/>
    </row>
    <row r="2943" spans="2:19" x14ac:dyDescent="0.35">
      <c r="B2943" s="1">
        <v>2</v>
      </c>
      <c r="C2943" s="22">
        <v>44986</v>
      </c>
      <c r="D2943" s="22">
        <v>45016</v>
      </c>
      <c r="E2943" s="23">
        <f t="shared" si="470"/>
        <v>31</v>
      </c>
      <c r="F2943" s="3">
        <f t="shared" si="471"/>
        <v>14332212.209999999</v>
      </c>
      <c r="G2943" s="3"/>
      <c r="H2943" s="3">
        <f>($D$2933/$D$2935*F2943)</f>
        <v>119435.10174999999</v>
      </c>
      <c r="I2943" s="3">
        <v>0</v>
      </c>
      <c r="J2943" s="3">
        <f>F2943-I2943</f>
        <v>14332212.209999999</v>
      </c>
    </row>
    <row r="2944" spans="2:19" x14ac:dyDescent="0.35">
      <c r="B2944" s="1">
        <v>3</v>
      </c>
      <c r="C2944" s="22">
        <v>45017</v>
      </c>
      <c r="D2944" s="22">
        <v>45046</v>
      </c>
      <c r="E2944" s="23">
        <f t="shared" si="470"/>
        <v>30</v>
      </c>
      <c r="F2944" s="3">
        <f t="shared" si="471"/>
        <v>14332212.209999999</v>
      </c>
      <c r="G2944" s="3"/>
      <c r="H2944" s="3">
        <f>($D$2933/$D$2935*F2944)+(H2932*D2933*11/365)</f>
        <v>140924.26753630137</v>
      </c>
      <c r="I2944" s="3">
        <v>0</v>
      </c>
      <c r="J2944" s="3">
        <f>F2944-I2944+H2932</f>
        <v>21462708.129999999</v>
      </c>
      <c r="K2944" s="24"/>
      <c r="L2944" s="24"/>
    </row>
    <row r="2945" spans="2:12" x14ac:dyDescent="0.35">
      <c r="B2945" s="1">
        <v>4</v>
      </c>
      <c r="C2945" s="22">
        <v>45047</v>
      </c>
      <c r="D2945" s="22">
        <v>45077</v>
      </c>
      <c r="E2945" s="23">
        <f t="shared" si="470"/>
        <v>31</v>
      </c>
      <c r="F2945" s="3">
        <f t="shared" si="471"/>
        <v>21462708.129999999</v>
      </c>
      <c r="G2945" s="3"/>
      <c r="H2945" s="3">
        <f>($D$2933/$D$2935*F2945)+H2932*D2933*19/365</f>
        <v>215973.55107785389</v>
      </c>
      <c r="I2945" s="3">
        <v>0</v>
      </c>
      <c r="J2945" s="3">
        <f t="shared" ref="J2945:J2977" si="472">F2945-I2945</f>
        <v>21462708.129999999</v>
      </c>
      <c r="K2945" s="24"/>
      <c r="L2945" s="24"/>
    </row>
    <row r="2946" spans="2:12" x14ac:dyDescent="0.35">
      <c r="B2946" s="1">
        <v>5</v>
      </c>
      <c r="C2946" s="22">
        <v>45078</v>
      </c>
      <c r="D2946" s="22">
        <v>45107</v>
      </c>
      <c r="E2946" s="23">
        <f t="shared" si="470"/>
        <v>30</v>
      </c>
      <c r="F2946" s="3">
        <f t="shared" si="471"/>
        <v>21462708.129999999</v>
      </c>
      <c r="G2946" s="3"/>
      <c r="H2946" s="3">
        <f t="shared" ref="H2946:H2977" si="473">($D$2933/$D$2935*F2946)</f>
        <v>178855.90108333333</v>
      </c>
      <c r="I2946" s="3">
        <v>0</v>
      </c>
      <c r="J2946" s="3">
        <f t="shared" si="472"/>
        <v>21462708.129999999</v>
      </c>
      <c r="K2946" s="24"/>
      <c r="L2946" s="24"/>
    </row>
    <row r="2947" spans="2:12" x14ac:dyDescent="0.35">
      <c r="B2947" s="1">
        <v>6</v>
      </c>
      <c r="C2947" s="22">
        <v>45108</v>
      </c>
      <c r="D2947" s="22">
        <v>45138</v>
      </c>
      <c r="E2947" s="23">
        <f t="shared" si="470"/>
        <v>31</v>
      </c>
      <c r="F2947" s="3">
        <f t="shared" si="471"/>
        <v>21462708.129999999</v>
      </c>
      <c r="G2947" s="3"/>
      <c r="H2947" s="3">
        <f t="shared" si="473"/>
        <v>178855.90108333333</v>
      </c>
      <c r="I2947" s="3">
        <v>0</v>
      </c>
      <c r="J2947" s="3">
        <f t="shared" si="472"/>
        <v>21462708.129999999</v>
      </c>
      <c r="K2947" s="24"/>
      <c r="L2947" s="26"/>
    </row>
    <row r="2948" spans="2:12" x14ac:dyDescent="0.35">
      <c r="B2948" s="1">
        <v>7</v>
      </c>
      <c r="C2948" s="22">
        <v>45139</v>
      </c>
      <c r="D2948" s="22">
        <v>45169</v>
      </c>
      <c r="E2948" s="23">
        <f t="shared" si="470"/>
        <v>31</v>
      </c>
      <c r="F2948" s="3">
        <f t="shared" si="471"/>
        <v>21462708.129999999</v>
      </c>
      <c r="G2948" s="3"/>
      <c r="H2948" s="3">
        <f t="shared" si="473"/>
        <v>178855.90108333333</v>
      </c>
      <c r="I2948" s="3">
        <v>0</v>
      </c>
      <c r="J2948" s="3">
        <f t="shared" si="472"/>
        <v>21462708.129999999</v>
      </c>
      <c r="K2948" s="24"/>
      <c r="L2948" s="24"/>
    </row>
    <row r="2949" spans="2:12" x14ac:dyDescent="0.35">
      <c r="B2949" s="1">
        <v>8</v>
      </c>
      <c r="C2949" s="22">
        <v>45170</v>
      </c>
      <c r="D2949" s="22">
        <v>45199</v>
      </c>
      <c r="E2949" s="23">
        <f t="shared" si="470"/>
        <v>30</v>
      </c>
      <c r="F2949" s="3">
        <f t="shared" si="471"/>
        <v>21462708.129999999</v>
      </c>
      <c r="G2949" s="3"/>
      <c r="H2949" s="3">
        <f t="shared" si="473"/>
        <v>178855.90108333333</v>
      </c>
      <c r="I2949" s="3">
        <v>0</v>
      </c>
      <c r="J2949" s="3">
        <f t="shared" si="472"/>
        <v>21462708.129999999</v>
      </c>
      <c r="K2949" s="24"/>
      <c r="L2949" s="24"/>
    </row>
    <row r="2950" spans="2:12" x14ac:dyDescent="0.35">
      <c r="B2950" s="1">
        <v>9</v>
      </c>
      <c r="C2950" s="22">
        <v>45200</v>
      </c>
      <c r="D2950" s="22">
        <v>45230</v>
      </c>
      <c r="E2950" s="23">
        <f t="shared" si="470"/>
        <v>31</v>
      </c>
      <c r="F2950" s="3">
        <f t="shared" si="471"/>
        <v>21462708.129999999</v>
      </c>
      <c r="G2950" s="3"/>
      <c r="H2950" s="3">
        <f t="shared" si="473"/>
        <v>178855.90108333333</v>
      </c>
      <c r="I2950" s="3">
        <v>0</v>
      </c>
      <c r="J2950" s="3">
        <f t="shared" si="472"/>
        <v>21462708.129999999</v>
      </c>
      <c r="K2950" s="24"/>
      <c r="L2950" s="26"/>
    </row>
    <row r="2951" spans="2:12" x14ac:dyDescent="0.35">
      <c r="B2951" s="1">
        <v>10</v>
      </c>
      <c r="C2951" s="22">
        <v>45231</v>
      </c>
      <c r="D2951" s="22">
        <v>45260</v>
      </c>
      <c r="E2951" s="23">
        <f t="shared" si="470"/>
        <v>30</v>
      </c>
      <c r="F2951" s="3">
        <f t="shared" si="471"/>
        <v>21462708.129999999</v>
      </c>
      <c r="G2951" s="3"/>
      <c r="H2951" s="3">
        <f t="shared" si="473"/>
        <v>178855.90108333333</v>
      </c>
      <c r="I2951" s="3">
        <v>0</v>
      </c>
      <c r="J2951" s="3">
        <f t="shared" si="472"/>
        <v>21462708.129999999</v>
      </c>
      <c r="K2951" s="24">
        <f>1000000+463000</f>
        <v>1463000</v>
      </c>
      <c r="L2951" s="24"/>
    </row>
    <row r="2952" spans="2:12" x14ac:dyDescent="0.35">
      <c r="B2952" s="1">
        <v>11</v>
      </c>
      <c r="C2952" s="22">
        <v>45261</v>
      </c>
      <c r="D2952" s="22">
        <v>45291</v>
      </c>
      <c r="E2952" s="23">
        <f t="shared" si="470"/>
        <v>31</v>
      </c>
      <c r="F2952" s="3">
        <f t="shared" si="471"/>
        <v>21462708.129999999</v>
      </c>
      <c r="G2952" s="3"/>
      <c r="H2952" s="3">
        <f t="shared" si="473"/>
        <v>178855.90108333333</v>
      </c>
      <c r="I2952" s="3">
        <v>0</v>
      </c>
      <c r="J2952" s="3">
        <f t="shared" si="472"/>
        <v>21462708.129999999</v>
      </c>
      <c r="K2952" s="24"/>
      <c r="L2952" s="24"/>
    </row>
    <row r="2953" spans="2:12" x14ac:dyDescent="0.35">
      <c r="B2953" s="1">
        <v>12</v>
      </c>
      <c r="C2953" s="22">
        <v>45292</v>
      </c>
      <c r="D2953" s="22">
        <v>45322</v>
      </c>
      <c r="E2953" s="23">
        <f t="shared" si="470"/>
        <v>31</v>
      </c>
      <c r="F2953" s="3">
        <f t="shared" si="471"/>
        <v>21462708.129999999</v>
      </c>
      <c r="G2953" s="3"/>
      <c r="H2953" s="3">
        <f t="shared" si="473"/>
        <v>178855.90108333333</v>
      </c>
      <c r="I2953" s="3">
        <v>0</v>
      </c>
      <c r="J2953" s="3">
        <f t="shared" si="472"/>
        <v>21462708.129999999</v>
      </c>
      <c r="K2953" s="24"/>
      <c r="L2953" s="24"/>
    </row>
    <row r="2954" spans="2:12" x14ac:dyDescent="0.35">
      <c r="B2954" s="1">
        <v>13</v>
      </c>
      <c r="C2954" s="22">
        <v>45323</v>
      </c>
      <c r="D2954" s="22">
        <v>45351</v>
      </c>
      <c r="E2954" s="23">
        <f t="shared" si="470"/>
        <v>29</v>
      </c>
      <c r="F2954" s="3">
        <f t="shared" si="471"/>
        <v>21462708.129999999</v>
      </c>
      <c r="G2954" s="3">
        <f t="shared" ref="G2954:G2977" si="474">-PMT($D$2933/$D$2935,24,$F$2954,,0)</f>
        <v>990395.08566246647</v>
      </c>
      <c r="H2954" s="3">
        <f t="shared" si="473"/>
        <v>178855.90108333333</v>
      </c>
      <c r="I2954" s="3">
        <f t="shared" ref="I2954:I2977" si="475">G2954-H2954</f>
        <v>811539.18457913317</v>
      </c>
      <c r="J2954" s="3">
        <f t="shared" si="472"/>
        <v>20651168.945420865</v>
      </c>
      <c r="K2954" s="24"/>
      <c r="L2954" s="24">
        <f>L2953+G2954-K2951</f>
        <v>-472604.91433753353</v>
      </c>
    </row>
    <row r="2955" spans="2:12" x14ac:dyDescent="0.35">
      <c r="B2955" s="1">
        <v>14</v>
      </c>
      <c r="C2955" s="22">
        <v>45352</v>
      </c>
      <c r="D2955" s="22">
        <v>45382</v>
      </c>
      <c r="E2955" s="23">
        <f t="shared" si="470"/>
        <v>31</v>
      </c>
      <c r="F2955" s="3">
        <f t="shared" si="471"/>
        <v>20651168.945420865</v>
      </c>
      <c r="G2955" s="3">
        <f t="shared" si="474"/>
        <v>990395.08566246647</v>
      </c>
      <c r="H2955" s="3">
        <f t="shared" si="473"/>
        <v>172093.07454517388</v>
      </c>
      <c r="I2955" s="3">
        <f t="shared" si="475"/>
        <v>818302.01111729257</v>
      </c>
      <c r="J2955" s="3">
        <f t="shared" si="472"/>
        <v>19832866.934303574</v>
      </c>
      <c r="K2955" s="24"/>
      <c r="L2955" s="24">
        <f t="shared" ref="L2955:L2962" si="476">L2954+G2955-K2955</f>
        <v>517790.17132493295</v>
      </c>
    </row>
    <row r="2956" spans="2:12" x14ac:dyDescent="0.35">
      <c r="B2956" s="1">
        <v>15</v>
      </c>
      <c r="C2956" s="22">
        <v>45383</v>
      </c>
      <c r="D2956" s="22">
        <v>45412</v>
      </c>
      <c r="E2956" s="23">
        <f t="shared" si="470"/>
        <v>30</v>
      </c>
      <c r="F2956" s="3">
        <f t="shared" si="471"/>
        <v>19832866.934303574</v>
      </c>
      <c r="G2956" s="3">
        <f t="shared" si="474"/>
        <v>990395.08566246647</v>
      </c>
      <c r="H2956" s="3">
        <f t="shared" si="473"/>
        <v>165273.89111919646</v>
      </c>
      <c r="I2956" s="3">
        <f t="shared" si="475"/>
        <v>825121.19454327004</v>
      </c>
      <c r="J2956" s="3">
        <f t="shared" si="472"/>
        <v>19007745.739760306</v>
      </c>
      <c r="K2956" s="24"/>
      <c r="L2956" s="24">
        <f t="shared" si="476"/>
        <v>1508185.2569873994</v>
      </c>
    </row>
    <row r="2957" spans="2:12" x14ac:dyDescent="0.35">
      <c r="B2957" s="1">
        <v>16</v>
      </c>
      <c r="C2957" s="22">
        <v>45413</v>
      </c>
      <c r="D2957" s="22">
        <v>45443</v>
      </c>
      <c r="E2957" s="23">
        <f t="shared" si="470"/>
        <v>31</v>
      </c>
      <c r="F2957" s="3">
        <f t="shared" si="471"/>
        <v>19007745.739760306</v>
      </c>
      <c r="G2957" s="3">
        <f t="shared" si="474"/>
        <v>990395.08566246647</v>
      </c>
      <c r="H2957" s="3">
        <f t="shared" si="473"/>
        <v>158397.8811646692</v>
      </c>
      <c r="I2957" s="3">
        <f t="shared" si="475"/>
        <v>831997.2044977973</v>
      </c>
      <c r="J2957" s="3">
        <f t="shared" si="472"/>
        <v>18175748.53526251</v>
      </c>
      <c r="K2957" s="24"/>
      <c r="L2957" s="24">
        <f t="shared" si="476"/>
        <v>2498580.3426498659</v>
      </c>
    </row>
    <row r="2958" spans="2:12" x14ac:dyDescent="0.35">
      <c r="B2958" s="1">
        <v>17</v>
      </c>
      <c r="C2958" s="22">
        <v>45444</v>
      </c>
      <c r="D2958" s="22">
        <v>45473</v>
      </c>
      <c r="E2958" s="23">
        <f t="shared" si="470"/>
        <v>30</v>
      </c>
      <c r="F2958" s="3">
        <f t="shared" si="471"/>
        <v>18175748.53526251</v>
      </c>
      <c r="G2958" s="3">
        <f t="shared" si="474"/>
        <v>990395.08566246647</v>
      </c>
      <c r="H2958" s="3">
        <f t="shared" si="473"/>
        <v>151464.57112718758</v>
      </c>
      <c r="I2958" s="3">
        <f t="shared" si="475"/>
        <v>838930.5145352789</v>
      </c>
      <c r="J2958" s="3">
        <f t="shared" si="472"/>
        <v>17336818.020727232</v>
      </c>
      <c r="K2958" s="24"/>
      <c r="L2958" s="24">
        <f t="shared" si="476"/>
        <v>3488975.4283123324</v>
      </c>
    </row>
    <row r="2959" spans="2:12" x14ac:dyDescent="0.35">
      <c r="B2959" s="1">
        <v>18</v>
      </c>
      <c r="C2959" s="22">
        <v>45474</v>
      </c>
      <c r="D2959" s="22">
        <v>45504</v>
      </c>
      <c r="E2959" s="23">
        <f t="shared" si="470"/>
        <v>31</v>
      </c>
      <c r="F2959" s="3">
        <f t="shared" si="471"/>
        <v>17336818.020727232</v>
      </c>
      <c r="G2959" s="3">
        <f t="shared" si="474"/>
        <v>990395.08566246647</v>
      </c>
      <c r="H2959" s="3">
        <f t="shared" si="473"/>
        <v>144473.48350606026</v>
      </c>
      <c r="I2959" s="3">
        <f t="shared" si="475"/>
        <v>845921.60215640627</v>
      </c>
      <c r="J2959" s="3">
        <f t="shared" si="472"/>
        <v>16490896.418570826</v>
      </c>
      <c r="K2959" s="24"/>
      <c r="L2959" s="24">
        <f t="shared" si="476"/>
        <v>4479370.5139747988</v>
      </c>
    </row>
    <row r="2960" spans="2:12" x14ac:dyDescent="0.35">
      <c r="B2960" s="1">
        <v>19</v>
      </c>
      <c r="C2960" s="22">
        <v>45505</v>
      </c>
      <c r="D2960" s="22">
        <v>45535</v>
      </c>
      <c r="E2960" s="23">
        <f t="shared" si="470"/>
        <v>31</v>
      </c>
      <c r="F2960" s="3">
        <f t="shared" si="471"/>
        <v>16490896.418570826</v>
      </c>
      <c r="G2960" s="3">
        <f t="shared" si="474"/>
        <v>990395.08566246647</v>
      </c>
      <c r="H2960" s="3">
        <f t="shared" si="473"/>
        <v>137424.13682142354</v>
      </c>
      <c r="I2960" s="3">
        <f t="shared" si="475"/>
        <v>852970.94884104293</v>
      </c>
      <c r="J2960" s="3">
        <f t="shared" si="472"/>
        <v>15637925.469729783</v>
      </c>
      <c r="K2960" s="24">
        <v>5000000</v>
      </c>
      <c r="L2960" s="24">
        <f t="shared" si="476"/>
        <v>469765.59963726532</v>
      </c>
    </row>
    <row r="2961" spans="2:12" x14ac:dyDescent="0.35">
      <c r="B2961" s="1">
        <v>20</v>
      </c>
      <c r="C2961" s="22">
        <v>45536</v>
      </c>
      <c r="D2961" s="22">
        <v>45565</v>
      </c>
      <c r="E2961" s="23">
        <f t="shared" si="470"/>
        <v>30</v>
      </c>
      <c r="F2961" s="3">
        <f t="shared" si="471"/>
        <v>15637925.469729783</v>
      </c>
      <c r="G2961" s="3">
        <f t="shared" si="474"/>
        <v>990395.08566246647</v>
      </c>
      <c r="H2961" s="3">
        <f t="shared" si="473"/>
        <v>130316.04558108152</v>
      </c>
      <c r="I2961" s="3">
        <f t="shared" si="475"/>
        <v>860079.04008138494</v>
      </c>
      <c r="J2961" s="3">
        <f t="shared" si="472"/>
        <v>14777846.429648397</v>
      </c>
      <c r="K2961" s="24">
        <v>469765.6</v>
      </c>
      <c r="L2961" s="24">
        <f t="shared" si="476"/>
        <v>990395.08529973181</v>
      </c>
    </row>
    <row r="2962" spans="2:12" x14ac:dyDescent="0.35">
      <c r="B2962" s="1">
        <v>21</v>
      </c>
      <c r="C2962" s="22">
        <v>45566</v>
      </c>
      <c r="D2962" s="22">
        <v>45596</v>
      </c>
      <c r="E2962" s="23">
        <f t="shared" si="470"/>
        <v>31</v>
      </c>
      <c r="F2962" s="3">
        <f t="shared" si="471"/>
        <v>14777846.429648397</v>
      </c>
      <c r="G2962" s="3">
        <f t="shared" si="474"/>
        <v>990395.08566246647</v>
      </c>
      <c r="H2962" s="3">
        <f t="shared" si="473"/>
        <v>123148.72024706997</v>
      </c>
      <c r="I2962" s="3">
        <f t="shared" si="475"/>
        <v>867246.36541539652</v>
      </c>
      <c r="J2962" s="3">
        <f t="shared" si="472"/>
        <v>13910600.064233001</v>
      </c>
      <c r="K2962" s="24">
        <v>991000</v>
      </c>
      <c r="L2962" s="205">
        <f t="shared" si="476"/>
        <v>989790.17096219817</v>
      </c>
    </row>
    <row r="2963" spans="2:12" x14ac:dyDescent="0.35">
      <c r="B2963" s="1">
        <v>22</v>
      </c>
      <c r="C2963" s="22">
        <v>45597</v>
      </c>
      <c r="D2963" s="22">
        <v>45626</v>
      </c>
      <c r="E2963" s="23">
        <f t="shared" si="470"/>
        <v>30</v>
      </c>
      <c r="F2963" s="3">
        <f t="shared" si="471"/>
        <v>13910600.064233001</v>
      </c>
      <c r="G2963" s="3">
        <f t="shared" si="474"/>
        <v>990395.08566246647</v>
      </c>
      <c r="H2963" s="3">
        <f t="shared" si="473"/>
        <v>115921.66720194167</v>
      </c>
      <c r="I2963" s="3">
        <f t="shared" si="475"/>
        <v>874473.41846052476</v>
      </c>
      <c r="J2963" s="3">
        <f t="shared" si="472"/>
        <v>13036126.645772476</v>
      </c>
      <c r="K2963" s="24"/>
      <c r="L2963" s="24"/>
    </row>
    <row r="2964" spans="2:12" x14ac:dyDescent="0.35">
      <c r="B2964" s="1">
        <v>23</v>
      </c>
      <c r="C2964" s="22">
        <v>45627</v>
      </c>
      <c r="D2964" s="22">
        <v>45657</v>
      </c>
      <c r="E2964" s="23">
        <f t="shared" si="470"/>
        <v>31</v>
      </c>
      <c r="F2964" s="3">
        <f t="shared" si="471"/>
        <v>13036126.645772476</v>
      </c>
      <c r="G2964" s="3">
        <f t="shared" si="474"/>
        <v>990395.08566246647</v>
      </c>
      <c r="H2964" s="3">
        <f t="shared" si="473"/>
        <v>108634.38871477063</v>
      </c>
      <c r="I2964" s="3">
        <f t="shared" si="475"/>
        <v>881760.6969476958</v>
      </c>
      <c r="J2964" s="3">
        <f t="shared" si="472"/>
        <v>12154365.94882478</v>
      </c>
      <c r="K2964" s="24"/>
      <c r="L2964" s="24"/>
    </row>
    <row r="2965" spans="2:12" x14ac:dyDescent="0.35">
      <c r="B2965" s="1">
        <v>24</v>
      </c>
      <c r="C2965" s="22">
        <v>45658</v>
      </c>
      <c r="D2965" s="22">
        <v>45688</v>
      </c>
      <c r="E2965" s="23">
        <f t="shared" si="470"/>
        <v>31</v>
      </c>
      <c r="F2965" s="3">
        <f t="shared" si="471"/>
        <v>12154365.94882478</v>
      </c>
      <c r="G2965" s="3">
        <f t="shared" si="474"/>
        <v>990395.08566246647</v>
      </c>
      <c r="H2965" s="3">
        <f t="shared" si="473"/>
        <v>101286.38290687317</v>
      </c>
      <c r="I2965" s="3">
        <f t="shared" si="475"/>
        <v>889108.70275559335</v>
      </c>
      <c r="J2965" s="3">
        <f t="shared" si="472"/>
        <v>11265257.246069187</v>
      </c>
      <c r="K2965" s="24"/>
      <c r="L2965" s="24"/>
    </row>
    <row r="2966" spans="2:12" x14ac:dyDescent="0.35">
      <c r="B2966" s="1">
        <v>25</v>
      </c>
      <c r="C2966" s="22">
        <v>45689</v>
      </c>
      <c r="D2966" s="22">
        <v>45716</v>
      </c>
      <c r="E2966" s="23">
        <f t="shared" si="470"/>
        <v>28</v>
      </c>
      <c r="F2966" s="3">
        <f t="shared" si="471"/>
        <v>11265257.246069187</v>
      </c>
      <c r="G2966" s="3">
        <f t="shared" si="474"/>
        <v>990395.08566246647</v>
      </c>
      <c r="H2966" s="3">
        <f t="shared" si="473"/>
        <v>93877.14371724322</v>
      </c>
      <c r="I2966" s="3">
        <f t="shared" si="475"/>
        <v>896517.94194522325</v>
      </c>
      <c r="J2966" s="3">
        <f t="shared" si="472"/>
        <v>10368739.304123964</v>
      </c>
      <c r="K2966" s="24"/>
      <c r="L2966" s="24"/>
    </row>
    <row r="2967" spans="2:12" x14ac:dyDescent="0.35">
      <c r="B2967" s="1">
        <v>26</v>
      </c>
      <c r="C2967" s="22">
        <v>45717</v>
      </c>
      <c r="D2967" s="22">
        <v>45747</v>
      </c>
      <c r="E2967" s="23">
        <f t="shared" si="470"/>
        <v>31</v>
      </c>
      <c r="F2967" s="3">
        <f t="shared" si="471"/>
        <v>10368739.304123964</v>
      </c>
      <c r="G2967" s="3">
        <f t="shared" si="474"/>
        <v>990395.08566246647</v>
      </c>
      <c r="H2967" s="3">
        <f t="shared" si="473"/>
        <v>86406.160867699698</v>
      </c>
      <c r="I2967" s="3">
        <f t="shared" si="475"/>
        <v>903988.92479476682</v>
      </c>
      <c r="J2967" s="3">
        <f t="shared" si="472"/>
        <v>9464750.3793291971</v>
      </c>
      <c r="K2967" s="24"/>
      <c r="L2967" s="24"/>
    </row>
    <row r="2968" spans="2:12" x14ac:dyDescent="0.35">
      <c r="B2968" s="1">
        <v>27</v>
      </c>
      <c r="C2968" s="22">
        <v>45748</v>
      </c>
      <c r="D2968" s="22">
        <v>45777</v>
      </c>
      <c r="E2968" s="23">
        <f t="shared" si="470"/>
        <v>30</v>
      </c>
      <c r="F2968" s="3">
        <f t="shared" si="471"/>
        <v>9464750.3793291971</v>
      </c>
      <c r="G2968" s="3">
        <f t="shared" si="474"/>
        <v>990395.08566246647</v>
      </c>
      <c r="H2968" s="3">
        <f t="shared" si="473"/>
        <v>78872.919827743302</v>
      </c>
      <c r="I2968" s="3">
        <f t="shared" si="475"/>
        <v>911522.16583472316</v>
      </c>
      <c r="J2968" s="3">
        <f t="shared" si="472"/>
        <v>8553228.2134944741</v>
      </c>
      <c r="K2968" s="24"/>
      <c r="L2968" s="24"/>
    </row>
    <row r="2969" spans="2:12" x14ac:dyDescent="0.35">
      <c r="B2969" s="1">
        <v>28</v>
      </c>
      <c r="C2969" s="22">
        <v>45778</v>
      </c>
      <c r="D2969" s="22">
        <v>45808</v>
      </c>
      <c r="E2969" s="23">
        <f t="shared" si="470"/>
        <v>31</v>
      </c>
      <c r="F2969" s="3">
        <f t="shared" si="471"/>
        <v>8553228.2134944741</v>
      </c>
      <c r="G2969" s="3">
        <f t="shared" si="474"/>
        <v>990395.08566246647</v>
      </c>
      <c r="H2969" s="3">
        <f t="shared" si="473"/>
        <v>71276.901779120613</v>
      </c>
      <c r="I2969" s="3">
        <f t="shared" si="475"/>
        <v>919118.18388334592</v>
      </c>
      <c r="J2969" s="3">
        <f t="shared" si="472"/>
        <v>7634110.0296111284</v>
      </c>
      <c r="K2969" s="24"/>
      <c r="L2969" s="24"/>
    </row>
    <row r="2970" spans="2:12" x14ac:dyDescent="0.35">
      <c r="B2970" s="1">
        <v>29</v>
      </c>
      <c r="C2970" s="22">
        <v>45809</v>
      </c>
      <c r="D2970" s="22">
        <v>45838</v>
      </c>
      <c r="E2970" s="23">
        <f t="shared" si="470"/>
        <v>30</v>
      </c>
      <c r="F2970" s="3">
        <f t="shared" si="471"/>
        <v>7634110.0296111284</v>
      </c>
      <c r="G2970" s="3">
        <f t="shared" si="474"/>
        <v>990395.08566246647</v>
      </c>
      <c r="H2970" s="3">
        <f t="shared" si="473"/>
        <v>63617.583580092738</v>
      </c>
      <c r="I2970" s="3">
        <f t="shared" si="475"/>
        <v>926777.50208237371</v>
      </c>
      <c r="J2970" s="3">
        <f t="shared" si="472"/>
        <v>6707332.5275287544</v>
      </c>
      <c r="K2970" s="24"/>
      <c r="L2970" s="24"/>
    </row>
    <row r="2971" spans="2:12" x14ac:dyDescent="0.35">
      <c r="B2971" s="1">
        <v>30</v>
      </c>
      <c r="C2971" s="22">
        <v>45839</v>
      </c>
      <c r="D2971" s="22">
        <v>45869</v>
      </c>
      <c r="E2971" s="23">
        <f t="shared" si="470"/>
        <v>31</v>
      </c>
      <c r="F2971" s="3">
        <f t="shared" si="471"/>
        <v>6707332.5275287544</v>
      </c>
      <c r="G2971" s="3">
        <f t="shared" si="474"/>
        <v>990395.08566246647</v>
      </c>
      <c r="H2971" s="3">
        <f t="shared" si="473"/>
        <v>55894.437729406287</v>
      </c>
      <c r="I2971" s="3">
        <f t="shared" si="475"/>
        <v>934500.64793306019</v>
      </c>
      <c r="J2971" s="3">
        <f t="shared" si="472"/>
        <v>5772831.8795956941</v>
      </c>
      <c r="K2971" s="24"/>
      <c r="L2971" s="24"/>
    </row>
    <row r="2972" spans="2:12" x14ac:dyDescent="0.35">
      <c r="B2972" s="1">
        <v>31</v>
      </c>
      <c r="C2972" s="22">
        <v>45870</v>
      </c>
      <c r="D2972" s="22">
        <v>45900</v>
      </c>
      <c r="E2972" s="23">
        <f t="shared" si="470"/>
        <v>31</v>
      </c>
      <c r="F2972" s="3">
        <f t="shared" si="471"/>
        <v>5772831.8795956941</v>
      </c>
      <c r="G2972" s="3">
        <f t="shared" si="474"/>
        <v>990395.08566246647</v>
      </c>
      <c r="H2972" s="3">
        <f t="shared" si="473"/>
        <v>48106.932329964118</v>
      </c>
      <c r="I2972" s="3">
        <f t="shared" si="475"/>
        <v>942288.15333250235</v>
      </c>
      <c r="J2972" s="3">
        <f t="shared" si="472"/>
        <v>4830543.7262631916</v>
      </c>
      <c r="K2972" s="24"/>
      <c r="L2972" s="24"/>
    </row>
    <row r="2973" spans="2:12" x14ac:dyDescent="0.35">
      <c r="B2973" s="1">
        <v>32</v>
      </c>
      <c r="C2973" s="22">
        <v>45901</v>
      </c>
      <c r="D2973" s="22">
        <v>45930</v>
      </c>
      <c r="E2973" s="23">
        <f t="shared" si="470"/>
        <v>30</v>
      </c>
      <c r="F2973" s="3">
        <f t="shared" si="471"/>
        <v>4830543.7262631916</v>
      </c>
      <c r="G2973" s="3">
        <f t="shared" si="474"/>
        <v>990395.08566246647</v>
      </c>
      <c r="H2973" s="3">
        <f t="shared" si="473"/>
        <v>40254.531052193262</v>
      </c>
      <c r="I2973" s="3">
        <f t="shared" si="475"/>
        <v>950140.55461027322</v>
      </c>
      <c r="J2973" s="3">
        <f t="shared" si="472"/>
        <v>3880403.1716529182</v>
      </c>
      <c r="K2973" s="24"/>
      <c r="L2973" s="24"/>
    </row>
    <row r="2974" spans="2:12" x14ac:dyDescent="0.35">
      <c r="B2974" s="1">
        <v>33</v>
      </c>
      <c r="C2974" s="22">
        <v>45931</v>
      </c>
      <c r="D2974" s="22">
        <v>45961</v>
      </c>
      <c r="E2974" s="23">
        <f t="shared" si="470"/>
        <v>31</v>
      </c>
      <c r="F2974" s="3">
        <f t="shared" si="471"/>
        <v>3880403.1716529182</v>
      </c>
      <c r="G2974" s="3">
        <f t="shared" si="474"/>
        <v>990395.08566246647</v>
      </c>
      <c r="H2974" s="3">
        <f t="shared" si="473"/>
        <v>32336.693097107651</v>
      </c>
      <c r="I2974" s="3">
        <f t="shared" si="475"/>
        <v>958058.39256535878</v>
      </c>
      <c r="J2974" s="3">
        <f t="shared" si="472"/>
        <v>2922344.7790875593</v>
      </c>
      <c r="K2974" s="24"/>
      <c r="L2974" s="24"/>
    </row>
    <row r="2975" spans="2:12" x14ac:dyDescent="0.35">
      <c r="B2975" s="1">
        <v>34</v>
      </c>
      <c r="C2975" s="22">
        <v>45962</v>
      </c>
      <c r="D2975" s="22">
        <v>45991</v>
      </c>
      <c r="E2975" s="23">
        <f t="shared" si="470"/>
        <v>30</v>
      </c>
      <c r="F2975" s="3">
        <f t="shared" si="471"/>
        <v>2922344.7790875593</v>
      </c>
      <c r="G2975" s="3">
        <f t="shared" si="474"/>
        <v>990395.08566246647</v>
      </c>
      <c r="H2975" s="3">
        <f t="shared" si="473"/>
        <v>24352.873159062994</v>
      </c>
      <c r="I2975" s="3">
        <f t="shared" si="475"/>
        <v>966042.21250340343</v>
      </c>
      <c r="J2975" s="3">
        <f t="shared" si="472"/>
        <v>1956302.5665841559</v>
      </c>
      <c r="K2975" s="24"/>
      <c r="L2975" s="24"/>
    </row>
    <row r="2976" spans="2:12" x14ac:dyDescent="0.35">
      <c r="B2976" s="1">
        <v>35</v>
      </c>
      <c r="C2976" s="22">
        <v>45992</v>
      </c>
      <c r="D2976" s="22">
        <v>46022</v>
      </c>
      <c r="E2976" s="23">
        <f t="shared" si="470"/>
        <v>31</v>
      </c>
      <c r="F2976" s="3">
        <f t="shared" si="471"/>
        <v>1956302.5665841559</v>
      </c>
      <c r="G2976" s="3">
        <f t="shared" si="474"/>
        <v>990395.08566246647</v>
      </c>
      <c r="H2976" s="3">
        <f t="shared" si="473"/>
        <v>16302.521388201299</v>
      </c>
      <c r="I2976" s="3">
        <f t="shared" si="475"/>
        <v>974092.5642742652</v>
      </c>
      <c r="J2976" s="3">
        <f t="shared" si="472"/>
        <v>982210.0023098907</v>
      </c>
      <c r="K2976" s="24"/>
      <c r="L2976" s="24"/>
    </row>
    <row r="2977" spans="2:19" x14ac:dyDescent="0.35">
      <c r="B2977" s="1">
        <v>36</v>
      </c>
      <c r="C2977" s="22">
        <v>46023</v>
      </c>
      <c r="D2977" s="22">
        <v>46053</v>
      </c>
      <c r="E2977" s="23">
        <f t="shared" si="470"/>
        <v>31</v>
      </c>
      <c r="F2977" s="3">
        <f t="shared" si="471"/>
        <v>982210.0023098907</v>
      </c>
      <c r="G2977" s="3">
        <f t="shared" si="474"/>
        <v>990395.08566246647</v>
      </c>
      <c r="H2977" s="3">
        <f t="shared" si="473"/>
        <v>8185.0833525824228</v>
      </c>
      <c r="I2977" s="3">
        <f t="shared" si="475"/>
        <v>982210.00230988406</v>
      </c>
      <c r="J2977" s="3">
        <f t="shared" si="472"/>
        <v>6.6356733441352844E-9</v>
      </c>
      <c r="K2977" s="24"/>
      <c r="L2977" s="24"/>
    </row>
    <row r="2978" spans="2:19" x14ac:dyDescent="0.35">
      <c r="B2978" s="1"/>
      <c r="C2978" s="22"/>
      <c r="D2978" s="22"/>
      <c r="E2978" s="23"/>
      <c r="F2978" s="3"/>
      <c r="G2978" s="3"/>
      <c r="H2978" s="3"/>
      <c r="I2978" s="3"/>
      <c r="J2978" s="3"/>
      <c r="K2978" s="24"/>
      <c r="L2978" s="24"/>
    </row>
    <row r="2979" spans="2:19" x14ac:dyDescent="0.35">
      <c r="B2979" s="1"/>
      <c r="C2979" s="22"/>
      <c r="D2979" s="22"/>
      <c r="E2979" s="28">
        <f>SUM(E2941:E2965)</f>
        <v>737</v>
      </c>
      <c r="F2979" s="3"/>
      <c r="G2979" s="3"/>
      <c r="H2979" s="3"/>
      <c r="I2979" s="3"/>
      <c r="J2979" s="3"/>
      <c r="K2979" s="24"/>
      <c r="L2979" s="24"/>
    </row>
    <row r="2982" spans="2:19" x14ac:dyDescent="0.35">
      <c r="B2982" s="1"/>
      <c r="C2982" s="8" t="s">
        <v>927</v>
      </c>
      <c r="D2982" s="3"/>
      <c r="E2982" s="3"/>
      <c r="F2982" s="3"/>
      <c r="G2982" s="3"/>
      <c r="H2982" s="3"/>
      <c r="I2982" s="3"/>
      <c r="J2982" s="3"/>
      <c r="K2982" s="3"/>
      <c r="L2982" s="3"/>
      <c r="R2982" s="438" t="s">
        <v>832</v>
      </c>
      <c r="S2982" s="432" t="str">
        <f>IFERROR(INDEX(Blocks!$I$2:$I$101,MATCH(55,Blocks!$A$2:$A$101,0)),"")</f>
        <v>000104450000036</v>
      </c>
    </row>
    <row r="2983" spans="2:19" x14ac:dyDescent="0.35">
      <c r="B2983" s="1"/>
      <c r="C2983" s="1"/>
      <c r="D2983" s="3"/>
      <c r="E2983" s="3"/>
      <c r="F2983" s="3"/>
      <c r="G2983" s="3"/>
      <c r="H2983" s="3"/>
      <c r="I2983" s="3"/>
      <c r="J2983" s="3"/>
      <c r="K2983" s="3"/>
      <c r="L2983" s="3"/>
      <c r="R2983" s="438" t="s">
        <v>834</v>
      </c>
      <c r="S2983" s="432" t="str">
        <f>IFERROR(INDEX(Blocks!$H$2:$H$101,MATCH(55,Blocks!$A$2:$A$101,0)),"")</f>
        <v>Agribusiness Solutions Ltd</v>
      </c>
    </row>
    <row r="2984" spans="2:19" x14ac:dyDescent="0.35">
      <c r="B2984" s="1"/>
      <c r="C2984" s="9" t="s">
        <v>835</v>
      </c>
      <c r="D2984" s="10">
        <v>133814780</v>
      </c>
      <c r="E2984" s="282">
        <v>134253000</v>
      </c>
      <c r="F2984" s="3"/>
      <c r="G2984" s="3"/>
      <c r="H2984" s="3"/>
      <c r="I2984" s="3"/>
      <c r="J2984" s="3"/>
      <c r="K2984" s="3"/>
      <c r="L2984" s="3"/>
      <c r="R2984" s="438" t="s">
        <v>223</v>
      </c>
      <c r="S2984" s="433">
        <f>IFERROR(INDEX('E-Banker master'!$N$2:$N$186,MATCH(S2982,'E-Banker master'!$A$2:$A$186,0)),"")</f>
        <v>0</v>
      </c>
    </row>
    <row r="2985" spans="2:19" x14ac:dyDescent="0.35">
      <c r="B2985" s="1"/>
      <c r="C2985" s="11" t="s">
        <v>837</v>
      </c>
      <c r="D2985" s="12">
        <v>0.1</v>
      </c>
      <c r="E2985" s="13"/>
      <c r="F2985" s="3"/>
      <c r="G2985" s="3"/>
      <c r="H2985" s="3"/>
      <c r="I2985" s="3"/>
      <c r="J2985" s="3"/>
      <c r="K2985" s="3"/>
      <c r="L2985" s="3"/>
      <c r="R2985" s="438" t="s">
        <v>52</v>
      </c>
      <c r="S2985" s="433">
        <f>IFERROR(INDEX('E-Banker master'!$P$2:$P$186,MATCH(S2982,'E-Banker master'!$A$2:$A$186,0)),"")</f>
        <v>0</v>
      </c>
    </row>
    <row r="2986" spans="2:19" x14ac:dyDescent="0.35">
      <c r="B2986" s="1"/>
      <c r="C2986" s="11" t="s">
        <v>838</v>
      </c>
      <c r="D2986" s="14">
        <v>6</v>
      </c>
      <c r="E2986" s="1"/>
      <c r="F2986" s="3"/>
      <c r="G2986" s="3"/>
      <c r="H2986" s="3"/>
      <c r="I2986" s="3"/>
      <c r="J2986" s="3"/>
      <c r="K2986" s="1"/>
      <c r="L2986" s="1"/>
    </row>
    <row r="2987" spans="2:19" x14ac:dyDescent="0.35">
      <c r="B2987" s="1"/>
      <c r="C2987" s="11" t="s">
        <v>839</v>
      </c>
      <c r="D2987" s="14">
        <v>12</v>
      </c>
      <c r="E2987" s="1"/>
      <c r="F2987" s="3"/>
      <c r="G2987" s="3"/>
      <c r="H2987" s="3"/>
      <c r="I2987" s="3"/>
      <c r="J2987" s="3"/>
      <c r="K2987" s="1"/>
      <c r="L2987" s="1"/>
    </row>
    <row r="2988" spans="2:19" x14ac:dyDescent="0.35">
      <c r="B2988" s="1"/>
      <c r="C2988" s="11" t="s">
        <v>843</v>
      </c>
      <c r="D2988" s="15">
        <f>D2986*D2987</f>
        <v>72</v>
      </c>
      <c r="E2988" s="1"/>
      <c r="F2988" s="3"/>
      <c r="G2988" s="3"/>
      <c r="H2988" s="3"/>
      <c r="I2988" s="3"/>
      <c r="J2988" s="3"/>
      <c r="K2988" s="1"/>
      <c r="L2988" s="1"/>
    </row>
    <row r="2989" spans="2:19" x14ac:dyDescent="0.35">
      <c r="B2989" s="1"/>
      <c r="C2989" s="11" t="s">
        <v>844</v>
      </c>
      <c r="D2989" s="16">
        <v>365</v>
      </c>
      <c r="E2989" s="1"/>
      <c r="F2989" s="3"/>
      <c r="G2989" s="3"/>
      <c r="H2989" s="3"/>
      <c r="I2989" s="3"/>
      <c r="J2989" s="3"/>
      <c r="K2989" s="1"/>
      <c r="L2989" s="1"/>
    </row>
    <row r="2990" spans="2:19" x14ac:dyDescent="0.35">
      <c r="B2990" s="1"/>
      <c r="C2990" s="17" t="s">
        <v>845</v>
      </c>
      <c r="D2990" s="18">
        <f>-PMT(D2985/D2987,D2988,D2984,0,0)</f>
        <v>2479030.9062804156</v>
      </c>
      <c r="E2990" s="3"/>
      <c r="F2990" s="3"/>
      <c r="G2990" s="3"/>
      <c r="H2990" s="3"/>
      <c r="I2990" s="3"/>
      <c r="J2990" s="3"/>
      <c r="K2990" s="1"/>
      <c r="L2990" s="1"/>
    </row>
    <row r="2991" spans="2:19" x14ac:dyDescent="0.35">
      <c r="B2991" s="1"/>
      <c r="C2991" s="1"/>
      <c r="D2991" s="3"/>
      <c r="E2991" s="3"/>
      <c r="F2991" s="3"/>
      <c r="G2991" s="3"/>
      <c r="H2991" s="3"/>
      <c r="I2991" s="3"/>
      <c r="J2991" s="3"/>
      <c r="K2991" s="1"/>
      <c r="L2991" s="1"/>
    </row>
    <row r="2992" spans="2:19" x14ac:dyDescent="0.35">
      <c r="B2992" s="1"/>
      <c r="C2992" s="19" t="s">
        <v>846</v>
      </c>
      <c r="D2992" s="20" t="s">
        <v>847</v>
      </c>
      <c r="E2992" s="20" t="s">
        <v>764</v>
      </c>
      <c r="F2992" s="270" t="s">
        <v>848</v>
      </c>
      <c r="G2992" s="270" t="s">
        <v>849</v>
      </c>
      <c r="H2992" s="270" t="s">
        <v>742</v>
      </c>
      <c r="I2992" s="270" t="s">
        <v>740</v>
      </c>
      <c r="J2992" s="270" t="s">
        <v>850</v>
      </c>
      <c r="K2992" s="21" t="s">
        <v>851</v>
      </c>
      <c r="L2992" s="21" t="s">
        <v>852</v>
      </c>
    </row>
    <row r="2993" spans="2:12" x14ac:dyDescent="0.35">
      <c r="B2993" s="1">
        <v>0</v>
      </c>
      <c r="C2993" s="22">
        <v>44959</v>
      </c>
      <c r="D2993" s="22">
        <v>44985</v>
      </c>
      <c r="E2993" s="23">
        <f t="shared" ref="E2993:E3024" si="477">D2993-C2993+1</f>
        <v>27</v>
      </c>
      <c r="F2993" s="3">
        <f>E2984</f>
        <v>134253000</v>
      </c>
      <c r="G2993" s="3"/>
      <c r="H2993" s="3">
        <f>D2985/D2987*E2993*F2993/28</f>
        <v>1078818.75</v>
      </c>
      <c r="I2993" s="3">
        <f t="shared" ref="I2993:I3005" si="478">-H2993</f>
        <v>-1078818.75</v>
      </c>
      <c r="J2993" s="3">
        <f t="shared" ref="J2993:J3024" si="479">F2993-I2993</f>
        <v>135331818.75</v>
      </c>
      <c r="K2993" s="24"/>
      <c r="L2993" s="24"/>
    </row>
    <row r="2994" spans="2:12" x14ac:dyDescent="0.35">
      <c r="B2994" s="1">
        <v>1</v>
      </c>
      <c r="C2994" s="22">
        <v>44986</v>
      </c>
      <c r="D2994" s="22">
        <v>45016</v>
      </c>
      <c r="E2994" s="23">
        <f t="shared" si="477"/>
        <v>31</v>
      </c>
      <c r="F2994" s="3">
        <f t="shared" ref="F2994:F3025" si="480">J2993</f>
        <v>135331818.75</v>
      </c>
      <c r="G2994" s="3"/>
      <c r="H2994" s="3">
        <f t="shared" ref="H2994:H3025" si="481">($D$2985/$D$2987*F2994)</f>
        <v>1127765.15625</v>
      </c>
      <c r="I2994" s="3">
        <f t="shared" si="478"/>
        <v>-1127765.15625</v>
      </c>
      <c r="J2994" s="3">
        <f t="shared" si="479"/>
        <v>136459583.90625</v>
      </c>
      <c r="K2994" s="24"/>
      <c r="L2994" s="24"/>
    </row>
    <row r="2995" spans="2:12" x14ac:dyDescent="0.35">
      <c r="B2995" s="1">
        <v>2</v>
      </c>
      <c r="C2995" s="22">
        <v>45017</v>
      </c>
      <c r="D2995" s="22">
        <v>45046</v>
      </c>
      <c r="E2995" s="23">
        <f t="shared" si="477"/>
        <v>30</v>
      </c>
      <c r="F2995" s="3">
        <f t="shared" si="480"/>
        <v>136459583.90625</v>
      </c>
      <c r="G2995" s="3"/>
      <c r="H2995" s="3">
        <f t="shared" si="481"/>
        <v>1137163.19921875</v>
      </c>
      <c r="I2995" s="3">
        <f t="shared" si="478"/>
        <v>-1137163.19921875</v>
      </c>
      <c r="J2995" s="3">
        <f t="shared" si="479"/>
        <v>137596747.10546875</v>
      </c>
    </row>
    <row r="2996" spans="2:12" x14ac:dyDescent="0.35">
      <c r="B2996" s="1">
        <v>3</v>
      </c>
      <c r="C2996" s="22">
        <v>45047</v>
      </c>
      <c r="D2996" s="22">
        <v>45077</v>
      </c>
      <c r="E2996" s="23">
        <f t="shared" si="477"/>
        <v>31</v>
      </c>
      <c r="F2996" s="3">
        <f t="shared" si="480"/>
        <v>137596747.10546875</v>
      </c>
      <c r="G2996" s="3"/>
      <c r="H2996" s="3">
        <f t="shared" si="481"/>
        <v>1146639.5592122395</v>
      </c>
      <c r="I2996" s="3">
        <f t="shared" si="478"/>
        <v>-1146639.5592122395</v>
      </c>
      <c r="J2996" s="3">
        <f t="shared" si="479"/>
        <v>138743386.66468099</v>
      </c>
      <c r="K2996" s="24"/>
      <c r="L2996" s="24"/>
    </row>
    <row r="2997" spans="2:12" x14ac:dyDescent="0.35">
      <c r="B2997" s="1">
        <v>4</v>
      </c>
      <c r="C2997" s="22">
        <v>45078</v>
      </c>
      <c r="D2997" s="22">
        <v>45107</v>
      </c>
      <c r="E2997" s="23">
        <f t="shared" si="477"/>
        <v>30</v>
      </c>
      <c r="F2997" s="3">
        <f t="shared" si="480"/>
        <v>138743386.66468099</v>
      </c>
      <c r="G2997" s="3"/>
      <c r="H2997" s="3">
        <f t="shared" si="481"/>
        <v>1156194.8888723415</v>
      </c>
      <c r="I2997" s="3">
        <f t="shared" si="478"/>
        <v>-1156194.8888723415</v>
      </c>
      <c r="J2997" s="3">
        <f t="shared" si="479"/>
        <v>139899581.55355334</v>
      </c>
      <c r="K2997" s="24"/>
      <c r="L2997" s="24"/>
    </row>
    <row r="2998" spans="2:12" x14ac:dyDescent="0.35">
      <c r="B2998" s="1">
        <v>5</v>
      </c>
      <c r="C2998" s="22">
        <v>45108</v>
      </c>
      <c r="D2998" s="22">
        <v>45138</v>
      </c>
      <c r="E2998" s="23">
        <f t="shared" si="477"/>
        <v>31</v>
      </c>
      <c r="F2998" s="3">
        <f t="shared" si="480"/>
        <v>139899581.55355334</v>
      </c>
      <c r="G2998" s="3"/>
      <c r="H2998" s="3">
        <f t="shared" si="481"/>
        <v>1165829.8462796111</v>
      </c>
      <c r="I2998" s="3">
        <f t="shared" si="478"/>
        <v>-1165829.8462796111</v>
      </c>
      <c r="J2998" s="3">
        <f t="shared" si="479"/>
        <v>141065411.39983296</v>
      </c>
      <c r="K2998" s="24"/>
      <c r="L2998" s="24"/>
    </row>
    <row r="2999" spans="2:12" x14ac:dyDescent="0.35">
      <c r="B2999" s="1">
        <v>6</v>
      </c>
      <c r="C2999" s="22">
        <v>45139</v>
      </c>
      <c r="D2999" s="22">
        <v>45169</v>
      </c>
      <c r="E2999" s="23">
        <f t="shared" si="477"/>
        <v>31</v>
      </c>
      <c r="F2999" s="3">
        <f t="shared" si="480"/>
        <v>141065411.39983296</v>
      </c>
      <c r="G2999" s="3"/>
      <c r="H2999" s="3">
        <f t="shared" si="481"/>
        <v>1175545.0949986081</v>
      </c>
      <c r="I2999" s="3">
        <f t="shared" si="478"/>
        <v>-1175545.0949986081</v>
      </c>
      <c r="J2999" s="3">
        <f t="shared" si="479"/>
        <v>142240956.49483156</v>
      </c>
      <c r="K2999" s="24"/>
      <c r="L2999" s="26"/>
    </row>
    <row r="3000" spans="2:12" x14ac:dyDescent="0.35">
      <c r="B3000" s="1">
        <v>7</v>
      </c>
      <c r="C3000" s="22">
        <v>45170</v>
      </c>
      <c r="D3000" s="22">
        <v>45199</v>
      </c>
      <c r="E3000" s="23">
        <f t="shared" si="477"/>
        <v>30</v>
      </c>
      <c r="F3000" s="3">
        <f t="shared" si="480"/>
        <v>142240956.49483156</v>
      </c>
      <c r="G3000" s="3"/>
      <c r="H3000" s="3">
        <f t="shared" si="481"/>
        <v>1185341.3041235963</v>
      </c>
      <c r="I3000" s="3">
        <f t="shared" si="478"/>
        <v>-1185341.3041235963</v>
      </c>
      <c r="J3000" s="3">
        <f t="shared" si="479"/>
        <v>143426297.79895517</v>
      </c>
      <c r="K3000" s="24"/>
      <c r="L3000" s="24"/>
    </row>
    <row r="3001" spans="2:12" x14ac:dyDescent="0.35">
      <c r="B3001" s="1">
        <v>8</v>
      </c>
      <c r="C3001" s="22">
        <v>45200</v>
      </c>
      <c r="D3001" s="22">
        <v>45230</v>
      </c>
      <c r="E3001" s="23">
        <f t="shared" si="477"/>
        <v>31</v>
      </c>
      <c r="F3001" s="3">
        <f t="shared" si="480"/>
        <v>143426297.79895517</v>
      </c>
      <c r="G3001" s="3"/>
      <c r="H3001" s="3">
        <f t="shared" si="481"/>
        <v>1195219.1483246265</v>
      </c>
      <c r="I3001" s="3">
        <f t="shared" si="478"/>
        <v>-1195219.1483246265</v>
      </c>
      <c r="J3001" s="3">
        <f t="shared" si="479"/>
        <v>144621516.94727981</v>
      </c>
      <c r="K3001" s="24"/>
      <c r="L3001" s="24"/>
    </row>
    <row r="3002" spans="2:12" x14ac:dyDescent="0.35">
      <c r="B3002" s="1">
        <v>9</v>
      </c>
      <c r="C3002" s="22">
        <v>45231</v>
      </c>
      <c r="D3002" s="22">
        <v>45260</v>
      </c>
      <c r="E3002" s="23">
        <f t="shared" si="477"/>
        <v>30</v>
      </c>
      <c r="F3002" s="3">
        <f t="shared" si="480"/>
        <v>144621516.94727981</v>
      </c>
      <c r="G3002" s="3"/>
      <c r="H3002" s="3">
        <f t="shared" si="481"/>
        <v>1205179.3078939985</v>
      </c>
      <c r="I3002" s="3">
        <f t="shared" si="478"/>
        <v>-1205179.3078939985</v>
      </c>
      <c r="J3002" s="3">
        <f t="shared" si="479"/>
        <v>145826696.2551738</v>
      </c>
      <c r="K3002" s="24"/>
      <c r="L3002" s="26"/>
    </row>
    <row r="3003" spans="2:12" x14ac:dyDescent="0.35">
      <c r="B3003" s="1">
        <v>10</v>
      </c>
      <c r="C3003" s="22">
        <v>45261</v>
      </c>
      <c r="D3003" s="22">
        <v>45291</v>
      </c>
      <c r="E3003" s="23">
        <f t="shared" si="477"/>
        <v>31</v>
      </c>
      <c r="F3003" s="3">
        <f t="shared" si="480"/>
        <v>145826696.2551738</v>
      </c>
      <c r="G3003" s="3"/>
      <c r="H3003" s="3">
        <f t="shared" si="481"/>
        <v>1215222.4687931151</v>
      </c>
      <c r="I3003" s="3">
        <f t="shared" si="478"/>
        <v>-1215222.4687931151</v>
      </c>
      <c r="J3003" s="3">
        <f t="shared" si="479"/>
        <v>147041918.72396693</v>
      </c>
      <c r="K3003" s="24"/>
      <c r="L3003" s="24"/>
    </row>
    <row r="3004" spans="2:12" x14ac:dyDescent="0.35">
      <c r="B3004" s="1">
        <v>11</v>
      </c>
      <c r="C3004" s="22">
        <v>45292</v>
      </c>
      <c r="D3004" s="22">
        <v>45322</v>
      </c>
      <c r="E3004" s="23">
        <f t="shared" si="477"/>
        <v>31</v>
      </c>
      <c r="F3004" s="3">
        <f t="shared" si="480"/>
        <v>147041918.72396693</v>
      </c>
      <c r="G3004" s="3"/>
      <c r="H3004" s="3">
        <f t="shared" si="481"/>
        <v>1225349.3226997245</v>
      </c>
      <c r="I3004" s="3">
        <f t="shared" si="478"/>
        <v>-1225349.3226997245</v>
      </c>
      <c r="J3004" s="3">
        <f t="shared" si="479"/>
        <v>148267268.04666665</v>
      </c>
      <c r="K3004" s="24"/>
      <c r="L3004" s="24"/>
    </row>
    <row r="3005" spans="2:12" x14ac:dyDescent="0.35">
      <c r="B3005" s="1">
        <v>12</v>
      </c>
      <c r="C3005" s="22">
        <v>45323</v>
      </c>
      <c r="D3005" s="22">
        <v>45351</v>
      </c>
      <c r="E3005" s="23">
        <f t="shared" si="477"/>
        <v>29</v>
      </c>
      <c r="F3005" s="3">
        <f t="shared" si="480"/>
        <v>148267268.04666665</v>
      </c>
      <c r="G3005" s="3"/>
      <c r="H3005" s="3">
        <f t="shared" si="481"/>
        <v>1235560.5670555555</v>
      </c>
      <c r="I3005" s="3">
        <f t="shared" si="478"/>
        <v>-1235560.5670555555</v>
      </c>
      <c r="J3005" s="3">
        <f t="shared" si="479"/>
        <v>149502828.61372221</v>
      </c>
      <c r="K3005" s="24"/>
      <c r="L3005" s="24"/>
    </row>
    <row r="3006" spans="2:12" x14ac:dyDescent="0.35">
      <c r="B3006" s="1">
        <v>13</v>
      </c>
      <c r="C3006" s="22">
        <v>45352</v>
      </c>
      <c r="D3006" s="22">
        <v>45382</v>
      </c>
      <c r="E3006" s="23">
        <f t="shared" si="477"/>
        <v>31</v>
      </c>
      <c r="F3006" s="3">
        <f t="shared" si="480"/>
        <v>149502828.61372221</v>
      </c>
      <c r="G3006" s="3">
        <f t="shared" ref="G3006:G3037" si="482">-PMT($D$2985/$D$2987,60,$F$3006,,0)</f>
        <v>3176493.2840168336</v>
      </c>
      <c r="H3006" s="3">
        <f t="shared" si="481"/>
        <v>1245856.9051143518</v>
      </c>
      <c r="I3006" s="3">
        <f t="shared" ref="I3006:I3037" si="483">G3006-H3006</f>
        <v>1930636.3789024819</v>
      </c>
      <c r="J3006" s="3">
        <f t="shared" si="479"/>
        <v>147572192.23481971</v>
      </c>
      <c r="K3006" s="24"/>
      <c r="L3006" s="25">
        <f t="shared" ref="L3006:L3013" si="484">L3005+G3006-K3006</f>
        <v>3176493.2840168336</v>
      </c>
    </row>
    <row r="3007" spans="2:12" x14ac:dyDescent="0.35">
      <c r="B3007" s="1">
        <v>14</v>
      </c>
      <c r="C3007" s="22">
        <v>45383</v>
      </c>
      <c r="D3007" s="22">
        <v>45412</v>
      </c>
      <c r="E3007" s="23">
        <f t="shared" si="477"/>
        <v>30</v>
      </c>
      <c r="F3007" s="3">
        <f t="shared" si="480"/>
        <v>147572192.23481971</v>
      </c>
      <c r="G3007" s="3">
        <f t="shared" si="482"/>
        <v>3176493.2840168336</v>
      </c>
      <c r="H3007" s="3">
        <f t="shared" si="481"/>
        <v>1229768.2686234976</v>
      </c>
      <c r="I3007" s="3">
        <f t="shared" si="483"/>
        <v>1946725.0153933361</v>
      </c>
      <c r="J3007" s="3">
        <f t="shared" si="479"/>
        <v>145625467.21942636</v>
      </c>
      <c r="K3007" s="24">
        <v>3200000</v>
      </c>
      <c r="L3007" s="25">
        <f t="shared" si="484"/>
        <v>3152986.5680336673</v>
      </c>
    </row>
    <row r="3008" spans="2:12" x14ac:dyDescent="0.35">
      <c r="B3008" s="1">
        <v>15</v>
      </c>
      <c r="C3008" s="22">
        <v>45413</v>
      </c>
      <c r="D3008" s="22">
        <v>45443</v>
      </c>
      <c r="E3008" s="23">
        <f t="shared" si="477"/>
        <v>31</v>
      </c>
      <c r="F3008" s="3">
        <f t="shared" si="480"/>
        <v>145625467.21942636</v>
      </c>
      <c r="G3008" s="3">
        <f t="shared" si="482"/>
        <v>3176493.2840168336</v>
      </c>
      <c r="H3008" s="3">
        <f t="shared" si="481"/>
        <v>1213545.5601618863</v>
      </c>
      <c r="I3008" s="3">
        <f t="shared" si="483"/>
        <v>1962947.7238549474</v>
      </c>
      <c r="J3008" s="3">
        <f t="shared" si="479"/>
        <v>143662519.4955714</v>
      </c>
      <c r="K3008" s="24"/>
      <c r="L3008" s="25">
        <f t="shared" si="484"/>
        <v>6329479.8520505009</v>
      </c>
    </row>
    <row r="3009" spans="2:12" x14ac:dyDescent="0.35">
      <c r="B3009" s="1">
        <v>16</v>
      </c>
      <c r="C3009" s="22">
        <v>45444</v>
      </c>
      <c r="D3009" s="22">
        <v>45473</v>
      </c>
      <c r="E3009" s="23">
        <f t="shared" si="477"/>
        <v>30</v>
      </c>
      <c r="F3009" s="3">
        <f t="shared" si="480"/>
        <v>143662519.4955714</v>
      </c>
      <c r="G3009" s="3">
        <f t="shared" si="482"/>
        <v>3176493.2840168336</v>
      </c>
      <c r="H3009" s="3">
        <f t="shared" si="481"/>
        <v>1197187.662463095</v>
      </c>
      <c r="I3009" s="3">
        <f t="shared" si="483"/>
        <v>1979305.6215537386</v>
      </c>
      <c r="J3009" s="3">
        <f t="shared" si="479"/>
        <v>141683213.87401766</v>
      </c>
      <c r="K3009" s="24">
        <v>4000000</v>
      </c>
      <c r="L3009" s="25">
        <f t="shared" si="484"/>
        <v>5505973.1360673346</v>
      </c>
    </row>
    <row r="3010" spans="2:12" x14ac:dyDescent="0.35">
      <c r="B3010" s="1">
        <v>17</v>
      </c>
      <c r="C3010" s="22">
        <v>45474</v>
      </c>
      <c r="D3010" s="22">
        <v>45504</v>
      </c>
      <c r="E3010" s="23">
        <f t="shared" si="477"/>
        <v>31</v>
      </c>
      <c r="F3010" s="3">
        <f t="shared" si="480"/>
        <v>141683213.87401766</v>
      </c>
      <c r="G3010" s="3">
        <f t="shared" si="482"/>
        <v>3176493.2840168336</v>
      </c>
      <c r="H3010" s="3">
        <f t="shared" si="481"/>
        <v>1180693.448950147</v>
      </c>
      <c r="I3010" s="3">
        <f t="shared" si="483"/>
        <v>1995799.8350666866</v>
      </c>
      <c r="J3010" s="3">
        <f t="shared" si="479"/>
        <v>139687414.03895098</v>
      </c>
      <c r="K3010" s="24">
        <v>4000000</v>
      </c>
      <c r="L3010" s="25">
        <f t="shared" si="484"/>
        <v>4682466.4200841673</v>
      </c>
    </row>
    <row r="3011" spans="2:12" x14ac:dyDescent="0.35">
      <c r="B3011" s="1">
        <v>18</v>
      </c>
      <c r="C3011" s="22">
        <v>45505</v>
      </c>
      <c r="D3011" s="22">
        <v>45535</v>
      </c>
      <c r="E3011" s="23">
        <f t="shared" si="477"/>
        <v>31</v>
      </c>
      <c r="F3011" s="3">
        <f t="shared" si="480"/>
        <v>139687414.03895098</v>
      </c>
      <c r="G3011" s="3">
        <f t="shared" si="482"/>
        <v>3176493.2840168336</v>
      </c>
      <c r="H3011" s="3">
        <f t="shared" si="481"/>
        <v>1164061.7836579247</v>
      </c>
      <c r="I3011" s="3">
        <f t="shared" si="483"/>
        <v>2012431.5003589089</v>
      </c>
      <c r="J3011" s="3">
        <f t="shared" si="479"/>
        <v>137674982.53859207</v>
      </c>
      <c r="K3011" s="24">
        <v>4000000</v>
      </c>
      <c r="L3011" s="25">
        <f t="shared" si="484"/>
        <v>3858959.7041010009</v>
      </c>
    </row>
    <row r="3012" spans="2:12" x14ac:dyDescent="0.35">
      <c r="B3012" s="1">
        <v>19</v>
      </c>
      <c r="C3012" s="22">
        <v>45536</v>
      </c>
      <c r="D3012" s="22">
        <v>45565</v>
      </c>
      <c r="E3012" s="23">
        <f t="shared" si="477"/>
        <v>30</v>
      </c>
      <c r="F3012" s="3">
        <f t="shared" si="480"/>
        <v>137674982.53859207</v>
      </c>
      <c r="G3012" s="3">
        <f t="shared" si="482"/>
        <v>3176493.2840168336</v>
      </c>
      <c r="H3012" s="3">
        <f t="shared" si="481"/>
        <v>1147291.5211549338</v>
      </c>
      <c r="I3012" s="3">
        <f t="shared" si="483"/>
        <v>2029201.7628618998</v>
      </c>
      <c r="J3012" s="3">
        <f t="shared" si="479"/>
        <v>135645780.77573016</v>
      </c>
      <c r="K3012" s="24">
        <f>4000000</f>
        <v>4000000</v>
      </c>
      <c r="L3012" s="25">
        <f t="shared" si="484"/>
        <v>3035452.9881178346</v>
      </c>
    </row>
    <row r="3013" spans="2:12" x14ac:dyDescent="0.35">
      <c r="B3013" s="1">
        <v>20</v>
      </c>
      <c r="C3013" s="22">
        <v>45566</v>
      </c>
      <c r="D3013" s="22">
        <v>45596</v>
      </c>
      <c r="E3013" s="23">
        <f t="shared" si="477"/>
        <v>31</v>
      </c>
      <c r="F3013" s="3">
        <f t="shared" si="480"/>
        <v>135645780.77573016</v>
      </c>
      <c r="G3013" s="3">
        <f t="shared" si="482"/>
        <v>3176493.2840168336</v>
      </c>
      <c r="H3013" s="3">
        <f t="shared" si="481"/>
        <v>1130381.506464418</v>
      </c>
      <c r="I3013" s="3">
        <f t="shared" si="483"/>
        <v>2046111.7775524156</v>
      </c>
      <c r="J3013" s="3">
        <f t="shared" si="479"/>
        <v>133599668.99817775</v>
      </c>
      <c r="K3013" s="24">
        <v>4000000</v>
      </c>
      <c r="L3013" s="302">
        <f t="shared" si="484"/>
        <v>2211946.2721346682</v>
      </c>
    </row>
    <row r="3014" spans="2:12" x14ac:dyDescent="0.35">
      <c r="B3014" s="1">
        <v>21</v>
      </c>
      <c r="C3014" s="22">
        <v>45597</v>
      </c>
      <c r="D3014" s="22">
        <v>45626</v>
      </c>
      <c r="E3014" s="23">
        <f t="shared" si="477"/>
        <v>30</v>
      </c>
      <c r="F3014" s="3">
        <f t="shared" si="480"/>
        <v>133599668.99817775</v>
      </c>
      <c r="G3014" s="3">
        <f t="shared" si="482"/>
        <v>3176493.2840168336</v>
      </c>
      <c r="H3014" s="3">
        <f t="shared" si="481"/>
        <v>1113330.5749848145</v>
      </c>
      <c r="I3014" s="3">
        <f t="shared" si="483"/>
        <v>2063162.7090320191</v>
      </c>
      <c r="J3014" s="3">
        <f t="shared" si="479"/>
        <v>131536506.28914574</v>
      </c>
      <c r="K3014" s="24"/>
      <c r="L3014" s="24"/>
    </row>
    <row r="3015" spans="2:12" x14ac:dyDescent="0.35">
      <c r="B3015" s="1">
        <v>22</v>
      </c>
      <c r="C3015" s="22">
        <v>45627</v>
      </c>
      <c r="D3015" s="22">
        <v>45657</v>
      </c>
      <c r="E3015" s="23">
        <f t="shared" si="477"/>
        <v>31</v>
      </c>
      <c r="F3015" s="3">
        <f t="shared" si="480"/>
        <v>131536506.28914574</v>
      </c>
      <c r="G3015" s="3">
        <f t="shared" si="482"/>
        <v>3176493.2840168336</v>
      </c>
      <c r="H3015" s="3">
        <f t="shared" si="481"/>
        <v>1096137.5524095478</v>
      </c>
      <c r="I3015" s="3">
        <f t="shared" si="483"/>
        <v>2080355.7316072858</v>
      </c>
      <c r="J3015" s="3">
        <f t="shared" si="479"/>
        <v>129456150.55753845</v>
      </c>
      <c r="K3015" s="24"/>
      <c r="L3015" s="24"/>
    </row>
    <row r="3016" spans="2:12" x14ac:dyDescent="0.35">
      <c r="B3016" s="1">
        <v>23</v>
      </c>
      <c r="C3016" s="22">
        <v>45658</v>
      </c>
      <c r="D3016" s="22">
        <v>45688</v>
      </c>
      <c r="E3016" s="23">
        <f t="shared" si="477"/>
        <v>31</v>
      </c>
      <c r="F3016" s="3">
        <f t="shared" si="480"/>
        <v>129456150.55753845</v>
      </c>
      <c r="G3016" s="3">
        <f t="shared" si="482"/>
        <v>3176493.2840168336</v>
      </c>
      <c r="H3016" s="3">
        <f t="shared" si="481"/>
        <v>1078801.2546461537</v>
      </c>
      <c r="I3016" s="3">
        <f t="shared" si="483"/>
        <v>2097692.02937068</v>
      </c>
      <c r="J3016" s="3">
        <f t="shared" si="479"/>
        <v>127358458.52816777</v>
      </c>
      <c r="K3016" s="24"/>
      <c r="L3016" s="24"/>
    </row>
    <row r="3017" spans="2:12" x14ac:dyDescent="0.35">
      <c r="B3017" s="1">
        <v>24</v>
      </c>
      <c r="C3017" s="22">
        <v>45689</v>
      </c>
      <c r="D3017" s="22">
        <v>45716</v>
      </c>
      <c r="E3017" s="23">
        <f t="shared" si="477"/>
        <v>28</v>
      </c>
      <c r="F3017" s="3">
        <f t="shared" si="480"/>
        <v>127358458.52816777</v>
      </c>
      <c r="G3017" s="3">
        <f t="shared" si="482"/>
        <v>3176493.2840168336</v>
      </c>
      <c r="H3017" s="3">
        <f t="shared" si="481"/>
        <v>1061320.4877347313</v>
      </c>
      <c r="I3017" s="3">
        <f t="shared" si="483"/>
        <v>2115172.7962821024</v>
      </c>
      <c r="J3017" s="3">
        <f t="shared" si="479"/>
        <v>125243285.73188567</v>
      </c>
      <c r="K3017" s="24"/>
      <c r="L3017" s="24"/>
    </row>
    <row r="3018" spans="2:12" x14ac:dyDescent="0.35">
      <c r="B3018" s="1">
        <v>25</v>
      </c>
      <c r="C3018" s="22">
        <v>45717</v>
      </c>
      <c r="D3018" s="22">
        <v>45747</v>
      </c>
      <c r="E3018" s="23">
        <f t="shared" si="477"/>
        <v>31</v>
      </c>
      <c r="F3018" s="3">
        <f t="shared" si="480"/>
        <v>125243285.73188567</v>
      </c>
      <c r="G3018" s="3">
        <f t="shared" si="482"/>
        <v>3176493.2840168336</v>
      </c>
      <c r="H3018" s="3">
        <f t="shared" si="481"/>
        <v>1043694.0477657139</v>
      </c>
      <c r="I3018" s="3">
        <f t="shared" si="483"/>
        <v>2132799.2362511195</v>
      </c>
      <c r="J3018" s="3">
        <f t="shared" si="479"/>
        <v>123110486.49563456</v>
      </c>
      <c r="K3018" s="24"/>
      <c r="L3018" s="24"/>
    </row>
    <row r="3019" spans="2:12" x14ac:dyDescent="0.35">
      <c r="B3019" s="1">
        <v>26</v>
      </c>
      <c r="C3019" s="22">
        <v>45748</v>
      </c>
      <c r="D3019" s="22">
        <v>45777</v>
      </c>
      <c r="E3019" s="23">
        <f t="shared" si="477"/>
        <v>30</v>
      </c>
      <c r="F3019" s="3">
        <f t="shared" si="480"/>
        <v>123110486.49563456</v>
      </c>
      <c r="G3019" s="3">
        <f t="shared" si="482"/>
        <v>3176493.2840168336</v>
      </c>
      <c r="H3019" s="3">
        <f t="shared" si="481"/>
        <v>1025920.7207969546</v>
      </c>
      <c r="I3019" s="3">
        <f t="shared" si="483"/>
        <v>2150572.5632198788</v>
      </c>
      <c r="J3019" s="3">
        <f t="shared" si="479"/>
        <v>120959913.93241468</v>
      </c>
      <c r="K3019" s="24"/>
      <c r="L3019" s="24"/>
    </row>
    <row r="3020" spans="2:12" x14ac:dyDescent="0.35">
      <c r="B3020" s="1">
        <v>27</v>
      </c>
      <c r="C3020" s="22">
        <v>45778</v>
      </c>
      <c r="D3020" s="22">
        <v>45808</v>
      </c>
      <c r="E3020" s="23">
        <f t="shared" si="477"/>
        <v>31</v>
      </c>
      <c r="F3020" s="3">
        <f t="shared" si="480"/>
        <v>120959913.93241468</v>
      </c>
      <c r="G3020" s="3">
        <f t="shared" si="482"/>
        <v>3176493.2840168336</v>
      </c>
      <c r="H3020" s="3">
        <f t="shared" si="481"/>
        <v>1007999.2827701223</v>
      </c>
      <c r="I3020" s="3">
        <f t="shared" si="483"/>
        <v>2168494.0012467112</v>
      </c>
      <c r="J3020" s="3">
        <f t="shared" si="479"/>
        <v>118791419.93116798</v>
      </c>
      <c r="K3020" s="24"/>
      <c r="L3020" s="24"/>
    </row>
    <row r="3021" spans="2:12" x14ac:dyDescent="0.35">
      <c r="B3021" s="1">
        <v>28</v>
      </c>
      <c r="C3021" s="22">
        <v>45809</v>
      </c>
      <c r="D3021" s="22">
        <v>45838</v>
      </c>
      <c r="E3021" s="23">
        <f t="shared" si="477"/>
        <v>30</v>
      </c>
      <c r="F3021" s="3">
        <f t="shared" si="480"/>
        <v>118791419.93116798</v>
      </c>
      <c r="G3021" s="3">
        <f t="shared" si="482"/>
        <v>3176493.2840168336</v>
      </c>
      <c r="H3021" s="3">
        <f t="shared" si="481"/>
        <v>989928.49942639982</v>
      </c>
      <c r="I3021" s="3">
        <f t="shared" si="483"/>
        <v>2186564.7845904338</v>
      </c>
      <c r="J3021" s="3">
        <f t="shared" si="479"/>
        <v>116604855.14657754</v>
      </c>
      <c r="K3021" s="24"/>
      <c r="L3021" s="24"/>
    </row>
    <row r="3022" spans="2:12" x14ac:dyDescent="0.35">
      <c r="B3022" s="1">
        <v>29</v>
      </c>
      <c r="C3022" s="22">
        <v>45839</v>
      </c>
      <c r="D3022" s="22">
        <v>45869</v>
      </c>
      <c r="E3022" s="23">
        <f t="shared" si="477"/>
        <v>31</v>
      </c>
      <c r="F3022" s="3">
        <f t="shared" si="480"/>
        <v>116604855.14657754</v>
      </c>
      <c r="G3022" s="3">
        <f t="shared" si="482"/>
        <v>3176493.2840168336</v>
      </c>
      <c r="H3022" s="3">
        <f t="shared" si="481"/>
        <v>971707.1262214795</v>
      </c>
      <c r="I3022" s="3">
        <f t="shared" si="483"/>
        <v>2204786.1577953543</v>
      </c>
      <c r="J3022" s="3">
        <f t="shared" si="479"/>
        <v>114400068.98878218</v>
      </c>
      <c r="K3022" s="24"/>
      <c r="L3022" s="24"/>
    </row>
    <row r="3023" spans="2:12" x14ac:dyDescent="0.35">
      <c r="B3023" s="1">
        <v>30</v>
      </c>
      <c r="C3023" s="22">
        <v>45870</v>
      </c>
      <c r="D3023" s="22">
        <v>45900</v>
      </c>
      <c r="E3023" s="23">
        <f t="shared" si="477"/>
        <v>31</v>
      </c>
      <c r="F3023" s="3">
        <f t="shared" si="480"/>
        <v>114400068.98878218</v>
      </c>
      <c r="G3023" s="3">
        <f t="shared" si="482"/>
        <v>3176493.2840168336</v>
      </c>
      <c r="H3023" s="3">
        <f t="shared" si="481"/>
        <v>953333.90823985147</v>
      </c>
      <c r="I3023" s="3">
        <f t="shared" si="483"/>
        <v>2223159.3757769819</v>
      </c>
      <c r="J3023" s="3">
        <f t="shared" si="479"/>
        <v>112176909.61300521</v>
      </c>
      <c r="K3023" s="24"/>
      <c r="L3023" s="24"/>
    </row>
    <row r="3024" spans="2:12" x14ac:dyDescent="0.35">
      <c r="B3024" s="1">
        <v>31</v>
      </c>
      <c r="C3024" s="22">
        <v>45901</v>
      </c>
      <c r="D3024" s="22">
        <v>45930</v>
      </c>
      <c r="E3024" s="23">
        <f t="shared" si="477"/>
        <v>30</v>
      </c>
      <c r="F3024" s="3">
        <f t="shared" si="480"/>
        <v>112176909.61300521</v>
      </c>
      <c r="G3024" s="3">
        <f t="shared" si="482"/>
        <v>3176493.2840168336</v>
      </c>
      <c r="H3024" s="3">
        <f t="shared" si="481"/>
        <v>934807.58010837669</v>
      </c>
      <c r="I3024" s="3">
        <f t="shared" si="483"/>
        <v>2241685.703908457</v>
      </c>
      <c r="J3024" s="3">
        <f t="shared" si="479"/>
        <v>109935223.90909675</v>
      </c>
      <c r="K3024" s="24"/>
      <c r="L3024" s="24"/>
    </row>
    <row r="3025" spans="2:12" x14ac:dyDescent="0.35">
      <c r="B3025" s="1">
        <v>32</v>
      </c>
      <c r="C3025" s="22">
        <v>45931</v>
      </c>
      <c r="D3025" s="22">
        <v>45961</v>
      </c>
      <c r="E3025" s="23">
        <f t="shared" ref="E3025:E3056" si="485">D3025-C3025+1</f>
        <v>31</v>
      </c>
      <c r="F3025" s="3">
        <f t="shared" si="480"/>
        <v>109935223.90909675</v>
      </c>
      <c r="G3025" s="3">
        <f t="shared" si="482"/>
        <v>3176493.2840168336</v>
      </c>
      <c r="H3025" s="3">
        <f t="shared" si="481"/>
        <v>916126.86590913951</v>
      </c>
      <c r="I3025" s="3">
        <f t="shared" si="483"/>
        <v>2260366.418107694</v>
      </c>
      <c r="J3025" s="3">
        <f t="shared" ref="J3025:J3056" si="486">F3025-I3025</f>
        <v>107674857.49098906</v>
      </c>
      <c r="K3025" s="24"/>
      <c r="L3025" s="24"/>
    </row>
    <row r="3026" spans="2:12" x14ac:dyDescent="0.35">
      <c r="B3026" s="1">
        <v>33</v>
      </c>
      <c r="C3026" s="22">
        <v>45962</v>
      </c>
      <c r="D3026" s="22">
        <v>45991</v>
      </c>
      <c r="E3026" s="23">
        <f t="shared" si="485"/>
        <v>30</v>
      </c>
      <c r="F3026" s="3">
        <f t="shared" ref="F3026:F3057" si="487">J3025</f>
        <v>107674857.49098906</v>
      </c>
      <c r="G3026" s="3">
        <f t="shared" si="482"/>
        <v>3176493.2840168336</v>
      </c>
      <c r="H3026" s="3">
        <f t="shared" ref="H3026:H3057" si="488">($D$2985/$D$2987*F3026)</f>
        <v>897290.47909157549</v>
      </c>
      <c r="I3026" s="3">
        <f t="shared" si="483"/>
        <v>2279202.8049252583</v>
      </c>
      <c r="J3026" s="3">
        <f t="shared" si="486"/>
        <v>105395654.6860638</v>
      </c>
      <c r="K3026" s="24"/>
      <c r="L3026" s="24"/>
    </row>
    <row r="3027" spans="2:12" x14ac:dyDescent="0.35">
      <c r="B3027" s="1">
        <v>34</v>
      </c>
      <c r="C3027" s="22">
        <v>45992</v>
      </c>
      <c r="D3027" s="22">
        <v>46022</v>
      </c>
      <c r="E3027" s="23">
        <f t="shared" si="485"/>
        <v>31</v>
      </c>
      <c r="F3027" s="3">
        <f t="shared" si="487"/>
        <v>105395654.6860638</v>
      </c>
      <c r="G3027" s="3">
        <f t="shared" si="482"/>
        <v>3176493.2840168336</v>
      </c>
      <c r="H3027" s="3">
        <f t="shared" si="488"/>
        <v>878297.12238386495</v>
      </c>
      <c r="I3027" s="3">
        <f t="shared" si="483"/>
        <v>2298196.1616329686</v>
      </c>
      <c r="J3027" s="3">
        <f t="shared" si="486"/>
        <v>103097458.52443083</v>
      </c>
      <c r="K3027" s="24"/>
      <c r="L3027" s="24"/>
    </row>
    <row r="3028" spans="2:12" x14ac:dyDescent="0.35">
      <c r="B3028" s="1">
        <v>35</v>
      </c>
      <c r="C3028" s="22">
        <v>45992</v>
      </c>
      <c r="D3028" s="22">
        <v>46022</v>
      </c>
      <c r="E3028" s="23">
        <f t="shared" si="485"/>
        <v>31</v>
      </c>
      <c r="F3028" s="3">
        <f t="shared" si="487"/>
        <v>103097458.52443083</v>
      </c>
      <c r="G3028" s="3">
        <f t="shared" si="482"/>
        <v>3176493.2840168336</v>
      </c>
      <c r="H3028" s="3">
        <f t="shared" si="488"/>
        <v>859145.48770359019</v>
      </c>
      <c r="I3028" s="3">
        <f t="shared" si="483"/>
        <v>2317347.7963132435</v>
      </c>
      <c r="J3028" s="3">
        <f t="shared" si="486"/>
        <v>100780110.72811759</v>
      </c>
      <c r="K3028" s="24"/>
      <c r="L3028" s="24"/>
    </row>
    <row r="3029" spans="2:12" x14ac:dyDescent="0.35">
      <c r="B3029" s="1">
        <v>36</v>
      </c>
      <c r="C3029" s="22">
        <v>45992</v>
      </c>
      <c r="D3029" s="22">
        <v>46022</v>
      </c>
      <c r="E3029" s="23">
        <f t="shared" si="485"/>
        <v>31</v>
      </c>
      <c r="F3029" s="3">
        <f t="shared" si="487"/>
        <v>100780110.72811759</v>
      </c>
      <c r="G3029" s="3">
        <f t="shared" si="482"/>
        <v>3176493.2840168336</v>
      </c>
      <c r="H3029" s="3">
        <f t="shared" si="488"/>
        <v>839834.25606764655</v>
      </c>
      <c r="I3029" s="3">
        <f t="shared" si="483"/>
        <v>2336659.027949187</v>
      </c>
      <c r="J3029" s="3">
        <f t="shared" si="486"/>
        <v>98443451.700168401</v>
      </c>
      <c r="K3029" s="24"/>
      <c r="L3029" s="24"/>
    </row>
    <row r="3030" spans="2:12" x14ac:dyDescent="0.35">
      <c r="B3030" s="1">
        <v>37</v>
      </c>
      <c r="C3030" s="22">
        <v>45992</v>
      </c>
      <c r="D3030" s="22">
        <v>46022</v>
      </c>
      <c r="E3030" s="23">
        <f t="shared" si="485"/>
        <v>31</v>
      </c>
      <c r="F3030" s="3">
        <f t="shared" si="487"/>
        <v>98443451.700168401</v>
      </c>
      <c r="G3030" s="3">
        <f t="shared" si="482"/>
        <v>3176493.2840168336</v>
      </c>
      <c r="H3030" s="3">
        <f t="shared" si="488"/>
        <v>820362.0975014033</v>
      </c>
      <c r="I3030" s="3">
        <f t="shared" si="483"/>
        <v>2356131.1865154305</v>
      </c>
      <c r="J3030" s="3">
        <f t="shared" si="486"/>
        <v>96087320.513652965</v>
      </c>
      <c r="K3030" s="24"/>
      <c r="L3030" s="24"/>
    </row>
    <row r="3031" spans="2:12" x14ac:dyDescent="0.35">
      <c r="B3031" s="1">
        <v>38</v>
      </c>
      <c r="C3031" s="22">
        <v>45992</v>
      </c>
      <c r="D3031" s="22">
        <v>46022</v>
      </c>
      <c r="E3031" s="23">
        <f t="shared" si="485"/>
        <v>31</v>
      </c>
      <c r="F3031" s="3">
        <f t="shared" si="487"/>
        <v>96087320.513652965</v>
      </c>
      <c r="G3031" s="3">
        <f t="shared" si="482"/>
        <v>3176493.2840168336</v>
      </c>
      <c r="H3031" s="3">
        <f t="shared" si="488"/>
        <v>800727.67094710807</v>
      </c>
      <c r="I3031" s="3">
        <f t="shared" si="483"/>
        <v>2375765.6130697257</v>
      </c>
      <c r="J3031" s="3">
        <f t="shared" si="486"/>
        <v>93711554.900583237</v>
      </c>
      <c r="K3031" s="24"/>
      <c r="L3031" s="24"/>
    </row>
    <row r="3032" spans="2:12" x14ac:dyDescent="0.35">
      <c r="B3032" s="1">
        <v>39</v>
      </c>
      <c r="C3032" s="22">
        <v>45992</v>
      </c>
      <c r="D3032" s="22">
        <v>46022</v>
      </c>
      <c r="E3032" s="23">
        <f t="shared" si="485"/>
        <v>31</v>
      </c>
      <c r="F3032" s="3">
        <f t="shared" si="487"/>
        <v>93711554.900583237</v>
      </c>
      <c r="G3032" s="3">
        <f t="shared" si="482"/>
        <v>3176493.2840168336</v>
      </c>
      <c r="H3032" s="3">
        <f t="shared" si="488"/>
        <v>780929.62417152699</v>
      </c>
      <c r="I3032" s="3">
        <f t="shared" si="483"/>
        <v>2395563.6598453065</v>
      </c>
      <c r="J3032" s="3">
        <f t="shared" si="486"/>
        <v>91315991.24073793</v>
      </c>
      <c r="K3032" s="24"/>
      <c r="L3032" s="24"/>
    </row>
    <row r="3033" spans="2:12" x14ac:dyDescent="0.35">
      <c r="B3033" s="1">
        <v>40</v>
      </c>
      <c r="C3033" s="22">
        <v>45992</v>
      </c>
      <c r="D3033" s="22">
        <v>46022</v>
      </c>
      <c r="E3033" s="23">
        <f t="shared" si="485"/>
        <v>31</v>
      </c>
      <c r="F3033" s="3">
        <f t="shared" si="487"/>
        <v>91315991.24073793</v>
      </c>
      <c r="G3033" s="3">
        <f t="shared" si="482"/>
        <v>3176493.2840168336</v>
      </c>
      <c r="H3033" s="3">
        <f t="shared" si="488"/>
        <v>760966.59367281606</v>
      </c>
      <c r="I3033" s="3">
        <f t="shared" si="483"/>
        <v>2415526.6903440175</v>
      </c>
      <c r="J3033" s="3">
        <f t="shared" si="486"/>
        <v>88900464.550393909</v>
      </c>
      <c r="K3033" s="24"/>
      <c r="L3033" s="24"/>
    </row>
    <row r="3034" spans="2:12" x14ac:dyDescent="0.35">
      <c r="B3034" s="1">
        <v>41</v>
      </c>
      <c r="C3034" s="22">
        <v>45992</v>
      </c>
      <c r="D3034" s="22">
        <v>46022</v>
      </c>
      <c r="E3034" s="23">
        <f t="shared" si="485"/>
        <v>31</v>
      </c>
      <c r="F3034" s="3">
        <f t="shared" si="487"/>
        <v>88900464.550393909</v>
      </c>
      <c r="G3034" s="3">
        <f t="shared" si="482"/>
        <v>3176493.2840168336</v>
      </c>
      <c r="H3034" s="3">
        <f t="shared" si="488"/>
        <v>740837.2045866159</v>
      </c>
      <c r="I3034" s="3">
        <f t="shared" si="483"/>
        <v>2435656.0794302179</v>
      </c>
      <c r="J3034" s="3">
        <f t="shared" si="486"/>
        <v>86464808.470963687</v>
      </c>
      <c r="K3034" s="24"/>
      <c r="L3034" s="24"/>
    </row>
    <row r="3035" spans="2:12" x14ac:dyDescent="0.35">
      <c r="B3035" s="1">
        <v>42</v>
      </c>
      <c r="C3035" s="22">
        <v>45992</v>
      </c>
      <c r="D3035" s="22">
        <v>46022</v>
      </c>
      <c r="E3035" s="23">
        <f t="shared" si="485"/>
        <v>31</v>
      </c>
      <c r="F3035" s="3">
        <f t="shared" si="487"/>
        <v>86464808.470963687</v>
      </c>
      <c r="G3035" s="3">
        <f t="shared" si="482"/>
        <v>3176493.2840168336</v>
      </c>
      <c r="H3035" s="3">
        <f t="shared" si="488"/>
        <v>720540.07059136406</v>
      </c>
      <c r="I3035" s="3">
        <f t="shared" si="483"/>
        <v>2455953.2134254696</v>
      </c>
      <c r="J3035" s="3">
        <f t="shared" si="486"/>
        <v>84008855.257538214</v>
      </c>
      <c r="K3035" s="24"/>
      <c r="L3035" s="24"/>
    </row>
    <row r="3036" spans="2:12" x14ac:dyDescent="0.35">
      <c r="B3036" s="1">
        <v>43</v>
      </c>
      <c r="C3036" s="22">
        <v>45992</v>
      </c>
      <c r="D3036" s="22">
        <v>46022</v>
      </c>
      <c r="E3036" s="23">
        <f t="shared" si="485"/>
        <v>31</v>
      </c>
      <c r="F3036" s="3">
        <f t="shared" si="487"/>
        <v>84008855.257538214</v>
      </c>
      <c r="G3036" s="3">
        <f t="shared" si="482"/>
        <v>3176493.2840168336</v>
      </c>
      <c r="H3036" s="3">
        <f t="shared" si="488"/>
        <v>700073.79381281848</v>
      </c>
      <c r="I3036" s="3">
        <f t="shared" si="483"/>
        <v>2476419.4902040153</v>
      </c>
      <c r="J3036" s="3">
        <f t="shared" si="486"/>
        <v>81532435.767334193</v>
      </c>
      <c r="K3036" s="24"/>
      <c r="L3036" s="24"/>
    </row>
    <row r="3037" spans="2:12" x14ac:dyDescent="0.35">
      <c r="B3037" s="1">
        <v>44</v>
      </c>
      <c r="C3037" s="22">
        <v>45992</v>
      </c>
      <c r="D3037" s="22">
        <v>46022</v>
      </c>
      <c r="E3037" s="23">
        <f t="shared" si="485"/>
        <v>31</v>
      </c>
      <c r="F3037" s="3">
        <f t="shared" si="487"/>
        <v>81532435.767334193</v>
      </c>
      <c r="G3037" s="3">
        <f t="shared" si="482"/>
        <v>3176493.2840168336</v>
      </c>
      <c r="H3037" s="3">
        <f t="shared" si="488"/>
        <v>679436.96472778497</v>
      </c>
      <c r="I3037" s="3">
        <f t="shared" si="483"/>
        <v>2497056.3192890487</v>
      </c>
      <c r="J3037" s="3">
        <f t="shared" si="486"/>
        <v>79035379.448045149</v>
      </c>
      <c r="K3037" s="24"/>
      <c r="L3037" s="24"/>
    </row>
    <row r="3038" spans="2:12" x14ac:dyDescent="0.35">
      <c r="B3038" s="1">
        <v>45</v>
      </c>
      <c r="C3038" s="22">
        <v>45992</v>
      </c>
      <c r="D3038" s="22">
        <v>46022</v>
      </c>
      <c r="E3038" s="23">
        <f t="shared" si="485"/>
        <v>31</v>
      </c>
      <c r="F3038" s="3">
        <f t="shared" si="487"/>
        <v>79035379.448045149</v>
      </c>
      <c r="G3038" s="3">
        <f t="shared" ref="G3038:G3065" si="489">-PMT($D$2985/$D$2987,60,$F$3006,,0)</f>
        <v>3176493.2840168336</v>
      </c>
      <c r="H3038" s="3">
        <f t="shared" si="488"/>
        <v>658628.1620670429</v>
      </c>
      <c r="I3038" s="3">
        <f t="shared" ref="I3038:I3065" si="490">G3038-H3038</f>
        <v>2517865.121949791</v>
      </c>
      <c r="J3038" s="3">
        <f t="shared" si="486"/>
        <v>76517514.326095358</v>
      </c>
      <c r="K3038" s="24"/>
      <c r="L3038" s="24"/>
    </row>
    <row r="3039" spans="2:12" x14ac:dyDescent="0.35">
      <c r="B3039" s="1">
        <v>46</v>
      </c>
      <c r="C3039" s="22">
        <v>45992</v>
      </c>
      <c r="D3039" s="22">
        <v>46022</v>
      </c>
      <c r="E3039" s="23">
        <f t="shared" si="485"/>
        <v>31</v>
      </c>
      <c r="F3039" s="3">
        <f t="shared" si="487"/>
        <v>76517514.326095358</v>
      </c>
      <c r="G3039" s="3">
        <f t="shared" si="489"/>
        <v>3176493.2840168336</v>
      </c>
      <c r="H3039" s="3">
        <f t="shared" si="488"/>
        <v>637645.95271746127</v>
      </c>
      <c r="I3039" s="3">
        <f t="shared" si="490"/>
        <v>2538847.3312993725</v>
      </c>
      <c r="J3039" s="3">
        <f t="shared" si="486"/>
        <v>73978666.994795978</v>
      </c>
      <c r="K3039" s="24"/>
      <c r="L3039" s="24"/>
    </row>
    <row r="3040" spans="2:12" x14ac:dyDescent="0.35">
      <c r="B3040" s="1">
        <v>47</v>
      </c>
      <c r="C3040" s="22">
        <v>45992</v>
      </c>
      <c r="D3040" s="22">
        <v>46022</v>
      </c>
      <c r="E3040" s="23">
        <f t="shared" si="485"/>
        <v>31</v>
      </c>
      <c r="F3040" s="3">
        <f t="shared" si="487"/>
        <v>73978666.994795978</v>
      </c>
      <c r="G3040" s="3">
        <f t="shared" si="489"/>
        <v>3176493.2840168336</v>
      </c>
      <c r="H3040" s="3">
        <f t="shared" si="488"/>
        <v>616488.8916232998</v>
      </c>
      <c r="I3040" s="3">
        <f t="shared" si="490"/>
        <v>2560004.3923935341</v>
      </c>
      <c r="J3040" s="3">
        <f t="shared" si="486"/>
        <v>71418662.602402449</v>
      </c>
      <c r="K3040" s="24"/>
      <c r="L3040" s="24"/>
    </row>
    <row r="3041" spans="2:12" x14ac:dyDescent="0.35">
      <c r="B3041" s="1">
        <v>48</v>
      </c>
      <c r="C3041" s="22">
        <v>45992</v>
      </c>
      <c r="D3041" s="22">
        <v>46022</v>
      </c>
      <c r="E3041" s="23">
        <f t="shared" si="485"/>
        <v>31</v>
      </c>
      <c r="F3041" s="3">
        <f t="shared" si="487"/>
        <v>71418662.602402449</v>
      </c>
      <c r="G3041" s="3">
        <f t="shared" si="489"/>
        <v>3176493.2840168336</v>
      </c>
      <c r="H3041" s="3">
        <f t="shared" si="488"/>
        <v>595155.52168668702</v>
      </c>
      <c r="I3041" s="3">
        <f t="shared" si="490"/>
        <v>2581337.7623301465</v>
      </c>
      <c r="J3041" s="3">
        <f t="shared" si="486"/>
        <v>68837324.840072304</v>
      </c>
      <c r="K3041" s="24"/>
      <c r="L3041" s="24"/>
    </row>
    <row r="3042" spans="2:12" x14ac:dyDescent="0.35">
      <c r="B3042" s="1">
        <v>49</v>
      </c>
      <c r="C3042" s="22">
        <v>45992</v>
      </c>
      <c r="D3042" s="22">
        <v>46022</v>
      </c>
      <c r="E3042" s="23">
        <f t="shared" si="485"/>
        <v>31</v>
      </c>
      <c r="F3042" s="3">
        <f t="shared" si="487"/>
        <v>68837324.840072304</v>
      </c>
      <c r="G3042" s="3">
        <f t="shared" si="489"/>
        <v>3176493.2840168336</v>
      </c>
      <c r="H3042" s="3">
        <f t="shared" si="488"/>
        <v>573644.37366726925</v>
      </c>
      <c r="I3042" s="3">
        <f t="shared" si="490"/>
        <v>2602848.9103495646</v>
      </c>
      <c r="J3042" s="3">
        <f t="shared" si="486"/>
        <v>66234475.929722741</v>
      </c>
      <c r="K3042" s="24"/>
      <c r="L3042" s="24"/>
    </row>
    <row r="3043" spans="2:12" x14ac:dyDescent="0.35">
      <c r="B3043" s="1">
        <v>50</v>
      </c>
      <c r="C3043" s="22">
        <v>45992</v>
      </c>
      <c r="D3043" s="22">
        <v>46022</v>
      </c>
      <c r="E3043" s="23">
        <f t="shared" si="485"/>
        <v>31</v>
      </c>
      <c r="F3043" s="3">
        <f t="shared" si="487"/>
        <v>66234475.929722741</v>
      </c>
      <c r="G3043" s="3">
        <f t="shared" si="489"/>
        <v>3176493.2840168336</v>
      </c>
      <c r="H3043" s="3">
        <f t="shared" si="488"/>
        <v>551953.96608102287</v>
      </c>
      <c r="I3043" s="3">
        <f t="shared" si="490"/>
        <v>2624539.3179358109</v>
      </c>
      <c r="J3043" s="3">
        <f t="shared" si="486"/>
        <v>63609936.611786932</v>
      </c>
      <c r="K3043" s="24"/>
      <c r="L3043" s="24"/>
    </row>
    <row r="3044" spans="2:12" x14ac:dyDescent="0.35">
      <c r="B3044" s="1">
        <v>51</v>
      </c>
      <c r="C3044" s="22">
        <v>45992</v>
      </c>
      <c r="D3044" s="22">
        <v>46022</v>
      </c>
      <c r="E3044" s="23">
        <f t="shared" si="485"/>
        <v>31</v>
      </c>
      <c r="F3044" s="3">
        <f t="shared" si="487"/>
        <v>63609936.611786932</v>
      </c>
      <c r="G3044" s="3">
        <f t="shared" si="489"/>
        <v>3176493.2840168336</v>
      </c>
      <c r="H3044" s="3">
        <f t="shared" si="488"/>
        <v>530082.80509822443</v>
      </c>
      <c r="I3044" s="3">
        <f t="shared" si="490"/>
        <v>2646410.4789186092</v>
      </c>
      <c r="J3044" s="3">
        <f t="shared" si="486"/>
        <v>60963526.13286832</v>
      </c>
      <c r="K3044" s="24"/>
      <c r="L3044" s="24"/>
    </row>
    <row r="3045" spans="2:12" x14ac:dyDescent="0.35">
      <c r="B3045" s="1">
        <v>52</v>
      </c>
      <c r="C3045" s="22">
        <v>45992</v>
      </c>
      <c r="D3045" s="22">
        <v>46022</v>
      </c>
      <c r="E3045" s="23">
        <f t="shared" si="485"/>
        <v>31</v>
      </c>
      <c r="F3045" s="3">
        <f t="shared" si="487"/>
        <v>60963526.13286832</v>
      </c>
      <c r="G3045" s="3">
        <f t="shared" si="489"/>
        <v>3176493.2840168336</v>
      </c>
      <c r="H3045" s="3">
        <f t="shared" si="488"/>
        <v>508029.38444056932</v>
      </c>
      <c r="I3045" s="3">
        <f t="shared" si="490"/>
        <v>2668463.8995762644</v>
      </c>
      <c r="J3045" s="3">
        <f t="shared" si="486"/>
        <v>58295062.233292058</v>
      </c>
      <c r="K3045" s="24"/>
      <c r="L3045" s="24"/>
    </row>
    <row r="3046" spans="2:12" x14ac:dyDescent="0.35">
      <c r="B3046" s="1">
        <v>53</v>
      </c>
      <c r="C3046" s="22">
        <v>45992</v>
      </c>
      <c r="D3046" s="22">
        <v>46022</v>
      </c>
      <c r="E3046" s="23">
        <f t="shared" si="485"/>
        <v>31</v>
      </c>
      <c r="F3046" s="3">
        <f t="shared" si="487"/>
        <v>58295062.233292058</v>
      </c>
      <c r="G3046" s="3">
        <f t="shared" si="489"/>
        <v>3176493.2840168336</v>
      </c>
      <c r="H3046" s="3">
        <f t="shared" si="488"/>
        <v>485792.18527743383</v>
      </c>
      <c r="I3046" s="3">
        <f t="shared" si="490"/>
        <v>2690701.0987393996</v>
      </c>
      <c r="J3046" s="3">
        <f t="shared" si="486"/>
        <v>55604361.134552658</v>
      </c>
      <c r="K3046" s="24"/>
      <c r="L3046" s="24"/>
    </row>
    <row r="3047" spans="2:12" x14ac:dyDescent="0.35">
      <c r="B3047" s="1">
        <v>54</v>
      </c>
      <c r="C3047" s="22">
        <v>45992</v>
      </c>
      <c r="D3047" s="22">
        <v>46022</v>
      </c>
      <c r="E3047" s="23">
        <f t="shared" si="485"/>
        <v>31</v>
      </c>
      <c r="F3047" s="3">
        <f t="shared" si="487"/>
        <v>55604361.134552658</v>
      </c>
      <c r="G3047" s="3">
        <f t="shared" si="489"/>
        <v>3176493.2840168336</v>
      </c>
      <c r="H3047" s="3">
        <f t="shared" si="488"/>
        <v>463369.67612127215</v>
      </c>
      <c r="I3047" s="3">
        <f t="shared" si="490"/>
        <v>2713123.6078955615</v>
      </c>
      <c r="J3047" s="3">
        <f t="shared" si="486"/>
        <v>52891237.526657097</v>
      </c>
      <c r="K3047" s="24"/>
      <c r="L3047" s="24"/>
    </row>
    <row r="3048" spans="2:12" x14ac:dyDescent="0.35">
      <c r="B3048" s="1">
        <v>55</v>
      </c>
      <c r="C3048" s="22">
        <v>45992</v>
      </c>
      <c r="D3048" s="22">
        <v>46022</v>
      </c>
      <c r="E3048" s="23">
        <f t="shared" si="485"/>
        <v>31</v>
      </c>
      <c r="F3048" s="3">
        <f t="shared" si="487"/>
        <v>52891237.526657097</v>
      </c>
      <c r="G3048" s="3">
        <f t="shared" si="489"/>
        <v>3176493.2840168336</v>
      </c>
      <c r="H3048" s="3">
        <f t="shared" si="488"/>
        <v>440760.31272214249</v>
      </c>
      <c r="I3048" s="3">
        <f t="shared" si="490"/>
        <v>2735732.9712946913</v>
      </c>
      <c r="J3048" s="3">
        <f t="shared" si="486"/>
        <v>50155504.555362403</v>
      </c>
      <c r="K3048" s="24"/>
      <c r="L3048" s="24"/>
    </row>
    <row r="3049" spans="2:12" x14ac:dyDescent="0.35">
      <c r="B3049" s="1">
        <v>56</v>
      </c>
      <c r="C3049" s="22">
        <v>45992</v>
      </c>
      <c r="D3049" s="22">
        <v>46022</v>
      </c>
      <c r="E3049" s="23">
        <f t="shared" si="485"/>
        <v>31</v>
      </c>
      <c r="F3049" s="3">
        <f t="shared" si="487"/>
        <v>50155504.555362403</v>
      </c>
      <c r="G3049" s="3">
        <f t="shared" si="489"/>
        <v>3176493.2840168336</v>
      </c>
      <c r="H3049" s="3">
        <f t="shared" si="488"/>
        <v>417962.53796135337</v>
      </c>
      <c r="I3049" s="3">
        <f t="shared" si="490"/>
        <v>2758530.7460554801</v>
      </c>
      <c r="J3049" s="3">
        <f t="shared" si="486"/>
        <v>47396973.80930692</v>
      </c>
      <c r="K3049" s="24"/>
      <c r="L3049" s="24"/>
    </row>
    <row r="3050" spans="2:12" x14ac:dyDescent="0.35">
      <c r="B3050" s="1">
        <v>57</v>
      </c>
      <c r="C3050" s="22">
        <v>45992</v>
      </c>
      <c r="D3050" s="22">
        <v>46022</v>
      </c>
      <c r="E3050" s="23">
        <f t="shared" si="485"/>
        <v>31</v>
      </c>
      <c r="F3050" s="3">
        <f t="shared" si="487"/>
        <v>47396973.80930692</v>
      </c>
      <c r="G3050" s="3">
        <f t="shared" si="489"/>
        <v>3176493.2840168336</v>
      </c>
      <c r="H3050" s="3">
        <f t="shared" si="488"/>
        <v>394974.78174422431</v>
      </c>
      <c r="I3050" s="3">
        <f t="shared" si="490"/>
        <v>2781518.5022726092</v>
      </c>
      <c r="J3050" s="3">
        <f t="shared" si="486"/>
        <v>44615455.307034314</v>
      </c>
      <c r="K3050" s="24"/>
      <c r="L3050" s="24"/>
    </row>
    <row r="3051" spans="2:12" x14ac:dyDescent="0.35">
      <c r="B3051" s="1">
        <v>58</v>
      </c>
      <c r="C3051" s="22">
        <v>45992</v>
      </c>
      <c r="D3051" s="22">
        <v>46022</v>
      </c>
      <c r="E3051" s="23">
        <f t="shared" si="485"/>
        <v>31</v>
      </c>
      <c r="F3051" s="3">
        <f t="shared" si="487"/>
        <v>44615455.307034314</v>
      </c>
      <c r="G3051" s="3">
        <f t="shared" si="489"/>
        <v>3176493.2840168336</v>
      </c>
      <c r="H3051" s="3">
        <f t="shared" si="488"/>
        <v>371795.46089195262</v>
      </c>
      <c r="I3051" s="3">
        <f t="shared" si="490"/>
        <v>2804697.8231248809</v>
      </c>
      <c r="J3051" s="3">
        <f t="shared" si="486"/>
        <v>41810757.483909436</v>
      </c>
      <c r="K3051" s="24"/>
      <c r="L3051" s="24"/>
    </row>
    <row r="3052" spans="2:12" x14ac:dyDescent="0.35">
      <c r="B3052" s="1">
        <v>59</v>
      </c>
      <c r="C3052" s="22">
        <v>45992</v>
      </c>
      <c r="D3052" s="22">
        <v>46022</v>
      </c>
      <c r="E3052" s="23">
        <f t="shared" si="485"/>
        <v>31</v>
      </c>
      <c r="F3052" s="3">
        <f t="shared" si="487"/>
        <v>41810757.483909436</v>
      </c>
      <c r="G3052" s="3">
        <f t="shared" si="489"/>
        <v>3176493.2840168336</v>
      </c>
      <c r="H3052" s="3">
        <f t="shared" si="488"/>
        <v>348422.97903257865</v>
      </c>
      <c r="I3052" s="3">
        <f t="shared" si="490"/>
        <v>2828070.3049842548</v>
      </c>
      <c r="J3052" s="3">
        <f t="shared" si="486"/>
        <v>38982687.178925179</v>
      </c>
      <c r="K3052" s="24"/>
      <c r="L3052" s="24"/>
    </row>
    <row r="3053" spans="2:12" x14ac:dyDescent="0.35">
      <c r="B3053" s="1">
        <v>60</v>
      </c>
      <c r="C3053" s="22">
        <v>45992</v>
      </c>
      <c r="D3053" s="22">
        <v>46022</v>
      </c>
      <c r="E3053" s="23">
        <f t="shared" si="485"/>
        <v>31</v>
      </c>
      <c r="F3053" s="3">
        <f t="shared" si="487"/>
        <v>38982687.178925179</v>
      </c>
      <c r="G3053" s="3">
        <f t="shared" si="489"/>
        <v>3176493.2840168336</v>
      </c>
      <c r="H3053" s="3">
        <f t="shared" si="488"/>
        <v>324855.72649104317</v>
      </c>
      <c r="I3053" s="3">
        <f t="shared" si="490"/>
        <v>2851637.5575257903</v>
      </c>
      <c r="J3053" s="3">
        <f t="shared" si="486"/>
        <v>36131049.621399388</v>
      </c>
      <c r="K3053" s="24"/>
      <c r="L3053" s="24"/>
    </row>
    <row r="3054" spans="2:12" x14ac:dyDescent="0.35">
      <c r="B3054" s="1">
        <v>61</v>
      </c>
      <c r="C3054" s="22">
        <v>45992</v>
      </c>
      <c r="D3054" s="22">
        <v>46022</v>
      </c>
      <c r="E3054" s="23">
        <f t="shared" si="485"/>
        <v>31</v>
      </c>
      <c r="F3054" s="3">
        <f t="shared" si="487"/>
        <v>36131049.621399388</v>
      </c>
      <c r="G3054" s="3">
        <f t="shared" si="489"/>
        <v>3176493.2840168336</v>
      </c>
      <c r="H3054" s="3">
        <f t="shared" si="488"/>
        <v>301092.08017832821</v>
      </c>
      <c r="I3054" s="3">
        <f t="shared" si="490"/>
        <v>2875401.2038385053</v>
      </c>
      <c r="J3054" s="3">
        <f t="shared" si="486"/>
        <v>33255648.417560883</v>
      </c>
      <c r="K3054" s="24"/>
      <c r="L3054" s="24"/>
    </row>
    <row r="3055" spans="2:12" x14ac:dyDescent="0.35">
      <c r="B3055" s="1">
        <v>62</v>
      </c>
      <c r="C3055" s="22">
        <v>45992</v>
      </c>
      <c r="D3055" s="22">
        <v>46022</v>
      </c>
      <c r="E3055" s="23">
        <f t="shared" si="485"/>
        <v>31</v>
      </c>
      <c r="F3055" s="3">
        <f t="shared" si="487"/>
        <v>33255648.417560883</v>
      </c>
      <c r="G3055" s="3">
        <f t="shared" si="489"/>
        <v>3176493.2840168336</v>
      </c>
      <c r="H3055" s="3">
        <f t="shared" si="488"/>
        <v>277130.40347967402</v>
      </c>
      <c r="I3055" s="3">
        <f t="shared" si="490"/>
        <v>2899362.8805371597</v>
      </c>
      <c r="J3055" s="3">
        <f t="shared" si="486"/>
        <v>30356285.537023723</v>
      </c>
      <c r="K3055" s="24"/>
      <c r="L3055" s="24"/>
    </row>
    <row r="3056" spans="2:12" x14ac:dyDescent="0.35">
      <c r="B3056" s="1">
        <v>63</v>
      </c>
      <c r="C3056" s="22">
        <v>45992</v>
      </c>
      <c r="D3056" s="22">
        <v>46022</v>
      </c>
      <c r="E3056" s="23">
        <f t="shared" si="485"/>
        <v>31</v>
      </c>
      <c r="F3056" s="3">
        <f t="shared" si="487"/>
        <v>30356285.537023723</v>
      </c>
      <c r="G3056" s="3">
        <f t="shared" si="489"/>
        <v>3176493.2840168336</v>
      </c>
      <c r="H3056" s="3">
        <f t="shared" si="488"/>
        <v>252969.04614186435</v>
      </c>
      <c r="I3056" s="3">
        <f t="shared" si="490"/>
        <v>2923524.2378749694</v>
      </c>
      <c r="J3056" s="3">
        <f t="shared" si="486"/>
        <v>27432761.299148753</v>
      </c>
      <c r="K3056" s="24"/>
      <c r="L3056" s="24"/>
    </row>
    <row r="3057" spans="2:12" x14ac:dyDescent="0.35">
      <c r="B3057" s="1">
        <v>64</v>
      </c>
      <c r="C3057" s="22">
        <v>45992</v>
      </c>
      <c r="D3057" s="22">
        <v>46022</v>
      </c>
      <c r="E3057" s="23">
        <f t="shared" ref="E3057:E3065" si="491">D3057-C3057+1</f>
        <v>31</v>
      </c>
      <c r="F3057" s="3">
        <f t="shared" si="487"/>
        <v>27432761.299148753</v>
      </c>
      <c r="G3057" s="3">
        <f t="shared" si="489"/>
        <v>3176493.2840168336</v>
      </c>
      <c r="H3057" s="3">
        <f t="shared" si="488"/>
        <v>228606.34415957294</v>
      </c>
      <c r="I3057" s="3">
        <f t="shared" si="490"/>
        <v>2947886.9398572608</v>
      </c>
      <c r="J3057" s="3">
        <f t="shared" ref="J3057:J3065" si="492">F3057-I3057</f>
        <v>24484874.359291494</v>
      </c>
      <c r="K3057" s="24"/>
      <c r="L3057" s="24"/>
    </row>
    <row r="3058" spans="2:12" x14ac:dyDescent="0.35">
      <c r="B3058" s="1">
        <v>65</v>
      </c>
      <c r="C3058" s="22">
        <v>45992</v>
      </c>
      <c r="D3058" s="22">
        <v>46022</v>
      </c>
      <c r="E3058" s="23">
        <f t="shared" si="491"/>
        <v>31</v>
      </c>
      <c r="F3058" s="3">
        <f t="shared" ref="F3058:F3065" si="493">J3057</f>
        <v>24484874.359291494</v>
      </c>
      <c r="G3058" s="3">
        <f t="shared" si="489"/>
        <v>3176493.2840168336</v>
      </c>
      <c r="H3058" s="3">
        <f t="shared" ref="H3058:H3065" si="494">($D$2985/$D$2987*F3058)</f>
        <v>204040.61966076246</v>
      </c>
      <c r="I3058" s="3">
        <f t="shared" si="490"/>
        <v>2972452.664356071</v>
      </c>
      <c r="J3058" s="3">
        <f t="shared" si="492"/>
        <v>21512421.694935422</v>
      </c>
      <c r="K3058" s="24"/>
      <c r="L3058" s="24"/>
    </row>
    <row r="3059" spans="2:12" x14ac:dyDescent="0.35">
      <c r="B3059" s="1">
        <v>66</v>
      </c>
      <c r="C3059" s="22">
        <v>45992</v>
      </c>
      <c r="D3059" s="22">
        <v>46022</v>
      </c>
      <c r="E3059" s="23">
        <f t="shared" si="491"/>
        <v>31</v>
      </c>
      <c r="F3059" s="3">
        <f t="shared" si="493"/>
        <v>21512421.694935422</v>
      </c>
      <c r="G3059" s="3">
        <f t="shared" si="489"/>
        <v>3176493.2840168336</v>
      </c>
      <c r="H3059" s="3">
        <f t="shared" si="494"/>
        <v>179270.18079112851</v>
      </c>
      <c r="I3059" s="3">
        <f t="shared" si="490"/>
        <v>2997223.1032257052</v>
      </c>
      <c r="J3059" s="3">
        <f t="shared" si="492"/>
        <v>18515198.591709718</v>
      </c>
      <c r="K3059" s="24"/>
      <c r="L3059" s="24"/>
    </row>
    <row r="3060" spans="2:12" x14ac:dyDescent="0.35">
      <c r="B3060" s="1">
        <v>67</v>
      </c>
      <c r="C3060" s="22">
        <v>45992</v>
      </c>
      <c r="D3060" s="22">
        <v>46022</v>
      </c>
      <c r="E3060" s="23">
        <f t="shared" si="491"/>
        <v>31</v>
      </c>
      <c r="F3060" s="3">
        <f t="shared" si="493"/>
        <v>18515198.591709718</v>
      </c>
      <c r="G3060" s="3">
        <f t="shared" si="489"/>
        <v>3176493.2840168336</v>
      </c>
      <c r="H3060" s="3">
        <f t="shared" si="494"/>
        <v>154293.32159758097</v>
      </c>
      <c r="I3060" s="3">
        <f t="shared" si="490"/>
        <v>3022199.9624192528</v>
      </c>
      <c r="J3060" s="3">
        <f t="shared" si="492"/>
        <v>15492998.629290465</v>
      </c>
      <c r="K3060" s="24"/>
      <c r="L3060" s="24"/>
    </row>
    <row r="3061" spans="2:12" x14ac:dyDescent="0.35">
      <c r="B3061" s="1">
        <v>68</v>
      </c>
      <c r="C3061" s="22">
        <v>45992</v>
      </c>
      <c r="D3061" s="22">
        <v>46022</v>
      </c>
      <c r="E3061" s="23">
        <f t="shared" si="491"/>
        <v>31</v>
      </c>
      <c r="F3061" s="3">
        <f t="shared" si="493"/>
        <v>15492998.629290465</v>
      </c>
      <c r="G3061" s="3">
        <f t="shared" si="489"/>
        <v>3176493.2840168336</v>
      </c>
      <c r="H3061" s="3">
        <f t="shared" si="494"/>
        <v>129108.32191075388</v>
      </c>
      <c r="I3061" s="3">
        <f t="shared" si="490"/>
        <v>3047384.9621060798</v>
      </c>
      <c r="J3061" s="3">
        <f t="shared" si="492"/>
        <v>12445613.667184386</v>
      </c>
      <c r="K3061" s="24"/>
      <c r="L3061" s="24"/>
    </row>
    <row r="3062" spans="2:12" x14ac:dyDescent="0.35">
      <c r="B3062" s="1">
        <v>69</v>
      </c>
      <c r="C3062" s="22">
        <v>45992</v>
      </c>
      <c r="D3062" s="22">
        <v>46022</v>
      </c>
      <c r="E3062" s="23">
        <f t="shared" si="491"/>
        <v>31</v>
      </c>
      <c r="F3062" s="3">
        <f t="shared" si="493"/>
        <v>12445613.667184386</v>
      </c>
      <c r="G3062" s="3">
        <f t="shared" si="489"/>
        <v>3176493.2840168336</v>
      </c>
      <c r="H3062" s="3">
        <f t="shared" si="494"/>
        <v>103713.44722653655</v>
      </c>
      <c r="I3062" s="3">
        <f t="shared" si="490"/>
        <v>3072779.8367902972</v>
      </c>
      <c r="J3062" s="3">
        <f t="shared" si="492"/>
        <v>9372833.8303940892</v>
      </c>
      <c r="K3062" s="24"/>
      <c r="L3062" s="24"/>
    </row>
    <row r="3063" spans="2:12" x14ac:dyDescent="0.35">
      <c r="B3063" s="1">
        <v>70</v>
      </c>
      <c r="C3063" s="22">
        <v>45992</v>
      </c>
      <c r="D3063" s="22">
        <v>46022</v>
      </c>
      <c r="E3063" s="23">
        <f t="shared" si="491"/>
        <v>31</v>
      </c>
      <c r="F3063" s="3">
        <f t="shared" si="493"/>
        <v>9372833.8303940892</v>
      </c>
      <c r="G3063" s="3">
        <f t="shared" si="489"/>
        <v>3176493.2840168336</v>
      </c>
      <c r="H3063" s="3">
        <f t="shared" si="494"/>
        <v>78106.948586617407</v>
      </c>
      <c r="I3063" s="3">
        <f t="shared" si="490"/>
        <v>3098386.335430216</v>
      </c>
      <c r="J3063" s="3">
        <f t="shared" si="492"/>
        <v>6274447.4949638732</v>
      </c>
      <c r="K3063" s="24"/>
      <c r="L3063" s="24"/>
    </row>
    <row r="3064" spans="2:12" x14ac:dyDescent="0.35">
      <c r="B3064" s="1">
        <v>71</v>
      </c>
      <c r="C3064" s="22">
        <v>45992</v>
      </c>
      <c r="D3064" s="22">
        <v>46022</v>
      </c>
      <c r="E3064" s="23">
        <f t="shared" si="491"/>
        <v>31</v>
      </c>
      <c r="F3064" s="3">
        <f t="shared" si="493"/>
        <v>6274447.4949638732</v>
      </c>
      <c r="G3064" s="3">
        <f t="shared" si="489"/>
        <v>3176493.2840168336</v>
      </c>
      <c r="H3064" s="3">
        <f t="shared" si="494"/>
        <v>52287.062458032276</v>
      </c>
      <c r="I3064" s="3">
        <f t="shared" si="490"/>
        <v>3124206.2215588014</v>
      </c>
      <c r="J3064" s="3">
        <f t="shared" si="492"/>
        <v>3150241.2734050718</v>
      </c>
      <c r="K3064" s="24"/>
      <c r="L3064" s="24"/>
    </row>
    <row r="3065" spans="2:12" x14ac:dyDescent="0.35">
      <c r="B3065" s="1">
        <v>72</v>
      </c>
      <c r="C3065" s="22">
        <v>45992</v>
      </c>
      <c r="D3065" s="22">
        <v>46022</v>
      </c>
      <c r="E3065" s="23">
        <f t="shared" si="491"/>
        <v>31</v>
      </c>
      <c r="F3065" s="3">
        <f t="shared" si="493"/>
        <v>3150241.2734050718</v>
      </c>
      <c r="G3065" s="3">
        <f t="shared" si="489"/>
        <v>3176493.2840168336</v>
      </c>
      <c r="H3065" s="3">
        <f t="shared" si="494"/>
        <v>26252.010611708931</v>
      </c>
      <c r="I3065" s="3">
        <f t="shared" si="490"/>
        <v>3150241.2734051249</v>
      </c>
      <c r="J3065" s="3">
        <f t="shared" si="492"/>
        <v>-5.3085386753082275E-8</v>
      </c>
      <c r="K3065" s="24"/>
      <c r="L3065" s="24"/>
    </row>
    <row r="3066" spans="2:12" x14ac:dyDescent="0.35">
      <c r="B3066" s="1"/>
      <c r="C3066" s="22"/>
      <c r="D3066" s="22"/>
      <c r="E3066" s="23"/>
      <c r="F3066" s="3"/>
      <c r="G3066" s="3"/>
      <c r="H3066" s="3"/>
      <c r="I3066" s="3"/>
      <c r="J3066" s="3"/>
      <c r="K3066" s="24"/>
      <c r="L3066" s="24"/>
    </row>
    <row r="3067" spans="2:12" x14ac:dyDescent="0.35">
      <c r="B3067" s="1"/>
      <c r="C3067" s="22"/>
      <c r="D3067" s="22"/>
      <c r="E3067" s="28">
        <f>SUM(E2993:E3066)</f>
        <v>2242</v>
      </c>
      <c r="F3067" s="3"/>
      <c r="G3067" s="3"/>
      <c r="H3067" s="3"/>
      <c r="I3067" s="3"/>
      <c r="J3067" s="3"/>
      <c r="K3067" s="24"/>
      <c r="L3067" s="24"/>
    </row>
    <row r="3073" spans="2:19" x14ac:dyDescent="0.35">
      <c r="B3073" s="1"/>
      <c r="C3073" s="8" t="s">
        <v>928</v>
      </c>
      <c r="D3073" s="3"/>
      <c r="E3073" s="3"/>
      <c r="F3073" s="3"/>
      <c r="G3073" s="3"/>
      <c r="H3073" s="3"/>
      <c r="I3073" s="3"/>
      <c r="J3073" s="3"/>
      <c r="K3073" s="3"/>
      <c r="L3073" s="3"/>
      <c r="R3073" s="438" t="s">
        <v>832</v>
      </c>
      <c r="S3073" s="432" t="str">
        <f>IFERROR(INDEX(Blocks!$I$2:$I$101,MATCH(56,Blocks!$A$2:$A$101,0)),"")</f>
        <v>000104450000057</v>
      </c>
    </row>
    <row r="3074" spans="2:19" x14ac:dyDescent="0.35">
      <c r="B3074" s="1"/>
      <c r="C3074" s="1"/>
      <c r="D3074" s="3"/>
      <c r="E3074" s="3"/>
      <c r="F3074" s="3"/>
      <c r="G3074" s="3"/>
      <c r="H3074" s="3"/>
      <c r="I3074" s="3"/>
      <c r="J3074" s="3"/>
      <c r="K3074" s="3"/>
      <c r="L3074" s="3"/>
      <c r="R3074" s="438" t="s">
        <v>834</v>
      </c>
      <c r="S3074" s="432" t="str">
        <f>IFERROR(INDEX(Blocks!$H$2:$H$101,MATCH(56,Blocks!$A$2:$A$101,0)),"")</f>
        <v>Debs Agrodealers</v>
      </c>
    </row>
    <row r="3075" spans="2:19" x14ac:dyDescent="0.35">
      <c r="B3075" s="1"/>
      <c r="C3075" s="9" t="s">
        <v>835</v>
      </c>
      <c r="D3075" s="10">
        <v>24000000</v>
      </c>
      <c r="E3075" s="3"/>
      <c r="F3075" s="3"/>
      <c r="G3075" s="3"/>
      <c r="H3075" s="3"/>
      <c r="I3075" s="3"/>
      <c r="J3075" s="3"/>
      <c r="K3075" s="3"/>
      <c r="L3075" s="3"/>
      <c r="R3075" s="438" t="s">
        <v>223</v>
      </c>
      <c r="S3075" s="433">
        <f>IFERROR(INDEX('E-Banker master'!$N$2:$N$186,MATCH(S3073,'E-Banker master'!$A$2:$A$186,0)),"")</f>
        <v>24000000</v>
      </c>
    </row>
    <row r="3076" spans="2:19" x14ac:dyDescent="0.35">
      <c r="B3076" s="1"/>
      <c r="C3076" s="11" t="s">
        <v>837</v>
      </c>
      <c r="D3076" s="12">
        <v>0.1</v>
      </c>
      <c r="E3076" s="13"/>
      <c r="F3076" s="3"/>
      <c r="G3076" s="3"/>
      <c r="H3076" s="3"/>
      <c r="I3076" s="3"/>
      <c r="J3076" s="3"/>
      <c r="K3076" s="3"/>
      <c r="L3076" s="3"/>
      <c r="R3076" s="438" t="s">
        <v>52</v>
      </c>
      <c r="S3076" s="433">
        <f>IFERROR(INDEX('E-Banker master'!$P$2:$P$186,MATCH(S3073,'E-Banker master'!$A$2:$A$186,0)),"")</f>
        <v>7670357.5599999996</v>
      </c>
    </row>
    <row r="3077" spans="2:19" x14ac:dyDescent="0.35">
      <c r="B3077" s="1"/>
      <c r="C3077" s="11" t="s">
        <v>838</v>
      </c>
      <c r="D3077" s="14">
        <v>2</v>
      </c>
      <c r="E3077" s="1"/>
      <c r="F3077" s="3"/>
      <c r="G3077" s="3"/>
      <c r="H3077" s="3"/>
      <c r="I3077" s="3"/>
      <c r="J3077" s="3"/>
      <c r="K3077" s="1"/>
      <c r="L3077" s="1"/>
    </row>
    <row r="3078" spans="2:19" x14ac:dyDescent="0.35">
      <c r="B3078" s="1"/>
      <c r="C3078" s="11" t="s">
        <v>839</v>
      </c>
      <c r="D3078" s="14">
        <v>12</v>
      </c>
      <c r="E3078" s="1"/>
      <c r="F3078" s="3"/>
      <c r="G3078" s="3"/>
      <c r="H3078" s="3"/>
      <c r="I3078" s="3"/>
      <c r="J3078" s="3"/>
      <c r="K3078" s="1"/>
      <c r="L3078" s="1"/>
    </row>
    <row r="3079" spans="2:19" x14ac:dyDescent="0.35">
      <c r="B3079" s="1"/>
      <c r="C3079" s="11" t="s">
        <v>843</v>
      </c>
      <c r="D3079" s="15">
        <f>D3077*D3078</f>
        <v>24</v>
      </c>
      <c r="E3079" s="1"/>
      <c r="F3079" s="3"/>
      <c r="G3079" s="3"/>
      <c r="H3079" s="3"/>
      <c r="I3079" s="3"/>
      <c r="J3079" s="3"/>
      <c r="K3079" s="1"/>
      <c r="L3079" s="1"/>
    </row>
    <row r="3080" spans="2:19" x14ac:dyDescent="0.35">
      <c r="B3080" s="1"/>
      <c r="C3080" s="11" t="s">
        <v>844</v>
      </c>
      <c r="D3080" s="16">
        <v>365</v>
      </c>
      <c r="E3080" s="1"/>
      <c r="F3080" s="3"/>
      <c r="G3080" s="3"/>
      <c r="H3080" s="3"/>
      <c r="I3080" s="3"/>
      <c r="J3080" s="3"/>
      <c r="K3080" s="1"/>
      <c r="L3080" s="1"/>
    </row>
    <row r="3081" spans="2:19" x14ac:dyDescent="0.35">
      <c r="B3081" s="1"/>
      <c r="C3081" s="17" t="s">
        <v>845</v>
      </c>
      <c r="D3081" s="18">
        <f>-PMT(D3076/D3078,D3079,D3075,0,0)</f>
        <v>1107478.2321003962</v>
      </c>
      <c r="E3081" s="3"/>
      <c r="F3081" s="3"/>
      <c r="G3081" s="3"/>
      <c r="H3081" s="3"/>
      <c r="I3081" s="3"/>
      <c r="J3081" s="3"/>
      <c r="K3081" s="1"/>
      <c r="L3081" s="1"/>
    </row>
    <row r="3082" spans="2:19" x14ac:dyDescent="0.35">
      <c r="B3082" s="1"/>
      <c r="C3082" s="1"/>
      <c r="D3082" s="3"/>
      <c r="E3082" s="3"/>
      <c r="F3082" s="3"/>
      <c r="G3082" s="3"/>
      <c r="H3082" s="3"/>
      <c r="I3082" s="3"/>
      <c r="J3082" s="3"/>
      <c r="K3082" s="1"/>
      <c r="L3082" s="1"/>
    </row>
    <row r="3083" spans="2:19" x14ac:dyDescent="0.35">
      <c r="B3083" s="1"/>
      <c r="C3083" s="19" t="s">
        <v>846</v>
      </c>
      <c r="D3083" s="20" t="s">
        <v>847</v>
      </c>
      <c r="E3083" s="20" t="s">
        <v>764</v>
      </c>
      <c r="F3083" s="270" t="s">
        <v>848</v>
      </c>
      <c r="G3083" s="270" t="s">
        <v>849</v>
      </c>
      <c r="H3083" s="270" t="s">
        <v>742</v>
      </c>
      <c r="I3083" s="270" t="s">
        <v>740</v>
      </c>
      <c r="J3083" s="270" t="s">
        <v>850</v>
      </c>
      <c r="K3083" s="21" t="s">
        <v>851</v>
      </c>
      <c r="L3083" s="21" t="s">
        <v>852</v>
      </c>
    </row>
    <row r="3084" spans="2:19" x14ac:dyDescent="0.35">
      <c r="B3084" s="1">
        <v>0</v>
      </c>
      <c r="C3084" s="22">
        <v>44964</v>
      </c>
      <c r="D3084" s="22">
        <v>44985</v>
      </c>
      <c r="E3084" s="23">
        <f t="shared" ref="E3084:E3108" si="495">D3084-C3084+1</f>
        <v>22</v>
      </c>
      <c r="F3084" s="3">
        <f>D3075</f>
        <v>24000000</v>
      </c>
      <c r="G3084" s="3"/>
      <c r="H3084" s="3">
        <f>D3076/D3078*E3084*F3084/28</f>
        <v>157142.85714285713</v>
      </c>
      <c r="I3084" s="3">
        <f>-H3084</f>
        <v>-157142.85714285713</v>
      </c>
      <c r="J3084" s="3">
        <f>F3084+F3075-I3084</f>
        <v>24157142.857142858</v>
      </c>
      <c r="K3084" s="24"/>
      <c r="L3084" s="24"/>
    </row>
    <row r="3085" spans="2:19" x14ac:dyDescent="0.35">
      <c r="B3085" s="1">
        <v>1</v>
      </c>
      <c r="C3085" s="22">
        <v>44986</v>
      </c>
      <c r="D3085" s="22">
        <v>45016</v>
      </c>
      <c r="E3085" s="23">
        <f t="shared" si="495"/>
        <v>31</v>
      </c>
      <c r="F3085" s="3">
        <f t="shared" ref="F3085:F3108" si="496">J3084</f>
        <v>24157142.857142858</v>
      </c>
      <c r="G3085" s="3"/>
      <c r="H3085" s="3">
        <f t="shared" ref="H3085:H3108" si="497">($D$3076/$D$3078*F3085)</f>
        <v>201309.52380952382</v>
      </c>
      <c r="I3085" s="3">
        <f>-H3085</f>
        <v>-201309.52380952382</v>
      </c>
      <c r="J3085" s="3">
        <f t="shared" ref="J3085:J3108" si="498">F3085-I3085</f>
        <v>24358452.380952381</v>
      </c>
      <c r="K3085" s="24"/>
      <c r="L3085" s="24"/>
    </row>
    <row r="3086" spans="2:19" x14ac:dyDescent="0.35">
      <c r="B3086" s="1">
        <v>2</v>
      </c>
      <c r="C3086" s="22">
        <v>45017</v>
      </c>
      <c r="D3086" s="22">
        <v>45046</v>
      </c>
      <c r="E3086" s="23">
        <f t="shared" si="495"/>
        <v>30</v>
      </c>
      <c r="F3086" s="3">
        <f t="shared" si="496"/>
        <v>24358452.380952381</v>
      </c>
      <c r="G3086" s="3"/>
      <c r="H3086" s="3">
        <f t="shared" si="497"/>
        <v>202987.10317460317</v>
      </c>
      <c r="I3086" s="3">
        <f>-H3086</f>
        <v>-202987.10317460317</v>
      </c>
      <c r="J3086" s="3">
        <f t="shared" si="498"/>
        <v>24561439.484126985</v>
      </c>
    </row>
    <row r="3087" spans="2:19" x14ac:dyDescent="0.35">
      <c r="B3087" s="1">
        <v>3</v>
      </c>
      <c r="C3087" s="22">
        <v>45047</v>
      </c>
      <c r="D3087" s="22">
        <v>45077</v>
      </c>
      <c r="E3087" s="23">
        <f t="shared" si="495"/>
        <v>31</v>
      </c>
      <c r="F3087" s="3">
        <f t="shared" si="496"/>
        <v>24561439.484126985</v>
      </c>
      <c r="G3087" s="3"/>
      <c r="H3087" s="3">
        <f t="shared" si="497"/>
        <v>204678.66236772487</v>
      </c>
      <c r="I3087" s="3">
        <f>-H3087</f>
        <v>-204678.66236772487</v>
      </c>
      <c r="J3087" s="3">
        <f t="shared" si="498"/>
        <v>24766118.146494709</v>
      </c>
      <c r="K3087" s="24"/>
      <c r="L3087" s="24"/>
    </row>
    <row r="3088" spans="2:19" x14ac:dyDescent="0.35">
      <c r="B3088" s="1">
        <v>4</v>
      </c>
      <c r="C3088" s="22">
        <v>45078</v>
      </c>
      <c r="D3088" s="22">
        <v>45107</v>
      </c>
      <c r="E3088" s="23">
        <f t="shared" si="495"/>
        <v>30</v>
      </c>
      <c r="F3088" s="3">
        <f t="shared" si="496"/>
        <v>24766118.146494709</v>
      </c>
      <c r="G3088" s="3">
        <f t="shared" ref="G3088:G3108" si="499">-PMT($D$3076/$D$3078,21,$F$3088,,0)</f>
        <v>1290434.0177444792</v>
      </c>
      <c r="H3088" s="3">
        <f t="shared" si="497"/>
        <v>206384.31788745589</v>
      </c>
      <c r="I3088" s="3">
        <f t="shared" ref="I3088:I3108" si="500">G3088-H3088</f>
        <v>1084049.6998570233</v>
      </c>
      <c r="J3088" s="3">
        <f t="shared" si="498"/>
        <v>23682068.446637686</v>
      </c>
      <c r="K3088" s="24"/>
      <c r="L3088" s="25">
        <f t="shared" ref="L3088:L3104" si="501">L3087+G3088-K3088</f>
        <v>1290434.0177444792</v>
      </c>
    </row>
    <row r="3089" spans="2:12" x14ac:dyDescent="0.35">
      <c r="B3089" s="1">
        <v>5</v>
      </c>
      <c r="C3089" s="22">
        <v>45108</v>
      </c>
      <c r="D3089" s="22">
        <v>45138</v>
      </c>
      <c r="E3089" s="23">
        <f t="shared" si="495"/>
        <v>31</v>
      </c>
      <c r="F3089" s="3">
        <f t="shared" si="496"/>
        <v>23682068.446637686</v>
      </c>
      <c r="G3089" s="3">
        <f t="shared" si="499"/>
        <v>1290434.0177444792</v>
      </c>
      <c r="H3089" s="3">
        <f t="shared" si="497"/>
        <v>197350.57038864738</v>
      </c>
      <c r="I3089" s="3">
        <f t="shared" si="500"/>
        <v>1093083.447355832</v>
      </c>
      <c r="J3089" s="3">
        <f t="shared" si="498"/>
        <v>22588984.999281853</v>
      </c>
      <c r="K3089" s="24"/>
      <c r="L3089" s="25">
        <f t="shared" si="501"/>
        <v>2580868.0354889585</v>
      </c>
    </row>
    <row r="3090" spans="2:12" x14ac:dyDescent="0.35">
      <c r="B3090" s="1">
        <v>6</v>
      </c>
      <c r="C3090" s="22">
        <v>45139</v>
      </c>
      <c r="D3090" s="22">
        <v>45169</v>
      </c>
      <c r="E3090" s="23">
        <f t="shared" si="495"/>
        <v>31</v>
      </c>
      <c r="F3090" s="3">
        <f t="shared" si="496"/>
        <v>22588984.999281853</v>
      </c>
      <c r="G3090" s="3">
        <f t="shared" si="499"/>
        <v>1290434.0177444792</v>
      </c>
      <c r="H3090" s="3">
        <f t="shared" si="497"/>
        <v>188241.54166068212</v>
      </c>
      <c r="I3090" s="3">
        <f t="shared" si="500"/>
        <v>1102192.4760837972</v>
      </c>
      <c r="J3090" s="3">
        <f t="shared" si="498"/>
        <v>21486792.523198057</v>
      </c>
      <c r="K3090" s="24">
        <v>1300000</v>
      </c>
      <c r="L3090" s="25">
        <f t="shared" si="501"/>
        <v>2571302.0532334377</v>
      </c>
    </row>
    <row r="3091" spans="2:12" x14ac:dyDescent="0.35">
      <c r="B3091" s="1">
        <v>7</v>
      </c>
      <c r="C3091" s="22">
        <v>45170</v>
      </c>
      <c r="D3091" s="22">
        <v>45199</v>
      </c>
      <c r="E3091" s="23">
        <f t="shared" si="495"/>
        <v>30</v>
      </c>
      <c r="F3091" s="3">
        <f t="shared" si="496"/>
        <v>21486792.523198057</v>
      </c>
      <c r="G3091" s="3">
        <f t="shared" si="499"/>
        <v>1290434.0177444792</v>
      </c>
      <c r="H3091" s="3">
        <f t="shared" si="497"/>
        <v>179056.60435998382</v>
      </c>
      <c r="I3091" s="3">
        <f t="shared" si="500"/>
        <v>1111377.4133844953</v>
      </c>
      <c r="J3091" s="3">
        <f t="shared" si="498"/>
        <v>20375415.109813564</v>
      </c>
      <c r="K3091" s="24"/>
      <c r="L3091" s="25">
        <f t="shared" si="501"/>
        <v>3861736.0709779169</v>
      </c>
    </row>
    <row r="3092" spans="2:12" x14ac:dyDescent="0.35">
      <c r="B3092" s="1">
        <v>8</v>
      </c>
      <c r="C3092" s="22">
        <v>45200</v>
      </c>
      <c r="D3092" s="22">
        <v>45230</v>
      </c>
      <c r="E3092" s="23">
        <f t="shared" si="495"/>
        <v>31</v>
      </c>
      <c r="F3092" s="3">
        <f t="shared" si="496"/>
        <v>20375415.109813564</v>
      </c>
      <c r="G3092" s="3">
        <f t="shared" si="499"/>
        <v>1290434.0177444792</v>
      </c>
      <c r="H3092" s="3">
        <f t="shared" si="497"/>
        <v>169795.12591511302</v>
      </c>
      <c r="I3092" s="3">
        <f t="shared" si="500"/>
        <v>1120638.8918293663</v>
      </c>
      <c r="J3092" s="3">
        <f t="shared" si="498"/>
        <v>19254776.217984196</v>
      </c>
      <c r="K3092" s="24"/>
      <c r="L3092" s="25">
        <f t="shared" si="501"/>
        <v>5152170.0887223966</v>
      </c>
    </row>
    <row r="3093" spans="2:12" x14ac:dyDescent="0.35">
      <c r="B3093" s="1">
        <v>9</v>
      </c>
      <c r="C3093" s="22">
        <v>45231</v>
      </c>
      <c r="D3093" s="22">
        <v>45260</v>
      </c>
      <c r="E3093" s="23">
        <f t="shared" si="495"/>
        <v>30</v>
      </c>
      <c r="F3093" s="3">
        <f t="shared" si="496"/>
        <v>19254776.217984196</v>
      </c>
      <c r="G3093" s="3">
        <f t="shared" si="499"/>
        <v>1290434.0177444792</v>
      </c>
      <c r="H3093" s="3">
        <f t="shared" si="497"/>
        <v>160456.46848320164</v>
      </c>
      <c r="I3093" s="3">
        <f t="shared" si="500"/>
        <v>1129977.5492612775</v>
      </c>
      <c r="J3093" s="3">
        <f t="shared" si="498"/>
        <v>18124798.66872292</v>
      </c>
      <c r="K3093" s="24">
        <v>3000000</v>
      </c>
      <c r="L3093" s="25">
        <f t="shared" si="501"/>
        <v>3442604.1064668763</v>
      </c>
    </row>
    <row r="3094" spans="2:12" x14ac:dyDescent="0.35">
      <c r="B3094" s="1">
        <v>10</v>
      </c>
      <c r="C3094" s="22">
        <v>45261</v>
      </c>
      <c r="D3094" s="22">
        <v>45291</v>
      </c>
      <c r="E3094" s="23">
        <f t="shared" si="495"/>
        <v>31</v>
      </c>
      <c r="F3094" s="3">
        <f t="shared" si="496"/>
        <v>18124798.66872292</v>
      </c>
      <c r="G3094" s="3">
        <f t="shared" si="499"/>
        <v>1290434.0177444792</v>
      </c>
      <c r="H3094" s="3">
        <f t="shared" si="497"/>
        <v>151039.98890602434</v>
      </c>
      <c r="I3094" s="3">
        <f t="shared" si="500"/>
        <v>1139394.028838455</v>
      </c>
      <c r="J3094" s="3">
        <f t="shared" si="498"/>
        <v>16985404.639884464</v>
      </c>
      <c r="K3094" s="24">
        <f>3000000+1000000+900000</f>
        <v>4900000</v>
      </c>
      <c r="L3094" s="25">
        <f t="shared" si="501"/>
        <v>-166961.87578864396</v>
      </c>
    </row>
    <row r="3095" spans="2:12" x14ac:dyDescent="0.35">
      <c r="B3095" s="1">
        <v>11</v>
      </c>
      <c r="C3095" s="22">
        <v>45292</v>
      </c>
      <c r="D3095" s="22">
        <v>45322</v>
      </c>
      <c r="E3095" s="23">
        <f t="shared" si="495"/>
        <v>31</v>
      </c>
      <c r="F3095" s="3">
        <f t="shared" si="496"/>
        <v>16985404.639884464</v>
      </c>
      <c r="G3095" s="3">
        <f t="shared" si="499"/>
        <v>1290434.0177444792</v>
      </c>
      <c r="H3095" s="3">
        <f t="shared" si="497"/>
        <v>141545.03866570388</v>
      </c>
      <c r="I3095" s="3">
        <f t="shared" si="500"/>
        <v>1148888.9790787753</v>
      </c>
      <c r="J3095" s="3">
        <f t="shared" si="498"/>
        <v>15836515.660805689</v>
      </c>
      <c r="K3095" s="24"/>
      <c r="L3095" s="25">
        <f t="shared" si="501"/>
        <v>1123472.1419558353</v>
      </c>
    </row>
    <row r="3096" spans="2:12" x14ac:dyDescent="0.35">
      <c r="B3096" s="1">
        <v>12</v>
      </c>
      <c r="C3096" s="22">
        <v>45323</v>
      </c>
      <c r="D3096" s="22">
        <v>45351</v>
      </c>
      <c r="E3096" s="23">
        <f t="shared" si="495"/>
        <v>29</v>
      </c>
      <c r="F3096" s="3">
        <f t="shared" si="496"/>
        <v>15836515.660805689</v>
      </c>
      <c r="G3096" s="3">
        <f t="shared" si="499"/>
        <v>1290434.0177444792</v>
      </c>
      <c r="H3096" s="3">
        <f t="shared" si="497"/>
        <v>131970.96384004742</v>
      </c>
      <c r="I3096" s="3">
        <f t="shared" si="500"/>
        <v>1158463.0539044319</v>
      </c>
      <c r="J3096" s="3">
        <f t="shared" si="498"/>
        <v>14678052.606901258</v>
      </c>
      <c r="K3096" s="24"/>
      <c r="L3096" s="25">
        <f t="shared" si="501"/>
        <v>2413906.1597003145</v>
      </c>
    </row>
    <row r="3097" spans="2:12" x14ac:dyDescent="0.35">
      <c r="B3097" s="1">
        <v>13</v>
      </c>
      <c r="C3097" s="22">
        <v>45352</v>
      </c>
      <c r="D3097" s="22">
        <v>45382</v>
      </c>
      <c r="E3097" s="23">
        <f t="shared" si="495"/>
        <v>31</v>
      </c>
      <c r="F3097" s="3">
        <f t="shared" si="496"/>
        <v>14678052.606901258</v>
      </c>
      <c r="G3097" s="3">
        <f t="shared" si="499"/>
        <v>1290434.0177444792</v>
      </c>
      <c r="H3097" s="3">
        <f t="shared" si="497"/>
        <v>122317.10505751049</v>
      </c>
      <c r="I3097" s="3">
        <f t="shared" si="500"/>
        <v>1168116.9126869687</v>
      </c>
      <c r="J3097" s="3">
        <f t="shared" si="498"/>
        <v>13509935.69421429</v>
      </c>
      <c r="K3097" s="24">
        <v>600000</v>
      </c>
      <c r="L3097" s="25">
        <f t="shared" si="501"/>
        <v>3104340.1774447937</v>
      </c>
    </row>
    <row r="3098" spans="2:12" x14ac:dyDescent="0.35">
      <c r="B3098" s="1">
        <v>14</v>
      </c>
      <c r="C3098" s="22">
        <v>45383</v>
      </c>
      <c r="D3098" s="22">
        <v>45412</v>
      </c>
      <c r="E3098" s="23">
        <f t="shared" si="495"/>
        <v>30</v>
      </c>
      <c r="F3098" s="3">
        <f t="shared" si="496"/>
        <v>13509935.69421429</v>
      </c>
      <c r="G3098" s="3">
        <f t="shared" si="499"/>
        <v>1290434.0177444792</v>
      </c>
      <c r="H3098" s="3">
        <f t="shared" si="497"/>
        <v>112582.79745178575</v>
      </c>
      <c r="I3098" s="3">
        <f t="shared" si="500"/>
        <v>1177851.2202926935</v>
      </c>
      <c r="J3098" s="3">
        <f t="shared" si="498"/>
        <v>12332084.473921597</v>
      </c>
      <c r="K3098" s="24">
        <v>700000</v>
      </c>
      <c r="L3098" s="25">
        <f t="shared" si="501"/>
        <v>3694774.195189273</v>
      </c>
    </row>
    <row r="3099" spans="2:12" x14ac:dyDescent="0.35">
      <c r="B3099" s="1">
        <v>15</v>
      </c>
      <c r="C3099" s="22">
        <v>45413</v>
      </c>
      <c r="D3099" s="22">
        <v>45443</v>
      </c>
      <c r="E3099" s="23">
        <f t="shared" si="495"/>
        <v>31</v>
      </c>
      <c r="F3099" s="3">
        <f t="shared" si="496"/>
        <v>12332084.473921597</v>
      </c>
      <c r="G3099" s="3">
        <f t="shared" si="499"/>
        <v>1290434.0177444792</v>
      </c>
      <c r="H3099" s="3">
        <f t="shared" si="497"/>
        <v>102767.3706160133</v>
      </c>
      <c r="I3099" s="3">
        <f t="shared" si="500"/>
        <v>1187666.6471284661</v>
      </c>
      <c r="J3099" s="3">
        <f t="shared" si="498"/>
        <v>11144417.82679313</v>
      </c>
      <c r="K3099" s="24"/>
      <c r="L3099" s="25">
        <f t="shared" si="501"/>
        <v>4985208.2129337527</v>
      </c>
    </row>
    <row r="3100" spans="2:12" x14ac:dyDescent="0.35">
      <c r="B3100" s="1">
        <v>16</v>
      </c>
      <c r="C3100" s="22">
        <v>45444</v>
      </c>
      <c r="D3100" s="22">
        <v>45473</v>
      </c>
      <c r="E3100" s="23">
        <f t="shared" si="495"/>
        <v>30</v>
      </c>
      <c r="F3100" s="3">
        <f t="shared" si="496"/>
        <v>11144417.82679313</v>
      </c>
      <c r="G3100" s="3">
        <f t="shared" si="499"/>
        <v>1290434.0177444792</v>
      </c>
      <c r="H3100" s="3">
        <f t="shared" si="497"/>
        <v>92870.14855660942</v>
      </c>
      <c r="I3100" s="3">
        <f t="shared" si="500"/>
        <v>1197563.8691878698</v>
      </c>
      <c r="J3100" s="3">
        <f t="shared" si="498"/>
        <v>9946853.9576052614</v>
      </c>
      <c r="K3100" s="24">
        <f>3000000+1500000</f>
        <v>4500000</v>
      </c>
      <c r="L3100" s="25">
        <f t="shared" si="501"/>
        <v>1775642.2306782324</v>
      </c>
    </row>
    <row r="3101" spans="2:12" x14ac:dyDescent="0.35">
      <c r="B3101" s="1">
        <v>17</v>
      </c>
      <c r="C3101" s="22">
        <v>45474</v>
      </c>
      <c r="D3101" s="22">
        <v>45504</v>
      </c>
      <c r="E3101" s="23">
        <f t="shared" si="495"/>
        <v>31</v>
      </c>
      <c r="F3101" s="3">
        <f t="shared" si="496"/>
        <v>9946853.9576052614</v>
      </c>
      <c r="G3101" s="3">
        <f t="shared" si="499"/>
        <v>1290434.0177444792</v>
      </c>
      <c r="H3101" s="3">
        <f t="shared" si="497"/>
        <v>82890.449646710505</v>
      </c>
      <c r="I3101" s="3">
        <f t="shared" si="500"/>
        <v>1207543.5680977688</v>
      </c>
      <c r="J3101" s="3">
        <f t="shared" si="498"/>
        <v>8739310.389507493</v>
      </c>
      <c r="K3101" s="24">
        <v>1300000</v>
      </c>
      <c r="L3101" s="25">
        <f t="shared" si="501"/>
        <v>1766076.2484227116</v>
      </c>
    </row>
    <row r="3102" spans="2:12" x14ac:dyDescent="0.35">
      <c r="B3102" s="1">
        <v>18</v>
      </c>
      <c r="C3102" s="22">
        <v>45505</v>
      </c>
      <c r="D3102" s="22">
        <v>45535</v>
      </c>
      <c r="E3102" s="23">
        <f t="shared" si="495"/>
        <v>31</v>
      </c>
      <c r="F3102" s="3">
        <f t="shared" si="496"/>
        <v>8739310.389507493</v>
      </c>
      <c r="G3102" s="3">
        <f t="shared" si="499"/>
        <v>1290434.0177444792</v>
      </c>
      <c r="H3102" s="3">
        <f t="shared" si="497"/>
        <v>72827.586579229101</v>
      </c>
      <c r="I3102" s="3">
        <f t="shared" si="500"/>
        <v>1217606.43116525</v>
      </c>
      <c r="J3102" s="3">
        <f t="shared" si="498"/>
        <v>7521703.958342243</v>
      </c>
      <c r="K3102" s="24"/>
      <c r="L3102" s="25">
        <f t="shared" si="501"/>
        <v>3056510.2661671909</v>
      </c>
    </row>
    <row r="3103" spans="2:12" x14ac:dyDescent="0.35">
      <c r="B3103" s="1">
        <v>19</v>
      </c>
      <c r="C3103" s="22">
        <v>45536</v>
      </c>
      <c r="D3103" s="22">
        <v>45565</v>
      </c>
      <c r="E3103" s="23">
        <f t="shared" si="495"/>
        <v>30</v>
      </c>
      <c r="F3103" s="3">
        <f t="shared" si="496"/>
        <v>7521703.958342243</v>
      </c>
      <c r="G3103" s="3">
        <f t="shared" si="499"/>
        <v>1290434.0177444792</v>
      </c>
      <c r="H3103" s="3">
        <f t="shared" si="497"/>
        <v>62680.866319518689</v>
      </c>
      <c r="I3103" s="3">
        <f t="shared" si="500"/>
        <v>1227753.1514249605</v>
      </c>
      <c r="J3103" s="3">
        <f t="shared" si="498"/>
        <v>6293950.8069172828</v>
      </c>
      <c r="K3103" s="24">
        <v>3060000</v>
      </c>
      <c r="L3103" s="25">
        <f t="shared" si="501"/>
        <v>1286944.2839116696</v>
      </c>
    </row>
    <row r="3104" spans="2:12" x14ac:dyDescent="0.35">
      <c r="B3104" s="1">
        <v>20</v>
      </c>
      <c r="C3104" s="22">
        <v>45566</v>
      </c>
      <c r="D3104" s="22">
        <v>45596</v>
      </c>
      <c r="E3104" s="23">
        <f t="shared" si="495"/>
        <v>31</v>
      </c>
      <c r="F3104" s="3">
        <f t="shared" si="496"/>
        <v>6293950.8069172828</v>
      </c>
      <c r="G3104" s="3">
        <f t="shared" si="499"/>
        <v>1290434.0177444792</v>
      </c>
      <c r="H3104" s="3">
        <f t="shared" si="497"/>
        <v>52449.590057644025</v>
      </c>
      <c r="I3104" s="3">
        <f t="shared" si="500"/>
        <v>1237984.4276868352</v>
      </c>
      <c r="J3104" s="3">
        <f t="shared" si="498"/>
        <v>5055966.3792304471</v>
      </c>
      <c r="K3104" s="24"/>
      <c r="L3104" s="302">
        <f t="shared" si="501"/>
        <v>2577378.3016561489</v>
      </c>
    </row>
    <row r="3105" spans="2:13" x14ac:dyDescent="0.35">
      <c r="B3105" s="1">
        <v>21</v>
      </c>
      <c r="C3105" s="22">
        <v>45597</v>
      </c>
      <c r="D3105" s="22">
        <v>45626</v>
      </c>
      <c r="E3105" s="23">
        <f t="shared" si="495"/>
        <v>30</v>
      </c>
      <c r="F3105" s="3">
        <f t="shared" si="496"/>
        <v>5055966.3792304471</v>
      </c>
      <c r="G3105" s="3">
        <f t="shared" si="499"/>
        <v>1290434.0177444792</v>
      </c>
      <c r="H3105" s="3">
        <f t="shared" si="497"/>
        <v>42133.053160253723</v>
      </c>
      <c r="I3105" s="3">
        <f t="shared" si="500"/>
        <v>1248300.9645842256</v>
      </c>
      <c r="J3105" s="3">
        <f t="shared" si="498"/>
        <v>3807665.4146462213</v>
      </c>
      <c r="K3105" s="24"/>
      <c r="L3105" s="24"/>
    </row>
    <row r="3106" spans="2:13" x14ac:dyDescent="0.35">
      <c r="B3106" s="1">
        <v>22</v>
      </c>
      <c r="C3106" s="22">
        <v>45627</v>
      </c>
      <c r="D3106" s="22">
        <v>45657</v>
      </c>
      <c r="E3106" s="23">
        <f t="shared" si="495"/>
        <v>31</v>
      </c>
      <c r="F3106" s="3">
        <f t="shared" si="496"/>
        <v>3807665.4146462213</v>
      </c>
      <c r="G3106" s="3">
        <f t="shared" si="499"/>
        <v>1290434.0177444792</v>
      </c>
      <c r="H3106" s="3">
        <f t="shared" si="497"/>
        <v>31730.545122051844</v>
      </c>
      <c r="I3106" s="3">
        <f t="shared" si="500"/>
        <v>1258703.4726224274</v>
      </c>
      <c r="J3106" s="3">
        <f t="shared" si="498"/>
        <v>2548961.9420237942</v>
      </c>
      <c r="K3106" s="24"/>
      <c r="L3106" s="24"/>
    </row>
    <row r="3107" spans="2:13" x14ac:dyDescent="0.35">
      <c r="B3107" s="1">
        <v>23</v>
      </c>
      <c r="C3107" s="22">
        <v>45658</v>
      </c>
      <c r="D3107" s="22">
        <v>45688</v>
      </c>
      <c r="E3107" s="23">
        <f t="shared" si="495"/>
        <v>31</v>
      </c>
      <c r="F3107" s="3">
        <f t="shared" si="496"/>
        <v>2548961.9420237942</v>
      </c>
      <c r="G3107" s="3">
        <f t="shared" si="499"/>
        <v>1290434.0177444792</v>
      </c>
      <c r="H3107" s="3">
        <f t="shared" si="497"/>
        <v>21241.34951686495</v>
      </c>
      <c r="I3107" s="3">
        <f t="shared" si="500"/>
        <v>1269192.6682276144</v>
      </c>
      <c r="J3107" s="3">
        <f t="shared" si="498"/>
        <v>1279769.2737961798</v>
      </c>
      <c r="K3107" s="24"/>
      <c r="L3107" s="24"/>
    </row>
    <row r="3108" spans="2:13" x14ac:dyDescent="0.35">
      <c r="B3108" s="1">
        <v>24</v>
      </c>
      <c r="C3108" s="22">
        <v>45689</v>
      </c>
      <c r="D3108" s="22">
        <v>45716</v>
      </c>
      <c r="E3108" s="23">
        <f t="shared" si="495"/>
        <v>28</v>
      </c>
      <c r="F3108" s="3">
        <f t="shared" si="496"/>
        <v>1279769.2737961798</v>
      </c>
      <c r="G3108" s="3">
        <f t="shared" si="499"/>
        <v>1290434.0177444792</v>
      </c>
      <c r="H3108" s="3">
        <f t="shared" si="497"/>
        <v>10664.743948301499</v>
      </c>
      <c r="I3108" s="3">
        <f t="shared" si="500"/>
        <v>1279769.2737961777</v>
      </c>
      <c r="J3108" s="3">
        <f t="shared" si="498"/>
        <v>2.0954757928848267E-9</v>
      </c>
      <c r="K3108" s="24"/>
      <c r="L3108" s="24"/>
    </row>
    <row r="3109" spans="2:13" x14ac:dyDescent="0.35">
      <c r="B3109" s="1"/>
      <c r="C3109" s="22"/>
      <c r="D3109" s="22"/>
      <c r="E3109" s="23"/>
      <c r="F3109" s="3"/>
      <c r="G3109" s="3"/>
      <c r="H3109" s="3"/>
      <c r="I3109" s="3"/>
      <c r="J3109" s="3"/>
      <c r="K3109" s="24"/>
      <c r="L3109" s="24"/>
    </row>
    <row r="3110" spans="2:13" x14ac:dyDescent="0.35">
      <c r="B3110" s="1"/>
      <c r="C3110" s="22"/>
      <c r="D3110" s="22"/>
      <c r="E3110" s="28">
        <f>SUM(E3084:E3108)</f>
        <v>753</v>
      </c>
      <c r="F3110" s="3"/>
      <c r="G3110" s="3"/>
      <c r="H3110" s="3"/>
      <c r="I3110" s="3"/>
      <c r="J3110" s="3"/>
      <c r="K3110" s="24"/>
      <c r="L3110" s="24"/>
    </row>
    <row r="3114" spans="2:13" x14ac:dyDescent="0.35">
      <c r="B3114" s="8" t="s">
        <v>929</v>
      </c>
      <c r="C3114" s="3"/>
      <c r="D3114" s="3"/>
      <c r="E3114" s="3"/>
      <c r="F3114" s="3"/>
      <c r="G3114" s="3"/>
      <c r="H3114" s="3"/>
      <c r="I3114" s="3"/>
      <c r="K3114" s="3"/>
      <c r="L3114" s="3"/>
    </row>
    <row r="3115" spans="2:13" x14ac:dyDescent="0.35">
      <c r="B3115" s="1"/>
      <c r="C3115" s="3"/>
      <c r="D3115" s="3"/>
      <c r="E3115" s="3" t="s">
        <v>892</v>
      </c>
      <c r="F3115" s="3" t="s">
        <v>930</v>
      </c>
      <c r="G3115" s="3"/>
      <c r="H3115" s="3"/>
      <c r="I3115" s="3"/>
      <c r="K3115" s="3"/>
      <c r="L3115" s="3"/>
    </row>
    <row r="3116" spans="2:13" x14ac:dyDescent="0.35">
      <c r="B3116" s="9" t="s">
        <v>835</v>
      </c>
      <c r="C3116" s="10">
        <v>53391150</v>
      </c>
      <c r="D3116" s="3"/>
      <c r="E3116" s="3">
        <v>23391150</v>
      </c>
      <c r="F3116" s="3">
        <v>30000000</v>
      </c>
      <c r="G3116" s="3"/>
      <c r="H3116" s="3"/>
      <c r="I3116" s="3"/>
      <c r="K3116" s="3"/>
      <c r="L3116" s="3"/>
    </row>
    <row r="3117" spans="2:13" x14ac:dyDescent="0.35">
      <c r="B3117" s="11" t="s">
        <v>837</v>
      </c>
      <c r="C3117" s="12">
        <v>0.24</v>
      </c>
      <c r="D3117" s="13"/>
      <c r="E3117" s="231" t="s">
        <v>830</v>
      </c>
      <c r="F3117" s="231" t="s">
        <v>924</v>
      </c>
      <c r="G3117" s="231" t="s">
        <v>840</v>
      </c>
      <c r="H3117" s="231" t="s">
        <v>841</v>
      </c>
      <c r="I3117" s="231" t="s">
        <v>842</v>
      </c>
      <c r="J3117" s="231" t="s">
        <v>855</v>
      </c>
      <c r="K3117" s="231" t="s">
        <v>919</v>
      </c>
      <c r="L3117" s="231" t="s">
        <v>865</v>
      </c>
      <c r="M3117" s="231" t="s">
        <v>866</v>
      </c>
    </row>
    <row r="3118" spans="2:13" x14ac:dyDescent="0.35">
      <c r="B3118" s="11" t="s">
        <v>838</v>
      </c>
      <c r="C3118" s="14">
        <v>2</v>
      </c>
      <c r="D3118" s="1"/>
      <c r="E3118" s="230">
        <v>45108</v>
      </c>
      <c r="F3118" s="230">
        <v>45139</v>
      </c>
      <c r="G3118" s="231">
        <v>45170</v>
      </c>
      <c r="H3118" s="230">
        <v>45200</v>
      </c>
      <c r="I3118" s="231">
        <v>45261</v>
      </c>
      <c r="J3118" s="230">
        <v>44958</v>
      </c>
      <c r="K3118" s="230">
        <v>45047</v>
      </c>
      <c r="L3118" s="230">
        <v>45078</v>
      </c>
      <c r="M3118" s="230">
        <v>45108</v>
      </c>
    </row>
    <row r="3119" spans="2:13" x14ac:dyDescent="0.35">
      <c r="B3119" s="11" t="s">
        <v>839</v>
      </c>
      <c r="C3119" s="14">
        <v>12</v>
      </c>
      <c r="D3119" s="1"/>
      <c r="E3119" s="231" t="s">
        <v>836</v>
      </c>
      <c r="F3119" s="231" t="s">
        <v>836</v>
      </c>
      <c r="G3119" s="231" t="s">
        <v>836</v>
      </c>
      <c r="H3119" s="231" t="s">
        <v>836</v>
      </c>
      <c r="I3119" s="231" t="s">
        <v>836</v>
      </c>
      <c r="J3119" s="231" t="s">
        <v>836</v>
      </c>
      <c r="K3119" s="231" t="s">
        <v>836</v>
      </c>
      <c r="L3119" s="231" t="s">
        <v>836</v>
      </c>
      <c r="M3119" s="231" t="s">
        <v>836</v>
      </c>
    </row>
    <row r="3120" spans="2:13" x14ac:dyDescent="0.35">
      <c r="B3120" s="11" t="s">
        <v>843</v>
      </c>
      <c r="C3120" s="15">
        <f>C3118*C3119</f>
        <v>24</v>
      </c>
      <c r="D3120" s="257">
        <v>0.24</v>
      </c>
      <c r="E3120" s="13">
        <f>D3120+1.4%</f>
        <v>0.254</v>
      </c>
      <c r="F3120" s="13">
        <f>E3120+1.3%</f>
        <v>0.26700000000000002</v>
      </c>
      <c r="G3120" s="3">
        <f>F3120+0.7%</f>
        <v>0.27400000000000002</v>
      </c>
      <c r="H3120" s="13">
        <f>G3120+0.1%</f>
        <v>0.27500000000000002</v>
      </c>
      <c r="I3120" s="3">
        <f>H3120+0.1%</f>
        <v>0.27600000000000002</v>
      </c>
      <c r="J3120" s="13">
        <f>I3120+1.3%</f>
        <v>0.28900000000000003</v>
      </c>
      <c r="K3120" s="13">
        <f>J3120+0.1%</f>
        <v>0.29000000000000004</v>
      </c>
      <c r="L3120" s="13">
        <f>K3120+0.1%</f>
        <v>0.29100000000000004</v>
      </c>
      <c r="M3120" s="13">
        <f>L3120+0.3%</f>
        <v>0.29400000000000004</v>
      </c>
    </row>
    <row r="3121" spans="2:12" x14ac:dyDescent="0.35">
      <c r="B3121" s="11" t="s">
        <v>844</v>
      </c>
      <c r="C3121" s="16">
        <v>365</v>
      </c>
      <c r="D3121" s="1"/>
      <c r="E3121" s="1"/>
      <c r="F3121" s="3"/>
      <c r="G3121" s="3"/>
      <c r="H3121" s="3"/>
      <c r="I3121" s="3"/>
      <c r="K3121" s="1"/>
      <c r="L3121" s="1"/>
    </row>
    <row r="3122" spans="2:12" x14ac:dyDescent="0.35">
      <c r="B3122" s="17" t="s">
        <v>845</v>
      </c>
      <c r="C3122" s="18">
        <f>-PMT(C3117/C3119,C3120,C3116,0,0)</f>
        <v>2822848.6841128529</v>
      </c>
      <c r="D3122" s="3"/>
      <c r="E3122" s="1"/>
      <c r="F3122" s="3"/>
      <c r="G3122" s="3"/>
      <c r="H3122" s="3"/>
      <c r="I3122" s="3"/>
      <c r="K3122" s="1"/>
      <c r="L3122" s="1"/>
    </row>
    <row r="3123" spans="2:12" x14ac:dyDescent="0.35">
      <c r="B3123" s="1"/>
      <c r="C3123" s="3"/>
      <c r="D3123" s="3"/>
      <c r="E3123" s="1"/>
      <c r="F3123" s="3"/>
      <c r="G3123" s="3"/>
      <c r="H3123" s="3"/>
      <c r="I3123" s="3"/>
      <c r="K3123" s="1"/>
      <c r="L3123" s="1"/>
    </row>
    <row r="3124" spans="2:12" x14ac:dyDescent="0.35">
      <c r="C3124" s="19" t="s">
        <v>846</v>
      </c>
      <c r="D3124" s="20" t="s">
        <v>847</v>
      </c>
      <c r="E3124" s="20" t="s">
        <v>764</v>
      </c>
      <c r="F3124" s="270" t="s">
        <v>848</v>
      </c>
      <c r="G3124" s="270" t="s">
        <v>849</v>
      </c>
      <c r="H3124" s="270" t="s">
        <v>742</v>
      </c>
      <c r="I3124" s="270" t="s">
        <v>740</v>
      </c>
      <c r="J3124" s="270" t="s">
        <v>850</v>
      </c>
      <c r="K3124" s="21" t="s">
        <v>851</v>
      </c>
      <c r="L3124" s="21" t="s">
        <v>852</v>
      </c>
    </row>
    <row r="3125" spans="2:12" x14ac:dyDescent="0.35">
      <c r="B3125" s="6">
        <v>0</v>
      </c>
      <c r="C3125" s="22">
        <v>44972</v>
      </c>
      <c r="D3125" s="22">
        <v>44985</v>
      </c>
      <c r="E3125" s="23">
        <f t="shared" ref="E3125:E3149" si="502">D3125-C3125+1</f>
        <v>14</v>
      </c>
      <c r="F3125" s="3">
        <f>E3116</f>
        <v>23391150</v>
      </c>
      <c r="G3125" s="3"/>
      <c r="H3125" s="3">
        <f>(C3117/C3119*E3125*F3125/28)+(C3117/C3119*F3116/28*13)</f>
        <v>512482.92857142864</v>
      </c>
      <c r="I3125" s="3"/>
      <c r="J3125" s="3">
        <f>F3125+F3116-I3125</f>
        <v>53391150</v>
      </c>
      <c r="K3125" s="24"/>
      <c r="L3125" s="24"/>
    </row>
    <row r="3126" spans="2:12" x14ac:dyDescent="0.35">
      <c r="B3126" s="6">
        <v>1</v>
      </c>
      <c r="C3126" s="22">
        <v>44986</v>
      </c>
      <c r="D3126" s="22">
        <v>45016</v>
      </c>
      <c r="E3126" s="23">
        <f t="shared" si="502"/>
        <v>31</v>
      </c>
      <c r="F3126" s="3">
        <f t="shared" ref="F3126:F3149" si="503">J3125</f>
        <v>53391150</v>
      </c>
      <c r="G3126" s="3"/>
      <c r="H3126" s="3">
        <f>($C$3117/$C$3119*F3126)</f>
        <v>1067823</v>
      </c>
      <c r="I3126" s="3"/>
      <c r="J3126" s="3">
        <f t="shared" ref="J3126:J3149" si="504">F3126-I3126</f>
        <v>53391150</v>
      </c>
      <c r="K3126" s="24"/>
      <c r="L3126" s="24"/>
    </row>
    <row r="3127" spans="2:12" x14ac:dyDescent="0.35">
      <c r="B3127" s="6">
        <v>2</v>
      </c>
      <c r="C3127" s="22">
        <v>45017</v>
      </c>
      <c r="D3127" s="22">
        <v>45046</v>
      </c>
      <c r="E3127" s="23">
        <f t="shared" si="502"/>
        <v>30</v>
      </c>
      <c r="F3127" s="3">
        <f t="shared" si="503"/>
        <v>53391150</v>
      </c>
      <c r="G3127" s="3"/>
      <c r="H3127" s="3">
        <f>($C$3117/$C$3119*F3127)</f>
        <v>1067823</v>
      </c>
      <c r="I3127" s="3"/>
      <c r="J3127" s="3">
        <f t="shared" si="504"/>
        <v>53391150</v>
      </c>
    </row>
    <row r="3128" spans="2:12" x14ac:dyDescent="0.35">
      <c r="B3128" s="6">
        <v>3</v>
      </c>
      <c r="C3128" s="22">
        <v>45047</v>
      </c>
      <c r="D3128" s="22">
        <v>45077</v>
      </c>
      <c r="E3128" s="23">
        <f t="shared" si="502"/>
        <v>31</v>
      </c>
      <c r="F3128" s="3">
        <f t="shared" si="503"/>
        <v>53391150</v>
      </c>
      <c r="G3128" s="3"/>
      <c r="H3128" s="3">
        <f>($C$3117/$C$3119*F3128)</f>
        <v>1067823</v>
      </c>
      <c r="I3128" s="3"/>
      <c r="J3128" s="3">
        <f t="shared" si="504"/>
        <v>53391150</v>
      </c>
      <c r="K3128" s="24"/>
      <c r="L3128" s="24">
        <f>SUM(H3125:H3128)</f>
        <v>3715951.9285714286</v>
      </c>
    </row>
    <row r="3129" spans="2:12" x14ac:dyDescent="0.35">
      <c r="B3129" s="1">
        <v>4</v>
      </c>
      <c r="C3129" s="22">
        <v>45078</v>
      </c>
      <c r="D3129" s="22">
        <v>45107</v>
      </c>
      <c r="E3129" s="23">
        <f t="shared" si="502"/>
        <v>30</v>
      </c>
      <c r="F3129" s="3">
        <f t="shared" si="503"/>
        <v>53391150</v>
      </c>
      <c r="G3129" s="3"/>
      <c r="H3129" s="3">
        <f>($C$3117/$C$3119*F3129)</f>
        <v>1067823</v>
      </c>
      <c r="I3129" s="3"/>
      <c r="J3129" s="3">
        <f t="shared" si="504"/>
        <v>53391150</v>
      </c>
      <c r="K3129" s="24"/>
      <c r="L3129" s="26">
        <f>L3128+H3129</f>
        <v>4783774.9285714291</v>
      </c>
    </row>
    <row r="3130" spans="2:12" x14ac:dyDescent="0.35">
      <c r="B3130" s="1">
        <v>5</v>
      </c>
      <c r="C3130" s="22">
        <v>45108</v>
      </c>
      <c r="D3130" s="22">
        <v>45138</v>
      </c>
      <c r="E3130" s="23">
        <f t="shared" si="502"/>
        <v>31</v>
      </c>
      <c r="F3130" s="3">
        <f t="shared" si="503"/>
        <v>53391150</v>
      </c>
      <c r="G3130" s="3"/>
      <c r="H3130" s="3">
        <f>($E$3120/$C$3119*F3130)</f>
        <v>1130112.675</v>
      </c>
      <c r="I3130" s="3"/>
      <c r="J3130" s="3">
        <f t="shared" si="504"/>
        <v>53391150</v>
      </c>
      <c r="K3130" s="24"/>
      <c r="L3130" s="24">
        <f>L3129+H3130</f>
        <v>5913887.6035714289</v>
      </c>
    </row>
    <row r="3131" spans="2:12" x14ac:dyDescent="0.35">
      <c r="B3131" s="1">
        <v>6</v>
      </c>
      <c r="C3131" s="22">
        <v>45139</v>
      </c>
      <c r="D3131" s="22">
        <v>45169</v>
      </c>
      <c r="E3131" s="23">
        <f t="shared" si="502"/>
        <v>31</v>
      </c>
      <c r="F3131" s="3">
        <f t="shared" si="503"/>
        <v>53391150</v>
      </c>
      <c r="G3131" s="3"/>
      <c r="H3131" s="3">
        <f>($F$3120/$C$3119*F3131)</f>
        <v>1187953.0875000001</v>
      </c>
      <c r="I3131" s="3"/>
      <c r="J3131" s="3">
        <f t="shared" si="504"/>
        <v>53391150</v>
      </c>
      <c r="K3131" s="24"/>
      <c r="L3131" s="24">
        <f>L3130+H3131</f>
        <v>7101840.6910714293</v>
      </c>
    </row>
    <row r="3132" spans="2:12" x14ac:dyDescent="0.35">
      <c r="B3132" s="1">
        <v>7</v>
      </c>
      <c r="C3132" s="22">
        <v>45170</v>
      </c>
      <c r="D3132" s="22">
        <v>45199</v>
      </c>
      <c r="E3132" s="23">
        <f t="shared" si="502"/>
        <v>30</v>
      </c>
      <c r="F3132" s="3">
        <f t="shared" si="503"/>
        <v>53391150</v>
      </c>
      <c r="G3132" s="3">
        <f>-PMT($G$3120/$C$3119,18,$F$3132,,0)</f>
        <v>3650631.7329472098</v>
      </c>
      <c r="H3132" s="3">
        <f>($G$3120/$C$3119*F3132)</f>
        <v>1219097.925</v>
      </c>
      <c r="I3132" s="3">
        <f t="shared" ref="I3132:I3149" si="505">G3132-H3132</f>
        <v>2431533.80794721</v>
      </c>
      <c r="J3132" s="3">
        <f t="shared" si="504"/>
        <v>50959616.192052789</v>
      </c>
      <c r="K3132" s="24"/>
      <c r="L3132" s="24">
        <f t="shared" ref="L3132:L3140" si="506">L3131+G3132</f>
        <v>10752472.42401864</v>
      </c>
    </row>
    <row r="3133" spans="2:12" x14ac:dyDescent="0.35">
      <c r="B3133" s="1">
        <v>8</v>
      </c>
      <c r="C3133" s="22">
        <v>45200</v>
      </c>
      <c r="D3133" s="22">
        <v>45230</v>
      </c>
      <c r="E3133" s="23">
        <f t="shared" si="502"/>
        <v>31</v>
      </c>
      <c r="F3133" s="3">
        <f t="shared" si="503"/>
        <v>50959616.192052789</v>
      </c>
      <c r="G3133" s="3">
        <f>-PMT($H$3120/$C$3119,17,$F$3133,,0)</f>
        <v>3653148.2991992617</v>
      </c>
      <c r="H3133" s="3">
        <f>($H$3120/$C$3119*F3133)</f>
        <v>1167824.5377345432</v>
      </c>
      <c r="I3133" s="3">
        <f t="shared" si="505"/>
        <v>2485323.7614647187</v>
      </c>
      <c r="J3133" s="3">
        <f t="shared" si="504"/>
        <v>48474292.430588067</v>
      </c>
      <c r="K3133" s="24"/>
      <c r="L3133" s="24">
        <f t="shared" si="506"/>
        <v>14405620.723217901</v>
      </c>
    </row>
    <row r="3134" spans="2:12" x14ac:dyDescent="0.35">
      <c r="B3134" s="1">
        <v>9</v>
      </c>
      <c r="C3134" s="22">
        <v>45231</v>
      </c>
      <c r="D3134" s="22">
        <v>45260</v>
      </c>
      <c r="E3134" s="23">
        <f t="shared" si="502"/>
        <v>30</v>
      </c>
      <c r="F3134" s="3">
        <f t="shared" si="503"/>
        <v>48474292.430588067</v>
      </c>
      <c r="G3134" s="3">
        <f>-PMT($H$3120/$C$3119,17,$F$3133,,0)</f>
        <v>3653148.2991992617</v>
      </c>
      <c r="H3134" s="3">
        <f>($H$3120/$C$3119*F3134)</f>
        <v>1110869.2015343099</v>
      </c>
      <c r="I3134" s="3">
        <f t="shared" si="505"/>
        <v>2542279.0976649518</v>
      </c>
      <c r="J3134" s="3">
        <f t="shared" si="504"/>
        <v>45932013.332923114</v>
      </c>
      <c r="K3134" s="24"/>
      <c r="L3134" s="24">
        <f t="shared" si="506"/>
        <v>18058769.022417162</v>
      </c>
    </row>
    <row r="3135" spans="2:12" x14ac:dyDescent="0.35">
      <c r="B3135" s="1">
        <v>10</v>
      </c>
      <c r="C3135" s="22">
        <v>45261</v>
      </c>
      <c r="D3135" s="22">
        <v>45291</v>
      </c>
      <c r="E3135" s="23">
        <f t="shared" si="502"/>
        <v>31</v>
      </c>
      <c r="F3135" s="3">
        <f t="shared" si="503"/>
        <v>45932013.332923114</v>
      </c>
      <c r="G3135" s="3">
        <f>-PMT($I$3120/$C$3119,15,$F$3135,,0)</f>
        <v>3655403.9181927438</v>
      </c>
      <c r="H3135" s="3">
        <f>($I$3120/$C$3119*F3135)</f>
        <v>1056436.3066572319</v>
      </c>
      <c r="I3135" s="3">
        <f t="shared" si="505"/>
        <v>2598967.6115355119</v>
      </c>
      <c r="J3135" s="3">
        <f t="shared" si="504"/>
        <v>43333045.721387602</v>
      </c>
      <c r="K3135" s="24"/>
      <c r="L3135" s="24">
        <f t="shared" si="506"/>
        <v>21714172.940609906</v>
      </c>
    </row>
    <row r="3136" spans="2:12" x14ac:dyDescent="0.35">
      <c r="B3136" s="1">
        <v>11</v>
      </c>
      <c r="C3136" s="22">
        <v>45292</v>
      </c>
      <c r="D3136" s="22">
        <v>45322</v>
      </c>
      <c r="E3136" s="23">
        <f t="shared" si="502"/>
        <v>31</v>
      </c>
      <c r="F3136" s="3">
        <f t="shared" si="503"/>
        <v>43333045.721387602</v>
      </c>
      <c r="G3136" s="3">
        <f>-PMT($I$3120/$C$3119,15,$F$3135,,0)</f>
        <v>3655403.9181927438</v>
      </c>
      <c r="H3136" s="3">
        <f>($I$3120/$C$3119*F3136)</f>
        <v>996660.05159191496</v>
      </c>
      <c r="I3136" s="3">
        <f t="shared" si="505"/>
        <v>2658743.8666008287</v>
      </c>
      <c r="J3136" s="3">
        <f t="shared" si="504"/>
        <v>40674301.854786776</v>
      </c>
      <c r="K3136" s="24"/>
      <c r="L3136" s="24">
        <f t="shared" si="506"/>
        <v>25369576.85880265</v>
      </c>
    </row>
    <row r="3137" spans="2:12" x14ac:dyDescent="0.35">
      <c r="B3137" s="1">
        <v>12</v>
      </c>
      <c r="C3137" s="22">
        <v>45323</v>
      </c>
      <c r="D3137" s="22">
        <v>45351</v>
      </c>
      <c r="E3137" s="23">
        <f t="shared" si="502"/>
        <v>29</v>
      </c>
      <c r="F3137" s="3">
        <f t="shared" si="503"/>
        <v>40674301.854786776</v>
      </c>
      <c r="G3137" s="3">
        <f>-PMT($J$3120/$C$3119,13,$F$3137,,0)</f>
        <v>3681319.5102768671</v>
      </c>
      <c r="H3137" s="290">
        <f>($J$3120/$C$3119*F3137)</f>
        <v>979572.76966944826</v>
      </c>
      <c r="I3137" s="3">
        <f t="shared" si="505"/>
        <v>2701746.7406074191</v>
      </c>
      <c r="J3137" s="3">
        <f t="shared" si="504"/>
        <v>37972555.114179358</v>
      </c>
      <c r="K3137" s="24"/>
      <c r="L3137" s="24">
        <f t="shared" si="506"/>
        <v>29050896.369079515</v>
      </c>
    </row>
    <row r="3138" spans="2:12" x14ac:dyDescent="0.35">
      <c r="B3138" s="1">
        <v>13</v>
      </c>
      <c r="C3138" s="22">
        <v>45352</v>
      </c>
      <c r="D3138" s="22">
        <v>45382</v>
      </c>
      <c r="E3138" s="23">
        <f t="shared" si="502"/>
        <v>31</v>
      </c>
      <c r="F3138" s="3">
        <f t="shared" si="503"/>
        <v>37972555.114179358</v>
      </c>
      <c r="G3138" s="3">
        <f>-PMT($J$3120/$C$3119,13,$F$3137,,0)</f>
        <v>3681319.5102768671</v>
      </c>
      <c r="H3138" s="290">
        <f>($J$3120/$C$3119*F3138)</f>
        <v>914505.70233315299</v>
      </c>
      <c r="I3138" s="3">
        <f t="shared" si="505"/>
        <v>2766813.8079437139</v>
      </c>
      <c r="J3138" s="3">
        <f t="shared" si="504"/>
        <v>35205741.306235641</v>
      </c>
      <c r="K3138" s="24"/>
      <c r="L3138" s="24">
        <f t="shared" si="506"/>
        <v>32732215.879356384</v>
      </c>
    </row>
    <row r="3139" spans="2:12" x14ac:dyDescent="0.35">
      <c r="B3139" s="1">
        <v>14</v>
      </c>
      <c r="C3139" s="22">
        <v>45383</v>
      </c>
      <c r="D3139" s="22">
        <v>45412</v>
      </c>
      <c r="E3139" s="23">
        <f t="shared" si="502"/>
        <v>30</v>
      </c>
      <c r="F3139" s="3">
        <f t="shared" si="503"/>
        <v>35205741.306235641</v>
      </c>
      <c r="G3139" s="3">
        <f>-PMT($J$3120/$C$3119,13,$F$3137,,0)</f>
        <v>3681319.5102768671</v>
      </c>
      <c r="H3139" s="3">
        <f>($J$3120/$C$3119*F3139)</f>
        <v>847871.60312517511</v>
      </c>
      <c r="I3139" s="3">
        <f t="shared" si="505"/>
        <v>2833447.9071516921</v>
      </c>
      <c r="J3139" s="3">
        <f t="shared" si="504"/>
        <v>32372293.39908395</v>
      </c>
      <c r="K3139" s="24"/>
      <c r="L3139" s="24">
        <f t="shared" si="506"/>
        <v>36413535.389633253</v>
      </c>
    </row>
    <row r="3140" spans="2:12" x14ac:dyDescent="0.35">
      <c r="B3140" s="1">
        <v>15</v>
      </c>
      <c r="C3140" s="22">
        <v>45413</v>
      </c>
      <c r="D3140" s="22">
        <v>45443</v>
      </c>
      <c r="E3140" s="23">
        <f t="shared" si="502"/>
        <v>31</v>
      </c>
      <c r="F3140" s="3">
        <f t="shared" si="503"/>
        <v>32372293.39908395</v>
      </c>
      <c r="G3140" s="3">
        <f>-PMT($K$3120/$C$3119,10,$F$3140,,0)</f>
        <v>3682908.5223017633</v>
      </c>
      <c r="H3140" s="3">
        <f>($K$3120/$C$3119*F3140)</f>
        <v>782330.42381119553</v>
      </c>
      <c r="I3140" s="3">
        <f t="shared" si="505"/>
        <v>2900578.0984905679</v>
      </c>
      <c r="J3140" s="3">
        <f t="shared" si="504"/>
        <v>29471715.300593384</v>
      </c>
      <c r="K3140" s="24"/>
      <c r="L3140" s="24">
        <f t="shared" si="506"/>
        <v>40096443.911935017</v>
      </c>
    </row>
    <row r="3141" spans="2:12" x14ac:dyDescent="0.35">
      <c r="B3141" s="1">
        <v>16</v>
      </c>
      <c r="C3141" s="22">
        <v>45444</v>
      </c>
      <c r="D3141" s="22">
        <v>45473</v>
      </c>
      <c r="E3141" s="23">
        <f t="shared" si="502"/>
        <v>30</v>
      </c>
      <c r="F3141" s="3">
        <f t="shared" si="503"/>
        <v>29471715.300593384</v>
      </c>
      <c r="G3141" s="3">
        <f>-PMT($L$3120/$C$3119,9,$F$3141,,0)</f>
        <v>3684359.3349227156</v>
      </c>
      <c r="H3141" s="3">
        <f>($L$3120/$C$3119*F3141)</f>
        <v>714689.09603938973</v>
      </c>
      <c r="I3141" s="3">
        <f t="shared" si="505"/>
        <v>2969670.2388833258</v>
      </c>
      <c r="J3141" s="3">
        <f t="shared" si="504"/>
        <v>26502045.06171006</v>
      </c>
      <c r="L3141" s="24">
        <f>L3140+G3141-M4305</f>
        <v>43780803.246857733</v>
      </c>
    </row>
    <row r="3142" spans="2:12" x14ac:dyDescent="0.35">
      <c r="B3142" s="1">
        <v>17</v>
      </c>
      <c r="C3142" s="22">
        <v>45474</v>
      </c>
      <c r="D3142" s="22">
        <v>45504</v>
      </c>
      <c r="E3142" s="23">
        <f t="shared" si="502"/>
        <v>31</v>
      </c>
      <c r="F3142" s="3">
        <f t="shared" si="503"/>
        <v>26502045.06171006</v>
      </c>
      <c r="G3142" s="3">
        <f t="shared" ref="G3142:G3149" si="507">-PMT($M$3120/$C$3119,8,$F$3142,,0)</f>
        <v>3688294.0962149031</v>
      </c>
      <c r="H3142" s="3">
        <f t="shared" ref="H3142:H3149" si="508">($M$3120/$C$3119*F3142)</f>
        <v>649300.10401189653</v>
      </c>
      <c r="I3142" s="3">
        <f t="shared" si="505"/>
        <v>3038993.9922030065</v>
      </c>
      <c r="J3142" s="3">
        <f t="shared" si="504"/>
        <v>23463051.069507055</v>
      </c>
      <c r="K3142" s="24">
        <v>9000000</v>
      </c>
      <c r="L3142" s="24">
        <f>L3141+G3142-K3142</f>
        <v>38469097.343072638</v>
      </c>
    </row>
    <row r="3143" spans="2:12" x14ac:dyDescent="0.35">
      <c r="B3143" s="1">
        <v>18</v>
      </c>
      <c r="C3143" s="22">
        <v>45505</v>
      </c>
      <c r="D3143" s="22">
        <v>45535</v>
      </c>
      <c r="E3143" s="23">
        <f t="shared" si="502"/>
        <v>31</v>
      </c>
      <c r="F3143" s="3">
        <f t="shared" si="503"/>
        <v>23463051.069507055</v>
      </c>
      <c r="G3143" s="3">
        <f t="shared" si="507"/>
        <v>3688294.0962149031</v>
      </c>
      <c r="H3143" s="3">
        <f t="shared" si="508"/>
        <v>574844.7512029229</v>
      </c>
      <c r="I3143" s="3">
        <f t="shared" si="505"/>
        <v>3113449.3450119803</v>
      </c>
      <c r="J3143" s="3">
        <f t="shared" si="504"/>
        <v>20349601.724495076</v>
      </c>
      <c r="K3143" s="24"/>
      <c r="L3143" s="24">
        <f>L3142+G3143-K3143</f>
        <v>42157391.439287543</v>
      </c>
    </row>
    <row r="3144" spans="2:12" x14ac:dyDescent="0.35">
      <c r="B3144" s="1">
        <v>19</v>
      </c>
      <c r="C3144" s="22">
        <v>45536</v>
      </c>
      <c r="D3144" s="22">
        <v>45565</v>
      </c>
      <c r="E3144" s="23">
        <f t="shared" si="502"/>
        <v>30</v>
      </c>
      <c r="F3144" s="3">
        <f t="shared" si="503"/>
        <v>20349601.724495076</v>
      </c>
      <c r="G3144" s="3">
        <f t="shared" si="507"/>
        <v>3688294.0962149031</v>
      </c>
      <c r="H3144" s="3">
        <f t="shared" si="508"/>
        <v>498565.24225012946</v>
      </c>
      <c r="I3144" s="3">
        <f t="shared" si="505"/>
        <v>3189728.8539647735</v>
      </c>
      <c r="J3144" s="3">
        <f t="shared" si="504"/>
        <v>17159872.870530304</v>
      </c>
      <c r="K3144" s="24"/>
      <c r="L3144" s="24">
        <f>L3143+G3144-K3144</f>
        <v>45845685.535502449</v>
      </c>
    </row>
    <row r="3145" spans="2:12" x14ac:dyDescent="0.35">
      <c r="B3145" s="1">
        <v>20</v>
      </c>
      <c r="C3145" s="22">
        <v>45566</v>
      </c>
      <c r="D3145" s="22">
        <v>45596</v>
      </c>
      <c r="E3145" s="23">
        <f t="shared" si="502"/>
        <v>31</v>
      </c>
      <c r="F3145" s="3">
        <f t="shared" si="503"/>
        <v>17159872.870530304</v>
      </c>
      <c r="G3145" s="3">
        <f t="shared" si="507"/>
        <v>3688294.0962149031</v>
      </c>
      <c r="H3145" s="3">
        <f t="shared" si="508"/>
        <v>420416.8853279925</v>
      </c>
      <c r="I3145" s="3">
        <f t="shared" si="505"/>
        <v>3267877.2108869106</v>
      </c>
      <c r="J3145" s="3">
        <f t="shared" si="504"/>
        <v>13891995.659643393</v>
      </c>
      <c r="K3145" s="24"/>
      <c r="L3145" s="204">
        <f>L3144+G3145-K3145</f>
        <v>49533979.631717354</v>
      </c>
    </row>
    <row r="3146" spans="2:12" x14ac:dyDescent="0.35">
      <c r="B3146" s="1">
        <v>21</v>
      </c>
      <c r="C3146" s="22">
        <v>45597</v>
      </c>
      <c r="D3146" s="22">
        <v>45626</v>
      </c>
      <c r="E3146" s="23">
        <f t="shared" si="502"/>
        <v>30</v>
      </c>
      <c r="F3146" s="3">
        <f t="shared" si="503"/>
        <v>13891995.659643393</v>
      </c>
      <c r="G3146" s="3">
        <f t="shared" si="507"/>
        <v>3688294.0962149031</v>
      </c>
      <c r="H3146" s="3">
        <f t="shared" si="508"/>
        <v>340353.89366126317</v>
      </c>
      <c r="I3146" s="3">
        <f t="shared" si="505"/>
        <v>3347940.2025536401</v>
      </c>
      <c r="J3146" s="3">
        <f t="shared" si="504"/>
        <v>10544055.457089752</v>
      </c>
      <c r="K3146" s="24"/>
      <c r="L3146" s="24"/>
    </row>
    <row r="3147" spans="2:12" x14ac:dyDescent="0.35">
      <c r="B3147" s="1">
        <v>22</v>
      </c>
      <c r="C3147" s="22">
        <v>45627</v>
      </c>
      <c r="D3147" s="22">
        <v>45657</v>
      </c>
      <c r="E3147" s="23">
        <f t="shared" si="502"/>
        <v>31</v>
      </c>
      <c r="F3147" s="3">
        <f t="shared" si="503"/>
        <v>10544055.457089752</v>
      </c>
      <c r="G3147" s="3">
        <f t="shared" si="507"/>
        <v>3688294.0962149031</v>
      </c>
      <c r="H3147" s="3">
        <f t="shared" si="508"/>
        <v>258329.35869869898</v>
      </c>
      <c r="I3147" s="3">
        <f t="shared" si="505"/>
        <v>3429964.7375162039</v>
      </c>
      <c r="J3147" s="3">
        <f t="shared" si="504"/>
        <v>7114090.7195735481</v>
      </c>
      <c r="K3147" s="24"/>
      <c r="L3147" s="24"/>
    </row>
    <row r="3148" spans="2:12" x14ac:dyDescent="0.35">
      <c r="B3148" s="1">
        <v>23</v>
      </c>
      <c r="C3148" s="22">
        <v>45658</v>
      </c>
      <c r="D3148" s="22">
        <v>45688</v>
      </c>
      <c r="E3148" s="23">
        <f t="shared" si="502"/>
        <v>31</v>
      </c>
      <c r="F3148" s="3">
        <f t="shared" si="503"/>
        <v>7114090.7195735481</v>
      </c>
      <c r="G3148" s="3">
        <f t="shared" si="507"/>
        <v>3688294.0962149031</v>
      </c>
      <c r="H3148" s="3">
        <f t="shared" si="508"/>
        <v>174295.22262955195</v>
      </c>
      <c r="I3148" s="3">
        <f t="shared" si="505"/>
        <v>3513998.8735853513</v>
      </c>
      <c r="J3148" s="3">
        <f t="shared" si="504"/>
        <v>3600091.8459881968</v>
      </c>
      <c r="K3148" s="24"/>
      <c r="L3148" s="24"/>
    </row>
    <row r="3149" spans="2:12" x14ac:dyDescent="0.35">
      <c r="B3149" s="1">
        <v>24</v>
      </c>
      <c r="C3149" s="22">
        <v>45689</v>
      </c>
      <c r="D3149" s="22">
        <v>45716</v>
      </c>
      <c r="E3149" s="23">
        <f t="shared" si="502"/>
        <v>28</v>
      </c>
      <c r="F3149" s="3">
        <f t="shared" si="503"/>
        <v>3600091.8459881968</v>
      </c>
      <c r="G3149" s="3">
        <f t="shared" si="507"/>
        <v>3688294.0962149031</v>
      </c>
      <c r="H3149" s="3">
        <f t="shared" si="508"/>
        <v>88202.250226710836</v>
      </c>
      <c r="I3149" s="3">
        <f t="shared" si="505"/>
        <v>3600091.8459881921</v>
      </c>
      <c r="J3149" s="3">
        <f t="shared" si="504"/>
        <v>4.6566128730773926E-9</v>
      </c>
      <c r="K3149" s="24"/>
      <c r="L3149" s="24"/>
    </row>
    <row r="3150" spans="2:12" x14ac:dyDescent="0.35">
      <c r="B3150" s="1"/>
      <c r="C3150" s="22"/>
      <c r="D3150" s="22"/>
      <c r="E3150" s="23"/>
      <c r="F3150" s="3"/>
      <c r="G3150" s="3"/>
      <c r="H3150" s="3"/>
      <c r="I3150" s="3"/>
      <c r="J3150" s="3"/>
      <c r="K3150" s="24"/>
      <c r="L3150" s="24"/>
    </row>
    <row r="3151" spans="2:12" x14ac:dyDescent="0.35">
      <c r="B3151" s="1"/>
      <c r="C3151" s="22"/>
      <c r="D3151" s="22"/>
      <c r="E3151" s="28">
        <f>SUM(E3125:E3149)</f>
        <v>745</v>
      </c>
      <c r="F3151" s="3"/>
      <c r="G3151" s="3"/>
      <c r="H3151" s="3"/>
      <c r="I3151" s="3"/>
      <c r="J3151" s="3"/>
      <c r="K3151" s="24"/>
      <c r="L3151" s="24"/>
    </row>
    <row r="3157" spans="2:19" x14ac:dyDescent="0.35">
      <c r="B3157" s="1"/>
      <c r="C3157" s="8" t="s">
        <v>931</v>
      </c>
      <c r="D3157" s="3"/>
      <c r="E3157" s="3"/>
      <c r="F3157" s="3"/>
      <c r="G3157" s="3"/>
      <c r="H3157" s="3"/>
      <c r="I3157" s="3"/>
      <c r="J3157" s="3"/>
      <c r="K3157" s="3"/>
      <c r="L3157" s="3"/>
      <c r="R3157" s="438" t="s">
        <v>832</v>
      </c>
      <c r="S3157" s="432" t="str">
        <f>IFERROR(INDEX(Blocks!$I$2:$I$101,MATCH(57,Blocks!$A$2:$A$101,0)),"")</f>
        <v>000104460000059</v>
      </c>
    </row>
    <row r="3158" spans="2:19" x14ac:dyDescent="0.35">
      <c r="B3158" s="1"/>
      <c r="C3158" s="1"/>
      <c r="D3158" s="3"/>
      <c r="E3158" s="3"/>
      <c r="F3158" s="3" t="s">
        <v>892</v>
      </c>
      <c r="G3158" s="3" t="s">
        <v>930</v>
      </c>
      <c r="H3158" s="3"/>
      <c r="I3158" s="3"/>
      <c r="J3158" s="3"/>
      <c r="K3158" s="3"/>
      <c r="L3158" s="3"/>
      <c r="R3158" s="438" t="s">
        <v>834</v>
      </c>
      <c r="S3158" s="432" t="str">
        <f>IFERROR(INDEX(Blocks!$H$2:$H$101,MATCH(57,Blocks!$A$2:$A$101,0)),"")</f>
        <v>BenCal Technologies Ltd</v>
      </c>
    </row>
    <row r="3159" spans="2:19" x14ac:dyDescent="0.35">
      <c r="B3159" s="1"/>
      <c r="C3159" s="9" t="s">
        <v>835</v>
      </c>
      <c r="D3159" s="10">
        <v>153974500</v>
      </c>
      <c r="E3159" s="3"/>
      <c r="F3159" s="3">
        <v>132834502</v>
      </c>
      <c r="G3159" s="3"/>
      <c r="H3159" s="3">
        <v>21139998</v>
      </c>
      <c r="I3159" s="3"/>
      <c r="J3159" s="3"/>
      <c r="K3159" s="3"/>
      <c r="L3159" s="3"/>
      <c r="R3159" s="438" t="s">
        <v>223</v>
      </c>
      <c r="S3159" s="433">
        <f>IFERROR(INDEX('E-Banker master'!$N$2:$N$186,MATCH(S3157,'E-Banker master'!$A$2:$A$186,0)),"")</f>
        <v>153974500</v>
      </c>
    </row>
    <row r="3160" spans="2:19" x14ac:dyDescent="0.35">
      <c r="B3160" s="1"/>
      <c r="C3160" s="11" t="s">
        <v>837</v>
      </c>
      <c r="D3160" s="12">
        <v>0.1</v>
      </c>
      <c r="E3160" s="13"/>
      <c r="F3160" s="3"/>
      <c r="G3160" s="3"/>
      <c r="H3160" s="3"/>
      <c r="I3160" s="3"/>
      <c r="J3160" s="3"/>
      <c r="K3160" s="3"/>
      <c r="L3160" s="3"/>
      <c r="R3160" s="438" t="s">
        <v>52</v>
      </c>
      <c r="S3160" s="433">
        <f>IFERROR(INDEX('E-Banker master'!$P$2:$P$186,MATCH(S3157,'E-Banker master'!$A$2:$A$186,0)),"")</f>
        <v>37020527.350000001</v>
      </c>
    </row>
    <row r="3161" spans="2:19" x14ac:dyDescent="0.35">
      <c r="B3161" s="1"/>
      <c r="C3161" s="11" t="s">
        <v>838</v>
      </c>
      <c r="D3161" s="14">
        <v>5</v>
      </c>
      <c r="E3161" s="1"/>
      <c r="F3161" s="3"/>
      <c r="G3161" s="3"/>
      <c r="H3161" s="3"/>
      <c r="I3161" s="3"/>
      <c r="J3161" s="3"/>
      <c r="K3161" s="1"/>
      <c r="L3161" s="1"/>
    </row>
    <row r="3162" spans="2:19" x14ac:dyDescent="0.35">
      <c r="B3162" s="1"/>
      <c r="C3162" s="11" t="s">
        <v>839</v>
      </c>
      <c r="D3162" s="14">
        <v>12</v>
      </c>
      <c r="E3162" s="1"/>
      <c r="F3162" s="3"/>
      <c r="G3162" s="3"/>
      <c r="H3162" s="3"/>
      <c r="I3162" s="3"/>
      <c r="J3162" s="3"/>
      <c r="K3162" s="25"/>
      <c r="L3162" s="1"/>
    </row>
    <row r="3163" spans="2:19" x14ac:dyDescent="0.35">
      <c r="B3163" s="1"/>
      <c r="C3163" s="11" t="s">
        <v>843</v>
      </c>
      <c r="D3163" s="15">
        <f>D3161*D3162</f>
        <v>60</v>
      </c>
      <c r="E3163" s="1"/>
      <c r="F3163" s="3"/>
      <c r="G3163" s="3"/>
      <c r="H3163" s="3"/>
      <c r="I3163" s="3"/>
      <c r="J3163" s="3"/>
      <c r="K3163" s="1"/>
      <c r="L3163" s="1"/>
    </row>
    <row r="3164" spans="2:19" x14ac:dyDescent="0.35">
      <c r="B3164" s="1"/>
      <c r="C3164" s="11" t="s">
        <v>844</v>
      </c>
      <c r="D3164" s="16">
        <v>365</v>
      </c>
      <c r="E3164" s="1"/>
      <c r="F3164" s="3"/>
      <c r="G3164" s="3"/>
      <c r="H3164" s="3"/>
      <c r="I3164" s="3"/>
      <c r="J3164" s="3"/>
      <c r="K3164" s="1"/>
      <c r="L3164" s="1"/>
    </row>
    <row r="3165" spans="2:19" x14ac:dyDescent="0.35">
      <c r="B3165" s="1"/>
      <c r="C3165" s="17" t="s">
        <v>845</v>
      </c>
      <c r="D3165" s="18">
        <f>-PMT(D3160/D3162,D3163,D3159,0,0)</f>
        <v>3271503.085895177</v>
      </c>
      <c r="E3165" s="3"/>
      <c r="F3165" s="3"/>
      <c r="G3165" s="3"/>
      <c r="H3165" s="3"/>
      <c r="I3165" s="3"/>
      <c r="J3165" s="3"/>
      <c r="K3165" s="1"/>
      <c r="L3165" s="1"/>
    </row>
    <row r="3166" spans="2:19" x14ac:dyDescent="0.35">
      <c r="B3166" s="1"/>
      <c r="C3166" s="1"/>
      <c r="D3166" s="3"/>
      <c r="E3166" s="3"/>
      <c r="F3166" s="3"/>
      <c r="G3166" s="3"/>
      <c r="H3166" s="3"/>
      <c r="I3166" s="3"/>
      <c r="J3166" s="3"/>
      <c r="K3166" s="1"/>
      <c r="L3166" s="1"/>
    </row>
    <row r="3167" spans="2:19" x14ac:dyDescent="0.35">
      <c r="B3167" s="1"/>
      <c r="C3167" s="19" t="s">
        <v>846</v>
      </c>
      <c r="D3167" s="20" t="s">
        <v>847</v>
      </c>
      <c r="E3167" s="20" t="s">
        <v>764</v>
      </c>
      <c r="F3167" s="270" t="s">
        <v>848</v>
      </c>
      <c r="G3167" s="270" t="s">
        <v>849</v>
      </c>
      <c r="H3167" s="270" t="s">
        <v>742</v>
      </c>
      <c r="I3167" s="270" t="s">
        <v>740</v>
      </c>
      <c r="J3167" s="270" t="s">
        <v>850</v>
      </c>
      <c r="K3167" s="21" t="s">
        <v>851</v>
      </c>
      <c r="L3167" s="21" t="s">
        <v>852</v>
      </c>
    </row>
    <row r="3168" spans="2:19" x14ac:dyDescent="0.35">
      <c r="B3168" s="1">
        <v>0</v>
      </c>
      <c r="C3168" s="22">
        <v>44977</v>
      </c>
      <c r="D3168" s="22">
        <v>44985</v>
      </c>
      <c r="E3168" s="23">
        <f t="shared" ref="E3168:E3199" si="509">D3168-C3168+1</f>
        <v>9</v>
      </c>
      <c r="F3168" s="3">
        <f>F3159</f>
        <v>132834502</v>
      </c>
      <c r="G3168" s="3"/>
      <c r="H3168" s="3">
        <f>(D3160/D3162*E3168*F3168/28)</f>
        <v>355806.70178571431</v>
      </c>
      <c r="I3168" s="3">
        <f t="shared" ref="I3168:I3174" si="510">-H3168</f>
        <v>-355806.70178571431</v>
      </c>
      <c r="J3168" s="3">
        <f>F3168+G3159-I3168</f>
        <v>133190308.70178571</v>
      </c>
      <c r="K3168" s="24"/>
      <c r="L3168" s="24"/>
    </row>
    <row r="3169" spans="2:14" x14ac:dyDescent="0.35">
      <c r="B3169" s="1">
        <v>1</v>
      </c>
      <c r="C3169" s="22">
        <v>44986</v>
      </c>
      <c r="D3169" s="22">
        <v>45016</v>
      </c>
      <c r="E3169" s="23">
        <f t="shared" si="509"/>
        <v>31</v>
      </c>
      <c r="F3169" s="3">
        <f t="shared" ref="F3169:F3200" si="511">J3168</f>
        <v>133190308.70178571</v>
      </c>
      <c r="G3169" s="3"/>
      <c r="H3169" s="3">
        <f t="shared" ref="H3169:H3179" si="512">($D$3160/$D$3162*F3169)</f>
        <v>1109919.2391815477</v>
      </c>
      <c r="I3169" s="3">
        <f t="shared" si="510"/>
        <v>-1109919.2391815477</v>
      </c>
      <c r="J3169" s="3">
        <f>F3169</f>
        <v>133190308.70178571</v>
      </c>
      <c r="K3169" s="24"/>
      <c r="L3169" s="24"/>
    </row>
    <row r="3170" spans="2:14" x14ac:dyDescent="0.35">
      <c r="B3170" s="1">
        <v>2</v>
      </c>
      <c r="C3170" s="22">
        <v>45017</v>
      </c>
      <c r="D3170" s="22">
        <v>45046</v>
      </c>
      <c r="E3170" s="23">
        <f t="shared" si="509"/>
        <v>30</v>
      </c>
      <c r="F3170" s="3">
        <f t="shared" si="511"/>
        <v>133190308.70178571</v>
      </c>
      <c r="G3170" s="3"/>
      <c r="H3170" s="3">
        <f t="shared" si="512"/>
        <v>1109919.2391815477</v>
      </c>
      <c r="I3170" s="3">
        <f t="shared" si="510"/>
        <v>-1109919.2391815477</v>
      </c>
      <c r="J3170" s="3">
        <f t="shared" ref="J3170:J3179" si="513">F3170-I3170</f>
        <v>134300227.94096726</v>
      </c>
    </row>
    <row r="3171" spans="2:14" x14ac:dyDescent="0.35">
      <c r="B3171" s="1">
        <v>3</v>
      </c>
      <c r="C3171" s="22">
        <v>45047</v>
      </c>
      <c r="D3171" s="22">
        <v>45077</v>
      </c>
      <c r="E3171" s="23">
        <f t="shared" si="509"/>
        <v>31</v>
      </c>
      <c r="F3171" s="3">
        <f t="shared" si="511"/>
        <v>134300227.94096726</v>
      </c>
      <c r="G3171" s="3"/>
      <c r="H3171" s="3">
        <f t="shared" si="512"/>
        <v>1119168.5661747272</v>
      </c>
      <c r="I3171" s="3">
        <f t="shared" si="510"/>
        <v>-1119168.5661747272</v>
      </c>
      <c r="J3171" s="3">
        <f t="shared" si="513"/>
        <v>135419396.50714198</v>
      </c>
      <c r="K3171" s="24"/>
      <c r="L3171" s="24"/>
    </row>
    <row r="3172" spans="2:14" x14ac:dyDescent="0.35">
      <c r="B3172" s="1">
        <v>4</v>
      </c>
      <c r="C3172" s="22">
        <v>45078</v>
      </c>
      <c r="D3172" s="22">
        <v>45107</v>
      </c>
      <c r="E3172" s="23">
        <f t="shared" si="509"/>
        <v>30</v>
      </c>
      <c r="F3172" s="3">
        <f t="shared" si="511"/>
        <v>135419396.50714198</v>
      </c>
      <c r="G3172" s="3"/>
      <c r="H3172" s="3">
        <f t="shared" si="512"/>
        <v>1128494.9708928498</v>
      </c>
      <c r="I3172" s="3">
        <f t="shared" si="510"/>
        <v>-1128494.9708928498</v>
      </c>
      <c r="J3172" s="3">
        <f t="shared" si="513"/>
        <v>136547891.47803482</v>
      </c>
      <c r="K3172" s="24"/>
      <c r="L3172" s="24"/>
    </row>
    <row r="3173" spans="2:14" x14ac:dyDescent="0.35">
      <c r="B3173" s="1">
        <v>5</v>
      </c>
      <c r="C3173" s="22">
        <v>45108</v>
      </c>
      <c r="D3173" s="22">
        <v>45138</v>
      </c>
      <c r="E3173" s="23">
        <f t="shared" si="509"/>
        <v>31</v>
      </c>
      <c r="F3173" s="3">
        <f t="shared" si="511"/>
        <v>136547891.47803482</v>
      </c>
      <c r="G3173" s="3"/>
      <c r="H3173" s="3">
        <f t="shared" si="512"/>
        <v>1137899.0956502901</v>
      </c>
      <c r="I3173" s="3">
        <f t="shared" si="510"/>
        <v>-1137899.0956502901</v>
      </c>
      <c r="J3173" s="3">
        <f t="shared" si="513"/>
        <v>137685790.57368511</v>
      </c>
      <c r="K3173" s="24"/>
      <c r="L3173" s="24"/>
    </row>
    <row r="3174" spans="2:14" x14ac:dyDescent="0.35">
      <c r="B3174" s="1">
        <v>6</v>
      </c>
      <c r="C3174" s="22">
        <v>45139</v>
      </c>
      <c r="D3174" s="22">
        <v>45169</v>
      </c>
      <c r="E3174" s="23">
        <f t="shared" si="509"/>
        <v>31</v>
      </c>
      <c r="F3174" s="3">
        <f t="shared" si="511"/>
        <v>137685790.57368511</v>
      </c>
      <c r="G3174" s="3"/>
      <c r="H3174" s="3">
        <f t="shared" si="512"/>
        <v>1147381.5881140425</v>
      </c>
      <c r="I3174" s="3">
        <f t="shared" si="510"/>
        <v>-1147381.5881140425</v>
      </c>
      <c r="J3174" s="3">
        <f t="shared" si="513"/>
        <v>138833172.16179916</v>
      </c>
      <c r="K3174" s="24"/>
      <c r="L3174" s="26"/>
    </row>
    <row r="3175" spans="2:14" x14ac:dyDescent="0.35">
      <c r="B3175" s="1">
        <v>7</v>
      </c>
      <c r="C3175" s="22">
        <v>45170</v>
      </c>
      <c r="D3175" s="22">
        <v>45199</v>
      </c>
      <c r="E3175" s="23">
        <f t="shared" si="509"/>
        <v>30</v>
      </c>
      <c r="F3175" s="3">
        <f t="shared" si="511"/>
        <v>138833172.16179916</v>
      </c>
      <c r="G3175" s="3">
        <f t="shared" ref="G3175:G3180" si="514">-PMT($D$3160/$D$3162,54,$F$3175,,0)</f>
        <v>3203215.506833924</v>
      </c>
      <c r="H3175" s="3">
        <f t="shared" si="512"/>
        <v>1156943.1013483263</v>
      </c>
      <c r="I3175" s="3">
        <f t="shared" ref="I3175:I3206" si="515">G3175-H3175</f>
        <v>2046272.4054855977</v>
      </c>
      <c r="J3175" s="3">
        <f t="shared" si="513"/>
        <v>136786899.75631356</v>
      </c>
      <c r="K3175" s="24">
        <v>9689726.9100000001</v>
      </c>
      <c r="L3175" s="24"/>
    </row>
    <row r="3176" spans="2:14" x14ac:dyDescent="0.35">
      <c r="B3176" s="1">
        <v>8</v>
      </c>
      <c r="C3176" s="22">
        <v>45200</v>
      </c>
      <c r="D3176" s="22">
        <v>45230</v>
      </c>
      <c r="E3176" s="23">
        <f t="shared" si="509"/>
        <v>31</v>
      </c>
      <c r="F3176" s="3">
        <f t="shared" si="511"/>
        <v>136786899.75631356</v>
      </c>
      <c r="G3176" s="3">
        <f t="shared" si="514"/>
        <v>3203215.506833924</v>
      </c>
      <c r="H3176" s="3">
        <f t="shared" si="512"/>
        <v>1139890.831302613</v>
      </c>
      <c r="I3176" s="3">
        <f t="shared" si="515"/>
        <v>2063324.675531311</v>
      </c>
      <c r="J3176" s="3">
        <f t="shared" si="513"/>
        <v>134723575.08078226</v>
      </c>
      <c r="K3176" s="24"/>
      <c r="L3176" s="24"/>
    </row>
    <row r="3177" spans="2:14" x14ac:dyDescent="0.35">
      <c r="B3177" s="1">
        <v>9</v>
      </c>
      <c r="C3177" s="22">
        <v>45231</v>
      </c>
      <c r="D3177" s="22">
        <v>45260</v>
      </c>
      <c r="E3177" s="23">
        <f t="shared" si="509"/>
        <v>30</v>
      </c>
      <c r="F3177" s="3">
        <f t="shared" si="511"/>
        <v>134723575.08078226</v>
      </c>
      <c r="G3177" s="3">
        <f t="shared" si="514"/>
        <v>3203215.506833924</v>
      </c>
      <c r="H3177" s="3">
        <f t="shared" si="512"/>
        <v>1122696.4590065188</v>
      </c>
      <c r="I3177" s="3">
        <f t="shared" si="515"/>
        <v>2080519.0478274052</v>
      </c>
      <c r="J3177" s="3">
        <f t="shared" si="513"/>
        <v>132643056.03295486</v>
      </c>
      <c r="K3177" s="24"/>
      <c r="L3177" s="26"/>
    </row>
    <row r="3178" spans="2:14" x14ac:dyDescent="0.35">
      <c r="B3178" s="1">
        <v>10</v>
      </c>
      <c r="C3178" s="22">
        <v>45261</v>
      </c>
      <c r="D3178" s="22">
        <v>45291</v>
      </c>
      <c r="E3178" s="23">
        <f t="shared" si="509"/>
        <v>31</v>
      </c>
      <c r="F3178" s="3">
        <f t="shared" si="511"/>
        <v>132643056.03295486</v>
      </c>
      <c r="G3178" s="3">
        <f t="shared" si="514"/>
        <v>3203215.506833924</v>
      </c>
      <c r="H3178" s="3">
        <f t="shared" si="512"/>
        <v>1105358.8002746238</v>
      </c>
      <c r="I3178" s="3">
        <f t="shared" si="515"/>
        <v>2097856.7065593004</v>
      </c>
      <c r="J3178" s="3">
        <f t="shared" si="513"/>
        <v>130545199.32639556</v>
      </c>
      <c r="K3178" s="24"/>
      <c r="L3178" s="24">
        <f>G3178-K3178</f>
        <v>3203215.506833924</v>
      </c>
    </row>
    <row r="3179" spans="2:14" x14ac:dyDescent="0.35">
      <c r="B3179" s="1">
        <v>11</v>
      </c>
      <c r="C3179" s="22">
        <v>45292</v>
      </c>
      <c r="D3179" s="22">
        <v>45322</v>
      </c>
      <c r="E3179" s="23">
        <f t="shared" si="509"/>
        <v>31</v>
      </c>
      <c r="F3179" s="3">
        <f t="shared" si="511"/>
        <v>130545199.32639556</v>
      </c>
      <c r="G3179" s="3">
        <f t="shared" si="514"/>
        <v>3203215.506833924</v>
      </c>
      <c r="H3179" s="3">
        <f t="shared" si="512"/>
        <v>1087876.6610532962</v>
      </c>
      <c r="I3179" s="3">
        <f t="shared" si="515"/>
        <v>2115338.8457806278</v>
      </c>
      <c r="J3179" s="3">
        <f t="shared" si="513"/>
        <v>128429860.48061493</v>
      </c>
      <c r="K3179" s="24">
        <f>3229908.97+3229908.97</f>
        <v>6459817.9400000004</v>
      </c>
      <c r="L3179" s="24">
        <f t="shared" ref="L3179:L3187" si="516">+G3178+L3178-K3179</f>
        <v>-53386.926332152449</v>
      </c>
    </row>
    <row r="3180" spans="2:14" x14ac:dyDescent="0.35">
      <c r="B3180" s="1">
        <v>12</v>
      </c>
      <c r="C3180" s="22">
        <v>45323</v>
      </c>
      <c r="D3180" s="22">
        <v>45351</v>
      </c>
      <c r="E3180" s="23">
        <f t="shared" si="509"/>
        <v>29</v>
      </c>
      <c r="F3180" s="3">
        <f t="shared" si="511"/>
        <v>128429860.48061493</v>
      </c>
      <c r="G3180" s="3">
        <f t="shared" si="514"/>
        <v>3203215.506833924</v>
      </c>
      <c r="H3180" s="3">
        <v>1070248.837338458</v>
      </c>
      <c r="I3180" s="3">
        <f t="shared" si="515"/>
        <v>2132966.6694954662</v>
      </c>
      <c r="J3180" s="3">
        <f>F3180-I3180+H3159</f>
        <v>147436891.81111947</v>
      </c>
      <c r="K3180" s="24">
        <v>3229908.97</v>
      </c>
      <c r="L3180" s="24">
        <f t="shared" si="516"/>
        <v>-80080.389498228673</v>
      </c>
    </row>
    <row r="3181" spans="2:14" x14ac:dyDescent="0.35">
      <c r="B3181" s="1">
        <v>13</v>
      </c>
      <c r="C3181" s="22">
        <v>45352</v>
      </c>
      <c r="D3181" s="22">
        <v>45382</v>
      </c>
      <c r="E3181" s="23">
        <f t="shared" si="509"/>
        <v>31</v>
      </c>
      <c r="F3181" s="3">
        <f t="shared" si="511"/>
        <v>147436891.81111947</v>
      </c>
      <c r="G3181" s="3">
        <f t="shared" ref="G3181:G3228" si="517">-PMT($D$3160/$D$3162,48,$F$3181,,0)</f>
        <v>3739380.4699193118</v>
      </c>
      <c r="H3181" s="3">
        <f t="shared" ref="H3181:H3228" si="518">($D$3160/$D$3162*F3181)</f>
        <v>1228640.7650926623</v>
      </c>
      <c r="I3181" s="3">
        <f t="shared" si="515"/>
        <v>2510739.7048266493</v>
      </c>
      <c r="J3181" s="3">
        <f t="shared" ref="J3181:J3228" si="519">F3181-I3181</f>
        <v>144926152.10629281</v>
      </c>
      <c r="K3181" s="24"/>
      <c r="L3181" s="24">
        <f t="shared" si="516"/>
        <v>3123135.1173356953</v>
      </c>
    </row>
    <row r="3182" spans="2:14" x14ac:dyDescent="0.35">
      <c r="B3182" s="1">
        <v>14</v>
      </c>
      <c r="C3182" s="22">
        <v>45383</v>
      </c>
      <c r="D3182" s="22">
        <v>45412</v>
      </c>
      <c r="E3182" s="23">
        <f t="shared" si="509"/>
        <v>30</v>
      </c>
      <c r="F3182" s="3">
        <f t="shared" si="511"/>
        <v>144926152.10629281</v>
      </c>
      <c r="G3182" s="3">
        <f t="shared" si="517"/>
        <v>3739380.4699193118</v>
      </c>
      <c r="H3182" s="3">
        <f t="shared" si="518"/>
        <v>1207717.9342191068</v>
      </c>
      <c r="I3182" s="3">
        <f t="shared" si="515"/>
        <v>2531662.5357002048</v>
      </c>
      <c r="J3182" s="3">
        <f t="shared" si="519"/>
        <v>142394489.57059261</v>
      </c>
      <c r="K3182" s="24">
        <v>3060573.76</v>
      </c>
      <c r="L3182" s="24">
        <f t="shared" si="516"/>
        <v>3801941.8272550069</v>
      </c>
    </row>
    <row r="3183" spans="2:14" x14ac:dyDescent="0.35">
      <c r="B3183" s="1">
        <v>15</v>
      </c>
      <c r="C3183" s="22">
        <v>45413</v>
      </c>
      <c r="D3183" s="22">
        <v>45443</v>
      </c>
      <c r="E3183" s="23">
        <f t="shared" si="509"/>
        <v>31</v>
      </c>
      <c r="F3183" s="3">
        <f t="shared" si="511"/>
        <v>142394489.57059261</v>
      </c>
      <c r="G3183" s="3">
        <f t="shared" si="517"/>
        <v>3739380.4699193118</v>
      </c>
      <c r="H3183" s="3">
        <f t="shared" si="518"/>
        <v>1186620.7464216051</v>
      </c>
      <c r="I3183" s="3">
        <f t="shared" si="515"/>
        <v>2552759.7234977065</v>
      </c>
      <c r="J3183" s="3">
        <f t="shared" si="519"/>
        <v>139841729.84709489</v>
      </c>
      <c r="K3183" s="24"/>
      <c r="L3183" s="24">
        <f t="shared" si="516"/>
        <v>7541322.2971743187</v>
      </c>
      <c r="N3183" s="141"/>
    </row>
    <row r="3184" spans="2:14" x14ac:dyDescent="0.35">
      <c r="B3184" s="1">
        <v>16</v>
      </c>
      <c r="C3184" s="22">
        <v>45444</v>
      </c>
      <c r="D3184" s="22">
        <v>45473</v>
      </c>
      <c r="E3184" s="23">
        <f t="shared" si="509"/>
        <v>30</v>
      </c>
      <c r="F3184" s="3">
        <f t="shared" si="511"/>
        <v>139841729.84709489</v>
      </c>
      <c r="G3184" s="3">
        <f t="shared" si="517"/>
        <v>3739380.4699193118</v>
      </c>
      <c r="H3184" s="3">
        <f t="shared" si="518"/>
        <v>1165347.7487257908</v>
      </c>
      <c r="I3184" s="3">
        <f t="shared" si="515"/>
        <v>2574032.7211935213</v>
      </c>
      <c r="J3184" s="3">
        <f t="shared" si="519"/>
        <v>137267697.12590137</v>
      </c>
      <c r="K3184" s="24"/>
      <c r="L3184" s="24">
        <f t="shared" si="516"/>
        <v>11280702.767093631</v>
      </c>
    </row>
    <row r="3185" spans="2:12" x14ac:dyDescent="0.35">
      <c r="B3185" s="1">
        <v>17</v>
      </c>
      <c r="C3185" s="22">
        <v>45474</v>
      </c>
      <c r="D3185" s="22">
        <v>45504</v>
      </c>
      <c r="E3185" s="23">
        <f t="shared" si="509"/>
        <v>31</v>
      </c>
      <c r="F3185" s="3">
        <f t="shared" si="511"/>
        <v>137267697.12590137</v>
      </c>
      <c r="G3185" s="3">
        <f t="shared" si="517"/>
        <v>3739380.4699193118</v>
      </c>
      <c r="H3185" s="3">
        <f t="shared" si="518"/>
        <v>1143897.476049178</v>
      </c>
      <c r="I3185" s="3">
        <f t="shared" si="515"/>
        <v>2595482.9938701335</v>
      </c>
      <c r="J3185" s="3">
        <f t="shared" si="519"/>
        <v>134672214.13203123</v>
      </c>
      <c r="K3185" s="24">
        <v>11280702.77</v>
      </c>
      <c r="L3185" s="24">
        <f t="shared" si="516"/>
        <v>3739380.4670129418</v>
      </c>
    </row>
    <row r="3186" spans="2:12" x14ac:dyDescent="0.35">
      <c r="B3186" s="1">
        <v>18</v>
      </c>
      <c r="C3186" s="22">
        <v>45505</v>
      </c>
      <c r="D3186" s="22">
        <v>45535</v>
      </c>
      <c r="E3186" s="23">
        <f t="shared" si="509"/>
        <v>31</v>
      </c>
      <c r="F3186" s="3">
        <f t="shared" si="511"/>
        <v>134672214.13203123</v>
      </c>
      <c r="G3186" s="3">
        <f t="shared" si="517"/>
        <v>3739380.4699193118</v>
      </c>
      <c r="H3186" s="3">
        <f t="shared" si="518"/>
        <v>1122268.4511002603</v>
      </c>
      <c r="I3186" s="3">
        <f t="shared" si="515"/>
        <v>2617112.0188190518</v>
      </c>
      <c r="J3186" s="3">
        <f t="shared" si="519"/>
        <v>132055102.11321218</v>
      </c>
      <c r="K3186" s="24">
        <f>3739380.47+100963272.7</f>
        <v>104702653.17</v>
      </c>
      <c r="L3186" s="306">
        <f t="shared" si="516"/>
        <v>-97223892.233067751</v>
      </c>
    </row>
    <row r="3187" spans="2:12" x14ac:dyDescent="0.35">
      <c r="B3187" s="1">
        <v>19</v>
      </c>
      <c r="C3187" s="22">
        <v>45536</v>
      </c>
      <c r="D3187" s="22">
        <v>45565</v>
      </c>
      <c r="E3187" s="23">
        <f t="shared" si="509"/>
        <v>30</v>
      </c>
      <c r="F3187" s="3">
        <f t="shared" si="511"/>
        <v>132055102.11321218</v>
      </c>
      <c r="G3187" s="3">
        <f t="shared" si="517"/>
        <v>3739380.4699193118</v>
      </c>
      <c r="H3187" s="3">
        <f t="shared" si="518"/>
        <v>1100459.1842767682</v>
      </c>
      <c r="I3187" s="3">
        <f t="shared" si="515"/>
        <v>2638921.2856425438</v>
      </c>
      <c r="J3187" s="3">
        <f t="shared" si="519"/>
        <v>129416180.82756963</v>
      </c>
      <c r="K3187" s="24"/>
      <c r="L3187" s="306">
        <f t="shared" si="516"/>
        <v>-93484511.763148442</v>
      </c>
    </row>
    <row r="3188" spans="2:12" x14ac:dyDescent="0.35">
      <c r="B3188" s="1">
        <v>20</v>
      </c>
      <c r="C3188" s="22">
        <v>45566</v>
      </c>
      <c r="D3188" s="22">
        <v>45596</v>
      </c>
      <c r="E3188" s="23">
        <f t="shared" si="509"/>
        <v>31</v>
      </c>
      <c r="F3188" s="3">
        <f t="shared" si="511"/>
        <v>129416180.82756963</v>
      </c>
      <c r="G3188" s="3">
        <f t="shared" si="517"/>
        <v>3739380.4699193118</v>
      </c>
      <c r="H3188" s="3">
        <f t="shared" si="518"/>
        <v>1078468.1735630804</v>
      </c>
      <c r="I3188" s="3">
        <f t="shared" si="515"/>
        <v>2660912.2963562314</v>
      </c>
      <c r="J3188" s="3">
        <f t="shared" si="519"/>
        <v>126755268.5312134</v>
      </c>
      <c r="K3188" s="24"/>
      <c r="L3188" s="24"/>
    </row>
    <row r="3189" spans="2:12" x14ac:dyDescent="0.35">
      <c r="B3189" s="1">
        <v>21</v>
      </c>
      <c r="C3189" s="22">
        <v>45597</v>
      </c>
      <c r="D3189" s="22">
        <v>45626</v>
      </c>
      <c r="E3189" s="23">
        <f t="shared" si="509"/>
        <v>30</v>
      </c>
      <c r="F3189" s="3">
        <f t="shared" si="511"/>
        <v>126755268.5312134</v>
      </c>
      <c r="G3189" s="3">
        <f t="shared" si="517"/>
        <v>3739380.4699193118</v>
      </c>
      <c r="H3189" s="3">
        <f t="shared" si="518"/>
        <v>1056293.9044267784</v>
      </c>
      <c r="I3189" s="3">
        <f t="shared" si="515"/>
        <v>2683086.5654925331</v>
      </c>
      <c r="J3189" s="3">
        <f t="shared" si="519"/>
        <v>124072181.96572086</v>
      </c>
      <c r="K3189" s="24"/>
      <c r="L3189" s="24"/>
    </row>
    <row r="3190" spans="2:12" x14ac:dyDescent="0.35">
      <c r="B3190" s="1">
        <v>22</v>
      </c>
      <c r="C3190" s="22">
        <v>45627</v>
      </c>
      <c r="D3190" s="22">
        <v>45657</v>
      </c>
      <c r="E3190" s="23">
        <f t="shared" si="509"/>
        <v>31</v>
      </c>
      <c r="F3190" s="3">
        <f t="shared" si="511"/>
        <v>124072181.96572086</v>
      </c>
      <c r="G3190" s="3">
        <f t="shared" si="517"/>
        <v>3739380.4699193118</v>
      </c>
      <c r="H3190" s="3">
        <f t="shared" si="518"/>
        <v>1033934.8497143405</v>
      </c>
      <c r="I3190" s="3">
        <f t="shared" si="515"/>
        <v>2705445.6202049712</v>
      </c>
      <c r="J3190" s="3">
        <f t="shared" si="519"/>
        <v>121366736.34551589</v>
      </c>
      <c r="K3190" s="24"/>
      <c r="L3190" s="24"/>
    </row>
    <row r="3191" spans="2:12" x14ac:dyDescent="0.35">
      <c r="B3191" s="1">
        <v>23</v>
      </c>
      <c r="C3191" s="22">
        <v>45658</v>
      </c>
      <c r="D3191" s="22">
        <v>45688</v>
      </c>
      <c r="E3191" s="23">
        <f t="shared" si="509"/>
        <v>31</v>
      </c>
      <c r="F3191" s="3">
        <f t="shared" si="511"/>
        <v>121366736.34551589</v>
      </c>
      <c r="G3191" s="3">
        <f t="shared" si="517"/>
        <v>3739380.4699193118</v>
      </c>
      <c r="H3191" s="3">
        <f t="shared" si="518"/>
        <v>1011389.4695459658</v>
      </c>
      <c r="I3191" s="3">
        <f t="shared" si="515"/>
        <v>2727991.0003733458</v>
      </c>
      <c r="J3191" s="3">
        <f t="shared" si="519"/>
        <v>118638745.34514254</v>
      </c>
      <c r="K3191" s="24"/>
      <c r="L3191" s="24"/>
    </row>
    <row r="3192" spans="2:12" x14ac:dyDescent="0.35">
      <c r="B3192" s="1">
        <v>24</v>
      </c>
      <c r="C3192" s="22">
        <v>45689</v>
      </c>
      <c r="D3192" s="22">
        <v>45716</v>
      </c>
      <c r="E3192" s="23">
        <f t="shared" si="509"/>
        <v>28</v>
      </c>
      <c r="F3192" s="3">
        <f t="shared" si="511"/>
        <v>118638745.34514254</v>
      </c>
      <c r="G3192" s="3">
        <f t="shared" si="517"/>
        <v>3739380.4699193118</v>
      </c>
      <c r="H3192" s="3">
        <f t="shared" si="518"/>
        <v>988656.21120952116</v>
      </c>
      <c r="I3192" s="3">
        <f t="shared" si="515"/>
        <v>2750724.2587097907</v>
      </c>
      <c r="J3192" s="3">
        <f t="shared" si="519"/>
        <v>115888021.08643275</v>
      </c>
      <c r="K3192" s="24"/>
      <c r="L3192" s="24"/>
    </row>
    <row r="3193" spans="2:12" x14ac:dyDescent="0.35">
      <c r="B3193" s="1">
        <v>25</v>
      </c>
      <c r="C3193" s="22">
        <v>45689</v>
      </c>
      <c r="D3193" s="22">
        <v>45716</v>
      </c>
      <c r="E3193" s="23">
        <f t="shared" si="509"/>
        <v>28</v>
      </c>
      <c r="F3193" s="3">
        <f t="shared" si="511"/>
        <v>115888021.08643275</v>
      </c>
      <c r="G3193" s="3">
        <f t="shared" si="517"/>
        <v>3739380.4699193118</v>
      </c>
      <c r="H3193" s="3">
        <f t="shared" si="518"/>
        <v>965733.50905360631</v>
      </c>
      <c r="I3193" s="3">
        <f t="shared" si="515"/>
        <v>2773646.9608657053</v>
      </c>
      <c r="J3193" s="3">
        <f t="shared" si="519"/>
        <v>113114374.12556705</v>
      </c>
      <c r="K3193" s="24"/>
      <c r="L3193" s="24"/>
    </row>
    <row r="3194" spans="2:12" x14ac:dyDescent="0.35">
      <c r="B3194" s="1">
        <v>26</v>
      </c>
      <c r="C3194" s="22">
        <v>45689</v>
      </c>
      <c r="D3194" s="22">
        <v>45716</v>
      </c>
      <c r="E3194" s="23">
        <f t="shared" si="509"/>
        <v>28</v>
      </c>
      <c r="F3194" s="3">
        <f t="shared" si="511"/>
        <v>113114374.12556705</v>
      </c>
      <c r="G3194" s="3">
        <f t="shared" si="517"/>
        <v>3739380.4699193118</v>
      </c>
      <c r="H3194" s="3">
        <f t="shared" si="518"/>
        <v>942619.78437972534</v>
      </c>
      <c r="I3194" s="3">
        <f t="shared" si="515"/>
        <v>2796760.6855395865</v>
      </c>
      <c r="J3194" s="3">
        <f t="shared" si="519"/>
        <v>110317613.44002746</v>
      </c>
      <c r="K3194" s="24"/>
      <c r="L3194" s="24"/>
    </row>
    <row r="3195" spans="2:12" x14ac:dyDescent="0.35">
      <c r="B3195" s="1">
        <v>27</v>
      </c>
      <c r="C3195" s="22">
        <v>45689</v>
      </c>
      <c r="D3195" s="22">
        <v>45716</v>
      </c>
      <c r="E3195" s="23">
        <f t="shared" si="509"/>
        <v>28</v>
      </c>
      <c r="F3195" s="3">
        <f t="shared" si="511"/>
        <v>110317613.44002746</v>
      </c>
      <c r="G3195" s="3">
        <f t="shared" si="517"/>
        <v>3739380.4699193118</v>
      </c>
      <c r="H3195" s="3">
        <f t="shared" si="518"/>
        <v>919313.44533356221</v>
      </c>
      <c r="I3195" s="3">
        <f t="shared" si="515"/>
        <v>2820067.0245857495</v>
      </c>
      <c r="J3195" s="3">
        <f t="shared" si="519"/>
        <v>107497546.41544171</v>
      </c>
      <c r="K3195" s="24"/>
      <c r="L3195" s="24"/>
    </row>
    <row r="3196" spans="2:12" x14ac:dyDescent="0.35">
      <c r="B3196" s="1">
        <v>28</v>
      </c>
      <c r="C3196" s="22">
        <v>45689</v>
      </c>
      <c r="D3196" s="22">
        <v>45716</v>
      </c>
      <c r="E3196" s="23">
        <f t="shared" si="509"/>
        <v>28</v>
      </c>
      <c r="F3196" s="3">
        <f t="shared" si="511"/>
        <v>107497546.41544171</v>
      </c>
      <c r="G3196" s="3">
        <f t="shared" si="517"/>
        <v>3739380.4699193118</v>
      </c>
      <c r="H3196" s="3">
        <f t="shared" si="518"/>
        <v>895812.88679534756</v>
      </c>
      <c r="I3196" s="3">
        <f t="shared" si="515"/>
        <v>2843567.5831239643</v>
      </c>
      <c r="J3196" s="3">
        <f t="shared" si="519"/>
        <v>104653978.83231774</v>
      </c>
      <c r="K3196" s="24"/>
      <c r="L3196" s="24"/>
    </row>
    <row r="3197" spans="2:12" x14ac:dyDescent="0.35">
      <c r="B3197" s="1">
        <v>29</v>
      </c>
      <c r="C3197" s="22">
        <v>45689</v>
      </c>
      <c r="D3197" s="22">
        <v>45716</v>
      </c>
      <c r="E3197" s="23">
        <f t="shared" si="509"/>
        <v>28</v>
      </c>
      <c r="F3197" s="3">
        <f t="shared" si="511"/>
        <v>104653978.83231774</v>
      </c>
      <c r="G3197" s="3">
        <f t="shared" si="517"/>
        <v>3739380.4699193118</v>
      </c>
      <c r="H3197" s="3">
        <f t="shared" si="518"/>
        <v>872116.4902693145</v>
      </c>
      <c r="I3197" s="3">
        <f t="shared" si="515"/>
        <v>2867263.9796499973</v>
      </c>
      <c r="J3197" s="3">
        <f t="shared" si="519"/>
        <v>101786714.85266775</v>
      </c>
      <c r="K3197" s="24"/>
      <c r="L3197" s="24"/>
    </row>
    <row r="3198" spans="2:12" x14ac:dyDescent="0.35">
      <c r="B3198" s="1">
        <v>30</v>
      </c>
      <c r="C3198" s="22">
        <v>45689</v>
      </c>
      <c r="D3198" s="22">
        <v>45716</v>
      </c>
      <c r="E3198" s="23">
        <f t="shared" si="509"/>
        <v>28</v>
      </c>
      <c r="F3198" s="3">
        <f t="shared" si="511"/>
        <v>101786714.85266775</v>
      </c>
      <c r="G3198" s="3">
        <f t="shared" si="517"/>
        <v>3739380.4699193118</v>
      </c>
      <c r="H3198" s="3">
        <f t="shared" si="518"/>
        <v>848222.62377223128</v>
      </c>
      <c r="I3198" s="3">
        <f t="shared" si="515"/>
        <v>2891157.8461470804</v>
      </c>
      <c r="J3198" s="3">
        <f t="shared" si="519"/>
        <v>98895557.006520674</v>
      </c>
      <c r="K3198" s="24"/>
      <c r="L3198" s="24"/>
    </row>
    <row r="3199" spans="2:12" x14ac:dyDescent="0.35">
      <c r="B3199" s="1">
        <v>31</v>
      </c>
      <c r="C3199" s="22">
        <v>45689</v>
      </c>
      <c r="D3199" s="22">
        <v>45716</v>
      </c>
      <c r="E3199" s="23">
        <f t="shared" si="509"/>
        <v>28</v>
      </c>
      <c r="F3199" s="3">
        <f t="shared" si="511"/>
        <v>98895557.006520674</v>
      </c>
      <c r="G3199" s="3">
        <f t="shared" si="517"/>
        <v>3739380.4699193118</v>
      </c>
      <c r="H3199" s="3">
        <f t="shared" si="518"/>
        <v>824129.64172100555</v>
      </c>
      <c r="I3199" s="3">
        <f t="shared" si="515"/>
        <v>2915250.8281983063</v>
      </c>
      <c r="J3199" s="3">
        <f t="shared" si="519"/>
        <v>95980306.178322375</v>
      </c>
      <c r="K3199" s="24"/>
      <c r="L3199" s="24"/>
    </row>
    <row r="3200" spans="2:12" x14ac:dyDescent="0.35">
      <c r="B3200" s="1">
        <v>32</v>
      </c>
      <c r="C3200" s="22">
        <v>45689</v>
      </c>
      <c r="D3200" s="22">
        <v>45716</v>
      </c>
      <c r="E3200" s="23">
        <f t="shared" ref="E3200:E3228" si="520">D3200-C3200+1</f>
        <v>28</v>
      </c>
      <c r="F3200" s="3">
        <f t="shared" si="511"/>
        <v>95980306.178322375</v>
      </c>
      <c r="G3200" s="3">
        <f t="shared" si="517"/>
        <v>3739380.4699193118</v>
      </c>
      <c r="H3200" s="3">
        <f t="shared" si="518"/>
        <v>799835.88481935312</v>
      </c>
      <c r="I3200" s="3">
        <f t="shared" si="515"/>
        <v>2939544.5850999588</v>
      </c>
      <c r="J3200" s="3">
        <f t="shared" si="519"/>
        <v>93040761.593222409</v>
      </c>
      <c r="K3200" s="24"/>
      <c r="L3200" s="24"/>
    </row>
    <row r="3201" spans="2:12" x14ac:dyDescent="0.35">
      <c r="B3201" s="1">
        <v>33</v>
      </c>
      <c r="C3201" s="22">
        <v>45689</v>
      </c>
      <c r="D3201" s="22">
        <v>45716</v>
      </c>
      <c r="E3201" s="23">
        <f t="shared" si="520"/>
        <v>28</v>
      </c>
      <c r="F3201" s="3">
        <f t="shared" ref="F3201:F3228" si="521">J3200</f>
        <v>93040761.593222409</v>
      </c>
      <c r="G3201" s="3">
        <f t="shared" si="517"/>
        <v>3739380.4699193118</v>
      </c>
      <c r="H3201" s="3">
        <f t="shared" si="518"/>
        <v>775339.67994352011</v>
      </c>
      <c r="I3201" s="3">
        <f t="shared" si="515"/>
        <v>2964040.7899757917</v>
      </c>
      <c r="J3201" s="3">
        <f t="shared" si="519"/>
        <v>90076720.803246617</v>
      </c>
      <c r="K3201" s="24"/>
      <c r="L3201" s="24"/>
    </row>
    <row r="3202" spans="2:12" x14ac:dyDescent="0.35">
      <c r="B3202" s="1">
        <v>34</v>
      </c>
      <c r="C3202" s="22">
        <v>45689</v>
      </c>
      <c r="D3202" s="22">
        <v>45716</v>
      </c>
      <c r="E3202" s="23">
        <f t="shared" si="520"/>
        <v>28</v>
      </c>
      <c r="F3202" s="3">
        <f t="shared" si="521"/>
        <v>90076720.803246617</v>
      </c>
      <c r="G3202" s="3">
        <f t="shared" si="517"/>
        <v>3739380.4699193118</v>
      </c>
      <c r="H3202" s="3">
        <f t="shared" si="518"/>
        <v>750639.34002705512</v>
      </c>
      <c r="I3202" s="3">
        <f t="shared" si="515"/>
        <v>2988741.1298922566</v>
      </c>
      <c r="J3202" s="3">
        <f t="shared" si="519"/>
        <v>87087979.673354357</v>
      </c>
      <c r="K3202" s="24"/>
      <c r="L3202" s="24"/>
    </row>
    <row r="3203" spans="2:12" x14ac:dyDescent="0.35">
      <c r="B3203" s="1">
        <v>35</v>
      </c>
      <c r="C3203" s="22">
        <v>45689</v>
      </c>
      <c r="D3203" s="22">
        <v>45716</v>
      </c>
      <c r="E3203" s="23">
        <f t="shared" si="520"/>
        <v>28</v>
      </c>
      <c r="F3203" s="3">
        <f t="shared" si="521"/>
        <v>87087979.673354357</v>
      </c>
      <c r="G3203" s="3">
        <f t="shared" si="517"/>
        <v>3739380.4699193118</v>
      </c>
      <c r="H3203" s="3">
        <f t="shared" si="518"/>
        <v>725733.16394461959</v>
      </c>
      <c r="I3203" s="3">
        <f t="shared" si="515"/>
        <v>3013647.3059746921</v>
      </c>
      <c r="J3203" s="3">
        <f t="shared" si="519"/>
        <v>84074332.367379665</v>
      </c>
      <c r="K3203" s="24"/>
      <c r="L3203" s="24"/>
    </row>
    <row r="3204" spans="2:12" x14ac:dyDescent="0.35">
      <c r="B3204" s="1">
        <v>36</v>
      </c>
      <c r="C3204" s="22">
        <v>45689</v>
      </c>
      <c r="D3204" s="22">
        <v>45716</v>
      </c>
      <c r="E3204" s="23">
        <f t="shared" si="520"/>
        <v>28</v>
      </c>
      <c r="F3204" s="3">
        <f t="shared" si="521"/>
        <v>84074332.367379665</v>
      </c>
      <c r="G3204" s="3">
        <f t="shared" si="517"/>
        <v>3739380.4699193118</v>
      </c>
      <c r="H3204" s="3">
        <f t="shared" si="518"/>
        <v>700619.43639483058</v>
      </c>
      <c r="I3204" s="3">
        <f t="shared" si="515"/>
        <v>3038761.0335244811</v>
      </c>
      <c r="J3204" s="3">
        <f t="shared" si="519"/>
        <v>81035571.333855182</v>
      </c>
      <c r="K3204" s="24"/>
      <c r="L3204" s="24"/>
    </row>
    <row r="3205" spans="2:12" x14ac:dyDescent="0.35">
      <c r="B3205" s="1">
        <v>37</v>
      </c>
      <c r="C3205" s="22">
        <v>45689</v>
      </c>
      <c r="D3205" s="22">
        <v>45716</v>
      </c>
      <c r="E3205" s="23">
        <f t="shared" si="520"/>
        <v>28</v>
      </c>
      <c r="F3205" s="3">
        <f t="shared" si="521"/>
        <v>81035571.333855182</v>
      </c>
      <c r="G3205" s="3">
        <f t="shared" si="517"/>
        <v>3739380.4699193118</v>
      </c>
      <c r="H3205" s="3">
        <f t="shared" si="518"/>
        <v>675296.42778212647</v>
      </c>
      <c r="I3205" s="3">
        <f t="shared" si="515"/>
        <v>3064084.0421371851</v>
      </c>
      <c r="J3205" s="3">
        <f t="shared" si="519"/>
        <v>77971487.291717991</v>
      </c>
      <c r="K3205" s="24"/>
      <c r="L3205" s="24"/>
    </row>
    <row r="3206" spans="2:12" x14ac:dyDescent="0.35">
      <c r="B3206" s="1">
        <v>38</v>
      </c>
      <c r="C3206" s="22">
        <v>45689</v>
      </c>
      <c r="D3206" s="22">
        <v>45716</v>
      </c>
      <c r="E3206" s="23">
        <f t="shared" si="520"/>
        <v>28</v>
      </c>
      <c r="F3206" s="3">
        <f t="shared" si="521"/>
        <v>77971487.291717991</v>
      </c>
      <c r="G3206" s="3">
        <f t="shared" si="517"/>
        <v>3739380.4699193118</v>
      </c>
      <c r="H3206" s="3">
        <f t="shared" si="518"/>
        <v>649762.39409764996</v>
      </c>
      <c r="I3206" s="3">
        <f t="shared" si="515"/>
        <v>3089618.0758216619</v>
      </c>
      <c r="J3206" s="3">
        <f t="shared" si="519"/>
        <v>74881869.215896323</v>
      </c>
      <c r="K3206" s="24"/>
      <c r="L3206" s="24"/>
    </row>
    <row r="3207" spans="2:12" x14ac:dyDescent="0.35">
      <c r="B3207" s="1">
        <v>39</v>
      </c>
      <c r="C3207" s="22">
        <v>45689</v>
      </c>
      <c r="D3207" s="22">
        <v>45716</v>
      </c>
      <c r="E3207" s="23">
        <f t="shared" si="520"/>
        <v>28</v>
      </c>
      <c r="F3207" s="3">
        <f t="shared" si="521"/>
        <v>74881869.215896323</v>
      </c>
      <c r="G3207" s="3">
        <f t="shared" si="517"/>
        <v>3739380.4699193118</v>
      </c>
      <c r="H3207" s="3">
        <f t="shared" si="518"/>
        <v>624015.576799136</v>
      </c>
      <c r="I3207" s="3">
        <f t="shared" ref="I3207:I3228" si="522">G3207-H3207</f>
        <v>3115364.8931201757</v>
      </c>
      <c r="J3207" s="3">
        <f t="shared" si="519"/>
        <v>71766504.322776154</v>
      </c>
      <c r="K3207" s="24"/>
      <c r="L3207" s="24"/>
    </row>
    <row r="3208" spans="2:12" x14ac:dyDescent="0.35">
      <c r="B3208" s="1">
        <v>40</v>
      </c>
      <c r="C3208" s="22">
        <v>45689</v>
      </c>
      <c r="D3208" s="22">
        <v>45716</v>
      </c>
      <c r="E3208" s="23">
        <f t="shared" si="520"/>
        <v>28</v>
      </c>
      <c r="F3208" s="3">
        <f t="shared" si="521"/>
        <v>71766504.322776154</v>
      </c>
      <c r="G3208" s="3">
        <f t="shared" si="517"/>
        <v>3739380.4699193118</v>
      </c>
      <c r="H3208" s="3">
        <f t="shared" si="518"/>
        <v>598054.20268980123</v>
      </c>
      <c r="I3208" s="3">
        <f t="shared" si="522"/>
        <v>3141326.2672295105</v>
      </c>
      <c r="J3208" s="3">
        <f t="shared" si="519"/>
        <v>68625178.055546641</v>
      </c>
      <c r="K3208" s="24"/>
      <c r="L3208" s="24"/>
    </row>
    <row r="3209" spans="2:12" x14ac:dyDescent="0.35">
      <c r="B3209" s="1">
        <v>41</v>
      </c>
      <c r="C3209" s="22">
        <v>45689</v>
      </c>
      <c r="D3209" s="22">
        <v>45716</v>
      </c>
      <c r="E3209" s="23">
        <f t="shared" si="520"/>
        <v>28</v>
      </c>
      <c r="F3209" s="3">
        <f t="shared" si="521"/>
        <v>68625178.055546641</v>
      </c>
      <c r="G3209" s="3">
        <f t="shared" si="517"/>
        <v>3739380.4699193118</v>
      </c>
      <c r="H3209" s="3">
        <f t="shared" si="518"/>
        <v>571876.48379622202</v>
      </c>
      <c r="I3209" s="3">
        <f t="shared" si="522"/>
        <v>3167503.9861230897</v>
      </c>
      <c r="J3209" s="3">
        <f t="shared" si="519"/>
        <v>65457674.069423549</v>
      </c>
      <c r="K3209" s="24"/>
      <c r="L3209" s="24"/>
    </row>
    <row r="3210" spans="2:12" x14ac:dyDescent="0.35">
      <c r="B3210" s="1">
        <v>42</v>
      </c>
      <c r="C3210" s="22">
        <v>45689</v>
      </c>
      <c r="D3210" s="22">
        <v>45716</v>
      </c>
      <c r="E3210" s="23">
        <f t="shared" si="520"/>
        <v>28</v>
      </c>
      <c r="F3210" s="3">
        <f t="shared" si="521"/>
        <v>65457674.069423549</v>
      </c>
      <c r="G3210" s="3">
        <f t="shared" si="517"/>
        <v>3739380.4699193118</v>
      </c>
      <c r="H3210" s="3">
        <f t="shared" si="518"/>
        <v>545480.61724519625</v>
      </c>
      <c r="I3210" s="3">
        <f t="shared" si="522"/>
        <v>3193899.8526741154</v>
      </c>
      <c r="J3210" s="3">
        <f t="shared" si="519"/>
        <v>62263774.21674943</v>
      </c>
      <c r="K3210" s="24"/>
      <c r="L3210" s="24"/>
    </row>
    <row r="3211" spans="2:12" x14ac:dyDescent="0.35">
      <c r="B3211" s="1">
        <v>43</v>
      </c>
      <c r="C3211" s="22">
        <v>45689</v>
      </c>
      <c r="D3211" s="22">
        <v>45716</v>
      </c>
      <c r="E3211" s="23">
        <f t="shared" si="520"/>
        <v>28</v>
      </c>
      <c r="F3211" s="3">
        <f t="shared" si="521"/>
        <v>62263774.21674943</v>
      </c>
      <c r="G3211" s="3">
        <f t="shared" si="517"/>
        <v>3739380.4699193118</v>
      </c>
      <c r="H3211" s="3">
        <f t="shared" si="518"/>
        <v>518864.78513957857</v>
      </c>
      <c r="I3211" s="3">
        <f t="shared" si="522"/>
        <v>3220515.6847797334</v>
      </c>
      <c r="J3211" s="3">
        <f t="shared" si="519"/>
        <v>59043258.531969696</v>
      </c>
      <c r="K3211" s="24"/>
      <c r="L3211" s="24"/>
    </row>
    <row r="3212" spans="2:12" x14ac:dyDescent="0.35">
      <c r="B3212" s="1">
        <v>44</v>
      </c>
      <c r="C3212" s="22">
        <v>45689</v>
      </c>
      <c r="D3212" s="22">
        <v>45716</v>
      </c>
      <c r="E3212" s="23">
        <f t="shared" si="520"/>
        <v>28</v>
      </c>
      <c r="F3212" s="3">
        <f t="shared" si="521"/>
        <v>59043258.531969696</v>
      </c>
      <c r="G3212" s="3">
        <f t="shared" si="517"/>
        <v>3739380.4699193118</v>
      </c>
      <c r="H3212" s="3">
        <f t="shared" si="518"/>
        <v>492027.15443308081</v>
      </c>
      <c r="I3212" s="3">
        <f t="shared" si="522"/>
        <v>3247353.3154862309</v>
      </c>
      <c r="J3212" s="3">
        <f t="shared" si="519"/>
        <v>55795905.216483466</v>
      </c>
      <c r="K3212" s="24"/>
      <c r="L3212" s="24"/>
    </row>
    <row r="3213" spans="2:12" x14ac:dyDescent="0.35">
      <c r="B3213" s="1">
        <v>45</v>
      </c>
      <c r="C3213" s="22">
        <v>45689</v>
      </c>
      <c r="D3213" s="22">
        <v>45716</v>
      </c>
      <c r="E3213" s="23">
        <f t="shared" si="520"/>
        <v>28</v>
      </c>
      <c r="F3213" s="3">
        <f t="shared" si="521"/>
        <v>55795905.216483466</v>
      </c>
      <c r="G3213" s="3">
        <f t="shared" si="517"/>
        <v>3739380.4699193118</v>
      </c>
      <c r="H3213" s="3">
        <f t="shared" si="518"/>
        <v>464965.87680402887</v>
      </c>
      <c r="I3213" s="3">
        <f t="shared" si="522"/>
        <v>3274414.5931152832</v>
      </c>
      <c r="J3213" s="3">
        <f t="shared" si="519"/>
        <v>52521490.623368181</v>
      </c>
      <c r="K3213" s="24"/>
      <c r="L3213" s="24"/>
    </row>
    <row r="3214" spans="2:12" x14ac:dyDescent="0.35">
      <c r="B3214" s="1">
        <v>46</v>
      </c>
      <c r="C3214" s="22">
        <v>45689</v>
      </c>
      <c r="D3214" s="22">
        <v>45716</v>
      </c>
      <c r="E3214" s="23">
        <f t="shared" si="520"/>
        <v>28</v>
      </c>
      <c r="F3214" s="3">
        <f t="shared" si="521"/>
        <v>52521490.623368181</v>
      </c>
      <c r="G3214" s="3">
        <f t="shared" si="517"/>
        <v>3739380.4699193118</v>
      </c>
      <c r="H3214" s="3">
        <f t="shared" si="518"/>
        <v>437679.08852806815</v>
      </c>
      <c r="I3214" s="3">
        <f t="shared" si="522"/>
        <v>3301701.3813912435</v>
      </c>
      <c r="J3214" s="3">
        <f t="shared" si="519"/>
        <v>49219789.241976939</v>
      </c>
      <c r="K3214" s="24"/>
      <c r="L3214" s="24"/>
    </row>
    <row r="3215" spans="2:12" x14ac:dyDescent="0.35">
      <c r="B3215" s="1">
        <v>47</v>
      </c>
      <c r="C3215" s="22">
        <v>45689</v>
      </c>
      <c r="D3215" s="22">
        <v>45716</v>
      </c>
      <c r="E3215" s="23">
        <f t="shared" si="520"/>
        <v>28</v>
      </c>
      <c r="F3215" s="3">
        <f t="shared" si="521"/>
        <v>49219789.241976939</v>
      </c>
      <c r="G3215" s="3">
        <f t="shared" si="517"/>
        <v>3739380.4699193118</v>
      </c>
      <c r="H3215" s="3">
        <f t="shared" si="518"/>
        <v>410164.91034980782</v>
      </c>
      <c r="I3215" s="3">
        <f t="shared" si="522"/>
        <v>3329215.5595695041</v>
      </c>
      <c r="J3215" s="3">
        <f t="shared" si="519"/>
        <v>45890573.682407439</v>
      </c>
      <c r="K3215" s="24"/>
      <c r="L3215" s="24"/>
    </row>
    <row r="3216" spans="2:12" x14ac:dyDescent="0.35">
      <c r="B3216" s="1">
        <v>48</v>
      </c>
      <c r="C3216" s="22">
        <v>45689</v>
      </c>
      <c r="D3216" s="22">
        <v>45716</v>
      </c>
      <c r="E3216" s="23">
        <f t="shared" si="520"/>
        <v>28</v>
      </c>
      <c r="F3216" s="3">
        <f t="shared" si="521"/>
        <v>45890573.682407439</v>
      </c>
      <c r="G3216" s="3">
        <f t="shared" si="517"/>
        <v>3739380.4699193118</v>
      </c>
      <c r="H3216" s="3">
        <f t="shared" si="518"/>
        <v>382421.44735339534</v>
      </c>
      <c r="I3216" s="3">
        <f t="shared" si="522"/>
        <v>3356959.0225659166</v>
      </c>
      <c r="J3216" s="3">
        <f t="shared" si="519"/>
        <v>42533614.659841523</v>
      </c>
      <c r="K3216" s="24"/>
      <c r="L3216" s="24"/>
    </row>
    <row r="3217" spans="2:12" x14ac:dyDescent="0.35">
      <c r="B3217" s="1">
        <v>49</v>
      </c>
      <c r="C3217" s="22">
        <v>45689</v>
      </c>
      <c r="D3217" s="22">
        <v>45716</v>
      </c>
      <c r="E3217" s="23">
        <f t="shared" si="520"/>
        <v>28</v>
      </c>
      <c r="F3217" s="3">
        <f t="shared" si="521"/>
        <v>42533614.659841523</v>
      </c>
      <c r="G3217" s="3">
        <f t="shared" si="517"/>
        <v>3739380.4699193118</v>
      </c>
      <c r="H3217" s="3">
        <f t="shared" si="518"/>
        <v>354446.78883201268</v>
      </c>
      <c r="I3217" s="3">
        <f t="shared" si="522"/>
        <v>3384933.6810872993</v>
      </c>
      <c r="J3217" s="3">
        <f t="shared" si="519"/>
        <v>39148680.978754222</v>
      </c>
      <c r="K3217" s="24"/>
      <c r="L3217" s="24"/>
    </row>
    <row r="3218" spans="2:12" x14ac:dyDescent="0.35">
      <c r="B3218" s="1">
        <v>50</v>
      </c>
      <c r="C3218" s="22">
        <v>45689</v>
      </c>
      <c r="D3218" s="22">
        <v>45716</v>
      </c>
      <c r="E3218" s="23">
        <f t="shared" si="520"/>
        <v>28</v>
      </c>
      <c r="F3218" s="3">
        <f t="shared" si="521"/>
        <v>39148680.978754222</v>
      </c>
      <c r="G3218" s="3">
        <f t="shared" si="517"/>
        <v>3739380.4699193118</v>
      </c>
      <c r="H3218" s="3">
        <f t="shared" si="518"/>
        <v>326239.00815628516</v>
      </c>
      <c r="I3218" s="3">
        <f t="shared" si="522"/>
        <v>3413141.4617630267</v>
      </c>
      <c r="J3218" s="3">
        <f t="shared" si="519"/>
        <v>35735539.516991198</v>
      </c>
      <c r="K3218" s="24"/>
      <c r="L3218" s="24"/>
    </row>
    <row r="3219" spans="2:12" x14ac:dyDescent="0.35">
      <c r="B3219" s="1">
        <v>51</v>
      </c>
      <c r="C3219" s="22">
        <v>45689</v>
      </c>
      <c r="D3219" s="22">
        <v>45716</v>
      </c>
      <c r="E3219" s="23">
        <f t="shared" si="520"/>
        <v>28</v>
      </c>
      <c r="F3219" s="3">
        <f t="shared" si="521"/>
        <v>35735539.516991198</v>
      </c>
      <c r="G3219" s="3">
        <f t="shared" si="517"/>
        <v>3739380.4699193118</v>
      </c>
      <c r="H3219" s="3">
        <f t="shared" si="518"/>
        <v>297796.16264159331</v>
      </c>
      <c r="I3219" s="3">
        <f t="shared" si="522"/>
        <v>3441584.3072777186</v>
      </c>
      <c r="J3219" s="3">
        <f t="shared" si="519"/>
        <v>32293955.209713481</v>
      </c>
      <c r="K3219" s="24"/>
      <c r="L3219" s="24"/>
    </row>
    <row r="3220" spans="2:12" x14ac:dyDescent="0.35">
      <c r="B3220" s="1">
        <v>52</v>
      </c>
      <c r="C3220" s="22">
        <v>45689</v>
      </c>
      <c r="D3220" s="22">
        <v>45716</v>
      </c>
      <c r="E3220" s="23">
        <f t="shared" si="520"/>
        <v>28</v>
      </c>
      <c r="F3220" s="3">
        <f t="shared" si="521"/>
        <v>32293955.209713481</v>
      </c>
      <c r="G3220" s="3">
        <f t="shared" si="517"/>
        <v>3739380.4699193118</v>
      </c>
      <c r="H3220" s="3">
        <f t="shared" si="518"/>
        <v>269116.293414279</v>
      </c>
      <c r="I3220" s="3">
        <f t="shared" si="522"/>
        <v>3470264.1765050329</v>
      </c>
      <c r="J3220" s="3">
        <f t="shared" si="519"/>
        <v>28823691.033208448</v>
      </c>
      <c r="K3220" s="24"/>
      <c r="L3220" s="24"/>
    </row>
    <row r="3221" spans="2:12" x14ac:dyDescent="0.35">
      <c r="B3221" s="1">
        <v>53</v>
      </c>
      <c r="C3221" s="22">
        <v>45689</v>
      </c>
      <c r="D3221" s="22">
        <v>45716</v>
      </c>
      <c r="E3221" s="23">
        <f t="shared" si="520"/>
        <v>28</v>
      </c>
      <c r="F3221" s="3">
        <f t="shared" si="521"/>
        <v>28823691.033208448</v>
      </c>
      <c r="G3221" s="3">
        <f t="shared" si="517"/>
        <v>3739380.4699193118</v>
      </c>
      <c r="H3221" s="3">
        <f t="shared" si="518"/>
        <v>240197.42527673708</v>
      </c>
      <c r="I3221" s="3">
        <f t="shared" si="522"/>
        <v>3499183.0446425746</v>
      </c>
      <c r="J3221" s="3">
        <f t="shared" si="519"/>
        <v>25324507.988565873</v>
      </c>
      <c r="K3221" s="24"/>
      <c r="L3221" s="24"/>
    </row>
    <row r="3222" spans="2:12" x14ac:dyDescent="0.35">
      <c r="B3222" s="1">
        <v>54</v>
      </c>
      <c r="C3222" s="22">
        <v>45689</v>
      </c>
      <c r="D3222" s="22">
        <v>45716</v>
      </c>
      <c r="E3222" s="23">
        <f t="shared" si="520"/>
        <v>28</v>
      </c>
      <c r="F3222" s="3">
        <f t="shared" si="521"/>
        <v>25324507.988565873</v>
      </c>
      <c r="G3222" s="3">
        <f t="shared" si="517"/>
        <v>3739380.4699193118</v>
      </c>
      <c r="H3222" s="3">
        <f t="shared" si="518"/>
        <v>211037.56657138228</v>
      </c>
      <c r="I3222" s="3">
        <f t="shared" si="522"/>
        <v>3528342.9033479295</v>
      </c>
      <c r="J3222" s="3">
        <f t="shared" si="519"/>
        <v>21796165.085217945</v>
      </c>
      <c r="K3222" s="24"/>
      <c r="L3222" s="24"/>
    </row>
    <row r="3223" spans="2:12" x14ac:dyDescent="0.35">
      <c r="B3223" s="1">
        <v>55</v>
      </c>
      <c r="C3223" s="22">
        <v>45689</v>
      </c>
      <c r="D3223" s="22">
        <v>45716</v>
      </c>
      <c r="E3223" s="23">
        <f t="shared" si="520"/>
        <v>28</v>
      </c>
      <c r="F3223" s="3">
        <f t="shared" si="521"/>
        <v>21796165.085217945</v>
      </c>
      <c r="G3223" s="3">
        <f t="shared" si="517"/>
        <v>3739380.4699193118</v>
      </c>
      <c r="H3223" s="3">
        <f t="shared" si="518"/>
        <v>181634.70904348287</v>
      </c>
      <c r="I3223" s="3">
        <f t="shared" si="522"/>
        <v>3557745.760875829</v>
      </c>
      <c r="J3223" s="3">
        <f t="shared" si="519"/>
        <v>18238419.324342117</v>
      </c>
      <c r="K3223" s="24"/>
      <c r="L3223" s="24"/>
    </row>
    <row r="3224" spans="2:12" x14ac:dyDescent="0.35">
      <c r="B3224" s="1">
        <v>56</v>
      </c>
      <c r="C3224" s="22">
        <v>45689</v>
      </c>
      <c r="D3224" s="22">
        <v>45716</v>
      </c>
      <c r="E3224" s="23">
        <f t="shared" si="520"/>
        <v>28</v>
      </c>
      <c r="F3224" s="3">
        <f t="shared" si="521"/>
        <v>18238419.324342117</v>
      </c>
      <c r="G3224" s="3">
        <f t="shared" si="517"/>
        <v>3739380.4699193118</v>
      </c>
      <c r="H3224" s="3">
        <f t="shared" si="518"/>
        <v>151986.82770285098</v>
      </c>
      <c r="I3224" s="3">
        <f t="shared" si="522"/>
        <v>3587393.6422164608</v>
      </c>
      <c r="J3224" s="3">
        <f t="shared" si="519"/>
        <v>14651025.682125656</v>
      </c>
      <c r="K3224" s="24"/>
      <c r="L3224" s="24"/>
    </row>
    <row r="3225" spans="2:12" x14ac:dyDescent="0.35">
      <c r="B3225" s="1">
        <v>57</v>
      </c>
      <c r="C3225" s="22">
        <v>45689</v>
      </c>
      <c r="D3225" s="22">
        <v>45716</v>
      </c>
      <c r="E3225" s="23">
        <f t="shared" si="520"/>
        <v>28</v>
      </c>
      <c r="F3225" s="3">
        <f t="shared" si="521"/>
        <v>14651025.682125656</v>
      </c>
      <c r="G3225" s="3">
        <f t="shared" si="517"/>
        <v>3739380.4699193118</v>
      </c>
      <c r="H3225" s="3">
        <f t="shared" si="518"/>
        <v>122091.88068438046</v>
      </c>
      <c r="I3225" s="3">
        <f t="shared" si="522"/>
        <v>3617288.5892349314</v>
      </c>
      <c r="J3225" s="3">
        <f t="shared" si="519"/>
        <v>11033737.092890725</v>
      </c>
      <c r="K3225" s="24"/>
      <c r="L3225" s="24"/>
    </row>
    <row r="3226" spans="2:12" x14ac:dyDescent="0.35">
      <c r="B3226" s="1">
        <v>58</v>
      </c>
      <c r="C3226" s="22">
        <v>45689</v>
      </c>
      <c r="D3226" s="22">
        <v>45716</v>
      </c>
      <c r="E3226" s="23">
        <f t="shared" si="520"/>
        <v>28</v>
      </c>
      <c r="F3226" s="3">
        <f t="shared" si="521"/>
        <v>11033737.092890725</v>
      </c>
      <c r="G3226" s="3">
        <f t="shared" si="517"/>
        <v>3739380.4699193118</v>
      </c>
      <c r="H3226" s="3">
        <f t="shared" si="518"/>
        <v>91947.809107422698</v>
      </c>
      <c r="I3226" s="3">
        <f t="shared" si="522"/>
        <v>3647432.660811889</v>
      </c>
      <c r="J3226" s="3">
        <f t="shared" si="519"/>
        <v>7386304.4320788356</v>
      </c>
      <c r="K3226" s="24"/>
      <c r="L3226" s="24"/>
    </row>
    <row r="3227" spans="2:12" x14ac:dyDescent="0.35">
      <c r="B3227" s="1">
        <v>59</v>
      </c>
      <c r="C3227" s="22">
        <v>45689</v>
      </c>
      <c r="D3227" s="22">
        <v>45716</v>
      </c>
      <c r="E3227" s="23">
        <f t="shared" si="520"/>
        <v>28</v>
      </c>
      <c r="F3227" s="3">
        <f t="shared" si="521"/>
        <v>7386304.4320788356</v>
      </c>
      <c r="G3227" s="3">
        <f t="shared" si="517"/>
        <v>3739380.4699193118</v>
      </c>
      <c r="H3227" s="3">
        <f t="shared" si="518"/>
        <v>61552.536933990297</v>
      </c>
      <c r="I3227" s="3">
        <f t="shared" si="522"/>
        <v>3677827.9329853216</v>
      </c>
      <c r="J3227" s="3">
        <f t="shared" si="519"/>
        <v>3708476.4990935139</v>
      </c>
      <c r="K3227" s="24"/>
      <c r="L3227" s="24"/>
    </row>
    <row r="3228" spans="2:12" x14ac:dyDescent="0.35">
      <c r="B3228" s="1">
        <v>60</v>
      </c>
      <c r="C3228" s="22">
        <v>45689</v>
      </c>
      <c r="D3228" s="22">
        <v>45716</v>
      </c>
      <c r="E3228" s="23">
        <f t="shared" si="520"/>
        <v>28</v>
      </c>
      <c r="F3228" s="3">
        <f t="shared" si="521"/>
        <v>3708476.4990935139</v>
      </c>
      <c r="G3228" s="3">
        <f t="shared" si="517"/>
        <v>3739380.4699193118</v>
      </c>
      <c r="H3228" s="3">
        <f t="shared" si="518"/>
        <v>30903.970825779281</v>
      </c>
      <c r="I3228" s="3">
        <f t="shared" si="522"/>
        <v>3708476.4990935326</v>
      </c>
      <c r="J3228" s="3">
        <f t="shared" si="519"/>
        <v>-1.862645149230957E-8</v>
      </c>
      <c r="K3228" s="24"/>
      <c r="L3228" s="24"/>
    </row>
    <row r="3229" spans="2:12" x14ac:dyDescent="0.35">
      <c r="B3229" s="1"/>
      <c r="C3229" s="22"/>
      <c r="D3229" s="22"/>
      <c r="E3229" s="23"/>
      <c r="F3229" s="3"/>
      <c r="G3229" s="3"/>
      <c r="H3229" s="3"/>
      <c r="I3229" s="3"/>
      <c r="J3229" s="3"/>
      <c r="K3229" s="24"/>
      <c r="L3229" s="24"/>
    </row>
    <row r="3230" spans="2:12" x14ac:dyDescent="0.35">
      <c r="B3230" s="1"/>
      <c r="C3230" s="22"/>
      <c r="D3230" s="22"/>
      <c r="E3230" s="28">
        <f>SUM(E3168:E3192)</f>
        <v>740</v>
      </c>
      <c r="F3230" s="3"/>
      <c r="G3230" s="3"/>
      <c r="H3230" s="3"/>
      <c r="I3230" s="3"/>
      <c r="J3230" s="3"/>
      <c r="K3230" s="24"/>
      <c r="L3230" s="24"/>
    </row>
    <row r="3235" spans="2:19" x14ac:dyDescent="0.35">
      <c r="B3235" s="1"/>
      <c r="C3235" s="8" t="s">
        <v>932</v>
      </c>
      <c r="D3235" s="3"/>
      <c r="E3235" s="3"/>
      <c r="F3235" s="3"/>
      <c r="G3235" s="3"/>
      <c r="H3235" s="3"/>
      <c r="I3235" s="3"/>
      <c r="J3235" s="3"/>
      <c r="K3235" s="3"/>
      <c r="L3235" s="3"/>
      <c r="R3235" s="438" t="s">
        <v>832</v>
      </c>
      <c r="S3235" s="432" t="str">
        <f>IFERROR(INDEX(Blocks!$I$2:$I$101,MATCH(58,Blocks!$A$2:$A$101,0)),"")</f>
        <v>000104450000082</v>
      </c>
    </row>
    <row r="3236" spans="2:19" x14ac:dyDescent="0.35">
      <c r="B3236" s="1"/>
      <c r="C3236" s="1"/>
      <c r="D3236" s="3"/>
      <c r="E3236" s="3"/>
      <c r="F3236" s="3"/>
      <c r="G3236" s="3"/>
      <c r="H3236" s="3"/>
      <c r="I3236" s="3"/>
      <c r="J3236" s="3"/>
      <c r="K3236" s="3"/>
      <c r="L3236" s="3"/>
      <c r="R3236" s="438" t="s">
        <v>834</v>
      </c>
      <c r="S3236" s="432" t="str">
        <f>IFERROR(INDEX(Blocks!$H$2:$H$101,MATCH(58,Blocks!$A$2:$A$101,0)),"")</f>
        <v>Chuma Mkandawire TA Chikoma Estates</v>
      </c>
    </row>
    <row r="3237" spans="2:19" x14ac:dyDescent="0.35">
      <c r="B3237" s="1"/>
      <c r="C3237" s="9" t="s">
        <v>835</v>
      </c>
      <c r="D3237" s="10">
        <v>20000000</v>
      </c>
      <c r="E3237" s="3"/>
      <c r="F3237" s="3"/>
      <c r="G3237" s="3"/>
      <c r="H3237" s="3"/>
      <c r="I3237" s="3"/>
      <c r="J3237" s="3"/>
      <c r="K3237" s="3"/>
      <c r="L3237" s="3"/>
      <c r="R3237" s="438" t="s">
        <v>223</v>
      </c>
      <c r="S3237" s="433">
        <f>IFERROR(INDEX('E-Banker master'!$N$2:$N$186,MATCH(S3235,'E-Banker master'!$A$2:$A$186,0)),"")</f>
        <v>0</v>
      </c>
    </row>
    <row r="3238" spans="2:19" x14ac:dyDescent="0.35">
      <c r="B3238" s="1"/>
      <c r="C3238" s="11" t="s">
        <v>837</v>
      </c>
      <c r="D3238" s="12">
        <v>0.1</v>
      </c>
      <c r="E3238" s="13"/>
      <c r="F3238" s="3"/>
      <c r="G3238" s="3"/>
      <c r="H3238" s="3"/>
      <c r="I3238" s="3"/>
      <c r="J3238" s="3"/>
      <c r="K3238" s="3"/>
      <c r="L3238" s="3"/>
      <c r="R3238" s="438" t="s">
        <v>52</v>
      </c>
      <c r="S3238" s="433">
        <f>IFERROR(INDEX('E-Banker master'!$P$2:$P$186,MATCH(S3235,'E-Banker master'!$A$2:$A$186,0)),"")</f>
        <v>0</v>
      </c>
    </row>
    <row r="3239" spans="2:19" x14ac:dyDescent="0.35">
      <c r="B3239" s="1"/>
      <c r="C3239" s="11" t="s">
        <v>838</v>
      </c>
      <c r="D3239" s="14">
        <v>2</v>
      </c>
      <c r="E3239" s="1"/>
      <c r="F3239" s="3"/>
      <c r="G3239" s="3"/>
      <c r="H3239" s="3"/>
      <c r="I3239" s="3"/>
      <c r="J3239" s="3"/>
      <c r="K3239" s="1"/>
      <c r="L3239" s="1"/>
    </row>
    <row r="3240" spans="2:19" x14ac:dyDescent="0.35">
      <c r="B3240" s="1"/>
      <c r="C3240" s="11" t="s">
        <v>839</v>
      </c>
      <c r="D3240" s="14">
        <v>12</v>
      </c>
      <c r="E3240" s="1"/>
      <c r="F3240" s="3"/>
      <c r="G3240" s="3"/>
      <c r="H3240" s="3"/>
      <c r="I3240" s="3"/>
      <c r="J3240" s="3"/>
      <c r="K3240" s="25"/>
      <c r="L3240" s="1"/>
    </row>
    <row r="3241" spans="2:19" x14ac:dyDescent="0.35">
      <c r="B3241" s="1"/>
      <c r="C3241" s="11" t="s">
        <v>843</v>
      </c>
      <c r="D3241" s="15">
        <f>D3239*D3240</f>
        <v>24</v>
      </c>
      <c r="E3241" s="1"/>
      <c r="F3241" s="3"/>
      <c r="G3241" s="3"/>
      <c r="H3241" s="3"/>
      <c r="I3241" s="3"/>
      <c r="J3241" s="3"/>
      <c r="K3241" s="1"/>
      <c r="L3241" s="1"/>
    </row>
    <row r="3242" spans="2:19" x14ac:dyDescent="0.35">
      <c r="B3242" s="1"/>
      <c r="C3242" s="11" t="s">
        <v>844</v>
      </c>
      <c r="D3242" s="16">
        <v>365</v>
      </c>
      <c r="E3242" s="1"/>
      <c r="F3242" s="3"/>
      <c r="G3242" s="3"/>
      <c r="H3242" s="3"/>
      <c r="I3242" s="3"/>
      <c r="J3242" s="3"/>
      <c r="K3242" s="1"/>
      <c r="L3242" s="1"/>
    </row>
    <row r="3243" spans="2:19" x14ac:dyDescent="0.35">
      <c r="B3243" s="1"/>
      <c r="C3243" s="17" t="s">
        <v>845</v>
      </c>
      <c r="D3243" s="18">
        <f>-PMT(D3238/D3240,D3241,D3237,0,0)</f>
        <v>922898.52675033011</v>
      </c>
      <c r="E3243" s="3"/>
      <c r="F3243" s="3"/>
      <c r="G3243" s="3"/>
      <c r="H3243" s="3"/>
      <c r="I3243" s="3"/>
      <c r="J3243" s="3"/>
      <c r="K3243" s="1"/>
      <c r="L3243" s="1"/>
    </row>
    <row r="3244" spans="2:19" x14ac:dyDescent="0.35">
      <c r="B3244" s="1"/>
      <c r="C3244" s="1"/>
      <c r="D3244" s="3"/>
      <c r="E3244" s="3"/>
      <c r="F3244" s="3"/>
      <c r="G3244" s="3"/>
      <c r="H3244" s="3"/>
      <c r="I3244" s="3"/>
      <c r="J3244" s="3"/>
      <c r="K3244" s="1"/>
      <c r="L3244" s="1"/>
    </row>
    <row r="3245" spans="2:19" x14ac:dyDescent="0.35">
      <c r="B3245" s="1"/>
      <c r="C3245" s="19" t="s">
        <v>846</v>
      </c>
      <c r="D3245" s="20" t="s">
        <v>847</v>
      </c>
      <c r="E3245" s="20" t="s">
        <v>764</v>
      </c>
      <c r="F3245" s="270" t="s">
        <v>848</v>
      </c>
      <c r="G3245" s="270" t="s">
        <v>849</v>
      </c>
      <c r="H3245" s="270" t="s">
        <v>742</v>
      </c>
      <c r="I3245" s="270" t="s">
        <v>740</v>
      </c>
      <c r="J3245" s="270" t="s">
        <v>850</v>
      </c>
      <c r="K3245" s="21" t="s">
        <v>851</v>
      </c>
      <c r="L3245" s="21" t="s">
        <v>852</v>
      </c>
    </row>
    <row r="3246" spans="2:19" x14ac:dyDescent="0.35">
      <c r="B3246" s="1">
        <v>0</v>
      </c>
      <c r="C3246" s="22">
        <v>44985</v>
      </c>
      <c r="D3246" s="22">
        <v>44985</v>
      </c>
      <c r="E3246" s="23">
        <f t="shared" ref="E3246:E3258" si="523">D3246-C3246+1</f>
        <v>1</v>
      </c>
      <c r="F3246" s="3">
        <f>D3237</f>
        <v>20000000</v>
      </c>
      <c r="G3246" s="3"/>
      <c r="H3246" s="3">
        <f>(D3238/D3240*E3246*F3246/28)</f>
        <v>5952.3809523809523</v>
      </c>
      <c r="I3246" s="3">
        <f t="shared" ref="I3246:I3258" si="524">-H3246</f>
        <v>-5952.3809523809523</v>
      </c>
      <c r="J3246" s="3">
        <f>F3246+G3237-I3246</f>
        <v>20005952.380952381</v>
      </c>
      <c r="K3246" s="24"/>
      <c r="L3246" s="24"/>
    </row>
    <row r="3247" spans="2:19" x14ac:dyDescent="0.35">
      <c r="B3247" s="1">
        <v>1</v>
      </c>
      <c r="C3247" s="22">
        <v>44986</v>
      </c>
      <c r="D3247" s="22">
        <v>45016</v>
      </c>
      <c r="E3247" s="23">
        <f t="shared" si="523"/>
        <v>31</v>
      </c>
      <c r="F3247" s="3">
        <f t="shared" ref="F3247:F3258" si="525">J3246</f>
        <v>20005952.380952381</v>
      </c>
      <c r="G3247" s="3"/>
      <c r="H3247" s="3">
        <f t="shared" ref="H3247:H3258" si="526">($D$3238/$D$3240*F3247)</f>
        <v>166716.26984126982</v>
      </c>
      <c r="I3247" s="3">
        <f t="shared" si="524"/>
        <v>-166716.26984126982</v>
      </c>
      <c r="J3247" s="3">
        <f t="shared" ref="J3247:J3257" si="527">F3247-I3247</f>
        <v>20172668.650793649</v>
      </c>
      <c r="K3247" s="24"/>
      <c r="L3247" s="24"/>
    </row>
    <row r="3248" spans="2:19" x14ac:dyDescent="0.35">
      <c r="B3248" s="1">
        <v>2</v>
      </c>
      <c r="C3248" s="22">
        <v>45017</v>
      </c>
      <c r="D3248" s="22">
        <v>45046</v>
      </c>
      <c r="E3248" s="23">
        <f t="shared" si="523"/>
        <v>30</v>
      </c>
      <c r="F3248" s="3">
        <f t="shared" si="525"/>
        <v>20172668.650793649</v>
      </c>
      <c r="G3248" s="3"/>
      <c r="H3248" s="3">
        <f t="shared" si="526"/>
        <v>168105.57208994706</v>
      </c>
      <c r="I3248" s="3">
        <f t="shared" si="524"/>
        <v>-168105.57208994706</v>
      </c>
      <c r="J3248" s="3">
        <f t="shared" si="527"/>
        <v>20340774.222883597</v>
      </c>
    </row>
    <row r="3249" spans="2:19" x14ac:dyDescent="0.35">
      <c r="B3249" s="1">
        <v>3</v>
      </c>
      <c r="C3249" s="22">
        <v>45047</v>
      </c>
      <c r="D3249" s="22">
        <v>45077</v>
      </c>
      <c r="E3249" s="23">
        <f t="shared" si="523"/>
        <v>31</v>
      </c>
      <c r="F3249" s="3">
        <f t="shared" si="525"/>
        <v>20340774.222883597</v>
      </c>
      <c r="G3249" s="3"/>
      <c r="H3249" s="3">
        <f t="shared" si="526"/>
        <v>169506.45185736331</v>
      </c>
      <c r="I3249" s="3">
        <f t="shared" si="524"/>
        <v>-169506.45185736331</v>
      </c>
      <c r="J3249" s="3">
        <f t="shared" si="527"/>
        <v>20510280.674740959</v>
      </c>
      <c r="K3249" s="24"/>
      <c r="L3249" s="24"/>
    </row>
    <row r="3250" spans="2:19" x14ac:dyDescent="0.35">
      <c r="B3250" s="1">
        <v>4</v>
      </c>
      <c r="C3250" s="22">
        <v>45078</v>
      </c>
      <c r="D3250" s="22">
        <v>45107</v>
      </c>
      <c r="E3250" s="23">
        <f t="shared" si="523"/>
        <v>30</v>
      </c>
      <c r="F3250" s="3">
        <f t="shared" si="525"/>
        <v>20510280.674740959</v>
      </c>
      <c r="G3250" s="3"/>
      <c r="H3250" s="3">
        <f t="shared" si="526"/>
        <v>170919.00562284133</v>
      </c>
      <c r="I3250" s="3">
        <f t="shared" si="524"/>
        <v>-170919.00562284133</v>
      </c>
      <c r="J3250" s="3">
        <f t="shared" si="527"/>
        <v>20681199.6803638</v>
      </c>
      <c r="K3250" s="24"/>
      <c r="L3250" s="24"/>
    </row>
    <row r="3251" spans="2:19" x14ac:dyDescent="0.35">
      <c r="B3251" s="1">
        <v>5</v>
      </c>
      <c r="C3251" s="22">
        <v>45108</v>
      </c>
      <c r="D3251" s="22">
        <v>45138</v>
      </c>
      <c r="E3251" s="23">
        <f t="shared" si="523"/>
        <v>31</v>
      </c>
      <c r="F3251" s="3">
        <f t="shared" si="525"/>
        <v>20681199.6803638</v>
      </c>
      <c r="G3251" s="3"/>
      <c r="H3251" s="3">
        <f t="shared" si="526"/>
        <v>172343.33066969833</v>
      </c>
      <c r="I3251" s="3">
        <f t="shared" si="524"/>
        <v>-172343.33066969833</v>
      </c>
      <c r="J3251" s="3">
        <f t="shared" si="527"/>
        <v>20853543.011033498</v>
      </c>
      <c r="K3251" s="24"/>
      <c r="L3251" s="24"/>
    </row>
    <row r="3252" spans="2:19" x14ac:dyDescent="0.35">
      <c r="B3252" s="1">
        <v>6</v>
      </c>
      <c r="C3252" s="22">
        <v>45139</v>
      </c>
      <c r="D3252" s="22">
        <v>45169</v>
      </c>
      <c r="E3252" s="23">
        <f t="shared" si="523"/>
        <v>31</v>
      </c>
      <c r="F3252" s="3">
        <f t="shared" si="525"/>
        <v>20853543.011033498</v>
      </c>
      <c r="G3252" s="3"/>
      <c r="H3252" s="3">
        <f t="shared" si="526"/>
        <v>173779.5250919458</v>
      </c>
      <c r="I3252" s="3">
        <f t="shared" si="524"/>
        <v>-173779.5250919458</v>
      </c>
      <c r="J3252" s="3">
        <f t="shared" si="527"/>
        <v>21027322.536125444</v>
      </c>
      <c r="K3252" s="24">
        <v>21027322.539999999</v>
      </c>
      <c r="L3252" s="26"/>
    </row>
    <row r="3253" spans="2:19" x14ac:dyDescent="0.35">
      <c r="B3253" s="1">
        <v>7</v>
      </c>
      <c r="C3253" s="22">
        <v>45170</v>
      </c>
      <c r="D3253" s="22">
        <v>45199</v>
      </c>
      <c r="E3253" s="23">
        <f t="shared" si="523"/>
        <v>30</v>
      </c>
      <c r="F3253" s="3">
        <f t="shared" si="525"/>
        <v>21027322.536125444</v>
      </c>
      <c r="G3253" s="3"/>
      <c r="H3253" s="3">
        <f t="shared" si="526"/>
        <v>175227.68780104537</v>
      </c>
      <c r="I3253" s="3">
        <f t="shared" si="524"/>
        <v>-175227.68780104537</v>
      </c>
      <c r="J3253" s="3">
        <f t="shared" si="527"/>
        <v>21202550.223926488</v>
      </c>
      <c r="K3253" s="24"/>
      <c r="L3253" s="24"/>
    </row>
    <row r="3254" spans="2:19" x14ac:dyDescent="0.35">
      <c r="B3254" s="1">
        <v>8</v>
      </c>
      <c r="C3254" s="22">
        <v>45200</v>
      </c>
      <c r="D3254" s="22">
        <v>45230</v>
      </c>
      <c r="E3254" s="23">
        <f t="shared" si="523"/>
        <v>31</v>
      </c>
      <c r="F3254" s="3">
        <f t="shared" si="525"/>
        <v>21202550.223926488</v>
      </c>
      <c r="G3254" s="3"/>
      <c r="H3254" s="3">
        <f t="shared" si="526"/>
        <v>176687.91853272074</v>
      </c>
      <c r="I3254" s="3">
        <f t="shared" si="524"/>
        <v>-176687.91853272074</v>
      </c>
      <c r="J3254" s="3">
        <f t="shared" si="527"/>
        <v>21379238.14245921</v>
      </c>
      <c r="K3254" s="24"/>
      <c r="L3254" s="24"/>
    </row>
    <row r="3255" spans="2:19" x14ac:dyDescent="0.35">
      <c r="B3255" s="1">
        <v>9</v>
      </c>
      <c r="C3255" s="22">
        <v>45231</v>
      </c>
      <c r="D3255" s="22">
        <v>45260</v>
      </c>
      <c r="E3255" s="23">
        <f t="shared" si="523"/>
        <v>30</v>
      </c>
      <c r="F3255" s="3">
        <f t="shared" si="525"/>
        <v>21379238.14245921</v>
      </c>
      <c r="G3255" s="3"/>
      <c r="H3255" s="3">
        <f t="shared" si="526"/>
        <v>178160.31785382674</v>
      </c>
      <c r="I3255" s="3">
        <f t="shared" si="524"/>
        <v>-178160.31785382674</v>
      </c>
      <c r="J3255" s="3">
        <f t="shared" si="527"/>
        <v>21557398.460313037</v>
      </c>
      <c r="K3255" s="24"/>
      <c r="L3255" s="26"/>
    </row>
    <row r="3256" spans="2:19" x14ac:dyDescent="0.35">
      <c r="B3256" s="1">
        <v>10</v>
      </c>
      <c r="C3256" s="22">
        <v>45261</v>
      </c>
      <c r="D3256" s="22">
        <v>45291</v>
      </c>
      <c r="E3256" s="23">
        <f t="shared" si="523"/>
        <v>31</v>
      </c>
      <c r="F3256" s="3">
        <f t="shared" si="525"/>
        <v>21557398.460313037</v>
      </c>
      <c r="G3256" s="3"/>
      <c r="H3256" s="3">
        <f t="shared" si="526"/>
        <v>179644.98716927529</v>
      </c>
      <c r="I3256" s="3">
        <f t="shared" si="524"/>
        <v>-179644.98716927529</v>
      </c>
      <c r="J3256" s="3">
        <f t="shared" si="527"/>
        <v>21737043.447482314</v>
      </c>
      <c r="K3256" s="24"/>
      <c r="L3256" s="24"/>
    </row>
    <row r="3257" spans="2:19" x14ac:dyDescent="0.35">
      <c r="B3257" s="1">
        <v>11</v>
      </c>
      <c r="C3257" s="22">
        <v>45292</v>
      </c>
      <c r="D3257" s="22">
        <v>45322</v>
      </c>
      <c r="E3257" s="23">
        <f t="shared" si="523"/>
        <v>31</v>
      </c>
      <c r="F3257" s="3">
        <f t="shared" si="525"/>
        <v>21737043.447482314</v>
      </c>
      <c r="G3257" s="3"/>
      <c r="H3257" s="3">
        <f t="shared" si="526"/>
        <v>181142.02872901928</v>
      </c>
      <c r="I3257" s="3">
        <f t="shared" si="524"/>
        <v>-181142.02872901928</v>
      </c>
      <c r="J3257" s="3">
        <f t="shared" si="527"/>
        <v>21918185.476211332</v>
      </c>
      <c r="K3257" s="24"/>
      <c r="L3257" s="24"/>
    </row>
    <row r="3258" spans="2:19" x14ac:dyDescent="0.35">
      <c r="B3258" s="1">
        <v>12</v>
      </c>
      <c r="C3258" s="22">
        <v>45323</v>
      </c>
      <c r="D3258" s="22">
        <v>45351</v>
      </c>
      <c r="E3258" s="23">
        <f t="shared" si="523"/>
        <v>29</v>
      </c>
      <c r="F3258" s="3">
        <f t="shared" si="525"/>
        <v>21918185.476211332</v>
      </c>
      <c r="G3258" s="3">
        <v>22100837.02</v>
      </c>
      <c r="H3258" s="3">
        <f t="shared" si="526"/>
        <v>182651.54563509443</v>
      </c>
      <c r="I3258" s="3">
        <f t="shared" si="524"/>
        <v>-182651.54563509443</v>
      </c>
      <c r="J3258" s="3">
        <f>F3258-I3258-G3258</f>
        <v>1.8464252352714539E-3</v>
      </c>
      <c r="K3258" s="24"/>
      <c r="L3258" s="24"/>
    </row>
    <row r="3259" spans="2:19" x14ac:dyDescent="0.35">
      <c r="B3259" s="1"/>
      <c r="C3259" s="22"/>
      <c r="D3259" s="22"/>
      <c r="E3259" s="23"/>
      <c r="F3259" s="3"/>
      <c r="G3259" s="3"/>
      <c r="H3259" s="3"/>
      <c r="I3259" s="3"/>
      <c r="J3259" s="3"/>
      <c r="K3259" s="24"/>
      <c r="L3259" s="24"/>
    </row>
    <row r="3260" spans="2:19" x14ac:dyDescent="0.35">
      <c r="B3260" s="1"/>
      <c r="C3260" s="22"/>
      <c r="D3260" s="22"/>
      <c r="E3260" s="28">
        <f>SUM(E3246:E3258)</f>
        <v>367</v>
      </c>
      <c r="F3260" s="3"/>
      <c r="G3260" s="3"/>
      <c r="H3260" s="3"/>
      <c r="I3260" s="3"/>
      <c r="J3260" s="3"/>
      <c r="K3260" s="24"/>
      <c r="L3260" s="24"/>
    </row>
    <row r="3264" spans="2:19" x14ac:dyDescent="0.35">
      <c r="B3264" s="1"/>
      <c r="C3264" s="8" t="s">
        <v>642</v>
      </c>
      <c r="D3264" s="3"/>
      <c r="E3264" s="3"/>
      <c r="F3264" s="3"/>
      <c r="G3264" s="3"/>
      <c r="H3264" s="3"/>
      <c r="I3264" s="3"/>
      <c r="J3264" s="3"/>
      <c r="K3264" s="3"/>
      <c r="L3264" s="3"/>
      <c r="R3264" s="438" t="s">
        <v>832</v>
      </c>
      <c r="S3264" s="432" t="str">
        <f>IFERROR(INDEX(Blocks!$I$2:$I$101,MATCH(59,Blocks!$A$2:$A$101,0)),"")</f>
        <v>000104460000061</v>
      </c>
    </row>
    <row r="3265" spans="2:19" x14ac:dyDescent="0.35">
      <c r="B3265" s="1"/>
      <c r="C3265" s="1"/>
      <c r="D3265" s="3"/>
      <c r="E3265" s="3"/>
      <c r="F3265" s="3"/>
      <c r="G3265" s="3"/>
      <c r="H3265" s="3"/>
      <c r="I3265" s="3"/>
      <c r="J3265" s="3"/>
      <c r="K3265" s="3"/>
      <c r="L3265" s="3"/>
      <c r="R3265" s="438" t="s">
        <v>834</v>
      </c>
      <c r="S3265" s="432" t="str">
        <f>IFERROR(INDEX(Blocks!$H$2:$H$101,MATCH(59,Blocks!$A$2:$A$101,0)),"")</f>
        <v>Imani Investments</v>
      </c>
    </row>
    <row r="3266" spans="2:19" x14ac:dyDescent="0.35">
      <c r="B3266" s="1"/>
      <c r="C3266" s="9" t="s">
        <v>835</v>
      </c>
      <c r="D3266" s="10">
        <v>24000000</v>
      </c>
      <c r="E3266" s="3"/>
      <c r="F3266" s="3"/>
      <c r="G3266" s="3"/>
      <c r="H3266" s="3"/>
      <c r="I3266" s="3"/>
      <c r="J3266" s="3"/>
      <c r="K3266" s="3"/>
      <c r="L3266" s="3"/>
      <c r="R3266" s="438" t="s">
        <v>223</v>
      </c>
      <c r="S3266" s="433">
        <f>IFERROR(INDEX('E-Banker master'!$N$2:$N$186,MATCH(S3264,'E-Banker master'!$A$2:$A$186,0)),"")</f>
        <v>24000000</v>
      </c>
    </row>
    <row r="3267" spans="2:19" x14ac:dyDescent="0.35">
      <c r="B3267" s="1"/>
      <c r="C3267" s="11" t="s">
        <v>837</v>
      </c>
      <c r="D3267" s="12">
        <v>0.1</v>
      </c>
      <c r="E3267" s="13"/>
      <c r="F3267" s="3"/>
      <c r="G3267" s="3"/>
      <c r="H3267" s="3"/>
      <c r="I3267" s="3"/>
      <c r="J3267" s="3"/>
      <c r="K3267" s="3"/>
      <c r="L3267" s="3"/>
      <c r="R3267" s="438" t="s">
        <v>52</v>
      </c>
      <c r="S3267" s="433">
        <f>IFERROR(INDEX('E-Banker master'!$P$2:$P$186,MATCH(S3264,'E-Banker master'!$A$2:$A$186,0)),"")</f>
        <v>7602201.0199999996</v>
      </c>
    </row>
    <row r="3268" spans="2:19" x14ac:dyDescent="0.35">
      <c r="B3268" s="1"/>
      <c r="C3268" s="11" t="s">
        <v>838</v>
      </c>
      <c r="D3268" s="14">
        <v>2</v>
      </c>
      <c r="E3268" s="1"/>
      <c r="F3268" s="3"/>
      <c r="G3268" s="3"/>
      <c r="H3268" s="3"/>
      <c r="I3268" s="3"/>
      <c r="J3268" s="3"/>
      <c r="K3268" s="1"/>
      <c r="L3268" s="1"/>
    </row>
    <row r="3269" spans="2:19" x14ac:dyDescent="0.35">
      <c r="B3269" s="1"/>
      <c r="C3269" s="11" t="s">
        <v>839</v>
      </c>
      <c r="D3269" s="14">
        <v>12</v>
      </c>
      <c r="E3269" s="1"/>
      <c r="F3269" s="3"/>
      <c r="G3269" s="3"/>
      <c r="H3269" s="3"/>
      <c r="I3269" s="3"/>
      <c r="J3269" s="3"/>
      <c r="K3269" s="1"/>
      <c r="L3269" s="1"/>
    </row>
    <row r="3270" spans="2:19" x14ac:dyDescent="0.35">
      <c r="B3270" s="1"/>
      <c r="C3270" s="11" t="s">
        <v>843</v>
      </c>
      <c r="D3270" s="15">
        <f>D3268*D3269</f>
        <v>24</v>
      </c>
      <c r="E3270" s="1"/>
      <c r="F3270" s="3"/>
      <c r="G3270" s="3"/>
      <c r="H3270" s="3"/>
      <c r="I3270" s="3"/>
      <c r="J3270" s="3"/>
      <c r="K3270" s="1"/>
      <c r="L3270" s="1"/>
    </row>
    <row r="3271" spans="2:19" x14ac:dyDescent="0.35">
      <c r="B3271" s="1"/>
      <c r="C3271" s="11" t="s">
        <v>844</v>
      </c>
      <c r="D3271" s="16">
        <v>365</v>
      </c>
      <c r="E3271" s="1"/>
      <c r="F3271" s="3"/>
      <c r="G3271" s="3"/>
      <c r="H3271" s="3"/>
      <c r="I3271" s="3"/>
      <c r="J3271" s="3"/>
      <c r="K3271" s="1"/>
      <c r="L3271" s="1"/>
    </row>
    <row r="3272" spans="2:19" x14ac:dyDescent="0.35">
      <c r="B3272" s="1"/>
      <c r="C3272" s="17" t="s">
        <v>845</v>
      </c>
      <c r="D3272" s="18">
        <f>-PMT(D3267/D3269,D3270,D3266,0,0)</f>
        <v>1107478.2321003962</v>
      </c>
      <c r="E3272" s="3"/>
      <c r="F3272" s="3"/>
      <c r="G3272" s="3"/>
      <c r="H3272" s="3"/>
      <c r="I3272" s="3"/>
      <c r="J3272" s="3"/>
      <c r="K3272" s="1"/>
      <c r="L3272" s="1"/>
    </row>
    <row r="3273" spans="2:19" x14ac:dyDescent="0.35">
      <c r="B3273" s="1"/>
      <c r="C3273" s="1"/>
      <c r="D3273" s="3"/>
      <c r="E3273" s="3"/>
      <c r="F3273" s="3"/>
      <c r="G3273" s="3"/>
      <c r="H3273" s="3"/>
      <c r="I3273" s="3"/>
      <c r="J3273" s="3"/>
      <c r="K3273" s="1"/>
      <c r="L3273" s="1"/>
    </row>
    <row r="3274" spans="2:19" x14ac:dyDescent="0.35">
      <c r="B3274" s="1"/>
      <c r="C3274" s="19" t="s">
        <v>846</v>
      </c>
      <c r="D3274" s="20" t="s">
        <v>847</v>
      </c>
      <c r="E3274" s="20" t="s">
        <v>764</v>
      </c>
      <c r="F3274" s="270" t="s">
        <v>848</v>
      </c>
      <c r="G3274" s="270" t="s">
        <v>849</v>
      </c>
      <c r="H3274" s="270" t="s">
        <v>742</v>
      </c>
      <c r="I3274" s="270" t="s">
        <v>740</v>
      </c>
      <c r="J3274" s="270" t="s">
        <v>850</v>
      </c>
      <c r="K3274" s="21" t="s">
        <v>851</v>
      </c>
      <c r="L3274" s="21" t="s">
        <v>852</v>
      </c>
    </row>
    <row r="3275" spans="2:19" x14ac:dyDescent="0.35">
      <c r="B3275" s="1">
        <v>0</v>
      </c>
      <c r="C3275" s="22">
        <v>45005</v>
      </c>
      <c r="D3275" s="22">
        <v>45016</v>
      </c>
      <c r="E3275" s="23">
        <f t="shared" ref="E3275:E3299" si="528">D3275-C3275+1</f>
        <v>12</v>
      </c>
      <c r="F3275" s="3">
        <f>D3266</f>
        <v>24000000</v>
      </c>
      <c r="G3275" s="3"/>
      <c r="H3275" s="3">
        <f>D3267/D3269*E3275*F3275/31</f>
        <v>77419.354838709682</v>
      </c>
      <c r="I3275" s="3">
        <f>-H3275</f>
        <v>-77419.354838709682</v>
      </c>
      <c r="J3275" s="3">
        <f>F3275+F3266-I3275</f>
        <v>24077419.35483871</v>
      </c>
      <c r="K3275" s="24"/>
      <c r="L3275" s="24"/>
    </row>
    <row r="3276" spans="2:19" x14ac:dyDescent="0.35">
      <c r="B3276" s="1">
        <v>1</v>
      </c>
      <c r="C3276" s="22">
        <v>45017</v>
      </c>
      <c r="D3276" s="22">
        <v>45046</v>
      </c>
      <c r="E3276" s="23">
        <f t="shared" si="528"/>
        <v>30</v>
      </c>
      <c r="F3276" s="3">
        <f t="shared" ref="F3276:F3299" si="529">J3275</f>
        <v>24077419.35483871</v>
      </c>
      <c r="G3276" s="3"/>
      <c r="H3276" s="3">
        <f t="shared" ref="H3276:H3298" si="530">($D$3267/$D$3269*F3276)</f>
        <v>200645.16129032258</v>
      </c>
      <c r="I3276" s="3">
        <f>-H3276</f>
        <v>-200645.16129032258</v>
      </c>
      <c r="J3276" s="3">
        <f t="shared" ref="J3276:J3299" si="531">F3276-I3276</f>
        <v>24278064.516129032</v>
      </c>
      <c r="K3276" s="24"/>
      <c r="L3276" s="24"/>
    </row>
    <row r="3277" spans="2:19" x14ac:dyDescent="0.35">
      <c r="B3277" s="1">
        <v>2</v>
      </c>
      <c r="C3277" s="22">
        <v>45047</v>
      </c>
      <c r="D3277" s="22">
        <v>45077</v>
      </c>
      <c r="E3277" s="23">
        <f t="shared" si="528"/>
        <v>31</v>
      </c>
      <c r="F3277" s="3">
        <f t="shared" si="529"/>
        <v>24278064.516129032</v>
      </c>
      <c r="G3277" s="3"/>
      <c r="H3277" s="3">
        <f t="shared" si="530"/>
        <v>202317.20430107525</v>
      </c>
      <c r="I3277" s="3">
        <f>-H3277</f>
        <v>-202317.20430107525</v>
      </c>
      <c r="J3277" s="3">
        <f t="shared" si="531"/>
        <v>24480381.720430106</v>
      </c>
    </row>
    <row r="3278" spans="2:19" x14ac:dyDescent="0.35">
      <c r="B3278" s="1">
        <v>3</v>
      </c>
      <c r="C3278" s="22">
        <v>45078</v>
      </c>
      <c r="D3278" s="22">
        <v>45107</v>
      </c>
      <c r="E3278" s="23">
        <f t="shared" si="528"/>
        <v>30</v>
      </c>
      <c r="F3278" s="3">
        <f t="shared" si="529"/>
        <v>24480381.720430106</v>
      </c>
      <c r="G3278" s="3"/>
      <c r="H3278" s="3">
        <f t="shared" si="530"/>
        <v>204003.18100358421</v>
      </c>
      <c r="I3278" s="3">
        <f>-H3278</f>
        <v>-204003.18100358421</v>
      </c>
      <c r="J3278" s="3">
        <f t="shared" si="531"/>
        <v>24684384.901433691</v>
      </c>
      <c r="K3278" s="24"/>
      <c r="L3278" s="24"/>
    </row>
    <row r="3279" spans="2:19" x14ac:dyDescent="0.35">
      <c r="B3279" s="1">
        <v>4</v>
      </c>
      <c r="C3279" s="22">
        <v>45108</v>
      </c>
      <c r="D3279" s="22">
        <v>45138</v>
      </c>
      <c r="E3279" s="23">
        <f t="shared" si="528"/>
        <v>31</v>
      </c>
      <c r="F3279" s="3">
        <f t="shared" si="529"/>
        <v>24684384.901433691</v>
      </c>
      <c r="G3279" s="3">
        <f t="shared" ref="G3279:G3299" si="532">-PMT($D$3267/$D$3269,21,$F$3279,,0)</f>
        <v>1286175.3220868267</v>
      </c>
      <c r="H3279" s="3">
        <f t="shared" si="530"/>
        <v>205703.20751194743</v>
      </c>
      <c r="I3279" s="3">
        <f t="shared" ref="I3279:I3299" si="533">G3279-H3279</f>
        <v>1080472.1145748792</v>
      </c>
      <c r="J3279" s="3">
        <f t="shared" si="531"/>
        <v>23603912.786858812</v>
      </c>
      <c r="K3279" s="24"/>
      <c r="L3279" s="24">
        <f>L3278+G3279</f>
        <v>1286175.3220868267</v>
      </c>
    </row>
    <row r="3280" spans="2:19" x14ac:dyDescent="0.35">
      <c r="B3280" s="1">
        <v>5</v>
      </c>
      <c r="C3280" s="22">
        <v>45139</v>
      </c>
      <c r="D3280" s="22">
        <v>45169</v>
      </c>
      <c r="E3280" s="23">
        <f t="shared" si="528"/>
        <v>31</v>
      </c>
      <c r="F3280" s="3">
        <f t="shared" si="529"/>
        <v>23603912.786858812</v>
      </c>
      <c r="G3280" s="3">
        <f t="shared" si="532"/>
        <v>1286175.3220868267</v>
      </c>
      <c r="H3280" s="3">
        <f t="shared" si="530"/>
        <v>196699.27322382343</v>
      </c>
      <c r="I3280" s="3">
        <f t="shared" si="533"/>
        <v>1089476.0488630033</v>
      </c>
      <c r="J3280" s="3">
        <f t="shared" si="531"/>
        <v>22514436.737995807</v>
      </c>
      <c r="K3280" s="24"/>
      <c r="L3280" s="24">
        <f>L3279+G3280</f>
        <v>2572350.6441736533</v>
      </c>
    </row>
    <row r="3281" spans="2:12" x14ac:dyDescent="0.35">
      <c r="B3281" s="1">
        <v>6</v>
      </c>
      <c r="C3281" s="22">
        <v>45170</v>
      </c>
      <c r="D3281" s="22">
        <v>45199</v>
      </c>
      <c r="E3281" s="23">
        <f t="shared" si="528"/>
        <v>30</v>
      </c>
      <c r="F3281" s="3">
        <f t="shared" si="529"/>
        <v>22514436.737995807</v>
      </c>
      <c r="G3281" s="3">
        <f t="shared" si="532"/>
        <v>1286175.3220868267</v>
      </c>
      <c r="H3281" s="3">
        <f t="shared" si="530"/>
        <v>187620.30614996506</v>
      </c>
      <c r="I3281" s="3">
        <f t="shared" si="533"/>
        <v>1098555.0159368615</v>
      </c>
      <c r="J3281" s="3">
        <f t="shared" si="531"/>
        <v>21415881.722058944</v>
      </c>
      <c r="K3281" s="24"/>
      <c r="L3281" s="24">
        <f>L3280+G3281</f>
        <v>3858525.9662604798</v>
      </c>
    </row>
    <row r="3282" spans="2:12" x14ac:dyDescent="0.35">
      <c r="B3282" s="1">
        <v>7</v>
      </c>
      <c r="C3282" s="22">
        <v>45200</v>
      </c>
      <c r="D3282" s="22">
        <v>45230</v>
      </c>
      <c r="E3282" s="23">
        <f t="shared" si="528"/>
        <v>31</v>
      </c>
      <c r="F3282" s="3">
        <f t="shared" si="529"/>
        <v>21415881.722058944</v>
      </c>
      <c r="G3282" s="3">
        <f t="shared" si="532"/>
        <v>1286175.3220868267</v>
      </c>
      <c r="H3282" s="3">
        <f t="shared" si="530"/>
        <v>178465.68101715785</v>
      </c>
      <c r="I3282" s="3">
        <f t="shared" si="533"/>
        <v>1107709.6410696688</v>
      </c>
      <c r="J3282" s="3">
        <f t="shared" si="531"/>
        <v>20308172.080989275</v>
      </c>
      <c r="K3282" s="24">
        <v>1300000</v>
      </c>
      <c r="L3282" s="24">
        <f t="shared" ref="L3282:L3294" si="534">L3281+G3282-K3282</f>
        <v>3844701.2883473067</v>
      </c>
    </row>
    <row r="3283" spans="2:12" x14ac:dyDescent="0.35">
      <c r="B3283" s="1">
        <v>8</v>
      </c>
      <c r="C3283" s="22">
        <v>45231</v>
      </c>
      <c r="D3283" s="22">
        <v>45260</v>
      </c>
      <c r="E3283" s="23">
        <f t="shared" si="528"/>
        <v>30</v>
      </c>
      <c r="F3283" s="3">
        <f t="shared" si="529"/>
        <v>20308172.080989275</v>
      </c>
      <c r="G3283" s="3">
        <f t="shared" si="532"/>
        <v>1286175.3220868267</v>
      </c>
      <c r="H3283" s="3">
        <f t="shared" si="530"/>
        <v>169234.7673415773</v>
      </c>
      <c r="I3283" s="3">
        <f t="shared" si="533"/>
        <v>1116940.5547452495</v>
      </c>
      <c r="J3283" s="3">
        <f t="shared" si="531"/>
        <v>19191231.526244026</v>
      </c>
      <c r="K3283" s="24"/>
      <c r="L3283" s="24">
        <f t="shared" si="534"/>
        <v>5130876.6104341336</v>
      </c>
    </row>
    <row r="3284" spans="2:12" x14ac:dyDescent="0.35">
      <c r="B3284" s="1">
        <v>9</v>
      </c>
      <c r="C3284" s="22">
        <v>45261</v>
      </c>
      <c r="D3284" s="22">
        <v>45291</v>
      </c>
      <c r="E3284" s="23">
        <f t="shared" si="528"/>
        <v>31</v>
      </c>
      <c r="F3284" s="3">
        <f t="shared" si="529"/>
        <v>19191231.526244026</v>
      </c>
      <c r="G3284" s="3">
        <f t="shared" si="532"/>
        <v>1286175.3220868267</v>
      </c>
      <c r="H3284" s="3">
        <f t="shared" si="530"/>
        <v>159926.92938536688</v>
      </c>
      <c r="I3284" s="3">
        <f t="shared" si="533"/>
        <v>1126248.3927014598</v>
      </c>
      <c r="J3284" s="3">
        <f t="shared" si="531"/>
        <v>18064983.133542567</v>
      </c>
      <c r="K3284" s="24"/>
      <c r="L3284" s="24">
        <f t="shared" si="534"/>
        <v>6417051.9325209605</v>
      </c>
    </row>
    <row r="3285" spans="2:12" x14ac:dyDescent="0.35">
      <c r="B3285" s="1">
        <v>10</v>
      </c>
      <c r="C3285" s="22">
        <v>45292</v>
      </c>
      <c r="D3285" s="22">
        <v>45322</v>
      </c>
      <c r="E3285" s="23">
        <f t="shared" si="528"/>
        <v>31</v>
      </c>
      <c r="F3285" s="3">
        <f t="shared" si="529"/>
        <v>18064983.133542567</v>
      </c>
      <c r="G3285" s="3">
        <f t="shared" si="532"/>
        <v>1286175.3220868267</v>
      </c>
      <c r="H3285" s="3">
        <f t="shared" si="530"/>
        <v>150541.52611285471</v>
      </c>
      <c r="I3285" s="3">
        <f t="shared" si="533"/>
        <v>1135633.795973972</v>
      </c>
      <c r="J3285" s="3">
        <f t="shared" si="531"/>
        <v>16929349.337568596</v>
      </c>
      <c r="K3285" s="24">
        <f>3000000+2600000</f>
        <v>5600000</v>
      </c>
      <c r="L3285" s="24">
        <f t="shared" si="534"/>
        <v>2103227.2546077874</v>
      </c>
    </row>
    <row r="3286" spans="2:12" x14ac:dyDescent="0.35">
      <c r="B3286" s="1">
        <v>11</v>
      </c>
      <c r="C3286" s="22">
        <v>45323</v>
      </c>
      <c r="D3286" s="22">
        <v>45351</v>
      </c>
      <c r="E3286" s="23">
        <f t="shared" si="528"/>
        <v>29</v>
      </c>
      <c r="F3286" s="3">
        <f t="shared" si="529"/>
        <v>16929349.337568596</v>
      </c>
      <c r="G3286" s="3">
        <f t="shared" si="532"/>
        <v>1286175.3220868267</v>
      </c>
      <c r="H3286" s="3">
        <f t="shared" si="530"/>
        <v>141077.91114640498</v>
      </c>
      <c r="I3286" s="3">
        <f t="shared" si="533"/>
        <v>1145097.4109404217</v>
      </c>
      <c r="J3286" s="3">
        <f t="shared" si="531"/>
        <v>15784251.926628174</v>
      </c>
      <c r="K3286" s="24"/>
      <c r="L3286" s="24">
        <f t="shared" si="534"/>
        <v>3389402.5766946143</v>
      </c>
    </row>
    <row r="3287" spans="2:12" x14ac:dyDescent="0.35">
      <c r="B3287" s="1">
        <v>12</v>
      </c>
      <c r="C3287" s="22">
        <v>45352</v>
      </c>
      <c r="D3287" s="22">
        <v>45382</v>
      </c>
      <c r="E3287" s="23">
        <f t="shared" si="528"/>
        <v>31</v>
      </c>
      <c r="F3287" s="3">
        <f t="shared" si="529"/>
        <v>15784251.926628174</v>
      </c>
      <c r="G3287" s="3">
        <f t="shared" si="532"/>
        <v>1286175.3220868267</v>
      </c>
      <c r="H3287" s="3">
        <f t="shared" si="530"/>
        <v>131535.43272190145</v>
      </c>
      <c r="I3287" s="3">
        <f t="shared" si="533"/>
        <v>1154639.8893649252</v>
      </c>
      <c r="J3287" s="3">
        <f t="shared" si="531"/>
        <v>14629612.037263248</v>
      </c>
      <c r="K3287" s="24"/>
      <c r="L3287" s="24">
        <f t="shared" si="534"/>
        <v>4675577.8987814412</v>
      </c>
    </row>
    <row r="3288" spans="2:12" x14ac:dyDescent="0.35">
      <c r="B3288" s="1">
        <v>13</v>
      </c>
      <c r="C3288" s="22">
        <v>45383</v>
      </c>
      <c r="D3288" s="22">
        <v>45412</v>
      </c>
      <c r="E3288" s="23">
        <f t="shared" si="528"/>
        <v>30</v>
      </c>
      <c r="F3288" s="3">
        <f t="shared" si="529"/>
        <v>14629612.037263248</v>
      </c>
      <c r="G3288" s="3">
        <f t="shared" si="532"/>
        <v>1286175.3220868267</v>
      </c>
      <c r="H3288" s="3">
        <f t="shared" si="530"/>
        <v>121913.43364386039</v>
      </c>
      <c r="I3288" s="3">
        <f t="shared" si="533"/>
        <v>1164261.8884429662</v>
      </c>
      <c r="J3288" s="3">
        <f t="shared" si="531"/>
        <v>13465350.148820281</v>
      </c>
      <c r="K3288" s="24"/>
      <c r="L3288" s="24">
        <f t="shared" si="534"/>
        <v>5961753.2208682681</v>
      </c>
    </row>
    <row r="3289" spans="2:12" x14ac:dyDescent="0.35">
      <c r="B3289" s="1">
        <v>14</v>
      </c>
      <c r="C3289" s="22">
        <v>45413</v>
      </c>
      <c r="D3289" s="22">
        <v>45443</v>
      </c>
      <c r="E3289" s="23">
        <f t="shared" si="528"/>
        <v>31</v>
      </c>
      <c r="F3289" s="3">
        <f t="shared" si="529"/>
        <v>13465350.148820281</v>
      </c>
      <c r="G3289" s="3">
        <f t="shared" si="532"/>
        <v>1286175.3220868267</v>
      </c>
      <c r="H3289" s="3">
        <f t="shared" si="530"/>
        <v>112211.251240169</v>
      </c>
      <c r="I3289" s="3">
        <f t="shared" si="533"/>
        <v>1173964.0708466577</v>
      </c>
      <c r="J3289" s="3">
        <f t="shared" si="531"/>
        <v>12291386.077973623</v>
      </c>
      <c r="K3289" s="24">
        <v>3000000</v>
      </c>
      <c r="L3289" s="24">
        <f t="shared" si="534"/>
        <v>4247928.5429550949</v>
      </c>
    </row>
    <row r="3290" spans="2:12" x14ac:dyDescent="0.35">
      <c r="B3290" s="1">
        <v>15</v>
      </c>
      <c r="C3290" s="22">
        <v>45444</v>
      </c>
      <c r="D3290" s="22">
        <v>45473</v>
      </c>
      <c r="E3290" s="23">
        <f t="shared" si="528"/>
        <v>30</v>
      </c>
      <c r="F3290" s="3">
        <f t="shared" si="529"/>
        <v>12291386.077973623</v>
      </c>
      <c r="G3290" s="3">
        <f t="shared" si="532"/>
        <v>1286175.3220868267</v>
      </c>
      <c r="H3290" s="3">
        <f t="shared" si="530"/>
        <v>102428.21731644685</v>
      </c>
      <c r="I3290" s="3">
        <f t="shared" si="533"/>
        <v>1183747.1047703798</v>
      </c>
      <c r="J3290" s="3">
        <f t="shared" si="531"/>
        <v>11107638.973203244</v>
      </c>
      <c r="K3290" s="24">
        <v>2400000</v>
      </c>
      <c r="L3290" s="24">
        <f t="shared" si="534"/>
        <v>3134103.8650419218</v>
      </c>
    </row>
    <row r="3291" spans="2:12" x14ac:dyDescent="0.35">
      <c r="B3291" s="1">
        <v>16</v>
      </c>
      <c r="C3291" s="22">
        <v>45474</v>
      </c>
      <c r="D3291" s="22">
        <v>45504</v>
      </c>
      <c r="E3291" s="23">
        <f t="shared" si="528"/>
        <v>31</v>
      </c>
      <c r="F3291" s="3">
        <f t="shared" si="529"/>
        <v>11107638.973203244</v>
      </c>
      <c r="G3291" s="3">
        <f t="shared" si="532"/>
        <v>1286175.3220868267</v>
      </c>
      <c r="H3291" s="3">
        <f t="shared" si="530"/>
        <v>92563.658110027027</v>
      </c>
      <c r="I3291" s="3">
        <f t="shared" si="533"/>
        <v>1193611.6639767997</v>
      </c>
      <c r="J3291" s="3">
        <f t="shared" si="531"/>
        <v>9914027.309226444</v>
      </c>
      <c r="K3291" s="24"/>
      <c r="L3291" s="24">
        <f t="shared" si="534"/>
        <v>4420279.1871287487</v>
      </c>
    </row>
    <row r="3292" spans="2:12" x14ac:dyDescent="0.35">
      <c r="B3292" s="1">
        <v>17</v>
      </c>
      <c r="C3292" s="22">
        <v>45505</v>
      </c>
      <c r="D3292" s="22">
        <v>45535</v>
      </c>
      <c r="E3292" s="23">
        <f t="shared" si="528"/>
        <v>31</v>
      </c>
      <c r="F3292" s="3">
        <f t="shared" si="529"/>
        <v>9914027.309226444</v>
      </c>
      <c r="G3292" s="3">
        <f t="shared" si="532"/>
        <v>1286175.3220868267</v>
      </c>
      <c r="H3292" s="3">
        <f t="shared" si="530"/>
        <v>82616.894243553703</v>
      </c>
      <c r="I3292" s="3">
        <f t="shared" si="533"/>
        <v>1203558.4278432729</v>
      </c>
      <c r="J3292" s="3">
        <f t="shared" si="531"/>
        <v>8710468.8813831713</v>
      </c>
      <c r="K3292" s="24">
        <v>5706454.5099999998</v>
      </c>
      <c r="L3292" s="24">
        <f t="shared" si="534"/>
        <v>-7.8442413359880447E-4</v>
      </c>
    </row>
    <row r="3293" spans="2:12" x14ac:dyDescent="0.35">
      <c r="B3293" s="1">
        <v>18</v>
      </c>
      <c r="C3293" s="22">
        <v>45536</v>
      </c>
      <c r="D3293" s="22">
        <v>45565</v>
      </c>
      <c r="E3293" s="23">
        <f t="shared" si="528"/>
        <v>30</v>
      </c>
      <c r="F3293" s="3">
        <f t="shared" si="529"/>
        <v>8710468.8813831713</v>
      </c>
      <c r="G3293" s="3">
        <f t="shared" si="532"/>
        <v>1286175.3220868267</v>
      </c>
      <c r="H3293" s="3">
        <f t="shared" si="530"/>
        <v>72587.240678193091</v>
      </c>
      <c r="I3293" s="3">
        <f t="shared" si="533"/>
        <v>1213588.0814086336</v>
      </c>
      <c r="J3293" s="3">
        <f t="shared" si="531"/>
        <v>7496880.7999745375</v>
      </c>
      <c r="K3293" s="24"/>
      <c r="L3293" s="24">
        <f t="shared" si="534"/>
        <v>1286175.3213024025</v>
      </c>
    </row>
    <row r="3294" spans="2:12" x14ac:dyDescent="0.35">
      <c r="B3294" s="1">
        <v>19</v>
      </c>
      <c r="C3294" s="22">
        <v>45566</v>
      </c>
      <c r="D3294" s="22">
        <v>45596</v>
      </c>
      <c r="E3294" s="23">
        <f t="shared" si="528"/>
        <v>31</v>
      </c>
      <c r="F3294" s="3">
        <f t="shared" si="529"/>
        <v>7496880.7999745375</v>
      </c>
      <c r="G3294" s="3">
        <f t="shared" si="532"/>
        <v>1286175.3220868267</v>
      </c>
      <c r="H3294" s="3">
        <f t="shared" si="530"/>
        <v>62474.006666454479</v>
      </c>
      <c r="I3294" s="3">
        <f t="shared" si="533"/>
        <v>1223701.3154203722</v>
      </c>
      <c r="J3294" s="3">
        <f t="shared" si="531"/>
        <v>6273179.484554165</v>
      </c>
      <c r="K3294" s="24">
        <v>1287000</v>
      </c>
      <c r="L3294" s="205">
        <f t="shared" si="534"/>
        <v>1285350.6433892292</v>
      </c>
    </row>
    <row r="3295" spans="2:12" x14ac:dyDescent="0.35">
      <c r="B3295" s="1">
        <v>20</v>
      </c>
      <c r="C3295" s="22">
        <v>45597</v>
      </c>
      <c r="D3295" s="22">
        <v>45626</v>
      </c>
      <c r="E3295" s="23">
        <f t="shared" si="528"/>
        <v>30</v>
      </c>
      <c r="F3295" s="3">
        <f t="shared" si="529"/>
        <v>6273179.484554165</v>
      </c>
      <c r="G3295" s="3">
        <f t="shared" si="532"/>
        <v>1286175.3220868267</v>
      </c>
      <c r="H3295" s="3">
        <f t="shared" si="530"/>
        <v>52276.495704618043</v>
      </c>
      <c r="I3295" s="3">
        <f t="shared" si="533"/>
        <v>1233898.8263822086</v>
      </c>
      <c r="J3295" s="3">
        <f t="shared" si="531"/>
        <v>5039280.6581719564</v>
      </c>
      <c r="K3295" s="24"/>
      <c r="L3295" s="24"/>
    </row>
    <row r="3296" spans="2:12" x14ac:dyDescent="0.35">
      <c r="B3296" s="1">
        <v>21</v>
      </c>
      <c r="C3296" s="22">
        <v>45627</v>
      </c>
      <c r="D3296" s="22">
        <v>45657</v>
      </c>
      <c r="E3296" s="23">
        <f t="shared" si="528"/>
        <v>31</v>
      </c>
      <c r="F3296" s="3">
        <f t="shared" si="529"/>
        <v>5039280.6581719564</v>
      </c>
      <c r="G3296" s="3">
        <f t="shared" si="532"/>
        <v>1286175.3220868267</v>
      </c>
      <c r="H3296" s="3">
        <f t="shared" si="530"/>
        <v>41994.005484766305</v>
      </c>
      <c r="I3296" s="3">
        <f t="shared" si="533"/>
        <v>1244181.3166020603</v>
      </c>
      <c r="J3296" s="3">
        <f t="shared" si="531"/>
        <v>3795099.3415698959</v>
      </c>
      <c r="K3296" s="24"/>
      <c r="L3296" s="24"/>
    </row>
    <row r="3297" spans="2:19" x14ac:dyDescent="0.35">
      <c r="B3297" s="1">
        <v>22</v>
      </c>
      <c r="C3297" s="22">
        <v>45658</v>
      </c>
      <c r="D3297" s="22">
        <v>45688</v>
      </c>
      <c r="E3297" s="23">
        <f t="shared" si="528"/>
        <v>31</v>
      </c>
      <c r="F3297" s="3">
        <f t="shared" si="529"/>
        <v>3795099.3415698959</v>
      </c>
      <c r="G3297" s="3">
        <f t="shared" si="532"/>
        <v>1286175.3220868267</v>
      </c>
      <c r="H3297" s="3">
        <f t="shared" si="530"/>
        <v>31625.827846415799</v>
      </c>
      <c r="I3297" s="3">
        <f t="shared" si="533"/>
        <v>1254549.4942404109</v>
      </c>
      <c r="J3297" s="3">
        <f t="shared" si="531"/>
        <v>2540549.8473294852</v>
      </c>
      <c r="K3297" s="24"/>
      <c r="L3297" s="24"/>
    </row>
    <row r="3298" spans="2:19" x14ac:dyDescent="0.35">
      <c r="B3298" s="1">
        <v>23</v>
      </c>
      <c r="C3298" s="22">
        <v>45689</v>
      </c>
      <c r="D3298" s="22">
        <v>45716</v>
      </c>
      <c r="E3298" s="23">
        <f t="shared" si="528"/>
        <v>28</v>
      </c>
      <c r="F3298" s="3">
        <f t="shared" si="529"/>
        <v>2540549.8473294852</v>
      </c>
      <c r="G3298" s="3">
        <f t="shared" si="532"/>
        <v>1286175.3220868267</v>
      </c>
      <c r="H3298" s="3">
        <f t="shared" si="530"/>
        <v>21171.248727745711</v>
      </c>
      <c r="I3298" s="3">
        <f t="shared" si="533"/>
        <v>1265004.0733590811</v>
      </c>
      <c r="J3298" s="3">
        <f t="shared" si="531"/>
        <v>1275545.7739704042</v>
      </c>
      <c r="K3298" s="24"/>
      <c r="L3298" s="24"/>
    </row>
    <row r="3299" spans="2:19" x14ac:dyDescent="0.35">
      <c r="B3299" s="1">
        <v>24</v>
      </c>
      <c r="C3299" s="22">
        <v>45717</v>
      </c>
      <c r="D3299" s="22">
        <v>45747</v>
      </c>
      <c r="E3299" s="23">
        <f t="shared" si="528"/>
        <v>31</v>
      </c>
      <c r="F3299" s="3">
        <f t="shared" si="529"/>
        <v>1275545.7739704042</v>
      </c>
      <c r="G3299" s="3">
        <f t="shared" si="532"/>
        <v>1286175.3220868267</v>
      </c>
      <c r="H3299" s="3">
        <f>($D$3076/$D$3078*F3299)</f>
        <v>10629.548116420036</v>
      </c>
      <c r="I3299" s="3">
        <f t="shared" si="533"/>
        <v>1275545.7739704067</v>
      </c>
      <c r="J3299" s="3">
        <f t="shared" si="531"/>
        <v>-2.5611370801925659E-9</v>
      </c>
      <c r="K3299" s="24"/>
      <c r="L3299" s="24"/>
    </row>
    <row r="3300" spans="2:19" x14ac:dyDescent="0.35">
      <c r="B3300" s="1"/>
      <c r="C3300" s="22"/>
      <c r="D3300" s="22"/>
      <c r="E3300" s="23"/>
      <c r="F3300" s="3"/>
      <c r="G3300" s="3"/>
      <c r="H3300" s="3"/>
      <c r="I3300" s="3"/>
      <c r="J3300" s="3"/>
      <c r="K3300" s="24"/>
      <c r="L3300" s="24"/>
    </row>
    <row r="3301" spans="2:19" x14ac:dyDescent="0.35">
      <c r="B3301" s="1"/>
      <c r="C3301" s="22"/>
      <c r="D3301" s="22"/>
      <c r="E3301" s="28">
        <f>SUM(E3275:E3299)</f>
        <v>743</v>
      </c>
      <c r="F3301" s="3"/>
      <c r="G3301" s="3"/>
      <c r="H3301" s="3"/>
      <c r="I3301" s="3"/>
      <c r="J3301" s="3"/>
      <c r="K3301" s="24"/>
      <c r="L3301" s="24"/>
    </row>
    <row r="3304" spans="2:19" x14ac:dyDescent="0.35">
      <c r="B3304" s="1"/>
      <c r="C3304" s="8" t="s">
        <v>933</v>
      </c>
      <c r="D3304" s="3"/>
      <c r="E3304" s="3"/>
      <c r="F3304" s="3"/>
      <c r="G3304" s="3"/>
      <c r="H3304" s="3"/>
      <c r="I3304" s="3"/>
      <c r="J3304" s="3"/>
      <c r="K3304" s="3"/>
      <c r="L3304" s="3"/>
      <c r="R3304" s="438" t="s">
        <v>832</v>
      </c>
      <c r="S3304" s="432" t="str">
        <f>IFERROR(INDEX(Blocks!$I$2:$I$101,MATCH(60,Blocks!$A$2:$A$101,0)),"")</f>
        <v>000104420000062</v>
      </c>
    </row>
    <row r="3305" spans="2:19" x14ac:dyDescent="0.35">
      <c r="B3305" s="1"/>
      <c r="C3305" s="1"/>
      <c r="D3305" s="3"/>
      <c r="E3305" s="3"/>
      <c r="F3305" s="231" t="s">
        <v>829</v>
      </c>
      <c r="G3305" s="231" t="s">
        <v>830</v>
      </c>
      <c r="H3305" s="231" t="s">
        <v>924</v>
      </c>
      <c r="I3305" s="231" t="s">
        <v>840</v>
      </c>
      <c r="J3305" s="231" t="s">
        <v>841</v>
      </c>
      <c r="K3305" s="231" t="s">
        <v>842</v>
      </c>
      <c r="L3305" s="231" t="s">
        <v>855</v>
      </c>
      <c r="M3305" s="231" t="s">
        <v>919</v>
      </c>
      <c r="N3305" s="231" t="s">
        <v>865</v>
      </c>
      <c r="R3305" s="438" t="s">
        <v>834</v>
      </c>
      <c r="S3305" s="432" t="str">
        <f>IFERROR(INDEX(Blocks!$H$2:$H$101,MATCH(60,Blocks!$A$2:$A$101,0)),"")</f>
        <v>Happie Foods Limited</v>
      </c>
    </row>
    <row r="3306" spans="2:19" x14ac:dyDescent="0.35">
      <c r="B3306" s="1"/>
      <c r="C3306" s="9" t="s">
        <v>835</v>
      </c>
      <c r="D3306" s="10">
        <v>257860750</v>
      </c>
      <c r="E3306" s="3"/>
      <c r="F3306" s="294">
        <v>45047</v>
      </c>
      <c r="G3306" s="231">
        <v>45108</v>
      </c>
      <c r="H3306" s="294">
        <v>45139</v>
      </c>
      <c r="I3306" s="231">
        <v>45170</v>
      </c>
      <c r="J3306" s="294">
        <v>45200</v>
      </c>
      <c r="K3306" s="230">
        <v>45261</v>
      </c>
      <c r="L3306" s="230">
        <v>44958</v>
      </c>
      <c r="M3306" s="230">
        <v>45047</v>
      </c>
      <c r="N3306" s="230">
        <v>45078</v>
      </c>
      <c r="R3306" s="438" t="s">
        <v>223</v>
      </c>
      <c r="S3306" s="433">
        <f>IFERROR(INDEX('E-Banker master'!$N$2:$N$186,MATCH(S3304,'E-Banker master'!$A$2:$A$186,0)),"")</f>
        <v>257860750</v>
      </c>
    </row>
    <row r="3307" spans="2:19" x14ac:dyDescent="0.35">
      <c r="B3307" s="1"/>
      <c r="C3307" s="11" t="s">
        <v>837</v>
      </c>
      <c r="D3307" s="12">
        <v>0.253</v>
      </c>
      <c r="E3307" s="13"/>
      <c r="F3307" s="231" t="s">
        <v>836</v>
      </c>
      <c r="G3307" s="231" t="s">
        <v>836</v>
      </c>
      <c r="H3307" s="231" t="s">
        <v>836</v>
      </c>
      <c r="I3307" s="231" t="s">
        <v>836</v>
      </c>
      <c r="J3307" s="231" t="s">
        <v>836</v>
      </c>
      <c r="K3307" s="231" t="s">
        <v>836</v>
      </c>
      <c r="L3307" s="231" t="s">
        <v>836</v>
      </c>
      <c r="M3307" s="231" t="s">
        <v>836</v>
      </c>
      <c r="N3307" s="231" t="s">
        <v>836</v>
      </c>
      <c r="R3307" s="438" t="s">
        <v>52</v>
      </c>
      <c r="S3307" s="433">
        <f>IFERROR(INDEX('E-Banker master'!$P$2:$P$186,MATCH(S3304,'E-Banker master'!$A$2:$A$186,0)),"")</f>
        <v>135721912.31999999</v>
      </c>
    </row>
    <row r="3308" spans="2:19" x14ac:dyDescent="0.35">
      <c r="B3308" s="1"/>
      <c r="C3308" s="11" t="s">
        <v>838</v>
      </c>
      <c r="D3308" s="14">
        <v>4</v>
      </c>
      <c r="E3308" s="1"/>
      <c r="F3308" s="13">
        <f>D3307+2.7%</f>
        <v>0.28000000000000003</v>
      </c>
      <c r="G3308" s="3">
        <f>F3308+1.4%</f>
        <v>0.29400000000000004</v>
      </c>
      <c r="H3308" s="13">
        <f>G3308+1.3%</f>
        <v>0.30700000000000005</v>
      </c>
      <c r="I3308" s="3">
        <f>H3308+0.7%</f>
        <v>0.31400000000000006</v>
      </c>
      <c r="J3308" s="13">
        <f>I3308+0.1%</f>
        <v>0.31500000000000006</v>
      </c>
      <c r="K3308" s="13">
        <f>J3308+0.1%</f>
        <v>0.31600000000000006</v>
      </c>
      <c r="L3308" s="13">
        <f>K3308+1.3%</f>
        <v>0.32900000000000007</v>
      </c>
      <c r="M3308" s="13">
        <f>L3308+0.1%</f>
        <v>0.33000000000000007</v>
      </c>
      <c r="N3308" s="13">
        <f>M3308+0.1%</f>
        <v>0.33100000000000007</v>
      </c>
    </row>
    <row r="3309" spans="2:19" x14ac:dyDescent="0.35">
      <c r="B3309" s="1"/>
      <c r="C3309" s="11" t="s">
        <v>839</v>
      </c>
      <c r="D3309" s="14">
        <v>12</v>
      </c>
      <c r="E3309" s="1"/>
      <c r="F3309" s="231" t="s">
        <v>866</v>
      </c>
      <c r="G3309" s="3"/>
      <c r="H3309" s="3"/>
      <c r="I3309" s="3"/>
      <c r="J3309" s="3"/>
      <c r="K3309" s="1"/>
      <c r="L3309" s="1"/>
    </row>
    <row r="3310" spans="2:19" x14ac:dyDescent="0.35">
      <c r="B3310" s="1"/>
      <c r="C3310" s="11" t="s">
        <v>843</v>
      </c>
      <c r="D3310" s="15">
        <f>D3308*D3309</f>
        <v>48</v>
      </c>
      <c r="E3310" s="1"/>
      <c r="F3310" s="230">
        <v>45108</v>
      </c>
      <c r="G3310" s="3"/>
      <c r="H3310" s="3"/>
      <c r="I3310" s="3"/>
      <c r="J3310" s="3"/>
      <c r="K3310" s="1"/>
      <c r="L3310" s="1"/>
    </row>
    <row r="3311" spans="2:19" x14ac:dyDescent="0.35">
      <c r="B3311" s="1"/>
      <c r="C3311" s="11" t="s">
        <v>844</v>
      </c>
      <c r="D3311" s="16">
        <v>365</v>
      </c>
      <c r="E3311" s="1"/>
      <c r="F3311" s="231" t="s">
        <v>836</v>
      </c>
      <c r="G3311" s="3"/>
      <c r="H3311" s="3"/>
      <c r="I3311" s="3"/>
      <c r="J3311" s="3"/>
      <c r="K3311" s="1"/>
      <c r="L3311" s="1"/>
    </row>
    <row r="3312" spans="2:19" x14ac:dyDescent="0.35">
      <c r="B3312" s="1"/>
      <c r="C3312" s="17" t="s">
        <v>845</v>
      </c>
      <c r="D3312" s="18">
        <f>-PMT(D3307/D3309,D3310,D3306,0,0)</f>
        <v>8593124.5943779014</v>
      </c>
      <c r="E3312" s="3"/>
      <c r="F3312" s="13">
        <f>N3308+0.4%</f>
        <v>0.33500000000000008</v>
      </c>
      <c r="G3312" s="3"/>
      <c r="H3312" s="3"/>
      <c r="I3312" s="3"/>
      <c r="J3312" s="3"/>
      <c r="K3312" s="1"/>
      <c r="L3312" s="1"/>
    </row>
    <row r="3313" spans="2:12" x14ac:dyDescent="0.35">
      <c r="B3313" s="1"/>
      <c r="C3313" s="1"/>
      <c r="D3313" s="3"/>
      <c r="E3313" s="3"/>
      <c r="F3313" s="3"/>
      <c r="G3313" s="3"/>
      <c r="H3313" s="3"/>
      <c r="I3313" s="3"/>
      <c r="J3313" s="3"/>
      <c r="K3313" s="1"/>
      <c r="L3313" s="1"/>
    </row>
    <row r="3314" spans="2:12" x14ac:dyDescent="0.35">
      <c r="B3314" s="1"/>
      <c r="C3314" s="19" t="s">
        <v>846</v>
      </c>
      <c r="D3314" s="20" t="s">
        <v>847</v>
      </c>
      <c r="E3314" s="20" t="s">
        <v>764</v>
      </c>
      <c r="F3314" s="270" t="s">
        <v>848</v>
      </c>
      <c r="G3314" s="270" t="s">
        <v>849</v>
      </c>
      <c r="H3314" s="270" t="s">
        <v>742</v>
      </c>
      <c r="I3314" s="270" t="s">
        <v>740</v>
      </c>
      <c r="J3314" s="270" t="s">
        <v>850</v>
      </c>
      <c r="K3314" s="21" t="s">
        <v>851</v>
      </c>
      <c r="L3314" s="21" t="s">
        <v>852</v>
      </c>
    </row>
    <row r="3315" spans="2:12" x14ac:dyDescent="0.35">
      <c r="B3315" s="1">
        <v>0</v>
      </c>
      <c r="C3315" s="22">
        <v>45009</v>
      </c>
      <c r="D3315" s="22">
        <v>45016</v>
      </c>
      <c r="E3315" s="23">
        <f t="shared" ref="E3315:E3346" si="535">D3315-C3315+1</f>
        <v>8</v>
      </c>
      <c r="F3315" s="3">
        <f>D3306</f>
        <v>257860750</v>
      </c>
      <c r="G3315" s="3"/>
      <c r="H3315" s="3">
        <f>D3307/D3309*E3315*F3315/31</f>
        <v>1402984.2956989247</v>
      </c>
      <c r="I3315" s="3">
        <f t="shared" ref="I3315:I3346" si="536">G3315-H3315</f>
        <v>-1402984.2956989247</v>
      </c>
      <c r="J3315" s="3">
        <f>F3315+F3306-I3315</f>
        <v>259308781.29569891</v>
      </c>
      <c r="K3315" s="24"/>
      <c r="L3315" s="24"/>
    </row>
    <row r="3316" spans="2:12" x14ac:dyDescent="0.35">
      <c r="B3316" s="1">
        <v>1</v>
      </c>
      <c r="C3316" s="22">
        <v>45017</v>
      </c>
      <c r="D3316" s="22">
        <v>45046</v>
      </c>
      <c r="E3316" s="23">
        <f t="shared" si="535"/>
        <v>30</v>
      </c>
      <c r="F3316" s="3">
        <f t="shared" ref="F3316:F3363" si="537">J3315</f>
        <v>259308781.29569891</v>
      </c>
      <c r="G3316" s="3"/>
      <c r="H3316" s="3">
        <f>($D$3307/$D$3309*F3316)</f>
        <v>5467093.4723176518</v>
      </c>
      <c r="I3316" s="3">
        <f t="shared" si="536"/>
        <v>-5467093.4723176518</v>
      </c>
      <c r="J3316" s="3">
        <f>F3316-I3316</f>
        <v>264775874.76801658</v>
      </c>
      <c r="K3316" s="24"/>
      <c r="L3316" s="24"/>
    </row>
    <row r="3317" spans="2:12" x14ac:dyDescent="0.35">
      <c r="B3317" s="1">
        <v>2</v>
      </c>
      <c r="C3317" s="22">
        <v>45047</v>
      </c>
      <c r="D3317" s="22">
        <v>45077</v>
      </c>
      <c r="E3317" s="23">
        <f t="shared" si="535"/>
        <v>31</v>
      </c>
      <c r="F3317" s="3">
        <f t="shared" si="537"/>
        <v>264775874.76801658</v>
      </c>
      <c r="G3317" s="3"/>
      <c r="H3317" s="3">
        <f>($F$3308/$D$3309*F3317)</f>
        <v>6178103.7445870535</v>
      </c>
      <c r="I3317" s="3">
        <f t="shared" si="536"/>
        <v>-6178103.7445870535</v>
      </c>
      <c r="J3317" s="3">
        <f>F3317-I3317-K3317</f>
        <v>154953978.51260364</v>
      </c>
      <c r="K3317" s="24">
        <v>116000000</v>
      </c>
    </row>
    <row r="3318" spans="2:12" x14ac:dyDescent="0.35">
      <c r="B3318" s="1">
        <v>3</v>
      </c>
      <c r="C3318" s="22">
        <v>45078</v>
      </c>
      <c r="D3318" s="22">
        <v>45107</v>
      </c>
      <c r="E3318" s="23">
        <f t="shared" si="535"/>
        <v>30</v>
      </c>
      <c r="F3318" s="3">
        <f t="shared" si="537"/>
        <v>154953978.51260364</v>
      </c>
      <c r="G3318" s="3"/>
      <c r="H3318" s="3">
        <f>($F$3308/$D$3309*F3318)</f>
        <v>3615592.8319607517</v>
      </c>
      <c r="I3318" s="3">
        <f t="shared" si="536"/>
        <v>-3615592.8319607517</v>
      </c>
      <c r="J3318" s="3">
        <f t="shared" ref="J3318:J3363" si="538">F3318-I3318</f>
        <v>158569571.34456438</v>
      </c>
      <c r="K3318" s="24"/>
      <c r="L3318" s="24"/>
    </row>
    <row r="3319" spans="2:12" x14ac:dyDescent="0.35">
      <c r="B3319" s="1">
        <v>4</v>
      </c>
      <c r="C3319" s="22">
        <v>45108</v>
      </c>
      <c r="D3319" s="22">
        <v>45138</v>
      </c>
      <c r="E3319" s="23">
        <f t="shared" si="535"/>
        <v>31</v>
      </c>
      <c r="F3319" s="3">
        <f t="shared" si="537"/>
        <v>158569571.34456438</v>
      </c>
      <c r="G3319" s="3"/>
      <c r="H3319" s="3">
        <f>($G$3308/$D$3309*F3319)</f>
        <v>3884954.4979418279</v>
      </c>
      <c r="I3319" s="3">
        <f t="shared" si="536"/>
        <v>-3884954.4979418279</v>
      </c>
      <c r="J3319" s="3">
        <f t="shared" si="538"/>
        <v>162454525.8425062</v>
      </c>
      <c r="K3319" s="24"/>
      <c r="L3319" s="24"/>
    </row>
    <row r="3320" spans="2:12" x14ac:dyDescent="0.35">
      <c r="B3320" s="1">
        <v>5</v>
      </c>
      <c r="C3320" s="22">
        <v>45139</v>
      </c>
      <c r="D3320" s="22">
        <v>45169</v>
      </c>
      <c r="E3320" s="23">
        <f t="shared" si="535"/>
        <v>31</v>
      </c>
      <c r="F3320" s="3">
        <f t="shared" si="537"/>
        <v>162454525.8425062</v>
      </c>
      <c r="G3320" s="3"/>
      <c r="H3320" s="3">
        <f>($H$3308/$D$3309*F3320)</f>
        <v>4156128.286137451</v>
      </c>
      <c r="I3320" s="3">
        <f t="shared" si="536"/>
        <v>-4156128.286137451</v>
      </c>
      <c r="J3320" s="3">
        <f t="shared" si="538"/>
        <v>166610654.12864366</v>
      </c>
      <c r="K3320" s="24"/>
      <c r="L3320" s="24"/>
    </row>
    <row r="3321" spans="2:12" x14ac:dyDescent="0.35">
      <c r="B3321" s="1">
        <v>6</v>
      </c>
      <c r="C3321" s="22">
        <v>45170</v>
      </c>
      <c r="D3321" s="22">
        <v>45199</v>
      </c>
      <c r="E3321" s="23">
        <f t="shared" si="535"/>
        <v>30</v>
      </c>
      <c r="F3321" s="3">
        <f t="shared" si="537"/>
        <v>166610654.12864366</v>
      </c>
      <c r="G3321" s="3"/>
      <c r="H3321" s="3">
        <f>($I$3308/$D$3309*F3321)</f>
        <v>4359645.4496995099</v>
      </c>
      <c r="I3321" s="3">
        <f t="shared" si="536"/>
        <v>-4359645.4496995099</v>
      </c>
      <c r="J3321" s="3">
        <f t="shared" si="538"/>
        <v>170970299.57834318</v>
      </c>
      <c r="K3321" s="24"/>
      <c r="L3321" s="26"/>
    </row>
    <row r="3322" spans="2:12" x14ac:dyDescent="0.35">
      <c r="B3322" s="1">
        <v>7</v>
      </c>
      <c r="C3322" s="22">
        <v>45200</v>
      </c>
      <c r="D3322" s="22">
        <v>45230</v>
      </c>
      <c r="E3322" s="23">
        <f t="shared" si="535"/>
        <v>31</v>
      </c>
      <c r="F3322" s="3">
        <f t="shared" si="537"/>
        <v>170970299.57834318</v>
      </c>
      <c r="G3322" s="3">
        <f>-PMT($J$3308/$D$3309,42,$F$3322,,0)</f>
        <v>6767103.3275031187</v>
      </c>
      <c r="H3322" s="3">
        <f>($J$3308/$D$3309*F3322)</f>
        <v>4487970.3639315097</v>
      </c>
      <c r="I3322" s="3">
        <f t="shared" si="536"/>
        <v>2279132.963571609</v>
      </c>
      <c r="J3322" s="3">
        <f t="shared" si="538"/>
        <v>168691166.61477157</v>
      </c>
      <c r="K3322" s="24">
        <v>7000000</v>
      </c>
      <c r="L3322" s="24"/>
    </row>
    <row r="3323" spans="2:12" x14ac:dyDescent="0.35">
      <c r="B3323" s="1">
        <v>8</v>
      </c>
      <c r="C3323" s="22">
        <v>45231</v>
      </c>
      <c r="D3323" s="22">
        <v>45260</v>
      </c>
      <c r="E3323" s="23">
        <f t="shared" si="535"/>
        <v>30</v>
      </c>
      <c r="F3323" s="3">
        <f t="shared" si="537"/>
        <v>168691166.61477157</v>
      </c>
      <c r="G3323" s="3">
        <f>-PMT($J$3308/$D$3309,42,$F$3322,,0)</f>
        <v>6767103.3275031187</v>
      </c>
      <c r="H3323" s="3">
        <f>($J$3308/$D$3309*F3323)</f>
        <v>4428143.1236377545</v>
      </c>
      <c r="I3323" s="3">
        <f t="shared" si="536"/>
        <v>2338960.2038653642</v>
      </c>
      <c r="J3323" s="3">
        <f t="shared" si="538"/>
        <v>166352206.4109062</v>
      </c>
      <c r="K3323" s="24">
        <v>7000000</v>
      </c>
      <c r="L3323" s="24"/>
    </row>
    <row r="3324" spans="2:12" x14ac:dyDescent="0.35">
      <c r="B3324" s="1">
        <v>9</v>
      </c>
      <c r="C3324" s="22">
        <v>45261</v>
      </c>
      <c r="D3324" s="22">
        <v>45291</v>
      </c>
      <c r="E3324" s="23">
        <f t="shared" si="535"/>
        <v>31</v>
      </c>
      <c r="F3324" s="3">
        <f t="shared" si="537"/>
        <v>166352206.4109062</v>
      </c>
      <c r="G3324" s="3">
        <f>-PMT($K$3308/$D$3309,40,$F$3324,,0)</f>
        <v>6776507.3089065496</v>
      </c>
      <c r="H3324" s="3">
        <f>($K$3308/$D$3309*F3324)</f>
        <v>4380608.1021538638</v>
      </c>
      <c r="I3324" s="3">
        <f t="shared" si="536"/>
        <v>2395899.2067526858</v>
      </c>
      <c r="J3324" s="3">
        <f t="shared" si="538"/>
        <v>163956307.20415351</v>
      </c>
      <c r="K3324" s="24">
        <v>7000000</v>
      </c>
      <c r="L3324" s="26"/>
    </row>
    <row r="3325" spans="2:12" x14ac:dyDescent="0.35">
      <c r="B3325" s="1">
        <v>10</v>
      </c>
      <c r="C3325" s="22">
        <v>45292</v>
      </c>
      <c r="D3325" s="22">
        <v>45322</v>
      </c>
      <c r="E3325" s="23">
        <f t="shared" si="535"/>
        <v>31</v>
      </c>
      <c r="F3325" s="3">
        <f t="shared" si="537"/>
        <v>163956307.20415351</v>
      </c>
      <c r="G3325" s="3">
        <f>-PMT($K$3308/$D$3309,40,$F$3324,,0)</f>
        <v>6776507.3089065496</v>
      </c>
      <c r="H3325" s="3">
        <f>($K$3308/$D$3309*F3325)</f>
        <v>4317516.089709376</v>
      </c>
      <c r="I3325" s="3">
        <f t="shared" si="536"/>
        <v>2458991.2191971736</v>
      </c>
      <c r="J3325" s="3">
        <f t="shared" si="538"/>
        <v>161497315.98495632</v>
      </c>
      <c r="K3325" s="24">
        <v>7000000</v>
      </c>
      <c r="L3325" s="24"/>
    </row>
    <row r="3326" spans="2:12" x14ac:dyDescent="0.35">
      <c r="B3326" s="1">
        <v>11</v>
      </c>
      <c r="C3326" s="22">
        <v>45323</v>
      </c>
      <c r="D3326" s="22">
        <v>45351</v>
      </c>
      <c r="E3326" s="23">
        <f t="shared" si="535"/>
        <v>29</v>
      </c>
      <c r="F3326" s="3">
        <f t="shared" si="537"/>
        <v>161497315.98495632</v>
      </c>
      <c r="G3326" s="3">
        <f>-PMT($L$3308/$D$3309,38,$F$3326,,0)</f>
        <v>6894508.5877308082</v>
      </c>
      <c r="H3326" s="3">
        <f>($L$3308/$D$3309*F3326)</f>
        <v>4427718.079920887</v>
      </c>
      <c r="I3326" s="3">
        <f t="shared" si="536"/>
        <v>2466790.5078099212</v>
      </c>
      <c r="J3326" s="3">
        <f t="shared" si="538"/>
        <v>159030525.47714642</v>
      </c>
      <c r="K3326" s="24"/>
      <c r="L3326" s="24"/>
    </row>
    <row r="3327" spans="2:12" x14ac:dyDescent="0.35">
      <c r="B3327" s="1">
        <v>12</v>
      </c>
      <c r="C3327" s="22">
        <v>45352</v>
      </c>
      <c r="D3327" s="22">
        <v>45382</v>
      </c>
      <c r="E3327" s="23">
        <f t="shared" si="535"/>
        <v>31</v>
      </c>
      <c r="F3327" s="3">
        <f t="shared" si="537"/>
        <v>159030525.47714642</v>
      </c>
      <c r="G3327" s="3">
        <f>-PMT($L$3308/$D$3309,38,$F$3326,,0)</f>
        <v>6894508.5877308082</v>
      </c>
      <c r="H3327" s="3">
        <f>($L$3308/$D$3309*F3327)</f>
        <v>4360086.9068317655</v>
      </c>
      <c r="I3327" s="3">
        <f t="shared" si="536"/>
        <v>2534421.6808990426</v>
      </c>
      <c r="J3327" s="3">
        <f t="shared" si="538"/>
        <v>156496103.79624736</v>
      </c>
      <c r="K3327" s="24">
        <v>7000000</v>
      </c>
      <c r="L3327" s="24"/>
    </row>
    <row r="3328" spans="2:12" x14ac:dyDescent="0.35">
      <c r="B3328" s="1">
        <v>13</v>
      </c>
      <c r="C3328" s="22">
        <v>45383</v>
      </c>
      <c r="D3328" s="22">
        <v>45412</v>
      </c>
      <c r="E3328" s="23">
        <f t="shared" si="535"/>
        <v>30</v>
      </c>
      <c r="F3328" s="3">
        <f t="shared" si="537"/>
        <v>156496103.79624736</v>
      </c>
      <c r="G3328" s="3">
        <f>-PMT($L$3308/$D$3309,38,$F$3326,,0)</f>
        <v>6894508.5877308082</v>
      </c>
      <c r="H3328" s="3">
        <f>($L$3308/$D$3309*F3328)</f>
        <v>4290601.512413783</v>
      </c>
      <c r="I3328" s="3">
        <f t="shared" si="536"/>
        <v>2603907.0753170252</v>
      </c>
      <c r="J3328" s="3">
        <f t="shared" si="538"/>
        <v>153892196.72093034</v>
      </c>
      <c r="K3328" s="24">
        <v>7000000</v>
      </c>
      <c r="L3328" s="24"/>
    </row>
    <row r="3329" spans="2:12" x14ac:dyDescent="0.35">
      <c r="B3329" s="1">
        <v>14</v>
      </c>
      <c r="C3329" s="22">
        <v>45413</v>
      </c>
      <c r="D3329" s="22">
        <v>45443</v>
      </c>
      <c r="E3329" s="23">
        <f t="shared" si="535"/>
        <v>31</v>
      </c>
      <c r="F3329" s="3">
        <f t="shared" si="537"/>
        <v>153892196.72093034</v>
      </c>
      <c r="G3329" s="3">
        <f>-PMT($M$3308/$D$3309,35,$F$3329,,0)</f>
        <v>6903056.9176668152</v>
      </c>
      <c r="H3329" s="3">
        <f>($M$3308/$D$3309*F3329)</f>
        <v>4232035.4098255858</v>
      </c>
      <c r="I3329" s="3">
        <f t="shared" si="536"/>
        <v>2671021.5078412294</v>
      </c>
      <c r="J3329" s="3">
        <f t="shared" si="538"/>
        <v>151221175.21308911</v>
      </c>
      <c r="K3329" s="24">
        <v>7000000</v>
      </c>
      <c r="L3329" s="24"/>
    </row>
    <row r="3330" spans="2:12" x14ac:dyDescent="0.35">
      <c r="B3330" s="1">
        <v>15</v>
      </c>
      <c r="C3330" s="22">
        <v>45444</v>
      </c>
      <c r="D3330" s="22">
        <v>45473</v>
      </c>
      <c r="E3330" s="23">
        <f t="shared" si="535"/>
        <v>30</v>
      </c>
      <c r="F3330" s="3">
        <f t="shared" si="537"/>
        <v>151221175.21308911</v>
      </c>
      <c r="G3330" s="3">
        <f>-PMT($N$3308/$D$3309,34,$F$3330,,0)</f>
        <v>6911415.5355384406</v>
      </c>
      <c r="H3330" s="3">
        <f>($N$3308/$D$3309*F3330)</f>
        <v>4171184.0829610419</v>
      </c>
      <c r="I3330" s="3">
        <f t="shared" si="536"/>
        <v>2740231.4525773986</v>
      </c>
      <c r="J3330" s="3">
        <f t="shared" si="538"/>
        <v>148480943.7605117</v>
      </c>
      <c r="K3330" s="24">
        <f>7000000+7000000</f>
        <v>14000000</v>
      </c>
      <c r="L3330" s="24"/>
    </row>
    <row r="3331" spans="2:12" x14ac:dyDescent="0.35">
      <c r="B3331" s="1">
        <v>16</v>
      </c>
      <c r="C3331" s="22">
        <v>45474</v>
      </c>
      <c r="D3331" s="22">
        <v>45504</v>
      </c>
      <c r="E3331" s="23">
        <f t="shared" si="535"/>
        <v>31</v>
      </c>
      <c r="F3331" s="3">
        <f t="shared" si="537"/>
        <v>148480943.7605117</v>
      </c>
      <c r="G3331" s="3">
        <f t="shared" ref="G3331:G3363" si="539">-PMT($F$3312/$D$3309,33,$F$3331,,0)</f>
        <v>6944111.0902636852</v>
      </c>
      <c r="H3331" s="3">
        <f t="shared" ref="H3331:H3363" si="540">($F$3312/$D$3309*F3331)</f>
        <v>4145093.0133142858</v>
      </c>
      <c r="I3331" s="3">
        <f t="shared" si="536"/>
        <v>2799018.0769493994</v>
      </c>
      <c r="J3331" s="3">
        <f t="shared" si="538"/>
        <v>145681925.68356231</v>
      </c>
      <c r="K3331" s="24">
        <v>7000000</v>
      </c>
      <c r="L3331" s="24"/>
    </row>
    <row r="3332" spans="2:12" x14ac:dyDescent="0.35">
      <c r="B3332" s="1">
        <v>17</v>
      </c>
      <c r="C3332" s="22">
        <v>45505</v>
      </c>
      <c r="D3332" s="22">
        <v>45535</v>
      </c>
      <c r="E3332" s="23">
        <f t="shared" si="535"/>
        <v>31</v>
      </c>
      <c r="F3332" s="3">
        <f t="shared" si="537"/>
        <v>145681925.68356231</v>
      </c>
      <c r="G3332" s="3">
        <f t="shared" si="539"/>
        <v>6944111.0902636852</v>
      </c>
      <c r="H3332" s="3">
        <f t="shared" si="540"/>
        <v>4066953.7586661153</v>
      </c>
      <c r="I3332" s="3">
        <f t="shared" si="536"/>
        <v>2877157.3315975699</v>
      </c>
      <c r="J3332" s="3">
        <f t="shared" si="538"/>
        <v>142804768.35196474</v>
      </c>
      <c r="K3332" s="24">
        <v>7000000</v>
      </c>
      <c r="L3332" s="24"/>
    </row>
    <row r="3333" spans="2:12" x14ac:dyDescent="0.35">
      <c r="B3333" s="1">
        <v>18</v>
      </c>
      <c r="C3333" s="22">
        <v>45536</v>
      </c>
      <c r="D3333" s="22">
        <v>45565</v>
      </c>
      <c r="E3333" s="23">
        <f t="shared" si="535"/>
        <v>30</v>
      </c>
      <c r="F3333" s="3">
        <f t="shared" si="537"/>
        <v>142804768.35196474</v>
      </c>
      <c r="G3333" s="3">
        <f t="shared" si="539"/>
        <v>6944111.0902636852</v>
      </c>
      <c r="H3333" s="3">
        <f t="shared" si="540"/>
        <v>3986633.1164923501</v>
      </c>
      <c r="I3333" s="3">
        <f t="shared" si="536"/>
        <v>2957477.9737713351</v>
      </c>
      <c r="J3333" s="3">
        <f t="shared" si="538"/>
        <v>139847290.37819341</v>
      </c>
      <c r="K3333" s="24"/>
      <c r="L3333" s="24"/>
    </row>
    <row r="3334" spans="2:12" x14ac:dyDescent="0.35">
      <c r="B3334" s="1">
        <v>19</v>
      </c>
      <c r="C3334" s="22">
        <v>45566</v>
      </c>
      <c r="D3334" s="22">
        <v>45596</v>
      </c>
      <c r="E3334" s="23">
        <f t="shared" si="535"/>
        <v>31</v>
      </c>
      <c r="F3334" s="3">
        <f t="shared" si="537"/>
        <v>139847290.37819341</v>
      </c>
      <c r="G3334" s="3">
        <f t="shared" si="539"/>
        <v>6944111.0902636852</v>
      </c>
      <c r="H3334" s="3">
        <f t="shared" si="540"/>
        <v>3904070.1897245669</v>
      </c>
      <c r="I3334" s="3">
        <f t="shared" si="536"/>
        <v>3040040.9005391183</v>
      </c>
      <c r="J3334" s="3">
        <f t="shared" si="538"/>
        <v>136807249.47765428</v>
      </c>
      <c r="K3334" s="24">
        <f>7000000+7000000</f>
        <v>14000000</v>
      </c>
      <c r="L3334" s="24"/>
    </row>
    <row r="3335" spans="2:12" x14ac:dyDescent="0.35">
      <c r="B3335" s="1">
        <v>20</v>
      </c>
      <c r="C3335" s="22">
        <v>45597</v>
      </c>
      <c r="D3335" s="22">
        <v>45626</v>
      </c>
      <c r="E3335" s="23">
        <f t="shared" si="535"/>
        <v>30</v>
      </c>
      <c r="F3335" s="3">
        <f t="shared" si="537"/>
        <v>136807249.47765428</v>
      </c>
      <c r="G3335" s="3">
        <f t="shared" si="539"/>
        <v>6944111.0902636852</v>
      </c>
      <c r="H3335" s="3">
        <f t="shared" si="540"/>
        <v>3819202.3812511829</v>
      </c>
      <c r="I3335" s="3">
        <f t="shared" si="536"/>
        <v>3124908.7090125023</v>
      </c>
      <c r="J3335" s="3">
        <f t="shared" si="538"/>
        <v>133682340.76864177</v>
      </c>
      <c r="K3335" s="24"/>
      <c r="L3335" s="24"/>
    </row>
    <row r="3336" spans="2:12" x14ac:dyDescent="0.35">
      <c r="B3336" s="1">
        <v>21</v>
      </c>
      <c r="C3336" s="22">
        <v>45627</v>
      </c>
      <c r="D3336" s="22">
        <v>45657</v>
      </c>
      <c r="E3336" s="23">
        <f t="shared" si="535"/>
        <v>31</v>
      </c>
      <c r="F3336" s="3">
        <f t="shared" si="537"/>
        <v>133682340.76864177</v>
      </c>
      <c r="G3336" s="3">
        <f t="shared" si="539"/>
        <v>6944111.0902636852</v>
      </c>
      <c r="H3336" s="3">
        <f t="shared" si="540"/>
        <v>3731965.3464579168</v>
      </c>
      <c r="I3336" s="3">
        <f t="shared" si="536"/>
        <v>3212145.7438057684</v>
      </c>
      <c r="J3336" s="3">
        <f t="shared" si="538"/>
        <v>130470195.024836</v>
      </c>
      <c r="K3336" s="24"/>
      <c r="L3336" s="24"/>
    </row>
    <row r="3337" spans="2:12" x14ac:dyDescent="0.35">
      <c r="B3337" s="1">
        <v>22</v>
      </c>
      <c r="C3337" s="22">
        <v>45658</v>
      </c>
      <c r="D3337" s="22">
        <v>45688</v>
      </c>
      <c r="E3337" s="23">
        <f t="shared" si="535"/>
        <v>31</v>
      </c>
      <c r="F3337" s="3">
        <f t="shared" si="537"/>
        <v>130470195.024836</v>
      </c>
      <c r="G3337" s="3">
        <f t="shared" si="539"/>
        <v>6944111.0902636852</v>
      </c>
      <c r="H3337" s="3">
        <f t="shared" si="540"/>
        <v>3642292.9444433395</v>
      </c>
      <c r="I3337" s="3">
        <f t="shared" si="536"/>
        <v>3301818.1458203457</v>
      </c>
      <c r="J3337" s="3">
        <f t="shared" si="538"/>
        <v>127168376.87901565</v>
      </c>
      <c r="K3337" s="24"/>
      <c r="L3337" s="24"/>
    </row>
    <row r="3338" spans="2:12" x14ac:dyDescent="0.35">
      <c r="B3338" s="1">
        <v>23</v>
      </c>
      <c r="C3338" s="22">
        <v>45689</v>
      </c>
      <c r="D3338" s="22">
        <v>45716</v>
      </c>
      <c r="E3338" s="23">
        <f t="shared" si="535"/>
        <v>28</v>
      </c>
      <c r="F3338" s="3">
        <f t="shared" si="537"/>
        <v>127168376.87901565</v>
      </c>
      <c r="G3338" s="3">
        <f t="shared" si="539"/>
        <v>6944111.0902636852</v>
      </c>
      <c r="H3338" s="3">
        <f t="shared" si="540"/>
        <v>3550117.1878725211</v>
      </c>
      <c r="I3338" s="3">
        <f t="shared" si="536"/>
        <v>3393993.9023911641</v>
      </c>
      <c r="J3338" s="3">
        <f t="shared" si="538"/>
        <v>123774382.97662449</v>
      </c>
      <c r="K3338" s="24"/>
      <c r="L3338" s="24"/>
    </row>
    <row r="3339" spans="2:12" x14ac:dyDescent="0.35">
      <c r="B3339" s="1">
        <v>24</v>
      </c>
      <c r="C3339" s="22">
        <v>45717</v>
      </c>
      <c r="D3339" s="22">
        <v>45747</v>
      </c>
      <c r="E3339" s="23">
        <f t="shared" si="535"/>
        <v>31</v>
      </c>
      <c r="F3339" s="3">
        <f t="shared" si="537"/>
        <v>123774382.97662449</v>
      </c>
      <c r="G3339" s="3">
        <f t="shared" si="539"/>
        <v>6944111.0902636852</v>
      </c>
      <c r="H3339" s="3">
        <f t="shared" si="540"/>
        <v>3455368.1914307675</v>
      </c>
      <c r="I3339" s="3">
        <f t="shared" si="536"/>
        <v>3488742.8988329177</v>
      </c>
      <c r="J3339" s="3">
        <f t="shared" si="538"/>
        <v>120285640.07779157</v>
      </c>
      <c r="K3339" s="24"/>
      <c r="L3339" s="24"/>
    </row>
    <row r="3340" spans="2:12" x14ac:dyDescent="0.35">
      <c r="B3340" s="1">
        <v>25</v>
      </c>
      <c r="C3340" s="22">
        <v>45748</v>
      </c>
      <c r="D3340" s="22">
        <v>45777</v>
      </c>
      <c r="E3340" s="23">
        <f t="shared" si="535"/>
        <v>30</v>
      </c>
      <c r="F3340" s="3">
        <f t="shared" si="537"/>
        <v>120285640.07779157</v>
      </c>
      <c r="G3340" s="3">
        <f t="shared" si="539"/>
        <v>6944111.0902636852</v>
      </c>
      <c r="H3340" s="3">
        <f t="shared" si="540"/>
        <v>3357974.1188383489</v>
      </c>
      <c r="I3340" s="3">
        <f t="shared" si="536"/>
        <v>3586136.9714253363</v>
      </c>
      <c r="J3340" s="3">
        <f t="shared" si="538"/>
        <v>116699503.10636623</v>
      </c>
      <c r="K3340" s="24"/>
      <c r="L3340" s="24"/>
    </row>
    <row r="3341" spans="2:12" x14ac:dyDescent="0.35">
      <c r="B3341" s="1">
        <v>26</v>
      </c>
      <c r="C3341" s="22">
        <v>45778</v>
      </c>
      <c r="D3341" s="22">
        <v>45808</v>
      </c>
      <c r="E3341" s="23">
        <f t="shared" si="535"/>
        <v>31</v>
      </c>
      <c r="F3341" s="3">
        <f t="shared" si="537"/>
        <v>116699503.10636623</v>
      </c>
      <c r="G3341" s="3">
        <f t="shared" si="539"/>
        <v>6944111.0902636852</v>
      </c>
      <c r="H3341" s="3">
        <f t="shared" si="540"/>
        <v>3257861.1283860579</v>
      </c>
      <c r="I3341" s="3">
        <f t="shared" si="536"/>
        <v>3686249.9618776273</v>
      </c>
      <c r="J3341" s="3">
        <f t="shared" si="538"/>
        <v>113013253.1444886</v>
      </c>
      <c r="K3341" s="24"/>
      <c r="L3341" s="24"/>
    </row>
    <row r="3342" spans="2:12" x14ac:dyDescent="0.35">
      <c r="B3342" s="1">
        <v>27</v>
      </c>
      <c r="C3342" s="22">
        <v>45809</v>
      </c>
      <c r="D3342" s="22">
        <v>45838</v>
      </c>
      <c r="E3342" s="23">
        <f t="shared" si="535"/>
        <v>30</v>
      </c>
      <c r="F3342" s="3">
        <f t="shared" si="537"/>
        <v>113013253.1444886</v>
      </c>
      <c r="G3342" s="3">
        <f t="shared" si="539"/>
        <v>6944111.0902636852</v>
      </c>
      <c r="H3342" s="3">
        <f t="shared" si="540"/>
        <v>3154953.3169503077</v>
      </c>
      <c r="I3342" s="3">
        <f t="shared" si="536"/>
        <v>3789157.7733133775</v>
      </c>
      <c r="J3342" s="3">
        <f t="shared" si="538"/>
        <v>109224095.37117523</v>
      </c>
      <c r="K3342" s="24"/>
      <c r="L3342" s="24"/>
    </row>
    <row r="3343" spans="2:12" x14ac:dyDescent="0.35">
      <c r="B3343" s="1">
        <v>28</v>
      </c>
      <c r="C3343" s="22">
        <v>45839</v>
      </c>
      <c r="D3343" s="22">
        <v>45869</v>
      </c>
      <c r="E3343" s="23">
        <f t="shared" si="535"/>
        <v>31</v>
      </c>
      <c r="F3343" s="3">
        <f t="shared" si="537"/>
        <v>109224095.37117523</v>
      </c>
      <c r="G3343" s="3">
        <f t="shared" si="539"/>
        <v>6944111.0902636852</v>
      </c>
      <c r="H3343" s="3">
        <f t="shared" si="540"/>
        <v>3049172.6624453091</v>
      </c>
      <c r="I3343" s="3">
        <f t="shared" si="536"/>
        <v>3894938.4278183761</v>
      </c>
      <c r="J3343" s="3">
        <f t="shared" si="538"/>
        <v>105329156.94335686</v>
      </c>
      <c r="K3343" s="24"/>
      <c r="L3343" s="24"/>
    </row>
    <row r="3344" spans="2:12" x14ac:dyDescent="0.35">
      <c r="B3344" s="1">
        <v>29</v>
      </c>
      <c r="C3344" s="22">
        <v>45870</v>
      </c>
      <c r="D3344" s="22">
        <v>45900</v>
      </c>
      <c r="E3344" s="23">
        <f t="shared" si="535"/>
        <v>31</v>
      </c>
      <c r="F3344" s="3">
        <f t="shared" si="537"/>
        <v>105329156.94335686</v>
      </c>
      <c r="G3344" s="3">
        <f t="shared" si="539"/>
        <v>6944111.0902636852</v>
      </c>
      <c r="H3344" s="3">
        <f t="shared" si="540"/>
        <v>2940438.964668713</v>
      </c>
      <c r="I3344" s="3">
        <f t="shared" si="536"/>
        <v>4003672.1255949722</v>
      </c>
      <c r="J3344" s="3">
        <f t="shared" si="538"/>
        <v>101325484.81776188</v>
      </c>
      <c r="K3344" s="24"/>
      <c r="L3344" s="24"/>
    </row>
    <row r="3345" spans="2:12" x14ac:dyDescent="0.35">
      <c r="B3345" s="1">
        <v>30</v>
      </c>
      <c r="C3345" s="22">
        <v>45901</v>
      </c>
      <c r="D3345" s="22">
        <v>45930</v>
      </c>
      <c r="E3345" s="23">
        <f t="shared" si="535"/>
        <v>30</v>
      </c>
      <c r="F3345" s="3">
        <f t="shared" si="537"/>
        <v>101325484.81776188</v>
      </c>
      <c r="G3345" s="3">
        <f t="shared" si="539"/>
        <v>6944111.0902636852</v>
      </c>
      <c r="H3345" s="3">
        <f t="shared" si="540"/>
        <v>2828669.7844958534</v>
      </c>
      <c r="I3345" s="3">
        <f t="shared" si="536"/>
        <v>4115441.3057678319</v>
      </c>
      <c r="J3345" s="3">
        <f t="shared" si="538"/>
        <v>97210043.511994049</v>
      </c>
      <c r="K3345" s="24"/>
      <c r="L3345" s="24"/>
    </row>
    <row r="3346" spans="2:12" x14ac:dyDescent="0.35">
      <c r="B3346" s="1">
        <v>31</v>
      </c>
      <c r="C3346" s="22">
        <v>45931</v>
      </c>
      <c r="D3346" s="22">
        <v>45961</v>
      </c>
      <c r="E3346" s="23">
        <f t="shared" si="535"/>
        <v>31</v>
      </c>
      <c r="F3346" s="3">
        <f t="shared" si="537"/>
        <v>97210043.511994049</v>
      </c>
      <c r="G3346" s="3">
        <f t="shared" si="539"/>
        <v>6944111.0902636852</v>
      </c>
      <c r="H3346" s="3">
        <f t="shared" si="540"/>
        <v>2713780.3813765012</v>
      </c>
      <c r="I3346" s="3">
        <f t="shared" si="536"/>
        <v>4230330.708887184</v>
      </c>
      <c r="J3346" s="3">
        <f t="shared" si="538"/>
        <v>92979712.803106859</v>
      </c>
      <c r="K3346" s="24"/>
      <c r="L3346" s="24"/>
    </row>
    <row r="3347" spans="2:12" x14ac:dyDescent="0.35">
      <c r="B3347" s="1">
        <v>32</v>
      </c>
      <c r="C3347" s="22">
        <v>45962</v>
      </c>
      <c r="D3347" s="22">
        <v>45991</v>
      </c>
      <c r="E3347" s="23">
        <f t="shared" ref="E3347:E3363" si="541">D3347-C3347+1</f>
        <v>30</v>
      </c>
      <c r="F3347" s="3">
        <f t="shared" si="537"/>
        <v>92979712.803106859</v>
      </c>
      <c r="G3347" s="3">
        <f t="shared" si="539"/>
        <v>6944111.0902636852</v>
      </c>
      <c r="H3347" s="3">
        <f t="shared" si="540"/>
        <v>2595683.6490867338</v>
      </c>
      <c r="I3347" s="3">
        <f t="shared" ref="I3347:I3363" si="542">G3347-H3347</f>
        <v>4348427.4411769509</v>
      </c>
      <c r="J3347" s="3">
        <f t="shared" si="538"/>
        <v>88631285.361929908</v>
      </c>
      <c r="K3347" s="24"/>
      <c r="L3347" s="24"/>
    </row>
    <row r="3348" spans="2:12" x14ac:dyDescent="0.35">
      <c r="B3348" s="1">
        <v>33</v>
      </c>
      <c r="C3348" s="22">
        <v>45992</v>
      </c>
      <c r="D3348" s="22">
        <v>46022</v>
      </c>
      <c r="E3348" s="23">
        <f t="shared" si="541"/>
        <v>31</v>
      </c>
      <c r="F3348" s="3">
        <f t="shared" si="537"/>
        <v>88631285.361929908</v>
      </c>
      <c r="G3348" s="3">
        <f t="shared" si="539"/>
        <v>6944111.0902636852</v>
      </c>
      <c r="H3348" s="3">
        <f t="shared" si="540"/>
        <v>2474290.0496872105</v>
      </c>
      <c r="I3348" s="3">
        <f t="shared" si="542"/>
        <v>4469821.0405764747</v>
      </c>
      <c r="J3348" s="3">
        <f t="shared" si="538"/>
        <v>84161464.321353436</v>
      </c>
      <c r="K3348" s="24"/>
      <c r="L3348" s="24"/>
    </row>
    <row r="3349" spans="2:12" x14ac:dyDescent="0.35">
      <c r="B3349" s="1">
        <v>34</v>
      </c>
      <c r="C3349" s="22">
        <v>46023</v>
      </c>
      <c r="D3349" s="22">
        <v>46053</v>
      </c>
      <c r="E3349" s="23">
        <f t="shared" si="541"/>
        <v>31</v>
      </c>
      <c r="F3349" s="3">
        <f t="shared" si="537"/>
        <v>84161464.321353436</v>
      </c>
      <c r="G3349" s="3">
        <f t="shared" si="539"/>
        <v>6944111.0902636852</v>
      </c>
      <c r="H3349" s="3">
        <f t="shared" si="540"/>
        <v>2349507.5456377841</v>
      </c>
      <c r="I3349" s="3">
        <f t="shared" si="542"/>
        <v>4594603.5446259007</v>
      </c>
      <c r="J3349" s="3">
        <f t="shared" si="538"/>
        <v>79566860.776727527</v>
      </c>
      <c r="K3349" s="24"/>
      <c r="L3349" s="24"/>
    </row>
    <row r="3350" spans="2:12" x14ac:dyDescent="0.35">
      <c r="B3350" s="1">
        <v>35</v>
      </c>
      <c r="C3350" s="22">
        <v>46054</v>
      </c>
      <c r="D3350" s="22">
        <v>46081</v>
      </c>
      <c r="E3350" s="23">
        <f t="shared" si="541"/>
        <v>28</v>
      </c>
      <c r="F3350" s="3">
        <f t="shared" si="537"/>
        <v>79566860.776727527</v>
      </c>
      <c r="G3350" s="3">
        <f t="shared" si="539"/>
        <v>6944111.0902636852</v>
      </c>
      <c r="H3350" s="3">
        <f t="shared" si="540"/>
        <v>2221241.5300169773</v>
      </c>
      <c r="I3350" s="3">
        <f t="shared" si="542"/>
        <v>4722869.5602467079</v>
      </c>
      <c r="J3350" s="3">
        <f t="shared" si="538"/>
        <v>74843991.216480821</v>
      </c>
      <c r="K3350" s="24"/>
      <c r="L3350" s="24"/>
    </row>
    <row r="3351" spans="2:12" x14ac:dyDescent="0.35">
      <c r="B3351" s="1">
        <v>36</v>
      </c>
      <c r="C3351" s="22">
        <v>46082</v>
      </c>
      <c r="D3351" s="22">
        <v>46112</v>
      </c>
      <c r="E3351" s="23">
        <f t="shared" si="541"/>
        <v>31</v>
      </c>
      <c r="F3351" s="3">
        <f t="shared" si="537"/>
        <v>74843991.216480821</v>
      </c>
      <c r="G3351" s="3">
        <f t="shared" si="539"/>
        <v>6944111.0902636852</v>
      </c>
      <c r="H3351" s="3">
        <f t="shared" si="540"/>
        <v>2089394.7547934235</v>
      </c>
      <c r="I3351" s="3">
        <f t="shared" si="542"/>
        <v>4854716.335470262</v>
      </c>
      <c r="J3351" s="3">
        <f t="shared" si="538"/>
        <v>69989274.881010562</v>
      </c>
      <c r="K3351" s="24"/>
      <c r="L3351" s="24"/>
    </row>
    <row r="3352" spans="2:12" x14ac:dyDescent="0.35">
      <c r="B3352" s="1">
        <v>37</v>
      </c>
      <c r="C3352" s="22">
        <v>46113</v>
      </c>
      <c r="D3352" s="22">
        <v>46142</v>
      </c>
      <c r="E3352" s="23">
        <f t="shared" si="541"/>
        <v>30</v>
      </c>
      <c r="F3352" s="3">
        <f t="shared" si="537"/>
        <v>69989274.881010562</v>
      </c>
      <c r="G3352" s="3">
        <f t="shared" si="539"/>
        <v>6944111.0902636852</v>
      </c>
      <c r="H3352" s="3">
        <f t="shared" si="540"/>
        <v>1953867.2570948787</v>
      </c>
      <c r="I3352" s="3">
        <f t="shared" si="542"/>
        <v>4990243.8331688065</v>
      </c>
      <c r="J3352" s="3">
        <f t="shared" si="538"/>
        <v>64999031.047841758</v>
      </c>
      <c r="K3352" s="24"/>
      <c r="L3352" s="24"/>
    </row>
    <row r="3353" spans="2:12" x14ac:dyDescent="0.35">
      <c r="B3353" s="1">
        <v>38</v>
      </c>
      <c r="C3353" s="22">
        <v>46143</v>
      </c>
      <c r="D3353" s="22">
        <v>46173</v>
      </c>
      <c r="E3353" s="23">
        <f t="shared" si="541"/>
        <v>31</v>
      </c>
      <c r="F3353" s="3">
        <f t="shared" si="537"/>
        <v>64999031.047841758</v>
      </c>
      <c r="G3353" s="3">
        <f t="shared" si="539"/>
        <v>6944111.0902636852</v>
      </c>
      <c r="H3353" s="3">
        <f t="shared" si="540"/>
        <v>1814556.2834189162</v>
      </c>
      <c r="I3353" s="3">
        <f t="shared" si="542"/>
        <v>5129554.806844769</v>
      </c>
      <c r="J3353" s="3">
        <f t="shared" si="538"/>
        <v>59869476.240996987</v>
      </c>
      <c r="K3353" s="24"/>
      <c r="L3353" s="24"/>
    </row>
    <row r="3354" spans="2:12" x14ac:dyDescent="0.35">
      <c r="B3354" s="1">
        <v>39</v>
      </c>
      <c r="C3354" s="22">
        <v>46174</v>
      </c>
      <c r="D3354" s="22">
        <v>46203</v>
      </c>
      <c r="E3354" s="23">
        <f t="shared" si="541"/>
        <v>30</v>
      </c>
      <c r="F3354" s="3">
        <f t="shared" si="537"/>
        <v>59869476.240996987</v>
      </c>
      <c r="G3354" s="3">
        <f t="shared" si="539"/>
        <v>6944111.0902636852</v>
      </c>
      <c r="H3354" s="3">
        <f t="shared" si="540"/>
        <v>1671356.2117278329</v>
      </c>
      <c r="I3354" s="3">
        <f t="shared" si="542"/>
        <v>5272754.8785358518</v>
      </c>
      <c r="J3354" s="3">
        <f t="shared" si="538"/>
        <v>54596721.362461135</v>
      </c>
      <c r="K3354" s="24"/>
      <c r="L3354" s="24"/>
    </row>
    <row r="3355" spans="2:12" x14ac:dyDescent="0.35">
      <c r="B3355" s="1">
        <v>40</v>
      </c>
      <c r="C3355" s="22">
        <v>46204</v>
      </c>
      <c r="D3355" s="22">
        <v>46234</v>
      </c>
      <c r="E3355" s="23">
        <f t="shared" si="541"/>
        <v>31</v>
      </c>
      <c r="F3355" s="3">
        <f t="shared" si="537"/>
        <v>54596721.362461135</v>
      </c>
      <c r="G3355" s="3">
        <f t="shared" si="539"/>
        <v>6944111.0902636852</v>
      </c>
      <c r="H3355" s="3">
        <f t="shared" si="540"/>
        <v>1524158.471368707</v>
      </c>
      <c r="I3355" s="3">
        <f t="shared" si="542"/>
        <v>5419952.6188949784</v>
      </c>
      <c r="J3355" s="3">
        <f t="shared" si="538"/>
        <v>49176768.743566155</v>
      </c>
      <c r="K3355" s="24"/>
      <c r="L3355" s="24"/>
    </row>
    <row r="3356" spans="2:12" x14ac:dyDescent="0.35">
      <c r="B3356" s="1">
        <v>41</v>
      </c>
      <c r="C3356" s="22">
        <v>46235</v>
      </c>
      <c r="D3356" s="22">
        <v>46265</v>
      </c>
      <c r="E3356" s="23">
        <f t="shared" si="541"/>
        <v>31</v>
      </c>
      <c r="F3356" s="3">
        <f t="shared" si="537"/>
        <v>49176768.743566155</v>
      </c>
      <c r="G3356" s="3">
        <f t="shared" si="539"/>
        <v>6944111.0902636852</v>
      </c>
      <c r="H3356" s="3">
        <f t="shared" si="540"/>
        <v>1372851.4607578889</v>
      </c>
      <c r="I3356" s="3">
        <f t="shared" si="542"/>
        <v>5571259.6295057964</v>
      </c>
      <c r="J3356" s="3">
        <f t="shared" si="538"/>
        <v>43605509.114060357</v>
      </c>
      <c r="K3356" s="24"/>
      <c r="L3356" s="24"/>
    </row>
    <row r="3357" spans="2:12" x14ac:dyDescent="0.35">
      <c r="B3357" s="1">
        <v>42</v>
      </c>
      <c r="C3357" s="22">
        <v>46266</v>
      </c>
      <c r="D3357" s="22">
        <v>46295</v>
      </c>
      <c r="E3357" s="23">
        <f t="shared" si="541"/>
        <v>30</v>
      </c>
      <c r="F3357" s="3">
        <f t="shared" si="537"/>
        <v>43605509.114060357</v>
      </c>
      <c r="G3357" s="3">
        <f t="shared" si="539"/>
        <v>6944111.0902636852</v>
      </c>
      <c r="H3357" s="3">
        <f t="shared" si="540"/>
        <v>1217320.4627675186</v>
      </c>
      <c r="I3357" s="3">
        <f t="shared" si="542"/>
        <v>5726790.6274961662</v>
      </c>
      <c r="J3357" s="3">
        <f t="shared" si="538"/>
        <v>37878718.486564189</v>
      </c>
      <c r="K3357" s="24"/>
      <c r="L3357" s="24"/>
    </row>
    <row r="3358" spans="2:12" x14ac:dyDescent="0.35">
      <c r="B3358" s="1">
        <v>43</v>
      </c>
      <c r="C3358" s="22">
        <v>46296</v>
      </c>
      <c r="D3358" s="22">
        <v>46326</v>
      </c>
      <c r="E3358" s="23">
        <f t="shared" si="541"/>
        <v>31</v>
      </c>
      <c r="F3358" s="3">
        <f t="shared" si="537"/>
        <v>37878718.486564189</v>
      </c>
      <c r="G3358" s="3">
        <f t="shared" si="539"/>
        <v>6944111.0902636852</v>
      </c>
      <c r="H3358" s="3">
        <f t="shared" si="540"/>
        <v>1057447.5577499173</v>
      </c>
      <c r="I3358" s="3">
        <f t="shared" si="542"/>
        <v>5886663.5325137675</v>
      </c>
      <c r="J3358" s="3">
        <f t="shared" si="538"/>
        <v>31992054.954050422</v>
      </c>
      <c r="K3358" s="24"/>
      <c r="L3358" s="24"/>
    </row>
    <row r="3359" spans="2:12" x14ac:dyDescent="0.35">
      <c r="B3359" s="1">
        <v>44</v>
      </c>
      <c r="C3359" s="22">
        <v>46327</v>
      </c>
      <c r="D3359" s="22">
        <v>46356</v>
      </c>
      <c r="E3359" s="23">
        <f t="shared" si="541"/>
        <v>30</v>
      </c>
      <c r="F3359" s="3">
        <f t="shared" si="537"/>
        <v>31992054.954050422</v>
      </c>
      <c r="G3359" s="3">
        <f t="shared" si="539"/>
        <v>6944111.0902636852</v>
      </c>
      <c r="H3359" s="3">
        <f t="shared" si="540"/>
        <v>893111.53413390776</v>
      </c>
      <c r="I3359" s="3">
        <f t="shared" si="542"/>
        <v>6050999.5561297778</v>
      </c>
      <c r="J3359" s="3">
        <f t="shared" si="538"/>
        <v>25941055.397920646</v>
      </c>
      <c r="K3359" s="24"/>
      <c r="L3359" s="24"/>
    </row>
    <row r="3360" spans="2:12" x14ac:dyDescent="0.35">
      <c r="B3360" s="1">
        <v>45</v>
      </c>
      <c r="C3360" s="22">
        <v>46357</v>
      </c>
      <c r="D3360" s="22">
        <v>46387</v>
      </c>
      <c r="E3360" s="23">
        <f t="shared" si="541"/>
        <v>31</v>
      </c>
      <c r="F3360" s="3">
        <f t="shared" si="537"/>
        <v>25941055.397920646</v>
      </c>
      <c r="G3360" s="3">
        <f t="shared" si="539"/>
        <v>6944111.0902636852</v>
      </c>
      <c r="H3360" s="3">
        <f t="shared" si="540"/>
        <v>724187.79652528488</v>
      </c>
      <c r="I3360" s="3">
        <f t="shared" si="542"/>
        <v>6219923.2937384006</v>
      </c>
      <c r="J3360" s="3">
        <f t="shared" si="538"/>
        <v>19721132.104182243</v>
      </c>
      <c r="K3360" s="24"/>
      <c r="L3360" s="24"/>
    </row>
    <row r="3361" spans="2:19" x14ac:dyDescent="0.35">
      <c r="B3361" s="1">
        <v>46</v>
      </c>
      <c r="C3361" s="22">
        <v>46388</v>
      </c>
      <c r="D3361" s="22">
        <v>46418</v>
      </c>
      <c r="E3361" s="23">
        <f t="shared" si="541"/>
        <v>31</v>
      </c>
      <c r="F3361" s="3">
        <f t="shared" si="537"/>
        <v>19721132.104182243</v>
      </c>
      <c r="G3361" s="3">
        <f t="shared" si="539"/>
        <v>6944111.0902636852</v>
      </c>
      <c r="H3361" s="3">
        <f t="shared" si="540"/>
        <v>550548.27124175441</v>
      </c>
      <c r="I3361" s="3">
        <f t="shared" si="542"/>
        <v>6393562.8190219309</v>
      </c>
      <c r="J3361" s="3">
        <f t="shared" si="538"/>
        <v>13327569.285160312</v>
      </c>
      <c r="K3361" s="24"/>
      <c r="L3361" s="24"/>
    </row>
    <row r="3362" spans="2:19" x14ac:dyDescent="0.35">
      <c r="B3362" s="1">
        <v>47</v>
      </c>
      <c r="C3362" s="22">
        <v>46357</v>
      </c>
      <c r="D3362" s="22">
        <v>46387</v>
      </c>
      <c r="E3362" s="23">
        <f t="shared" si="541"/>
        <v>31</v>
      </c>
      <c r="F3362" s="3">
        <f t="shared" si="537"/>
        <v>13327569.285160312</v>
      </c>
      <c r="G3362" s="3">
        <f t="shared" si="539"/>
        <v>6944111.0902636852</v>
      </c>
      <c r="H3362" s="3">
        <f t="shared" si="540"/>
        <v>372061.30921072548</v>
      </c>
      <c r="I3362" s="3">
        <f t="shared" si="542"/>
        <v>6572049.7810529601</v>
      </c>
      <c r="J3362" s="3">
        <f t="shared" si="538"/>
        <v>6755519.5041073523</v>
      </c>
      <c r="K3362" s="24"/>
      <c r="L3362" s="24"/>
    </row>
    <row r="3363" spans="2:19" x14ac:dyDescent="0.35">
      <c r="B3363" s="1">
        <v>48</v>
      </c>
      <c r="C3363" s="22">
        <v>46388</v>
      </c>
      <c r="D3363" s="22">
        <v>46418</v>
      </c>
      <c r="E3363" s="23">
        <f t="shared" si="541"/>
        <v>31</v>
      </c>
      <c r="F3363" s="3">
        <f t="shared" si="537"/>
        <v>6755519.5041073523</v>
      </c>
      <c r="G3363" s="3">
        <f t="shared" si="539"/>
        <v>6944111.0902636852</v>
      </c>
      <c r="H3363" s="3">
        <f t="shared" si="540"/>
        <v>188591.5861563303</v>
      </c>
      <c r="I3363" s="3">
        <f t="shared" si="542"/>
        <v>6755519.5041073551</v>
      </c>
      <c r="J3363" s="3">
        <f t="shared" si="538"/>
        <v>0</v>
      </c>
      <c r="K3363" s="24"/>
      <c r="L3363" s="24"/>
    </row>
    <row r="3364" spans="2:19" x14ac:dyDescent="0.35">
      <c r="B3364" s="1"/>
      <c r="C3364" s="22"/>
      <c r="D3364" s="22"/>
      <c r="E3364" s="23"/>
      <c r="F3364" s="3"/>
      <c r="G3364" s="3"/>
      <c r="H3364" s="3"/>
      <c r="I3364" s="3"/>
      <c r="J3364" s="3"/>
      <c r="K3364" s="24"/>
      <c r="L3364" s="24"/>
    </row>
    <row r="3365" spans="2:19" x14ac:dyDescent="0.35">
      <c r="B3365" s="1"/>
      <c r="C3365" s="22"/>
      <c r="D3365" s="22"/>
      <c r="E3365" s="28">
        <f>SUM(E3315:E3339)</f>
        <v>739</v>
      </c>
      <c r="F3365" s="3"/>
      <c r="G3365" s="3"/>
      <c r="H3365" s="3"/>
      <c r="I3365" s="3"/>
      <c r="J3365" s="3"/>
      <c r="K3365" s="24"/>
      <c r="L3365" s="24"/>
    </row>
    <row r="3370" spans="2:19" x14ac:dyDescent="0.35">
      <c r="B3370" s="1"/>
      <c r="C3370" s="8" t="s">
        <v>617</v>
      </c>
      <c r="D3370" s="3"/>
      <c r="E3370" s="3"/>
      <c r="F3370" s="3"/>
      <c r="G3370" s="3"/>
      <c r="H3370" s="3"/>
      <c r="I3370" s="3"/>
      <c r="J3370" s="3"/>
      <c r="K3370" s="3"/>
      <c r="L3370" s="3"/>
      <c r="R3370" s="438" t="s">
        <v>832</v>
      </c>
      <c r="S3370" s="432" t="str">
        <f>IFERROR(INDEX(Blocks!$I$2:$I$101,MATCH(61,Blocks!$A$2:$A$101,0)),"")</f>
        <v>000104450000063</v>
      </c>
    </row>
    <row r="3371" spans="2:19" x14ac:dyDescent="0.35">
      <c r="B3371" s="1"/>
      <c r="C3371" s="1"/>
      <c r="D3371" s="3"/>
      <c r="E3371" s="3"/>
      <c r="F3371" s="3"/>
      <c r="G3371" s="3"/>
      <c r="H3371" s="3"/>
      <c r="I3371" s="3"/>
      <c r="J3371" s="3"/>
      <c r="K3371" s="3"/>
      <c r="L3371" s="3"/>
      <c r="R3371" s="438" t="s">
        <v>834</v>
      </c>
      <c r="S3371" s="432" t="str">
        <f>IFERROR(INDEX(Blocks!$H$2:$H$101,MATCH(61,Blocks!$A$2:$A$101,0)),"")</f>
        <v>Msusa Investments Ltd</v>
      </c>
    </row>
    <row r="3372" spans="2:19" x14ac:dyDescent="0.35">
      <c r="B3372" s="1"/>
      <c r="C3372" s="9" t="s">
        <v>835</v>
      </c>
      <c r="D3372" s="10">
        <v>250000000</v>
      </c>
      <c r="E3372" s="3"/>
      <c r="F3372" s="3"/>
      <c r="G3372" s="3"/>
      <c r="H3372" s="3"/>
      <c r="I3372" s="3"/>
      <c r="J3372" s="3"/>
      <c r="K3372" s="3"/>
      <c r="L3372" s="3"/>
      <c r="R3372" s="438" t="s">
        <v>223</v>
      </c>
      <c r="S3372" s="433">
        <f>IFERROR(INDEX('E-Banker master'!$N$2:$N$186,MATCH(S3370,'E-Banker master'!$A$2:$A$186,0)),"")</f>
        <v>250000000</v>
      </c>
    </row>
    <row r="3373" spans="2:19" x14ac:dyDescent="0.35">
      <c r="B3373" s="1"/>
      <c r="C3373" s="11" t="s">
        <v>837</v>
      </c>
      <c r="D3373" s="12">
        <v>0.1</v>
      </c>
      <c r="E3373" s="13"/>
      <c r="F3373" s="3"/>
      <c r="G3373" s="3"/>
      <c r="H3373" s="3"/>
      <c r="I3373" s="3"/>
      <c r="J3373" s="3"/>
      <c r="K3373" s="3"/>
      <c r="L3373" s="3"/>
      <c r="R3373" s="438" t="s">
        <v>52</v>
      </c>
      <c r="S3373" s="433">
        <f>IFERROR(INDEX('E-Banker master'!$P$2:$P$186,MATCH(S3370,'E-Banker master'!$A$2:$A$186,0)),"")</f>
        <v>195249240.19999999</v>
      </c>
    </row>
    <row r="3374" spans="2:19" x14ac:dyDescent="0.35">
      <c r="B3374" s="1"/>
      <c r="C3374" s="11" t="s">
        <v>838</v>
      </c>
      <c r="D3374" s="14">
        <v>4</v>
      </c>
      <c r="E3374" s="1"/>
      <c r="F3374" s="3"/>
      <c r="G3374" s="3"/>
      <c r="H3374" s="3"/>
      <c r="I3374" s="3"/>
      <c r="J3374" s="3"/>
      <c r="K3374" s="1"/>
      <c r="L3374" s="1"/>
    </row>
    <row r="3375" spans="2:19" x14ac:dyDescent="0.35">
      <c r="B3375" s="1"/>
      <c r="C3375" s="11" t="s">
        <v>839</v>
      </c>
      <c r="D3375" s="14">
        <v>12</v>
      </c>
      <c r="E3375" s="1"/>
      <c r="F3375" s="3"/>
      <c r="G3375" s="3"/>
      <c r="H3375" s="3"/>
      <c r="I3375" s="3"/>
      <c r="J3375" s="3"/>
      <c r="K3375" s="1"/>
      <c r="L3375" s="1"/>
    </row>
    <row r="3376" spans="2:19" x14ac:dyDescent="0.35">
      <c r="B3376" s="1"/>
      <c r="C3376" s="11" t="s">
        <v>843</v>
      </c>
      <c r="D3376" s="15">
        <f>D3374*D3375</f>
        <v>48</v>
      </c>
      <c r="E3376" s="1"/>
      <c r="F3376" s="3"/>
      <c r="G3376" s="3"/>
      <c r="H3376" s="3"/>
      <c r="I3376" s="3"/>
      <c r="J3376" s="3"/>
      <c r="K3376" s="1"/>
      <c r="L3376" s="1"/>
    </row>
    <row r="3377" spans="2:12" x14ac:dyDescent="0.35">
      <c r="B3377" s="1"/>
      <c r="C3377" s="11" t="s">
        <v>844</v>
      </c>
      <c r="D3377" s="16">
        <v>365</v>
      </c>
      <c r="E3377" s="1"/>
      <c r="F3377" s="3"/>
      <c r="G3377" s="3"/>
      <c r="H3377" s="3"/>
      <c r="I3377" s="3"/>
      <c r="J3377" s="3"/>
      <c r="K3377" s="1"/>
      <c r="L3377" s="1"/>
    </row>
    <row r="3378" spans="2:12" x14ac:dyDescent="0.35">
      <c r="B3378" s="1"/>
      <c r="C3378" s="17" t="s">
        <v>845</v>
      </c>
      <c r="D3378" s="18">
        <f>-PMT(D3373/D3375,D3376,D3372,0,0)</f>
        <v>6340645.8586867964</v>
      </c>
      <c r="E3378" s="3"/>
      <c r="F3378" s="3"/>
      <c r="G3378" s="3"/>
      <c r="H3378" s="3"/>
      <c r="I3378" s="3"/>
      <c r="J3378" s="3"/>
      <c r="K3378" s="1"/>
      <c r="L3378" s="1"/>
    </row>
    <row r="3379" spans="2:12" x14ac:dyDescent="0.35">
      <c r="B3379" s="1"/>
      <c r="C3379" s="1"/>
      <c r="D3379" s="3"/>
      <c r="E3379" s="3"/>
      <c r="F3379" s="3"/>
      <c r="G3379" s="3"/>
      <c r="H3379" s="3"/>
      <c r="I3379" s="3"/>
      <c r="J3379" s="3"/>
      <c r="K3379" s="1"/>
      <c r="L3379" s="1"/>
    </row>
    <row r="3380" spans="2:12" x14ac:dyDescent="0.35">
      <c r="B3380" s="1"/>
      <c r="C3380" s="19" t="s">
        <v>846</v>
      </c>
      <c r="D3380" s="20" t="s">
        <v>847</v>
      </c>
      <c r="E3380" s="20" t="s">
        <v>764</v>
      </c>
      <c r="F3380" s="270" t="s">
        <v>848</v>
      </c>
      <c r="G3380" s="270" t="s">
        <v>849</v>
      </c>
      <c r="H3380" s="270" t="s">
        <v>742</v>
      </c>
      <c r="I3380" s="270" t="s">
        <v>740</v>
      </c>
      <c r="J3380" s="270" t="s">
        <v>850</v>
      </c>
      <c r="K3380" s="21" t="s">
        <v>851</v>
      </c>
      <c r="L3380" s="21" t="s">
        <v>852</v>
      </c>
    </row>
    <row r="3381" spans="2:12" x14ac:dyDescent="0.35">
      <c r="B3381" s="1">
        <v>0</v>
      </c>
      <c r="C3381" s="22">
        <v>45034</v>
      </c>
      <c r="D3381" s="22">
        <v>45046</v>
      </c>
      <c r="E3381" s="23">
        <f t="shared" ref="E3381:E3412" si="543">D3381-C3381+1</f>
        <v>13</v>
      </c>
      <c r="F3381" s="3">
        <f>D3372</f>
        <v>250000000</v>
      </c>
      <c r="G3381" s="3">
        <f>H3381</f>
        <v>902777.77777777787</v>
      </c>
      <c r="H3381" s="3">
        <f>D3373/D3375*E3381*F3381/30</f>
        <v>902777.77777777787</v>
      </c>
      <c r="I3381" s="3">
        <f t="shared" ref="I3381:I3412" si="544">G3381-H3381</f>
        <v>0</v>
      </c>
      <c r="J3381" s="3">
        <f>F3381+F3372-I3381</f>
        <v>250000000</v>
      </c>
      <c r="K3381" s="24"/>
      <c r="L3381" s="24">
        <f>G3381-K3381</f>
        <v>902777.77777777787</v>
      </c>
    </row>
    <row r="3382" spans="2:12" x14ac:dyDescent="0.35">
      <c r="B3382" s="1">
        <v>1</v>
      </c>
      <c r="C3382" s="22">
        <v>45047</v>
      </c>
      <c r="D3382" s="22">
        <v>45077</v>
      </c>
      <c r="E3382" s="23">
        <f t="shared" si="543"/>
        <v>31</v>
      </c>
      <c r="F3382" s="3">
        <f t="shared" ref="F3382:F3429" si="545">J3381</f>
        <v>250000000</v>
      </c>
      <c r="G3382" s="3">
        <v>2083333.33</v>
      </c>
      <c r="H3382" s="3">
        <f t="shared" ref="H3382:H3429" si="546">($D$3373/$D$3375*F3382)</f>
        <v>2083333.3333333333</v>
      </c>
      <c r="I3382" s="3">
        <f t="shared" si="544"/>
        <v>-3.3333331812173128E-3</v>
      </c>
      <c r="J3382" s="3">
        <f t="shared" ref="J3382:J3429" si="547">F3382-I3382</f>
        <v>250000000.00333333</v>
      </c>
      <c r="K3382" s="24"/>
      <c r="L3382" s="24">
        <f t="shared" ref="L3382:L3399" si="548">L3381+G3382-K3382</f>
        <v>2986111.1077777781</v>
      </c>
    </row>
    <row r="3383" spans="2:12" x14ac:dyDescent="0.35">
      <c r="B3383" s="1">
        <v>2</v>
      </c>
      <c r="C3383" s="22">
        <v>45078</v>
      </c>
      <c r="D3383" s="22">
        <v>45107</v>
      </c>
      <c r="E3383" s="23">
        <f t="shared" si="543"/>
        <v>30</v>
      </c>
      <c r="F3383" s="3">
        <f t="shared" si="545"/>
        <v>250000000.00333333</v>
      </c>
      <c r="G3383" s="3">
        <v>2083333.33</v>
      </c>
      <c r="H3383" s="3">
        <f t="shared" si="546"/>
        <v>2083333.3333611111</v>
      </c>
      <c r="I3383" s="3">
        <f t="shared" si="544"/>
        <v>-3.3611110411584377E-3</v>
      </c>
      <c r="J3383" s="3">
        <f t="shared" si="547"/>
        <v>250000000.00669444</v>
      </c>
      <c r="L3383" s="24">
        <f t="shared" si="548"/>
        <v>5069444.4377777781</v>
      </c>
    </row>
    <row r="3384" spans="2:12" x14ac:dyDescent="0.35">
      <c r="B3384" s="1">
        <v>3</v>
      </c>
      <c r="C3384" s="22">
        <v>45108</v>
      </c>
      <c r="D3384" s="22">
        <v>45138</v>
      </c>
      <c r="E3384" s="23">
        <f t="shared" si="543"/>
        <v>31</v>
      </c>
      <c r="F3384" s="3">
        <f t="shared" si="545"/>
        <v>250000000.00669444</v>
      </c>
      <c r="G3384" s="3">
        <v>2083333.33</v>
      </c>
      <c r="H3384" s="3">
        <f t="shared" si="546"/>
        <v>2083333.3333891202</v>
      </c>
      <c r="I3384" s="3">
        <f t="shared" si="544"/>
        <v>-3.3891201019287109E-3</v>
      </c>
      <c r="J3384" s="3">
        <f t="shared" si="547"/>
        <v>250000000.01008356</v>
      </c>
      <c r="K3384" s="24"/>
      <c r="L3384" s="24">
        <f t="shared" si="548"/>
        <v>7152777.7677777782</v>
      </c>
    </row>
    <row r="3385" spans="2:12" x14ac:dyDescent="0.35">
      <c r="B3385" s="1">
        <v>4</v>
      </c>
      <c r="C3385" s="22">
        <v>45139</v>
      </c>
      <c r="D3385" s="22">
        <v>45169</v>
      </c>
      <c r="E3385" s="23">
        <f t="shared" si="543"/>
        <v>31</v>
      </c>
      <c r="F3385" s="3">
        <f t="shared" si="545"/>
        <v>250000000.01008356</v>
      </c>
      <c r="G3385" s="3">
        <v>2083333.33</v>
      </c>
      <c r="H3385" s="3">
        <f t="shared" si="546"/>
        <v>2083333.333417363</v>
      </c>
      <c r="I3385" s="3">
        <f t="shared" si="544"/>
        <v>-3.4173629246652126E-3</v>
      </c>
      <c r="J3385" s="3">
        <f t="shared" si="547"/>
        <v>250000000.01350093</v>
      </c>
      <c r="K3385" s="24"/>
      <c r="L3385" s="24">
        <f t="shared" si="548"/>
        <v>9236111.0977777783</v>
      </c>
    </row>
    <row r="3386" spans="2:12" x14ac:dyDescent="0.35">
      <c r="B3386" s="1">
        <v>5</v>
      </c>
      <c r="C3386" s="22">
        <v>45170</v>
      </c>
      <c r="D3386" s="22">
        <v>45199</v>
      </c>
      <c r="E3386" s="23">
        <f t="shared" si="543"/>
        <v>30</v>
      </c>
      <c r="F3386" s="3">
        <f t="shared" si="545"/>
        <v>250000000.01350093</v>
      </c>
      <c r="G3386" s="3">
        <v>2083333.33</v>
      </c>
      <c r="H3386" s="3">
        <f t="shared" si="546"/>
        <v>2083333.333445841</v>
      </c>
      <c r="I3386" s="3">
        <f t="shared" si="544"/>
        <v>-3.4458409063518047E-3</v>
      </c>
      <c r="J3386" s="3">
        <f t="shared" si="547"/>
        <v>250000000.01694676</v>
      </c>
      <c r="K3386" s="24"/>
      <c r="L3386" s="24">
        <f t="shared" si="548"/>
        <v>11319444.427777778</v>
      </c>
    </row>
    <row r="3387" spans="2:12" x14ac:dyDescent="0.35">
      <c r="B3387" s="1">
        <v>6</v>
      </c>
      <c r="C3387" s="22">
        <v>45200</v>
      </c>
      <c r="D3387" s="22">
        <v>45230</v>
      </c>
      <c r="E3387" s="23">
        <f t="shared" si="543"/>
        <v>31</v>
      </c>
      <c r="F3387" s="3">
        <f t="shared" si="545"/>
        <v>250000000.01694676</v>
      </c>
      <c r="G3387" s="3">
        <v>2083333.33</v>
      </c>
      <c r="H3387" s="3">
        <f t="shared" si="546"/>
        <v>2083333.3334745562</v>
      </c>
      <c r="I3387" s="3">
        <f t="shared" si="544"/>
        <v>-3.4745561424642801E-3</v>
      </c>
      <c r="J3387" s="3">
        <f t="shared" si="547"/>
        <v>250000000.02042133</v>
      </c>
      <c r="K3387" s="24">
        <v>13042777.76</v>
      </c>
      <c r="L3387" s="24">
        <f t="shared" si="548"/>
        <v>359999.99777777866</v>
      </c>
    </row>
    <row r="3388" spans="2:12" x14ac:dyDescent="0.35">
      <c r="B3388" s="1">
        <v>7</v>
      </c>
      <c r="C3388" s="22">
        <v>45231</v>
      </c>
      <c r="D3388" s="22">
        <v>45260</v>
      </c>
      <c r="E3388" s="23">
        <f t="shared" si="543"/>
        <v>30</v>
      </c>
      <c r="F3388" s="3">
        <f t="shared" si="545"/>
        <v>250000000.02042133</v>
      </c>
      <c r="G3388" s="3">
        <f t="shared" ref="G3388:G3429" si="549">-PMT($D$3373/$D$3375,42,$F$3388,,0)</f>
        <v>7079204.8364381921</v>
      </c>
      <c r="H3388" s="3">
        <f t="shared" si="546"/>
        <v>2083333.333503511</v>
      </c>
      <c r="I3388" s="3">
        <f t="shared" si="544"/>
        <v>4995871.5029346813</v>
      </c>
      <c r="J3388" s="3">
        <f t="shared" si="547"/>
        <v>245004128.51748663</v>
      </c>
      <c r="K3388" s="24">
        <v>7080000</v>
      </c>
      <c r="L3388" s="24">
        <f t="shared" si="548"/>
        <v>359204.83421597071</v>
      </c>
    </row>
    <row r="3389" spans="2:12" x14ac:dyDescent="0.35">
      <c r="B3389" s="1">
        <v>8</v>
      </c>
      <c r="C3389" s="22">
        <v>45261</v>
      </c>
      <c r="D3389" s="22">
        <v>45291</v>
      </c>
      <c r="E3389" s="23">
        <f t="shared" si="543"/>
        <v>31</v>
      </c>
      <c r="F3389" s="3">
        <f t="shared" si="545"/>
        <v>245004128.51748663</v>
      </c>
      <c r="G3389" s="3">
        <f t="shared" si="549"/>
        <v>7079204.8364381921</v>
      </c>
      <c r="H3389" s="3">
        <f t="shared" si="546"/>
        <v>2041701.0709790553</v>
      </c>
      <c r="I3389" s="3">
        <f t="shared" si="544"/>
        <v>5037503.765459137</v>
      </c>
      <c r="J3389" s="3">
        <f t="shared" si="547"/>
        <v>239966624.75202748</v>
      </c>
      <c r="K3389" s="24">
        <v>7080000</v>
      </c>
      <c r="L3389" s="24">
        <f t="shared" si="548"/>
        <v>358409.67065416276</v>
      </c>
    </row>
    <row r="3390" spans="2:12" x14ac:dyDescent="0.35">
      <c r="B3390" s="1">
        <v>9</v>
      </c>
      <c r="C3390" s="22">
        <v>45292</v>
      </c>
      <c r="D3390" s="22">
        <v>45322</v>
      </c>
      <c r="E3390" s="23">
        <f t="shared" si="543"/>
        <v>31</v>
      </c>
      <c r="F3390" s="3">
        <f t="shared" si="545"/>
        <v>239966624.75202748</v>
      </c>
      <c r="G3390" s="3">
        <f t="shared" si="549"/>
        <v>7079204.8364381921</v>
      </c>
      <c r="H3390" s="3">
        <f t="shared" si="546"/>
        <v>1999721.8729335624</v>
      </c>
      <c r="I3390" s="3">
        <f t="shared" si="544"/>
        <v>5079482.9635046292</v>
      </c>
      <c r="J3390" s="3">
        <f t="shared" si="547"/>
        <v>234887141.78852284</v>
      </c>
      <c r="K3390" s="24">
        <v>7080000</v>
      </c>
      <c r="L3390" s="24">
        <f t="shared" si="548"/>
        <v>357614.50709235482</v>
      </c>
    </row>
    <row r="3391" spans="2:12" x14ac:dyDescent="0.35">
      <c r="B3391" s="1">
        <v>10</v>
      </c>
      <c r="C3391" s="22">
        <v>45323</v>
      </c>
      <c r="D3391" s="22">
        <v>45351</v>
      </c>
      <c r="E3391" s="23">
        <f t="shared" si="543"/>
        <v>29</v>
      </c>
      <c r="F3391" s="3">
        <f t="shared" si="545"/>
        <v>234887141.78852284</v>
      </c>
      <c r="G3391" s="3">
        <f t="shared" si="549"/>
        <v>7079204.8364381921</v>
      </c>
      <c r="H3391" s="3">
        <f t="shared" si="546"/>
        <v>1957392.8482376903</v>
      </c>
      <c r="I3391" s="3">
        <f t="shared" si="544"/>
        <v>5121811.9882005015</v>
      </c>
      <c r="J3391" s="3">
        <f t="shared" si="547"/>
        <v>229765329.80032232</v>
      </c>
      <c r="K3391" s="24">
        <v>7480000</v>
      </c>
      <c r="L3391" s="24">
        <f t="shared" si="548"/>
        <v>-43180.656469453126</v>
      </c>
    </row>
    <row r="3392" spans="2:12" x14ac:dyDescent="0.35">
      <c r="B3392" s="1">
        <v>11</v>
      </c>
      <c r="C3392" s="22">
        <v>45352</v>
      </c>
      <c r="D3392" s="22">
        <v>45382</v>
      </c>
      <c r="E3392" s="23">
        <f t="shared" si="543"/>
        <v>31</v>
      </c>
      <c r="F3392" s="3">
        <f t="shared" si="545"/>
        <v>229765329.80032232</v>
      </c>
      <c r="G3392" s="3">
        <f t="shared" si="549"/>
        <v>7079204.8364381921</v>
      </c>
      <c r="H3392" s="3">
        <f t="shared" si="546"/>
        <v>1914711.0816693527</v>
      </c>
      <c r="I3392" s="3">
        <f t="shared" si="544"/>
        <v>5164493.7547688391</v>
      </c>
      <c r="J3392" s="3">
        <f t="shared" si="547"/>
        <v>224600836.04555348</v>
      </c>
      <c r="K3392" s="24"/>
      <c r="L3392" s="24">
        <f t="shared" si="548"/>
        <v>7036024.1799687389</v>
      </c>
    </row>
    <row r="3393" spans="2:12" x14ac:dyDescent="0.35">
      <c r="B3393" s="1">
        <v>12</v>
      </c>
      <c r="C3393" s="22">
        <v>45383</v>
      </c>
      <c r="D3393" s="22">
        <v>45412</v>
      </c>
      <c r="E3393" s="23">
        <f t="shared" si="543"/>
        <v>30</v>
      </c>
      <c r="F3393" s="3">
        <f t="shared" si="545"/>
        <v>224600836.04555348</v>
      </c>
      <c r="G3393" s="3">
        <f t="shared" si="549"/>
        <v>7079204.8364381921</v>
      </c>
      <c r="H3393" s="3">
        <f t="shared" si="546"/>
        <v>1871673.6337129455</v>
      </c>
      <c r="I3393" s="3">
        <f t="shared" si="544"/>
        <v>5207531.2027252465</v>
      </c>
      <c r="J3393" s="3">
        <f t="shared" si="547"/>
        <v>219393304.84282821</v>
      </c>
      <c r="K3393" s="24">
        <v>7080000</v>
      </c>
      <c r="L3393" s="24">
        <f t="shared" si="548"/>
        <v>7035229.016406931</v>
      </c>
    </row>
    <row r="3394" spans="2:12" x14ac:dyDescent="0.35">
      <c r="B3394" s="1">
        <v>13</v>
      </c>
      <c r="C3394" s="22">
        <v>45413</v>
      </c>
      <c r="D3394" s="22">
        <v>45443</v>
      </c>
      <c r="E3394" s="23">
        <f t="shared" si="543"/>
        <v>31</v>
      </c>
      <c r="F3394" s="3">
        <f t="shared" si="545"/>
        <v>219393304.84282821</v>
      </c>
      <c r="G3394" s="3">
        <f t="shared" si="549"/>
        <v>7079204.8364381921</v>
      </c>
      <c r="H3394" s="3">
        <f t="shared" si="546"/>
        <v>1828277.5403569017</v>
      </c>
      <c r="I3394" s="3">
        <f t="shared" si="544"/>
        <v>5250927.2960812906</v>
      </c>
      <c r="J3394" s="3">
        <f t="shared" si="547"/>
        <v>214142377.54674691</v>
      </c>
      <c r="K3394" s="24">
        <f>7080000+7080000</f>
        <v>14160000</v>
      </c>
      <c r="L3394" s="24">
        <f t="shared" si="548"/>
        <v>-45566.147154876962</v>
      </c>
    </row>
    <row r="3395" spans="2:12" x14ac:dyDescent="0.35">
      <c r="B3395" s="1">
        <v>14</v>
      </c>
      <c r="C3395" s="22">
        <v>45444</v>
      </c>
      <c r="D3395" s="22">
        <v>45473</v>
      </c>
      <c r="E3395" s="23">
        <f t="shared" si="543"/>
        <v>30</v>
      </c>
      <c r="F3395" s="3">
        <f t="shared" si="545"/>
        <v>214142377.54674691</v>
      </c>
      <c r="G3395" s="3">
        <f t="shared" si="549"/>
        <v>7079204.8364381921</v>
      </c>
      <c r="H3395" s="3">
        <f t="shared" si="546"/>
        <v>1784519.8128895576</v>
      </c>
      <c r="I3395" s="3">
        <f t="shared" si="544"/>
        <v>5294685.0235486347</v>
      </c>
      <c r="J3395" s="3">
        <f t="shared" si="547"/>
        <v>208847692.52319828</v>
      </c>
      <c r="K3395" s="24">
        <v>0</v>
      </c>
      <c r="L3395" s="24">
        <f t="shared" si="548"/>
        <v>7033638.6892833151</v>
      </c>
    </row>
    <row r="3396" spans="2:12" x14ac:dyDescent="0.35">
      <c r="B3396" s="1">
        <v>15</v>
      </c>
      <c r="C3396" s="22">
        <v>45474</v>
      </c>
      <c r="D3396" s="22">
        <v>45504</v>
      </c>
      <c r="E3396" s="23">
        <f t="shared" si="543"/>
        <v>31</v>
      </c>
      <c r="F3396" s="3">
        <f t="shared" si="545"/>
        <v>208847692.52319828</v>
      </c>
      <c r="G3396" s="3">
        <f t="shared" si="549"/>
        <v>7079204.8364381921</v>
      </c>
      <c r="H3396" s="3">
        <f t="shared" si="546"/>
        <v>1740397.4376933191</v>
      </c>
      <c r="I3396" s="3">
        <f t="shared" si="544"/>
        <v>5338807.3987448728</v>
      </c>
      <c r="J3396" s="3">
        <f t="shared" si="547"/>
        <v>203508885.1244534</v>
      </c>
      <c r="K3396" s="24">
        <f>7124770.99+7079204.84</f>
        <v>14203975.83</v>
      </c>
      <c r="L3396" s="24">
        <f t="shared" si="548"/>
        <v>-91132.304278492928</v>
      </c>
    </row>
    <row r="3397" spans="2:12" x14ac:dyDescent="0.35">
      <c r="B3397" s="1">
        <v>16</v>
      </c>
      <c r="C3397" s="22">
        <v>45505</v>
      </c>
      <c r="D3397" s="22">
        <v>45535</v>
      </c>
      <c r="E3397" s="23">
        <f t="shared" si="543"/>
        <v>31</v>
      </c>
      <c r="F3397" s="3">
        <f t="shared" si="545"/>
        <v>203508885.1244534</v>
      </c>
      <c r="G3397" s="3">
        <f t="shared" si="549"/>
        <v>7079204.8364381921</v>
      </c>
      <c r="H3397" s="3">
        <f t="shared" si="546"/>
        <v>1695907.3760371115</v>
      </c>
      <c r="I3397" s="3">
        <f t="shared" si="544"/>
        <v>5383297.4604010805</v>
      </c>
      <c r="J3397" s="3">
        <f t="shared" si="547"/>
        <v>198125587.66405231</v>
      </c>
      <c r="K3397" s="24"/>
      <c r="L3397" s="24">
        <f t="shared" si="548"/>
        <v>6988072.5321596991</v>
      </c>
    </row>
    <row r="3398" spans="2:12" x14ac:dyDescent="0.35">
      <c r="B3398" s="1">
        <v>17</v>
      </c>
      <c r="C3398" s="22">
        <v>45536</v>
      </c>
      <c r="D3398" s="22">
        <v>45565</v>
      </c>
      <c r="E3398" s="23">
        <f t="shared" si="543"/>
        <v>30</v>
      </c>
      <c r="F3398" s="3">
        <f t="shared" si="545"/>
        <v>198125587.66405231</v>
      </c>
      <c r="G3398" s="3">
        <f t="shared" si="549"/>
        <v>7079204.8364381921</v>
      </c>
      <c r="H3398" s="3">
        <f t="shared" si="546"/>
        <v>1651046.5638671026</v>
      </c>
      <c r="I3398" s="3">
        <f t="shared" si="544"/>
        <v>5428158.2725710897</v>
      </c>
      <c r="J3398" s="3">
        <f t="shared" si="547"/>
        <v>192697429.39148122</v>
      </c>
      <c r="K3398" s="24">
        <v>7079204.8399999999</v>
      </c>
      <c r="L3398" s="24">
        <f t="shared" si="548"/>
        <v>6988072.5285978913</v>
      </c>
    </row>
    <row r="3399" spans="2:12" x14ac:dyDescent="0.35">
      <c r="B3399" s="1">
        <v>18</v>
      </c>
      <c r="C3399" s="22">
        <v>45566</v>
      </c>
      <c r="D3399" s="22">
        <v>45596</v>
      </c>
      <c r="E3399" s="23">
        <f t="shared" si="543"/>
        <v>31</v>
      </c>
      <c r="F3399" s="3">
        <f t="shared" si="545"/>
        <v>192697429.39148122</v>
      </c>
      <c r="G3399" s="3">
        <f t="shared" si="549"/>
        <v>7079204.8364381921</v>
      </c>
      <c r="H3399" s="3">
        <f t="shared" si="546"/>
        <v>1605811.9115956768</v>
      </c>
      <c r="I3399" s="3">
        <f t="shared" si="544"/>
        <v>5473392.924842515</v>
      </c>
      <c r="J3399" s="3">
        <f t="shared" si="547"/>
        <v>187224036.46663871</v>
      </c>
      <c r="K3399" s="24">
        <v>7078885.8399999999</v>
      </c>
      <c r="L3399" s="205">
        <f t="shared" si="548"/>
        <v>6988391.5250360835</v>
      </c>
    </row>
    <row r="3400" spans="2:12" x14ac:dyDescent="0.35">
      <c r="B3400" s="1">
        <v>19</v>
      </c>
      <c r="C3400" s="22">
        <v>45597</v>
      </c>
      <c r="D3400" s="22">
        <v>45626</v>
      </c>
      <c r="E3400" s="23">
        <f t="shared" si="543"/>
        <v>30</v>
      </c>
      <c r="F3400" s="3">
        <f t="shared" si="545"/>
        <v>187224036.46663871</v>
      </c>
      <c r="G3400" s="3">
        <f t="shared" si="549"/>
        <v>7079204.8364381921</v>
      </c>
      <c r="H3400" s="3">
        <f t="shared" si="546"/>
        <v>1560200.303888656</v>
      </c>
      <c r="I3400" s="3">
        <f t="shared" si="544"/>
        <v>5519004.5325495359</v>
      </c>
      <c r="J3400" s="3">
        <f t="shared" si="547"/>
        <v>181705031.93408918</v>
      </c>
      <c r="K3400" s="24"/>
      <c r="L3400" s="24"/>
    </row>
    <row r="3401" spans="2:12" x14ac:dyDescent="0.35">
      <c r="B3401" s="1">
        <v>20</v>
      </c>
      <c r="C3401" s="22">
        <v>45627</v>
      </c>
      <c r="D3401" s="22">
        <v>45657</v>
      </c>
      <c r="E3401" s="23">
        <f t="shared" si="543"/>
        <v>31</v>
      </c>
      <c r="F3401" s="3">
        <f t="shared" si="545"/>
        <v>181705031.93408918</v>
      </c>
      <c r="G3401" s="3">
        <f t="shared" si="549"/>
        <v>7079204.8364381921</v>
      </c>
      <c r="H3401" s="3">
        <f t="shared" si="546"/>
        <v>1514208.5994507433</v>
      </c>
      <c r="I3401" s="3">
        <f t="shared" si="544"/>
        <v>5564996.2369874492</v>
      </c>
      <c r="J3401" s="3">
        <f t="shared" si="547"/>
        <v>176140035.69710174</v>
      </c>
      <c r="K3401" s="24"/>
      <c r="L3401" s="24"/>
    </row>
    <row r="3402" spans="2:12" x14ac:dyDescent="0.35">
      <c r="B3402" s="1">
        <v>21</v>
      </c>
      <c r="C3402" s="22">
        <v>45658</v>
      </c>
      <c r="D3402" s="22">
        <v>45688</v>
      </c>
      <c r="E3402" s="23">
        <f t="shared" si="543"/>
        <v>31</v>
      </c>
      <c r="F3402" s="3">
        <f t="shared" si="545"/>
        <v>176140035.69710174</v>
      </c>
      <c r="G3402" s="3">
        <f t="shared" si="549"/>
        <v>7079204.8364381921</v>
      </c>
      <c r="H3402" s="3">
        <f t="shared" si="546"/>
        <v>1467833.6308091811</v>
      </c>
      <c r="I3402" s="3">
        <f t="shared" si="544"/>
        <v>5611371.2056290107</v>
      </c>
      <c r="J3402" s="3">
        <f t="shared" si="547"/>
        <v>170528664.49147272</v>
      </c>
      <c r="K3402" s="24"/>
      <c r="L3402" s="24"/>
    </row>
    <row r="3403" spans="2:12" x14ac:dyDescent="0.35">
      <c r="B3403" s="1">
        <v>22</v>
      </c>
      <c r="C3403" s="22">
        <v>45689</v>
      </c>
      <c r="D3403" s="22">
        <v>45716</v>
      </c>
      <c r="E3403" s="23">
        <f t="shared" si="543"/>
        <v>28</v>
      </c>
      <c r="F3403" s="3">
        <f t="shared" si="545"/>
        <v>170528664.49147272</v>
      </c>
      <c r="G3403" s="3">
        <f t="shared" si="549"/>
        <v>7079204.8364381921</v>
      </c>
      <c r="H3403" s="3">
        <f t="shared" si="546"/>
        <v>1421072.204095606</v>
      </c>
      <c r="I3403" s="3">
        <f t="shared" si="544"/>
        <v>5658132.6323425863</v>
      </c>
      <c r="J3403" s="3">
        <f t="shared" si="547"/>
        <v>164870531.85913014</v>
      </c>
      <c r="K3403" s="24"/>
      <c r="L3403" s="24"/>
    </row>
    <row r="3404" spans="2:12" x14ac:dyDescent="0.35">
      <c r="B3404" s="1">
        <v>23</v>
      </c>
      <c r="C3404" s="22">
        <v>45717</v>
      </c>
      <c r="D3404" s="22">
        <v>45747</v>
      </c>
      <c r="E3404" s="23">
        <f t="shared" si="543"/>
        <v>31</v>
      </c>
      <c r="F3404" s="3">
        <f t="shared" si="545"/>
        <v>164870531.85913014</v>
      </c>
      <c r="G3404" s="3">
        <f t="shared" si="549"/>
        <v>7079204.8364381921</v>
      </c>
      <c r="H3404" s="3">
        <f t="shared" si="546"/>
        <v>1373921.0988260845</v>
      </c>
      <c r="I3404" s="3">
        <f t="shared" si="544"/>
        <v>5705283.7376121078</v>
      </c>
      <c r="J3404" s="3">
        <f t="shared" si="547"/>
        <v>159165248.12151805</v>
      </c>
      <c r="K3404" s="24"/>
      <c r="L3404" s="24"/>
    </row>
    <row r="3405" spans="2:12" x14ac:dyDescent="0.35">
      <c r="B3405" s="1">
        <v>24</v>
      </c>
      <c r="C3405" s="22">
        <v>45748</v>
      </c>
      <c r="D3405" s="22">
        <v>45777</v>
      </c>
      <c r="E3405" s="23">
        <f t="shared" si="543"/>
        <v>30</v>
      </c>
      <c r="F3405" s="3">
        <f t="shared" si="545"/>
        <v>159165248.12151805</v>
      </c>
      <c r="G3405" s="3">
        <f t="shared" si="549"/>
        <v>7079204.8364381921</v>
      </c>
      <c r="H3405" s="3">
        <f t="shared" si="546"/>
        <v>1326377.067679317</v>
      </c>
      <c r="I3405" s="3">
        <f t="shared" si="544"/>
        <v>5752827.7687588753</v>
      </c>
      <c r="J3405" s="3">
        <f t="shared" si="547"/>
        <v>153412420.35275918</v>
      </c>
      <c r="K3405" s="24"/>
      <c r="L3405" s="24"/>
    </row>
    <row r="3406" spans="2:12" x14ac:dyDescent="0.35">
      <c r="B3406" s="1">
        <v>25</v>
      </c>
      <c r="C3406" s="22">
        <v>45778</v>
      </c>
      <c r="D3406" s="22">
        <v>45808</v>
      </c>
      <c r="E3406" s="23">
        <f t="shared" si="543"/>
        <v>31</v>
      </c>
      <c r="F3406" s="3">
        <f t="shared" si="545"/>
        <v>153412420.35275918</v>
      </c>
      <c r="G3406" s="3">
        <f t="shared" si="549"/>
        <v>7079204.8364381921</v>
      </c>
      <c r="H3406" s="3">
        <f t="shared" si="546"/>
        <v>1278436.8362729931</v>
      </c>
      <c r="I3406" s="3">
        <f t="shared" si="544"/>
        <v>5800768.0001651989</v>
      </c>
      <c r="J3406" s="3">
        <f t="shared" si="547"/>
        <v>147611652.35259399</v>
      </c>
      <c r="K3406" s="24"/>
      <c r="L3406" s="24"/>
    </row>
    <row r="3407" spans="2:12" x14ac:dyDescent="0.35">
      <c r="B3407" s="1">
        <v>26</v>
      </c>
      <c r="C3407" s="22">
        <v>45809</v>
      </c>
      <c r="D3407" s="22">
        <v>45838</v>
      </c>
      <c r="E3407" s="23">
        <f t="shared" si="543"/>
        <v>30</v>
      </c>
      <c r="F3407" s="3">
        <f t="shared" si="545"/>
        <v>147611652.35259399</v>
      </c>
      <c r="G3407" s="3">
        <f t="shared" si="549"/>
        <v>7079204.8364381921</v>
      </c>
      <c r="H3407" s="3">
        <f t="shared" si="546"/>
        <v>1230097.1029382832</v>
      </c>
      <c r="I3407" s="3">
        <f t="shared" si="544"/>
        <v>5849107.7334999088</v>
      </c>
      <c r="J3407" s="3">
        <f t="shared" si="547"/>
        <v>141762544.61909407</v>
      </c>
      <c r="K3407" s="24"/>
      <c r="L3407" s="24"/>
    </row>
    <row r="3408" spans="2:12" x14ac:dyDescent="0.35">
      <c r="B3408" s="1">
        <v>27</v>
      </c>
      <c r="C3408" s="22">
        <v>45839</v>
      </c>
      <c r="D3408" s="22">
        <v>45869</v>
      </c>
      <c r="E3408" s="23">
        <f t="shared" si="543"/>
        <v>31</v>
      </c>
      <c r="F3408" s="3">
        <f t="shared" si="545"/>
        <v>141762544.61909407</v>
      </c>
      <c r="G3408" s="3">
        <f t="shared" si="549"/>
        <v>7079204.8364381921</v>
      </c>
      <c r="H3408" s="3">
        <f t="shared" si="546"/>
        <v>1181354.5384924505</v>
      </c>
      <c r="I3408" s="3">
        <f t="shared" si="544"/>
        <v>5897850.2979457416</v>
      </c>
      <c r="J3408" s="3">
        <f t="shared" si="547"/>
        <v>135864694.32114834</v>
      </c>
      <c r="K3408" s="24"/>
      <c r="L3408" s="24"/>
    </row>
    <row r="3409" spans="2:12" x14ac:dyDescent="0.35">
      <c r="B3409" s="1">
        <v>28</v>
      </c>
      <c r="C3409" s="22">
        <v>45870</v>
      </c>
      <c r="D3409" s="22">
        <v>45900</v>
      </c>
      <c r="E3409" s="23">
        <f t="shared" si="543"/>
        <v>31</v>
      </c>
      <c r="F3409" s="3">
        <f t="shared" si="545"/>
        <v>135864694.32114834</v>
      </c>
      <c r="G3409" s="3">
        <f t="shared" si="549"/>
        <v>7079204.8364381921</v>
      </c>
      <c r="H3409" s="3">
        <f t="shared" si="546"/>
        <v>1132205.7860095694</v>
      </c>
      <c r="I3409" s="3">
        <f t="shared" si="544"/>
        <v>5946999.0504286224</v>
      </c>
      <c r="J3409" s="3">
        <f t="shared" si="547"/>
        <v>129917695.27071971</v>
      </c>
      <c r="K3409" s="24"/>
      <c r="L3409" s="24"/>
    </row>
    <row r="3410" spans="2:12" x14ac:dyDescent="0.35">
      <c r="B3410" s="1">
        <v>29</v>
      </c>
      <c r="C3410" s="22">
        <v>45901</v>
      </c>
      <c r="D3410" s="22">
        <v>45930</v>
      </c>
      <c r="E3410" s="23">
        <f t="shared" si="543"/>
        <v>30</v>
      </c>
      <c r="F3410" s="3">
        <f t="shared" si="545"/>
        <v>129917695.27071971</v>
      </c>
      <c r="G3410" s="3">
        <f t="shared" si="549"/>
        <v>7079204.8364381921</v>
      </c>
      <c r="H3410" s="3">
        <f t="shared" si="546"/>
        <v>1082647.4605893309</v>
      </c>
      <c r="I3410" s="3">
        <f t="shared" si="544"/>
        <v>5996557.3758488614</v>
      </c>
      <c r="J3410" s="3">
        <f t="shared" si="547"/>
        <v>123921137.89487085</v>
      </c>
      <c r="K3410" s="24"/>
      <c r="L3410" s="24"/>
    </row>
    <row r="3411" spans="2:12" x14ac:dyDescent="0.35">
      <c r="B3411" s="1">
        <v>30</v>
      </c>
      <c r="C3411" s="22">
        <v>45931</v>
      </c>
      <c r="D3411" s="22">
        <v>45961</v>
      </c>
      <c r="E3411" s="23">
        <f t="shared" si="543"/>
        <v>31</v>
      </c>
      <c r="F3411" s="3">
        <f t="shared" si="545"/>
        <v>123921137.89487085</v>
      </c>
      <c r="G3411" s="3">
        <f t="shared" si="549"/>
        <v>7079204.8364381921</v>
      </c>
      <c r="H3411" s="3">
        <f t="shared" si="546"/>
        <v>1032676.1491239237</v>
      </c>
      <c r="I3411" s="3">
        <f t="shared" si="544"/>
        <v>6046528.6873142682</v>
      </c>
      <c r="J3411" s="3">
        <f t="shared" si="547"/>
        <v>117874609.20755658</v>
      </c>
      <c r="K3411" s="24"/>
      <c r="L3411" s="24"/>
    </row>
    <row r="3412" spans="2:12" x14ac:dyDescent="0.35">
      <c r="B3412" s="1">
        <v>31</v>
      </c>
      <c r="C3412" s="22">
        <v>45962</v>
      </c>
      <c r="D3412" s="22">
        <v>45991</v>
      </c>
      <c r="E3412" s="23">
        <f t="shared" si="543"/>
        <v>30</v>
      </c>
      <c r="F3412" s="3">
        <f t="shared" si="545"/>
        <v>117874609.20755658</v>
      </c>
      <c r="G3412" s="3">
        <f t="shared" si="549"/>
        <v>7079204.8364381921</v>
      </c>
      <c r="H3412" s="3">
        <f t="shared" si="546"/>
        <v>982288.41006297141</v>
      </c>
      <c r="I3412" s="3">
        <f t="shared" si="544"/>
        <v>6096916.4263752205</v>
      </c>
      <c r="J3412" s="3">
        <f t="shared" si="547"/>
        <v>111777692.78118135</v>
      </c>
      <c r="K3412" s="24"/>
      <c r="L3412" s="24"/>
    </row>
    <row r="3413" spans="2:12" x14ac:dyDescent="0.35">
      <c r="B3413" s="1">
        <v>32</v>
      </c>
      <c r="C3413" s="22">
        <v>45992</v>
      </c>
      <c r="D3413" s="22">
        <v>46022</v>
      </c>
      <c r="E3413" s="23">
        <f t="shared" ref="E3413:E3429" si="550">D3413-C3413+1</f>
        <v>31</v>
      </c>
      <c r="F3413" s="3">
        <f t="shared" si="545"/>
        <v>111777692.78118135</v>
      </c>
      <c r="G3413" s="3">
        <f t="shared" si="549"/>
        <v>7079204.8364381921</v>
      </c>
      <c r="H3413" s="3">
        <f t="shared" si="546"/>
        <v>931480.77317651128</v>
      </c>
      <c r="I3413" s="3">
        <f t="shared" ref="I3413:I3429" si="551">G3413-H3413</f>
        <v>6147724.0632616803</v>
      </c>
      <c r="J3413" s="3">
        <f t="shared" si="547"/>
        <v>105629968.71791968</v>
      </c>
      <c r="K3413" s="24"/>
      <c r="L3413" s="24"/>
    </row>
    <row r="3414" spans="2:12" x14ac:dyDescent="0.35">
      <c r="B3414" s="1">
        <v>33</v>
      </c>
      <c r="C3414" s="22">
        <v>46023</v>
      </c>
      <c r="D3414" s="22">
        <v>46053</v>
      </c>
      <c r="E3414" s="23">
        <f t="shared" si="550"/>
        <v>31</v>
      </c>
      <c r="F3414" s="3">
        <f t="shared" si="545"/>
        <v>105629968.71791968</v>
      </c>
      <c r="G3414" s="3">
        <f t="shared" si="549"/>
        <v>7079204.8364381921</v>
      </c>
      <c r="H3414" s="3">
        <f t="shared" si="546"/>
        <v>880249.73931599734</v>
      </c>
      <c r="I3414" s="3">
        <f t="shared" si="551"/>
        <v>6198955.0971221942</v>
      </c>
      <c r="J3414" s="3">
        <f t="shared" si="547"/>
        <v>99431013.620797485</v>
      </c>
      <c r="K3414" s="24"/>
      <c r="L3414" s="24"/>
    </row>
    <row r="3415" spans="2:12" x14ac:dyDescent="0.35">
      <c r="B3415" s="1">
        <v>34</v>
      </c>
      <c r="C3415" s="22">
        <v>46054</v>
      </c>
      <c r="D3415" s="22">
        <v>46081</v>
      </c>
      <c r="E3415" s="23">
        <f t="shared" si="550"/>
        <v>28</v>
      </c>
      <c r="F3415" s="3">
        <f t="shared" si="545"/>
        <v>99431013.620797485</v>
      </c>
      <c r="G3415" s="3">
        <f t="shared" si="549"/>
        <v>7079204.8364381921</v>
      </c>
      <c r="H3415" s="3">
        <f t="shared" si="546"/>
        <v>828591.78017331241</v>
      </c>
      <c r="I3415" s="3">
        <f t="shared" si="551"/>
        <v>6250613.0562648792</v>
      </c>
      <c r="J3415" s="3">
        <f t="shared" si="547"/>
        <v>93180400.564532608</v>
      </c>
      <c r="K3415" s="24"/>
      <c r="L3415" s="24"/>
    </row>
    <row r="3416" spans="2:12" x14ac:dyDescent="0.35">
      <c r="B3416" s="1">
        <v>35</v>
      </c>
      <c r="C3416" s="22">
        <v>46082</v>
      </c>
      <c r="D3416" s="22">
        <v>46112</v>
      </c>
      <c r="E3416" s="23">
        <f t="shared" si="550"/>
        <v>31</v>
      </c>
      <c r="F3416" s="3">
        <f t="shared" si="545"/>
        <v>93180400.564532608</v>
      </c>
      <c r="G3416" s="3">
        <f t="shared" si="549"/>
        <v>7079204.8364381921</v>
      </c>
      <c r="H3416" s="3">
        <f t="shared" si="546"/>
        <v>776503.33803777175</v>
      </c>
      <c r="I3416" s="3">
        <f t="shared" si="551"/>
        <v>6302701.49840042</v>
      </c>
      <c r="J3416" s="3">
        <f t="shared" si="547"/>
        <v>86877699.066132188</v>
      </c>
      <c r="K3416" s="24"/>
      <c r="L3416" s="24"/>
    </row>
    <row r="3417" spans="2:12" x14ac:dyDescent="0.35">
      <c r="B3417" s="1">
        <v>36</v>
      </c>
      <c r="C3417" s="22">
        <v>46113</v>
      </c>
      <c r="D3417" s="22">
        <v>46142</v>
      </c>
      <c r="E3417" s="23">
        <f t="shared" si="550"/>
        <v>30</v>
      </c>
      <c r="F3417" s="3">
        <f t="shared" si="545"/>
        <v>86877699.066132188</v>
      </c>
      <c r="G3417" s="3">
        <f t="shared" si="549"/>
        <v>7079204.8364381921</v>
      </c>
      <c r="H3417" s="3">
        <f t="shared" si="546"/>
        <v>723980.82555110159</v>
      </c>
      <c r="I3417" s="3">
        <f t="shared" si="551"/>
        <v>6355224.0108870901</v>
      </c>
      <c r="J3417" s="3">
        <f t="shared" si="547"/>
        <v>80522475.055245101</v>
      </c>
      <c r="K3417" s="24"/>
      <c r="L3417" s="24"/>
    </row>
    <row r="3418" spans="2:12" x14ac:dyDescent="0.35">
      <c r="B3418" s="1">
        <v>37</v>
      </c>
      <c r="C3418" s="22">
        <v>46143</v>
      </c>
      <c r="D3418" s="22">
        <v>46173</v>
      </c>
      <c r="E3418" s="23">
        <f t="shared" si="550"/>
        <v>31</v>
      </c>
      <c r="F3418" s="3">
        <f t="shared" si="545"/>
        <v>80522475.055245101</v>
      </c>
      <c r="G3418" s="3">
        <f t="shared" si="549"/>
        <v>7079204.8364381921</v>
      </c>
      <c r="H3418" s="3">
        <f t="shared" si="546"/>
        <v>671020.6254603758</v>
      </c>
      <c r="I3418" s="3">
        <f t="shared" si="551"/>
        <v>6408184.210977816</v>
      </c>
      <c r="J3418" s="3">
        <f t="shared" si="547"/>
        <v>74114290.844267279</v>
      </c>
      <c r="K3418" s="24"/>
      <c r="L3418" s="24"/>
    </row>
    <row r="3419" spans="2:12" x14ac:dyDescent="0.35">
      <c r="B3419" s="1">
        <v>38</v>
      </c>
      <c r="C3419" s="22">
        <v>46174</v>
      </c>
      <c r="D3419" s="22">
        <v>46203</v>
      </c>
      <c r="E3419" s="23">
        <f t="shared" si="550"/>
        <v>30</v>
      </c>
      <c r="F3419" s="3">
        <f t="shared" si="545"/>
        <v>74114290.844267279</v>
      </c>
      <c r="G3419" s="3">
        <f t="shared" si="549"/>
        <v>7079204.8364381921</v>
      </c>
      <c r="H3419" s="3">
        <f t="shared" si="546"/>
        <v>617619.09036889393</v>
      </c>
      <c r="I3419" s="3">
        <f t="shared" si="551"/>
        <v>6461585.7460692981</v>
      </c>
      <c r="J3419" s="3">
        <f t="shared" si="547"/>
        <v>67652705.098197982</v>
      </c>
      <c r="K3419" s="24"/>
      <c r="L3419" s="24"/>
    </row>
    <row r="3420" spans="2:12" x14ac:dyDescent="0.35">
      <c r="B3420" s="1">
        <v>39</v>
      </c>
      <c r="C3420" s="22">
        <v>46204</v>
      </c>
      <c r="D3420" s="22">
        <v>46234</v>
      </c>
      <c r="E3420" s="23">
        <f t="shared" si="550"/>
        <v>31</v>
      </c>
      <c r="F3420" s="3">
        <f t="shared" si="545"/>
        <v>67652705.098197982</v>
      </c>
      <c r="G3420" s="3">
        <f t="shared" si="549"/>
        <v>7079204.8364381921</v>
      </c>
      <c r="H3420" s="3">
        <f t="shared" si="546"/>
        <v>563772.54248498322</v>
      </c>
      <c r="I3420" s="3">
        <f t="shared" si="551"/>
        <v>6515432.2939532092</v>
      </c>
      <c r="J3420" s="3">
        <f t="shared" si="547"/>
        <v>61137272.804244772</v>
      </c>
      <c r="K3420" s="24"/>
      <c r="L3420" s="24"/>
    </row>
    <row r="3421" spans="2:12" x14ac:dyDescent="0.35">
      <c r="B3421" s="1">
        <v>40</v>
      </c>
      <c r="C3421" s="22">
        <v>46235</v>
      </c>
      <c r="D3421" s="22">
        <v>46265</v>
      </c>
      <c r="E3421" s="23">
        <f t="shared" si="550"/>
        <v>31</v>
      </c>
      <c r="F3421" s="3">
        <f t="shared" si="545"/>
        <v>61137272.804244772</v>
      </c>
      <c r="G3421" s="3">
        <f t="shared" si="549"/>
        <v>7079204.8364381921</v>
      </c>
      <c r="H3421" s="3">
        <f t="shared" si="546"/>
        <v>509477.2733687064</v>
      </c>
      <c r="I3421" s="3">
        <f t="shared" si="551"/>
        <v>6569727.5630694861</v>
      </c>
      <c r="J3421" s="3">
        <f t="shared" si="547"/>
        <v>54567545.241175286</v>
      </c>
      <c r="K3421" s="24"/>
      <c r="L3421" s="24"/>
    </row>
    <row r="3422" spans="2:12" x14ac:dyDescent="0.35">
      <c r="B3422" s="1">
        <v>41</v>
      </c>
      <c r="C3422" s="22">
        <v>46266</v>
      </c>
      <c r="D3422" s="22">
        <v>46295</v>
      </c>
      <c r="E3422" s="23">
        <f t="shared" si="550"/>
        <v>30</v>
      </c>
      <c r="F3422" s="3">
        <f t="shared" si="545"/>
        <v>54567545.241175286</v>
      </c>
      <c r="G3422" s="3">
        <f t="shared" si="549"/>
        <v>7079204.8364381921</v>
      </c>
      <c r="H3422" s="3">
        <f t="shared" si="546"/>
        <v>454729.54367646069</v>
      </c>
      <c r="I3422" s="3">
        <f t="shared" si="551"/>
        <v>6624475.292761731</v>
      </c>
      <c r="J3422" s="3">
        <f t="shared" si="547"/>
        <v>47943069.948413558</v>
      </c>
      <c r="K3422" s="24"/>
      <c r="L3422" s="24"/>
    </row>
    <row r="3423" spans="2:12" x14ac:dyDescent="0.35">
      <c r="B3423" s="1">
        <v>42</v>
      </c>
      <c r="C3423" s="22">
        <v>46296</v>
      </c>
      <c r="D3423" s="22">
        <v>46326</v>
      </c>
      <c r="E3423" s="23">
        <f t="shared" si="550"/>
        <v>31</v>
      </c>
      <c r="F3423" s="3">
        <f t="shared" si="545"/>
        <v>47943069.948413558</v>
      </c>
      <c r="G3423" s="3">
        <f t="shared" si="549"/>
        <v>7079204.8364381921</v>
      </c>
      <c r="H3423" s="3">
        <f t="shared" si="546"/>
        <v>399525.58290344634</v>
      </c>
      <c r="I3423" s="3">
        <f t="shared" si="551"/>
        <v>6679679.2535347454</v>
      </c>
      <c r="J3423" s="3">
        <f t="shared" si="547"/>
        <v>41263390.694878817</v>
      </c>
      <c r="K3423" s="24"/>
      <c r="L3423" s="24"/>
    </row>
    <row r="3424" spans="2:12" x14ac:dyDescent="0.35">
      <c r="B3424" s="1">
        <v>43</v>
      </c>
      <c r="C3424" s="22">
        <v>46327</v>
      </c>
      <c r="D3424" s="22">
        <v>46356</v>
      </c>
      <c r="E3424" s="23">
        <f t="shared" si="550"/>
        <v>30</v>
      </c>
      <c r="F3424" s="3">
        <f t="shared" si="545"/>
        <v>41263390.694878817</v>
      </c>
      <c r="G3424" s="3">
        <f t="shared" si="549"/>
        <v>7079204.8364381921</v>
      </c>
      <c r="H3424" s="3">
        <f t="shared" si="546"/>
        <v>343861.58912399015</v>
      </c>
      <c r="I3424" s="3">
        <f t="shared" si="551"/>
        <v>6735343.2473142017</v>
      </c>
      <c r="J3424" s="3">
        <f t="shared" si="547"/>
        <v>34528047.447564617</v>
      </c>
      <c r="K3424" s="24"/>
      <c r="L3424" s="24"/>
    </row>
    <row r="3425" spans="2:19" x14ac:dyDescent="0.35">
      <c r="B3425" s="1">
        <v>44</v>
      </c>
      <c r="C3425" s="22">
        <v>46357</v>
      </c>
      <c r="D3425" s="22">
        <v>46387</v>
      </c>
      <c r="E3425" s="23">
        <f t="shared" si="550"/>
        <v>31</v>
      </c>
      <c r="F3425" s="3">
        <f t="shared" si="545"/>
        <v>34528047.447564617</v>
      </c>
      <c r="G3425" s="3">
        <f t="shared" si="549"/>
        <v>7079204.8364381921</v>
      </c>
      <c r="H3425" s="3">
        <f t="shared" si="546"/>
        <v>287733.72872970515</v>
      </c>
      <c r="I3425" s="3">
        <f t="shared" si="551"/>
        <v>6791471.1077084867</v>
      </c>
      <c r="J3425" s="3">
        <f t="shared" si="547"/>
        <v>27736576.339856129</v>
      </c>
      <c r="K3425" s="24"/>
      <c r="L3425" s="24"/>
    </row>
    <row r="3426" spans="2:19" x14ac:dyDescent="0.35">
      <c r="B3426" s="1">
        <v>45</v>
      </c>
      <c r="C3426" s="22">
        <v>46388</v>
      </c>
      <c r="D3426" s="22">
        <v>46418</v>
      </c>
      <c r="E3426" s="23">
        <f t="shared" si="550"/>
        <v>31</v>
      </c>
      <c r="F3426" s="3">
        <f t="shared" si="545"/>
        <v>27736576.339856129</v>
      </c>
      <c r="G3426" s="3">
        <f t="shared" si="549"/>
        <v>7079204.8364381921</v>
      </c>
      <c r="H3426" s="3">
        <f t="shared" si="546"/>
        <v>231138.13616546773</v>
      </c>
      <c r="I3426" s="3">
        <f t="shared" si="551"/>
        <v>6848066.700272724</v>
      </c>
      <c r="J3426" s="3">
        <f t="shared" si="547"/>
        <v>20888509.639583405</v>
      </c>
      <c r="K3426" s="24"/>
      <c r="L3426" s="24"/>
    </row>
    <row r="3427" spans="2:19" x14ac:dyDescent="0.35">
      <c r="B3427" s="1">
        <v>46</v>
      </c>
      <c r="C3427" s="22">
        <v>46357</v>
      </c>
      <c r="D3427" s="22">
        <v>46387</v>
      </c>
      <c r="E3427" s="23">
        <f t="shared" si="550"/>
        <v>31</v>
      </c>
      <c r="F3427" s="3">
        <f t="shared" si="545"/>
        <v>20888509.639583405</v>
      </c>
      <c r="G3427" s="3">
        <f t="shared" si="549"/>
        <v>7079204.8364381921</v>
      </c>
      <c r="H3427" s="3">
        <f t="shared" si="546"/>
        <v>174070.91366319504</v>
      </c>
      <c r="I3427" s="3">
        <f t="shared" si="551"/>
        <v>6905133.9227749966</v>
      </c>
      <c r="J3427" s="3">
        <f t="shared" si="547"/>
        <v>13983375.716808408</v>
      </c>
      <c r="K3427" s="24"/>
      <c r="L3427" s="24"/>
    </row>
    <row r="3428" spans="2:19" x14ac:dyDescent="0.35">
      <c r="B3428" s="1">
        <v>47</v>
      </c>
      <c r="C3428" s="22">
        <v>46388</v>
      </c>
      <c r="D3428" s="22">
        <v>46418</v>
      </c>
      <c r="E3428" s="23">
        <f t="shared" si="550"/>
        <v>31</v>
      </c>
      <c r="F3428" s="3">
        <f t="shared" si="545"/>
        <v>13983375.716808408</v>
      </c>
      <c r="G3428" s="3">
        <f t="shared" si="549"/>
        <v>7079204.8364381921</v>
      </c>
      <c r="H3428" s="3">
        <f t="shared" si="546"/>
        <v>116528.1309734034</v>
      </c>
      <c r="I3428" s="3">
        <f t="shared" si="551"/>
        <v>6962676.7054647887</v>
      </c>
      <c r="J3428" s="3">
        <f t="shared" si="547"/>
        <v>7020699.0113436198</v>
      </c>
      <c r="K3428" s="24"/>
      <c r="L3428" s="24"/>
    </row>
    <row r="3429" spans="2:19" x14ac:dyDescent="0.35">
      <c r="B3429" s="1">
        <v>48</v>
      </c>
      <c r="C3429" s="22">
        <v>46419</v>
      </c>
      <c r="D3429" s="22">
        <v>46446</v>
      </c>
      <c r="E3429" s="23">
        <f t="shared" si="550"/>
        <v>28</v>
      </c>
      <c r="F3429" s="3">
        <f t="shared" si="545"/>
        <v>7020699.0113436198</v>
      </c>
      <c r="G3429" s="3">
        <f t="shared" si="549"/>
        <v>7079204.8364381921</v>
      </c>
      <c r="H3429" s="3">
        <f t="shared" si="546"/>
        <v>58505.825094530162</v>
      </c>
      <c r="I3429" s="3">
        <f t="shared" si="551"/>
        <v>7020699.0113436617</v>
      </c>
      <c r="J3429" s="3">
        <f t="shared" si="547"/>
        <v>-4.1909515857696533E-8</v>
      </c>
      <c r="K3429" s="24"/>
      <c r="L3429" s="24"/>
    </row>
    <row r="3430" spans="2:19" x14ac:dyDescent="0.35">
      <c r="B3430" s="1"/>
      <c r="C3430" s="22"/>
      <c r="D3430" s="22"/>
      <c r="E3430" s="23"/>
      <c r="F3430" s="3"/>
      <c r="G3430" s="3"/>
      <c r="H3430" s="3"/>
      <c r="I3430" s="3"/>
      <c r="J3430" s="3"/>
      <c r="K3430" s="24"/>
      <c r="L3430" s="24"/>
    </row>
    <row r="3431" spans="2:19" x14ac:dyDescent="0.35">
      <c r="B3431" s="1"/>
      <c r="C3431" s="22"/>
      <c r="D3431" s="22"/>
      <c r="E3431" s="28">
        <f>SUM(E3381:E3405)</f>
        <v>744</v>
      </c>
      <c r="F3431" s="3"/>
      <c r="G3431" s="3"/>
      <c r="H3431" s="3"/>
      <c r="I3431" s="3"/>
      <c r="J3431" s="3"/>
      <c r="K3431" s="24"/>
      <c r="L3431" s="24"/>
    </row>
    <row r="3436" spans="2:19" x14ac:dyDescent="0.35">
      <c r="B3436" s="1"/>
      <c r="C3436" s="8" t="s">
        <v>934</v>
      </c>
      <c r="D3436" s="3"/>
      <c r="E3436" s="3"/>
      <c r="F3436" s="3"/>
      <c r="G3436" s="3"/>
      <c r="H3436" s="3"/>
      <c r="I3436" s="3"/>
      <c r="J3436" s="3"/>
      <c r="K3436" s="3"/>
      <c r="L3436" s="3"/>
      <c r="R3436" s="438" t="s">
        <v>832</v>
      </c>
      <c r="S3436" s="432" t="str">
        <f>IFERROR(INDEX(Blocks!$I$2:$I$101,MATCH(62,Blocks!$A$2:$A$101,0)),"")</f>
        <v>000104460000064</v>
      </c>
    </row>
    <row r="3437" spans="2:19" x14ac:dyDescent="0.35">
      <c r="B3437" s="1"/>
      <c r="C3437" s="1"/>
      <c r="D3437" s="3"/>
      <c r="E3437" s="3"/>
      <c r="F3437" s="3"/>
      <c r="G3437" s="3"/>
      <c r="H3437" s="3"/>
      <c r="I3437" s="3"/>
      <c r="J3437" s="3"/>
      <c r="K3437" s="3"/>
      <c r="L3437" s="3"/>
      <c r="R3437" s="438" t="s">
        <v>834</v>
      </c>
      <c r="S3437" s="432" t="str">
        <f>IFERROR(INDEX(Blocks!$H$2:$H$101,MATCH(62,Blocks!$A$2:$A$101,0)),"")</f>
        <v>Gibson Gray Cane Furniture</v>
      </c>
    </row>
    <row r="3438" spans="2:19" x14ac:dyDescent="0.35">
      <c r="B3438" s="1"/>
      <c r="C3438" s="9" t="s">
        <v>835</v>
      </c>
      <c r="D3438" s="10">
        <v>30000000</v>
      </c>
      <c r="E3438" s="3"/>
      <c r="F3438" s="3"/>
      <c r="G3438" s="3"/>
      <c r="H3438" s="3"/>
      <c r="I3438" s="3"/>
      <c r="J3438" s="3"/>
      <c r="K3438" s="3"/>
      <c r="L3438" s="3"/>
      <c r="R3438" s="438" t="s">
        <v>223</v>
      </c>
      <c r="S3438" s="433">
        <f>IFERROR(INDEX('E-Banker master'!$N$2:$N$186,MATCH(S3436,'E-Banker master'!$A$2:$A$186,0)),"")</f>
        <v>30000000</v>
      </c>
    </row>
    <row r="3439" spans="2:19" x14ac:dyDescent="0.35">
      <c r="B3439" s="1"/>
      <c r="C3439" s="11" t="s">
        <v>837</v>
      </c>
      <c r="D3439" s="12">
        <v>0.1</v>
      </c>
      <c r="E3439" s="13"/>
      <c r="F3439" s="3"/>
      <c r="G3439" s="3"/>
      <c r="H3439" s="3"/>
      <c r="I3439" s="3"/>
      <c r="J3439" s="3"/>
      <c r="K3439" s="3"/>
      <c r="L3439" s="3"/>
      <c r="R3439" s="438" t="s">
        <v>52</v>
      </c>
      <c r="S3439" s="433">
        <f>IFERROR(INDEX('E-Banker master'!$P$2:$P$186,MATCH(S3436,'E-Banker master'!$A$2:$A$186,0)),"")</f>
        <v>14070777.51</v>
      </c>
    </row>
    <row r="3440" spans="2:19" x14ac:dyDescent="0.35">
      <c r="B3440" s="1"/>
      <c r="C3440" s="11" t="s">
        <v>838</v>
      </c>
      <c r="D3440" s="14">
        <v>2</v>
      </c>
      <c r="E3440" s="1"/>
      <c r="F3440" s="3"/>
      <c r="G3440" s="3"/>
      <c r="H3440" s="3"/>
      <c r="I3440" s="3"/>
      <c r="J3440" s="3"/>
      <c r="K3440" s="1"/>
      <c r="L3440" s="1"/>
    </row>
    <row r="3441" spans="2:12" x14ac:dyDescent="0.35">
      <c r="B3441" s="1"/>
      <c r="C3441" s="11" t="s">
        <v>839</v>
      </c>
      <c r="D3441" s="14">
        <v>12</v>
      </c>
      <c r="E3441" s="1"/>
      <c r="F3441" s="3"/>
      <c r="G3441" s="3"/>
      <c r="H3441" s="3"/>
      <c r="I3441" s="3"/>
      <c r="J3441" s="3"/>
      <c r="K3441" s="1"/>
      <c r="L3441" s="1"/>
    </row>
    <row r="3442" spans="2:12" x14ac:dyDescent="0.35">
      <c r="B3442" s="1"/>
      <c r="C3442" s="11" t="s">
        <v>843</v>
      </c>
      <c r="D3442" s="15">
        <f>D3440*D3441</f>
        <v>24</v>
      </c>
      <c r="E3442" s="1"/>
      <c r="F3442" s="3"/>
      <c r="G3442" s="3"/>
      <c r="H3442" s="3"/>
      <c r="I3442" s="3"/>
      <c r="J3442" s="3"/>
      <c r="K3442" s="1"/>
      <c r="L3442" s="1"/>
    </row>
    <row r="3443" spans="2:12" x14ac:dyDescent="0.35">
      <c r="B3443" s="1"/>
      <c r="C3443" s="11" t="s">
        <v>844</v>
      </c>
      <c r="D3443" s="16">
        <v>365</v>
      </c>
      <c r="E3443" s="1"/>
      <c r="F3443" s="3"/>
      <c r="G3443" s="3"/>
      <c r="H3443" s="3"/>
      <c r="I3443" s="3"/>
      <c r="J3443" s="3"/>
      <c r="K3443" s="1"/>
      <c r="L3443" s="1"/>
    </row>
    <row r="3444" spans="2:12" x14ac:dyDescent="0.35">
      <c r="B3444" s="1"/>
      <c r="C3444" s="17" t="s">
        <v>845</v>
      </c>
      <c r="D3444" s="18">
        <f>-PMT(D3439/D3441,D3442,D3438,0,0)</f>
        <v>1384347.7901254953</v>
      </c>
      <c r="E3444" s="3"/>
      <c r="F3444" s="3"/>
      <c r="G3444" s="3"/>
      <c r="H3444" s="3"/>
      <c r="I3444" s="3"/>
      <c r="J3444" s="3"/>
      <c r="K3444" s="1"/>
      <c r="L3444" s="1"/>
    </row>
    <row r="3445" spans="2:12" x14ac:dyDescent="0.35">
      <c r="B3445" s="1"/>
      <c r="C3445" s="1"/>
      <c r="D3445" s="3"/>
      <c r="E3445" s="3"/>
      <c r="F3445" s="3"/>
      <c r="G3445" s="3"/>
      <c r="H3445" s="3"/>
      <c r="I3445" s="3"/>
      <c r="J3445" s="3"/>
      <c r="K3445" s="1"/>
      <c r="L3445" s="1"/>
    </row>
    <row r="3446" spans="2:12" x14ac:dyDescent="0.35">
      <c r="B3446" s="1"/>
      <c r="C3446" s="19" t="s">
        <v>846</v>
      </c>
      <c r="D3446" s="20" t="s">
        <v>847</v>
      </c>
      <c r="E3446" s="20" t="s">
        <v>764</v>
      </c>
      <c r="F3446" s="270" t="s">
        <v>848</v>
      </c>
      <c r="G3446" s="270" t="s">
        <v>849</v>
      </c>
      <c r="H3446" s="270" t="s">
        <v>742</v>
      </c>
      <c r="I3446" s="270" t="s">
        <v>740</v>
      </c>
      <c r="J3446" s="270" t="s">
        <v>850</v>
      </c>
      <c r="K3446" s="21" t="s">
        <v>851</v>
      </c>
      <c r="L3446" s="21" t="s">
        <v>852</v>
      </c>
    </row>
    <row r="3447" spans="2:12" x14ac:dyDescent="0.35">
      <c r="B3447" s="1">
        <v>1</v>
      </c>
      <c r="C3447" s="22">
        <v>45048</v>
      </c>
      <c r="D3447" s="22">
        <v>45077</v>
      </c>
      <c r="E3447" s="23">
        <f t="shared" ref="E3447:E3470" si="552">D3447-C3447+1</f>
        <v>30</v>
      </c>
      <c r="F3447" s="3">
        <f>D3438</f>
        <v>30000000</v>
      </c>
      <c r="G3447" s="3"/>
      <c r="H3447" s="3">
        <f t="shared" ref="H3447:H3470" si="553">($D$3439/$D$3441*F3447)</f>
        <v>250000</v>
      </c>
      <c r="I3447" s="3">
        <f>-H3447</f>
        <v>-250000</v>
      </c>
      <c r="J3447" s="3">
        <f t="shared" ref="J3447:J3470" si="554">F3447-I3447</f>
        <v>30250000</v>
      </c>
      <c r="K3447" s="24"/>
      <c r="L3447" s="24"/>
    </row>
    <row r="3448" spans="2:12" x14ac:dyDescent="0.35">
      <c r="B3448" s="1">
        <v>2</v>
      </c>
      <c r="C3448" s="22">
        <v>45078</v>
      </c>
      <c r="D3448" s="22">
        <v>45107</v>
      </c>
      <c r="E3448" s="23">
        <f t="shared" si="552"/>
        <v>30</v>
      </c>
      <c r="F3448" s="3">
        <f t="shared" ref="F3448:F3470" si="555">J3447</f>
        <v>30250000</v>
      </c>
      <c r="G3448" s="3"/>
      <c r="H3448" s="3">
        <f t="shared" si="553"/>
        <v>252083.33333333334</v>
      </c>
      <c r="I3448" s="3">
        <f>-H3448</f>
        <v>-252083.33333333334</v>
      </c>
      <c r="J3448" s="3">
        <f t="shared" si="554"/>
        <v>30502083.333333332</v>
      </c>
    </row>
    <row r="3449" spans="2:12" x14ac:dyDescent="0.35">
      <c r="B3449" s="1">
        <v>3</v>
      </c>
      <c r="C3449" s="22">
        <v>45108</v>
      </c>
      <c r="D3449" s="22">
        <v>45138</v>
      </c>
      <c r="E3449" s="23">
        <f t="shared" si="552"/>
        <v>31</v>
      </c>
      <c r="F3449" s="3">
        <f t="shared" si="555"/>
        <v>30502083.333333332</v>
      </c>
      <c r="G3449" s="3"/>
      <c r="H3449" s="3">
        <f t="shared" si="553"/>
        <v>254184.02777777775</v>
      </c>
      <c r="I3449" s="3">
        <f>-H3449</f>
        <v>-254184.02777777775</v>
      </c>
      <c r="J3449" s="3">
        <f t="shared" si="554"/>
        <v>30756267.361111108</v>
      </c>
      <c r="K3449" s="24"/>
      <c r="L3449" s="24"/>
    </row>
    <row r="3450" spans="2:12" x14ac:dyDescent="0.35">
      <c r="B3450" s="1">
        <v>4</v>
      </c>
      <c r="C3450" s="22">
        <v>45139</v>
      </c>
      <c r="D3450" s="22">
        <v>45169</v>
      </c>
      <c r="E3450" s="23">
        <f t="shared" si="552"/>
        <v>31</v>
      </c>
      <c r="F3450" s="3">
        <f t="shared" si="555"/>
        <v>30756267.361111108</v>
      </c>
      <c r="G3450" s="3">
        <f t="shared" ref="G3450:G3470" si="556">-PMT($D$3439/$D$3441,21,$F$3450,,0)</f>
        <v>1602549.6376483773</v>
      </c>
      <c r="H3450" s="3">
        <f t="shared" si="553"/>
        <v>256302.22800925924</v>
      </c>
      <c r="I3450" s="3">
        <f t="shared" ref="I3450:I3470" si="557">G3450-H3450</f>
        <v>1346247.409639118</v>
      </c>
      <c r="J3450" s="3">
        <f t="shared" si="554"/>
        <v>29410019.951471992</v>
      </c>
      <c r="K3450" s="24">
        <v>1602250</v>
      </c>
      <c r="L3450" s="24">
        <f t="shared" ref="L3450:L3464" si="558">L3449+G3450-K3450</f>
        <v>299.6376483773347</v>
      </c>
    </row>
    <row r="3451" spans="2:12" x14ac:dyDescent="0.35">
      <c r="B3451" s="1">
        <v>5</v>
      </c>
      <c r="C3451" s="22">
        <v>45170</v>
      </c>
      <c r="D3451" s="22">
        <v>45199</v>
      </c>
      <c r="E3451" s="23">
        <f t="shared" si="552"/>
        <v>30</v>
      </c>
      <c r="F3451" s="3">
        <f t="shared" si="555"/>
        <v>29410019.951471992</v>
      </c>
      <c r="G3451" s="3">
        <f t="shared" si="556"/>
        <v>1602549.6376483773</v>
      </c>
      <c r="H3451" s="3">
        <f t="shared" si="553"/>
        <v>245083.49959559992</v>
      </c>
      <c r="I3451" s="3">
        <f t="shared" si="557"/>
        <v>1357466.1380527774</v>
      </c>
      <c r="J3451" s="3">
        <f t="shared" si="554"/>
        <v>28052553.813419215</v>
      </c>
      <c r="K3451" s="24"/>
      <c r="L3451" s="24">
        <f t="shared" si="558"/>
        <v>1602849.2752967547</v>
      </c>
    </row>
    <row r="3452" spans="2:12" x14ac:dyDescent="0.35">
      <c r="B3452" s="1">
        <v>6</v>
      </c>
      <c r="C3452" s="22">
        <v>45200</v>
      </c>
      <c r="D3452" s="22">
        <v>45230</v>
      </c>
      <c r="E3452" s="23">
        <f t="shared" si="552"/>
        <v>31</v>
      </c>
      <c r="F3452" s="3">
        <f t="shared" si="555"/>
        <v>28052553.813419215</v>
      </c>
      <c r="G3452" s="3">
        <f t="shared" si="556"/>
        <v>1602549.6376483773</v>
      </c>
      <c r="H3452" s="3">
        <f t="shared" si="553"/>
        <v>233771.28177849346</v>
      </c>
      <c r="I3452" s="3">
        <f t="shared" si="557"/>
        <v>1368778.3558698839</v>
      </c>
      <c r="J3452" s="3">
        <f t="shared" si="554"/>
        <v>26683775.45754933</v>
      </c>
      <c r="K3452" s="24">
        <v>1600000</v>
      </c>
      <c r="L3452" s="24">
        <f t="shared" si="558"/>
        <v>1605398.9129451318</v>
      </c>
    </row>
    <row r="3453" spans="2:12" x14ac:dyDescent="0.35">
      <c r="B3453" s="1">
        <v>7</v>
      </c>
      <c r="C3453" s="22">
        <v>45231</v>
      </c>
      <c r="D3453" s="22">
        <v>45260</v>
      </c>
      <c r="E3453" s="23">
        <f t="shared" si="552"/>
        <v>30</v>
      </c>
      <c r="F3453" s="3">
        <f t="shared" si="555"/>
        <v>26683775.45754933</v>
      </c>
      <c r="G3453" s="3">
        <f t="shared" si="556"/>
        <v>1602549.6376483773</v>
      </c>
      <c r="H3453" s="3">
        <f t="shared" si="553"/>
        <v>222364.79547957773</v>
      </c>
      <c r="I3453" s="3">
        <f t="shared" si="557"/>
        <v>1380184.8421687996</v>
      </c>
      <c r="J3453" s="3">
        <f t="shared" si="554"/>
        <v>25303590.615380529</v>
      </c>
      <c r="K3453" s="24"/>
      <c r="L3453" s="24">
        <f t="shared" si="558"/>
        <v>3207948.5505935093</v>
      </c>
    </row>
    <row r="3454" spans="2:12" x14ac:dyDescent="0.35">
      <c r="B3454" s="1">
        <v>8</v>
      </c>
      <c r="C3454" s="22">
        <v>45261</v>
      </c>
      <c r="D3454" s="22">
        <v>45291</v>
      </c>
      <c r="E3454" s="23">
        <f t="shared" si="552"/>
        <v>31</v>
      </c>
      <c r="F3454" s="3">
        <f t="shared" si="555"/>
        <v>25303590.615380529</v>
      </c>
      <c r="G3454" s="3">
        <f t="shared" si="556"/>
        <v>1602549.6376483773</v>
      </c>
      <c r="H3454" s="3">
        <f t="shared" si="553"/>
        <v>210863.25512817106</v>
      </c>
      <c r="I3454" s="3">
        <f t="shared" si="557"/>
        <v>1391686.3825202063</v>
      </c>
      <c r="J3454" s="3">
        <f t="shared" si="554"/>
        <v>23911904.232860323</v>
      </c>
      <c r="K3454" s="24"/>
      <c r="L3454" s="24">
        <f t="shared" si="558"/>
        <v>4810498.1882418869</v>
      </c>
    </row>
    <row r="3455" spans="2:12" x14ac:dyDescent="0.35">
      <c r="B3455" s="1">
        <v>9</v>
      </c>
      <c r="C3455" s="22">
        <v>45292</v>
      </c>
      <c r="D3455" s="22">
        <v>45322</v>
      </c>
      <c r="E3455" s="23">
        <f t="shared" si="552"/>
        <v>31</v>
      </c>
      <c r="F3455" s="3">
        <f t="shared" si="555"/>
        <v>23911904.232860323</v>
      </c>
      <c r="G3455" s="3">
        <f t="shared" si="556"/>
        <v>1602549.6376483773</v>
      </c>
      <c r="H3455" s="3">
        <f t="shared" si="553"/>
        <v>199265.86860716937</v>
      </c>
      <c r="I3455" s="3">
        <f t="shared" si="557"/>
        <v>1403283.7690412081</v>
      </c>
      <c r="J3455" s="3">
        <f t="shared" si="554"/>
        <v>22508620.463819116</v>
      </c>
      <c r="K3455" s="24"/>
      <c r="L3455" s="24">
        <f t="shared" si="558"/>
        <v>6413047.8258902645</v>
      </c>
    </row>
    <row r="3456" spans="2:12" x14ac:dyDescent="0.35">
      <c r="B3456" s="1">
        <v>10</v>
      </c>
      <c r="C3456" s="22">
        <v>45323</v>
      </c>
      <c r="D3456" s="22">
        <v>45351</v>
      </c>
      <c r="E3456" s="23">
        <f t="shared" si="552"/>
        <v>29</v>
      </c>
      <c r="F3456" s="3">
        <f t="shared" si="555"/>
        <v>22508620.463819116</v>
      </c>
      <c r="G3456" s="3">
        <f t="shared" si="556"/>
        <v>1602549.6376483773</v>
      </c>
      <c r="H3456" s="3">
        <f t="shared" si="553"/>
        <v>187571.83719849263</v>
      </c>
      <c r="I3456" s="3">
        <f t="shared" si="557"/>
        <v>1414977.8004498847</v>
      </c>
      <c r="J3456" s="3">
        <f t="shared" si="554"/>
        <v>21093642.663369231</v>
      </c>
      <c r="K3456" s="24">
        <v>3850000</v>
      </c>
      <c r="L3456" s="24">
        <f t="shared" si="558"/>
        <v>4165597.463538642</v>
      </c>
    </row>
    <row r="3457" spans="2:12" x14ac:dyDescent="0.35">
      <c r="B3457" s="1">
        <v>11</v>
      </c>
      <c r="C3457" s="22">
        <v>45352</v>
      </c>
      <c r="D3457" s="22">
        <v>45382</v>
      </c>
      <c r="E3457" s="23">
        <f t="shared" si="552"/>
        <v>31</v>
      </c>
      <c r="F3457" s="3">
        <f t="shared" si="555"/>
        <v>21093642.663369231</v>
      </c>
      <c r="G3457" s="3">
        <f t="shared" si="556"/>
        <v>1602549.6376483773</v>
      </c>
      <c r="H3457" s="3">
        <f t="shared" si="553"/>
        <v>175780.35552807694</v>
      </c>
      <c r="I3457" s="3">
        <f t="shared" si="557"/>
        <v>1426769.2821203005</v>
      </c>
      <c r="J3457" s="3">
        <f t="shared" si="554"/>
        <v>19666873.381248929</v>
      </c>
      <c r="K3457" s="24"/>
      <c r="L3457" s="24">
        <f t="shared" si="558"/>
        <v>5768147.1011870196</v>
      </c>
    </row>
    <row r="3458" spans="2:12" x14ac:dyDescent="0.35">
      <c r="B3458" s="1">
        <v>12</v>
      </c>
      <c r="C3458" s="22">
        <v>45383</v>
      </c>
      <c r="D3458" s="22">
        <v>45412</v>
      </c>
      <c r="E3458" s="23">
        <f t="shared" si="552"/>
        <v>30</v>
      </c>
      <c r="F3458" s="3">
        <f t="shared" si="555"/>
        <v>19666873.381248929</v>
      </c>
      <c r="G3458" s="3">
        <f t="shared" si="556"/>
        <v>1602549.6376483773</v>
      </c>
      <c r="H3458" s="3">
        <f t="shared" si="553"/>
        <v>163890.61151040773</v>
      </c>
      <c r="I3458" s="3">
        <f t="shared" si="557"/>
        <v>1438659.0261379697</v>
      </c>
      <c r="J3458" s="3">
        <f t="shared" si="554"/>
        <v>18228214.355110958</v>
      </c>
      <c r="K3458" s="24">
        <v>1600000</v>
      </c>
      <c r="L3458" s="24">
        <f t="shared" si="558"/>
        <v>5770696.7388353972</v>
      </c>
    </row>
    <row r="3459" spans="2:12" x14ac:dyDescent="0.35">
      <c r="B3459" s="1">
        <v>13</v>
      </c>
      <c r="C3459" s="22">
        <v>45413</v>
      </c>
      <c r="D3459" s="22">
        <v>45443</v>
      </c>
      <c r="E3459" s="23">
        <f t="shared" si="552"/>
        <v>31</v>
      </c>
      <c r="F3459" s="3">
        <f t="shared" si="555"/>
        <v>18228214.355110958</v>
      </c>
      <c r="G3459" s="3">
        <f t="shared" si="556"/>
        <v>1602549.6376483773</v>
      </c>
      <c r="H3459" s="3">
        <f t="shared" si="553"/>
        <v>151901.78629259131</v>
      </c>
      <c r="I3459" s="3">
        <f t="shared" si="557"/>
        <v>1450647.851355786</v>
      </c>
      <c r="J3459" s="3">
        <f t="shared" si="554"/>
        <v>16777566.503755171</v>
      </c>
      <c r="K3459" s="24">
        <v>1600000</v>
      </c>
      <c r="L3459" s="24">
        <f t="shared" si="558"/>
        <v>5773246.3764837747</v>
      </c>
    </row>
    <row r="3460" spans="2:12" x14ac:dyDescent="0.35">
      <c r="B3460" s="1">
        <v>14</v>
      </c>
      <c r="C3460" s="22">
        <v>45444</v>
      </c>
      <c r="D3460" s="22">
        <v>45473</v>
      </c>
      <c r="E3460" s="23">
        <f t="shared" si="552"/>
        <v>30</v>
      </c>
      <c r="F3460" s="3">
        <f t="shared" si="555"/>
        <v>16777566.503755171</v>
      </c>
      <c r="G3460" s="3">
        <f t="shared" si="556"/>
        <v>1602549.6376483773</v>
      </c>
      <c r="H3460" s="3">
        <f t="shared" si="553"/>
        <v>139813.05419795975</v>
      </c>
      <c r="I3460" s="3">
        <f t="shared" si="557"/>
        <v>1462736.5834504175</v>
      </c>
      <c r="J3460" s="3">
        <f t="shared" si="554"/>
        <v>15314829.920304753</v>
      </c>
      <c r="K3460" s="24">
        <v>1600000</v>
      </c>
      <c r="L3460" s="24">
        <f t="shared" si="558"/>
        <v>5775796.0141321523</v>
      </c>
    </row>
    <row r="3461" spans="2:12" x14ac:dyDescent="0.35">
      <c r="B3461" s="1">
        <v>15</v>
      </c>
      <c r="C3461" s="22">
        <v>45474</v>
      </c>
      <c r="D3461" s="22">
        <v>45504</v>
      </c>
      <c r="E3461" s="23">
        <f t="shared" si="552"/>
        <v>31</v>
      </c>
      <c r="F3461" s="3">
        <f t="shared" si="555"/>
        <v>15314829.920304753</v>
      </c>
      <c r="G3461" s="3">
        <f t="shared" si="556"/>
        <v>1602549.6376483773</v>
      </c>
      <c r="H3461" s="3">
        <f t="shared" si="553"/>
        <v>127623.58266920627</v>
      </c>
      <c r="I3461" s="3">
        <f t="shared" si="557"/>
        <v>1474926.0549791711</v>
      </c>
      <c r="J3461" s="3">
        <f t="shared" si="554"/>
        <v>13839903.865325581</v>
      </c>
      <c r="K3461" s="24">
        <v>1600000</v>
      </c>
      <c r="L3461" s="24">
        <f t="shared" si="558"/>
        <v>5778345.6517805299</v>
      </c>
    </row>
    <row r="3462" spans="2:12" x14ac:dyDescent="0.35">
      <c r="B3462" s="1">
        <v>16</v>
      </c>
      <c r="C3462" s="22">
        <v>45505</v>
      </c>
      <c r="D3462" s="22">
        <v>45535</v>
      </c>
      <c r="E3462" s="23">
        <f t="shared" si="552"/>
        <v>31</v>
      </c>
      <c r="F3462" s="3">
        <f t="shared" si="555"/>
        <v>13839903.865325581</v>
      </c>
      <c r="G3462" s="3">
        <f t="shared" si="556"/>
        <v>1602549.6376483773</v>
      </c>
      <c r="H3462" s="3">
        <f t="shared" si="553"/>
        <v>115332.53221104651</v>
      </c>
      <c r="I3462" s="3">
        <f t="shared" si="557"/>
        <v>1487217.1054373309</v>
      </c>
      <c r="J3462" s="3">
        <f t="shared" si="554"/>
        <v>12352686.75988825</v>
      </c>
      <c r="K3462" s="24"/>
      <c r="L3462" s="24">
        <f t="shared" si="558"/>
        <v>7380895.2894289074</v>
      </c>
    </row>
    <row r="3463" spans="2:12" x14ac:dyDescent="0.35">
      <c r="B3463" s="1">
        <v>17</v>
      </c>
      <c r="C3463" s="22">
        <v>45536</v>
      </c>
      <c r="D3463" s="22">
        <v>45565</v>
      </c>
      <c r="E3463" s="23">
        <f t="shared" si="552"/>
        <v>30</v>
      </c>
      <c r="F3463" s="3">
        <f t="shared" si="555"/>
        <v>12352686.75988825</v>
      </c>
      <c r="G3463" s="3">
        <f t="shared" si="556"/>
        <v>1602549.6376483773</v>
      </c>
      <c r="H3463" s="3">
        <f t="shared" si="553"/>
        <v>102939.05633240209</v>
      </c>
      <c r="I3463" s="3">
        <f t="shared" si="557"/>
        <v>1499610.5813159752</v>
      </c>
      <c r="J3463" s="3">
        <f t="shared" si="554"/>
        <v>10853076.178572275</v>
      </c>
      <c r="K3463" s="24">
        <v>2000000</v>
      </c>
      <c r="L3463" s="24">
        <f t="shared" si="558"/>
        <v>6983444.9270772841</v>
      </c>
    </row>
    <row r="3464" spans="2:12" x14ac:dyDescent="0.35">
      <c r="B3464" s="1">
        <v>18</v>
      </c>
      <c r="C3464" s="22">
        <v>45566</v>
      </c>
      <c r="D3464" s="22">
        <v>45596</v>
      </c>
      <c r="E3464" s="23">
        <f t="shared" si="552"/>
        <v>31</v>
      </c>
      <c r="F3464" s="3">
        <f t="shared" si="555"/>
        <v>10853076.178572275</v>
      </c>
      <c r="G3464" s="3">
        <f t="shared" si="556"/>
        <v>1602549.6376483773</v>
      </c>
      <c r="H3464" s="3">
        <f t="shared" si="553"/>
        <v>90442.301488102283</v>
      </c>
      <c r="I3464" s="3">
        <f t="shared" si="557"/>
        <v>1512107.3361602752</v>
      </c>
      <c r="J3464" s="3">
        <f t="shared" si="554"/>
        <v>9340968.8424119987</v>
      </c>
      <c r="K3464" s="24">
        <v>4000000</v>
      </c>
      <c r="L3464" s="204">
        <f t="shared" si="558"/>
        <v>4585994.5647256617</v>
      </c>
    </row>
    <row r="3465" spans="2:12" x14ac:dyDescent="0.35">
      <c r="B3465" s="1">
        <v>19</v>
      </c>
      <c r="C3465" s="22">
        <v>45597</v>
      </c>
      <c r="D3465" s="22">
        <v>45626</v>
      </c>
      <c r="E3465" s="23">
        <f t="shared" si="552"/>
        <v>30</v>
      </c>
      <c r="F3465" s="3">
        <f t="shared" si="555"/>
        <v>9340968.8424119987</v>
      </c>
      <c r="G3465" s="3">
        <f t="shared" si="556"/>
        <v>1602549.6376483773</v>
      </c>
      <c r="H3465" s="3">
        <f t="shared" si="553"/>
        <v>77841.407020099985</v>
      </c>
      <c r="I3465" s="3">
        <f t="shared" si="557"/>
        <v>1524708.2306282774</v>
      </c>
      <c r="J3465" s="3">
        <f t="shared" si="554"/>
        <v>7816260.6117837215</v>
      </c>
      <c r="K3465" s="24"/>
      <c r="L3465" s="24"/>
    </row>
    <row r="3466" spans="2:12" x14ac:dyDescent="0.35">
      <c r="B3466" s="1">
        <v>20</v>
      </c>
      <c r="C3466" s="22">
        <v>45627</v>
      </c>
      <c r="D3466" s="22">
        <v>45657</v>
      </c>
      <c r="E3466" s="23">
        <f t="shared" si="552"/>
        <v>31</v>
      </c>
      <c r="F3466" s="3">
        <f t="shared" si="555"/>
        <v>7816260.6117837215</v>
      </c>
      <c r="G3466" s="3">
        <f t="shared" si="556"/>
        <v>1602549.6376483773</v>
      </c>
      <c r="H3466" s="3">
        <f t="shared" si="553"/>
        <v>65135.505098197675</v>
      </c>
      <c r="I3466" s="3">
        <f t="shared" si="557"/>
        <v>1537414.1325501797</v>
      </c>
      <c r="J3466" s="3">
        <f t="shared" si="554"/>
        <v>6278846.4792335415</v>
      </c>
      <c r="K3466" s="24"/>
      <c r="L3466" s="24"/>
    </row>
    <row r="3467" spans="2:12" x14ac:dyDescent="0.35">
      <c r="B3467" s="1">
        <v>21</v>
      </c>
      <c r="C3467" s="22">
        <v>45658</v>
      </c>
      <c r="D3467" s="22">
        <v>45688</v>
      </c>
      <c r="E3467" s="23">
        <f t="shared" si="552"/>
        <v>31</v>
      </c>
      <c r="F3467" s="3">
        <f t="shared" si="555"/>
        <v>6278846.4792335415</v>
      </c>
      <c r="G3467" s="3">
        <f t="shared" si="556"/>
        <v>1602549.6376483773</v>
      </c>
      <c r="H3467" s="3">
        <f t="shared" si="553"/>
        <v>52323.720660279512</v>
      </c>
      <c r="I3467" s="3">
        <f t="shared" si="557"/>
        <v>1550225.9169880978</v>
      </c>
      <c r="J3467" s="3">
        <f t="shared" si="554"/>
        <v>4728620.5622454435</v>
      </c>
      <c r="K3467" s="24"/>
      <c r="L3467" s="24"/>
    </row>
    <row r="3468" spans="2:12" x14ac:dyDescent="0.35">
      <c r="B3468" s="1">
        <v>22</v>
      </c>
      <c r="C3468" s="22">
        <v>45689</v>
      </c>
      <c r="D3468" s="22">
        <v>45716</v>
      </c>
      <c r="E3468" s="23">
        <f t="shared" si="552"/>
        <v>28</v>
      </c>
      <c r="F3468" s="3">
        <f t="shared" si="555"/>
        <v>4728620.5622454435</v>
      </c>
      <c r="G3468" s="3">
        <f t="shared" si="556"/>
        <v>1602549.6376483773</v>
      </c>
      <c r="H3468" s="3">
        <f t="shared" si="553"/>
        <v>39405.171352045363</v>
      </c>
      <c r="I3468" s="3">
        <f t="shared" si="557"/>
        <v>1563144.466296332</v>
      </c>
      <c r="J3468" s="3">
        <f t="shared" si="554"/>
        <v>3165476.0959491115</v>
      </c>
      <c r="K3468" s="24"/>
      <c r="L3468" s="24"/>
    </row>
    <row r="3469" spans="2:12" x14ac:dyDescent="0.35">
      <c r="B3469" s="1">
        <v>23</v>
      </c>
      <c r="C3469" s="22">
        <v>45717</v>
      </c>
      <c r="D3469" s="22">
        <v>45747</v>
      </c>
      <c r="E3469" s="23">
        <f t="shared" si="552"/>
        <v>31</v>
      </c>
      <c r="F3469" s="3">
        <f t="shared" si="555"/>
        <v>3165476.0959491115</v>
      </c>
      <c r="G3469" s="3">
        <f t="shared" si="556"/>
        <v>1602549.6376483773</v>
      </c>
      <c r="H3469" s="3">
        <f t="shared" si="553"/>
        <v>26378.967466242597</v>
      </c>
      <c r="I3469" s="3">
        <f t="shared" si="557"/>
        <v>1576170.6701821347</v>
      </c>
      <c r="J3469" s="3">
        <f t="shared" si="554"/>
        <v>1589305.4257669768</v>
      </c>
      <c r="K3469" s="24"/>
      <c r="L3469" s="24"/>
    </row>
    <row r="3470" spans="2:12" x14ac:dyDescent="0.35">
      <c r="B3470" s="1">
        <v>24</v>
      </c>
      <c r="C3470" s="22">
        <v>45748</v>
      </c>
      <c r="D3470" s="22">
        <v>45777</v>
      </c>
      <c r="E3470" s="23">
        <f t="shared" si="552"/>
        <v>30</v>
      </c>
      <c r="F3470" s="3">
        <f t="shared" si="555"/>
        <v>1589305.4257669768</v>
      </c>
      <c r="G3470" s="3">
        <f t="shared" si="556"/>
        <v>1602549.6376483773</v>
      </c>
      <c r="H3470" s="3">
        <f t="shared" si="553"/>
        <v>13244.211881391473</v>
      </c>
      <c r="I3470" s="3">
        <f t="shared" si="557"/>
        <v>1589305.4257669859</v>
      </c>
      <c r="J3470" s="3">
        <f t="shared" si="554"/>
        <v>-9.0803951025009155E-9</v>
      </c>
      <c r="K3470" s="24"/>
      <c r="L3470" s="24"/>
    </row>
    <row r="3471" spans="2:12" x14ac:dyDescent="0.35">
      <c r="B3471" s="1"/>
      <c r="C3471" s="22"/>
      <c r="D3471" s="22"/>
      <c r="E3471" s="28">
        <f>SUM(E3447:E3470)</f>
        <v>730</v>
      </c>
      <c r="F3471" s="3"/>
      <c r="G3471" s="3"/>
      <c r="H3471" s="3"/>
      <c r="I3471" s="3"/>
      <c r="J3471" s="3"/>
      <c r="K3471" s="24"/>
      <c r="L3471" s="24"/>
    </row>
    <row r="3474" spans="2:19" x14ac:dyDescent="0.35">
      <c r="B3474" s="1"/>
      <c r="C3474" s="8" t="s">
        <v>644</v>
      </c>
      <c r="D3474" s="3"/>
      <c r="E3474" s="3"/>
      <c r="F3474" s="3"/>
      <c r="G3474" s="3"/>
      <c r="H3474" s="3"/>
      <c r="I3474" s="3"/>
      <c r="J3474" s="3"/>
      <c r="K3474" s="3"/>
      <c r="L3474" s="3"/>
      <c r="R3474" s="438" t="s">
        <v>832</v>
      </c>
      <c r="S3474" s="432" t="str">
        <f>IFERROR(INDEX(Blocks!$I$2:$I$101,MATCH(63,Blocks!$A$2:$A$101,0)),"")</f>
        <v>000104460000065</v>
      </c>
    </row>
    <row r="3475" spans="2:19" x14ac:dyDescent="0.35">
      <c r="B3475" s="1"/>
      <c r="C3475" s="1"/>
      <c r="D3475" s="3"/>
      <c r="E3475" s="3"/>
      <c r="F3475" s="3"/>
      <c r="G3475" s="3"/>
      <c r="H3475" s="3"/>
      <c r="I3475" s="3"/>
      <c r="J3475" s="3"/>
      <c r="K3475" s="3"/>
      <c r="L3475" s="3"/>
      <c r="R3475" s="438" t="s">
        <v>834</v>
      </c>
      <c r="S3475" s="432" t="str">
        <f>IFERROR(INDEX(Blocks!$H$2:$H$101,MATCH(63,Blocks!$A$2:$A$101,0)),"")</f>
        <v>House of Men Clothing</v>
      </c>
    </row>
    <row r="3476" spans="2:19" x14ac:dyDescent="0.35">
      <c r="B3476" s="1"/>
      <c r="C3476" s="9" t="s">
        <v>835</v>
      </c>
      <c r="D3476" s="10">
        <v>50000000</v>
      </c>
      <c r="E3476" s="3"/>
      <c r="F3476" s="3"/>
      <c r="G3476" s="3"/>
      <c r="H3476" s="3"/>
      <c r="I3476" s="3"/>
      <c r="J3476" s="3"/>
      <c r="K3476" s="3"/>
      <c r="L3476" s="3"/>
      <c r="R3476" s="438" t="s">
        <v>223</v>
      </c>
      <c r="S3476" s="433">
        <f>IFERROR(INDEX('E-Banker master'!$N$2:$N$186,MATCH(S3474,'E-Banker master'!$A$2:$A$186,0)),"")</f>
        <v>50000000</v>
      </c>
    </row>
    <row r="3477" spans="2:19" x14ac:dyDescent="0.35">
      <c r="B3477" s="1"/>
      <c r="C3477" s="11" t="s">
        <v>837</v>
      </c>
      <c r="D3477" s="12">
        <v>0.1</v>
      </c>
      <c r="E3477" s="13"/>
      <c r="F3477" s="3"/>
      <c r="G3477" s="3"/>
      <c r="H3477" s="3"/>
      <c r="I3477" s="3"/>
      <c r="J3477" s="3"/>
      <c r="K3477" s="3"/>
      <c r="L3477" s="3"/>
      <c r="R3477" s="438" t="s">
        <v>52</v>
      </c>
      <c r="S3477" s="433">
        <f>IFERROR(INDEX('E-Banker master'!$P$2:$P$186,MATCH(S3474,'E-Banker master'!$A$2:$A$186,0)),"")</f>
        <v>40660777.880000003</v>
      </c>
    </row>
    <row r="3478" spans="2:19" x14ac:dyDescent="0.35">
      <c r="B3478" s="1"/>
      <c r="C3478" s="11" t="s">
        <v>838</v>
      </c>
      <c r="D3478" s="14">
        <v>4</v>
      </c>
      <c r="E3478" s="1"/>
      <c r="F3478" s="3"/>
      <c r="G3478" s="3"/>
      <c r="H3478" s="3"/>
      <c r="I3478" s="3"/>
      <c r="J3478" s="3"/>
      <c r="K3478" s="1"/>
      <c r="L3478" s="1"/>
    </row>
    <row r="3479" spans="2:19" x14ac:dyDescent="0.35">
      <c r="B3479" s="1"/>
      <c r="C3479" s="11" t="s">
        <v>839</v>
      </c>
      <c r="D3479" s="14">
        <v>12</v>
      </c>
      <c r="E3479" s="1"/>
      <c r="F3479" s="3"/>
      <c r="G3479" s="3"/>
      <c r="H3479" s="3"/>
      <c r="I3479" s="3"/>
      <c r="J3479" s="3"/>
      <c r="K3479" s="1"/>
      <c r="L3479" s="1"/>
    </row>
    <row r="3480" spans="2:19" x14ac:dyDescent="0.35">
      <c r="B3480" s="1"/>
      <c r="C3480" s="11" t="s">
        <v>843</v>
      </c>
      <c r="D3480" s="15">
        <f>D3478*D3479</f>
        <v>48</v>
      </c>
      <c r="E3480" s="1"/>
      <c r="F3480" s="3"/>
      <c r="G3480" s="3"/>
      <c r="H3480" s="3"/>
      <c r="I3480" s="3"/>
      <c r="J3480" s="3"/>
      <c r="K3480" s="1"/>
      <c r="L3480" s="1"/>
    </row>
    <row r="3481" spans="2:19" x14ac:dyDescent="0.35">
      <c r="B3481" s="1"/>
      <c r="C3481" s="11" t="s">
        <v>844</v>
      </c>
      <c r="D3481" s="16">
        <v>365</v>
      </c>
      <c r="E3481" s="1"/>
      <c r="F3481" s="3"/>
      <c r="G3481" s="3"/>
      <c r="H3481" s="3"/>
      <c r="I3481" s="3"/>
      <c r="J3481" s="3"/>
      <c r="K3481" s="1"/>
      <c r="L3481" s="1"/>
    </row>
    <row r="3482" spans="2:19" x14ac:dyDescent="0.35">
      <c r="B3482" s="1"/>
      <c r="C3482" s="17" t="s">
        <v>845</v>
      </c>
      <c r="D3482" s="18">
        <f>-PMT(D3477/D3479,D3480,D3476,0,0)</f>
        <v>1268129.1717373594</v>
      </c>
      <c r="E3482" s="3"/>
      <c r="F3482" s="3"/>
      <c r="G3482" s="3"/>
      <c r="H3482" s="3"/>
      <c r="I3482" s="3"/>
      <c r="J3482" s="3"/>
      <c r="K3482" s="1"/>
      <c r="L3482" s="1"/>
    </row>
    <row r="3483" spans="2:19" x14ac:dyDescent="0.35">
      <c r="B3483" s="1"/>
      <c r="C3483" s="1"/>
      <c r="D3483" s="3"/>
      <c r="E3483" s="3"/>
      <c r="F3483" s="3"/>
      <c r="G3483" s="3"/>
      <c r="H3483" s="3"/>
      <c r="I3483" s="3"/>
      <c r="J3483" s="3"/>
      <c r="K3483" s="1"/>
      <c r="L3483" s="1"/>
    </row>
    <row r="3484" spans="2:19" x14ac:dyDescent="0.35">
      <c r="B3484" s="1"/>
      <c r="C3484" s="19" t="s">
        <v>846</v>
      </c>
      <c r="D3484" s="20" t="s">
        <v>847</v>
      </c>
      <c r="E3484" s="20" t="s">
        <v>764</v>
      </c>
      <c r="F3484" s="270" t="s">
        <v>848</v>
      </c>
      <c r="G3484" s="270" t="s">
        <v>849</v>
      </c>
      <c r="H3484" s="270" t="s">
        <v>742</v>
      </c>
      <c r="I3484" s="270" t="s">
        <v>740</v>
      </c>
      <c r="J3484" s="270" t="s">
        <v>850</v>
      </c>
      <c r="K3484" s="21" t="s">
        <v>851</v>
      </c>
      <c r="L3484" s="21" t="s">
        <v>852</v>
      </c>
    </row>
    <row r="3485" spans="2:19" x14ac:dyDescent="0.35">
      <c r="B3485" s="1">
        <v>0</v>
      </c>
      <c r="C3485" s="22">
        <v>45064</v>
      </c>
      <c r="D3485" s="22">
        <v>45077</v>
      </c>
      <c r="E3485" s="23">
        <f t="shared" ref="E3485:E3516" si="559">D3485-C3485+1</f>
        <v>14</v>
      </c>
      <c r="F3485" s="3">
        <f>D3476</f>
        <v>50000000</v>
      </c>
      <c r="G3485" s="3">
        <v>0</v>
      </c>
      <c r="H3485" s="3">
        <f>D3477/D3479*E3485*F3485/31</f>
        <v>188172.04301075268</v>
      </c>
      <c r="I3485" s="3">
        <f t="shared" ref="I3485:I3516" si="560">G3485-H3485</f>
        <v>-188172.04301075268</v>
      </c>
      <c r="J3485" s="3">
        <f>F3485+F3476-I3485</f>
        <v>50188172.043010756</v>
      </c>
      <c r="K3485" s="24"/>
      <c r="L3485" s="24"/>
    </row>
    <row r="3486" spans="2:19" x14ac:dyDescent="0.35">
      <c r="B3486" s="1">
        <v>1</v>
      </c>
      <c r="C3486" s="22">
        <v>45078</v>
      </c>
      <c r="D3486" s="22">
        <v>45107</v>
      </c>
      <c r="E3486" s="23">
        <f t="shared" si="559"/>
        <v>30</v>
      </c>
      <c r="F3486" s="3">
        <f t="shared" ref="F3486:F3533" si="561">J3485</f>
        <v>50188172.043010756</v>
      </c>
      <c r="G3486" s="3">
        <v>0</v>
      </c>
      <c r="H3486" s="3">
        <f t="shared" ref="H3486:H3533" si="562">($D$3477/$D$3479*F3486)</f>
        <v>418234.76702508965</v>
      </c>
      <c r="I3486" s="3">
        <f t="shared" si="560"/>
        <v>-418234.76702508965</v>
      </c>
      <c r="J3486" s="3">
        <f t="shared" ref="J3486:J3533" si="563">F3486-I3486</f>
        <v>50606406.810035847</v>
      </c>
      <c r="K3486" s="24"/>
      <c r="L3486" s="24"/>
    </row>
    <row r="3487" spans="2:19" x14ac:dyDescent="0.35">
      <c r="B3487" s="1">
        <v>2</v>
      </c>
      <c r="C3487" s="22">
        <v>45108</v>
      </c>
      <c r="D3487" s="22">
        <v>45138</v>
      </c>
      <c r="E3487" s="23">
        <f t="shared" si="559"/>
        <v>31</v>
      </c>
      <c r="F3487" s="3">
        <f t="shared" si="561"/>
        <v>50606406.810035847</v>
      </c>
      <c r="G3487" s="3">
        <v>0</v>
      </c>
      <c r="H3487" s="3">
        <f t="shared" si="562"/>
        <v>421720.05675029871</v>
      </c>
      <c r="I3487" s="3">
        <f t="shared" si="560"/>
        <v>-421720.05675029871</v>
      </c>
      <c r="J3487" s="3">
        <f t="shared" si="563"/>
        <v>51028126.866786145</v>
      </c>
    </row>
    <row r="3488" spans="2:19" x14ac:dyDescent="0.35">
      <c r="B3488" s="1">
        <v>3</v>
      </c>
      <c r="C3488" s="22">
        <v>45139</v>
      </c>
      <c r="D3488" s="22">
        <v>45169</v>
      </c>
      <c r="E3488" s="23">
        <f t="shared" si="559"/>
        <v>31</v>
      </c>
      <c r="F3488" s="3">
        <f t="shared" si="561"/>
        <v>51028126.866786145</v>
      </c>
      <c r="G3488" s="3">
        <v>0</v>
      </c>
      <c r="H3488" s="3">
        <f t="shared" si="562"/>
        <v>425234.39055655123</v>
      </c>
      <c r="I3488" s="3">
        <f t="shared" si="560"/>
        <v>-425234.39055655123</v>
      </c>
      <c r="J3488" s="3">
        <f t="shared" si="563"/>
        <v>51453361.257342696</v>
      </c>
      <c r="K3488" s="24"/>
      <c r="L3488" s="24"/>
    </row>
    <row r="3489" spans="2:12" x14ac:dyDescent="0.35">
      <c r="B3489" s="1">
        <v>4</v>
      </c>
      <c r="C3489" s="22">
        <v>45170</v>
      </c>
      <c r="D3489" s="22">
        <v>45199</v>
      </c>
      <c r="E3489" s="23">
        <f t="shared" si="559"/>
        <v>30</v>
      </c>
      <c r="F3489" s="3">
        <f t="shared" si="561"/>
        <v>51453361.257342696</v>
      </c>
      <c r="G3489" s="3">
        <v>0</v>
      </c>
      <c r="H3489" s="3">
        <f t="shared" si="562"/>
        <v>428778.0104778558</v>
      </c>
      <c r="I3489" s="3">
        <f t="shared" si="560"/>
        <v>-428778.0104778558</v>
      </c>
      <c r="J3489" s="3">
        <f t="shared" si="563"/>
        <v>51882139.267820552</v>
      </c>
      <c r="K3489" s="24"/>
      <c r="L3489" s="24"/>
    </row>
    <row r="3490" spans="2:12" x14ac:dyDescent="0.35">
      <c r="B3490" s="1">
        <v>5</v>
      </c>
      <c r="C3490" s="22">
        <v>45200</v>
      </c>
      <c r="D3490" s="22">
        <v>45230</v>
      </c>
      <c r="E3490" s="23">
        <f t="shared" si="559"/>
        <v>31</v>
      </c>
      <c r="F3490" s="3">
        <f t="shared" si="561"/>
        <v>51882139.267820552</v>
      </c>
      <c r="G3490" s="3">
        <v>0</v>
      </c>
      <c r="H3490" s="3">
        <f t="shared" si="562"/>
        <v>432351.16056517127</v>
      </c>
      <c r="I3490" s="3">
        <f t="shared" si="560"/>
        <v>-432351.16056517127</v>
      </c>
      <c r="J3490" s="3">
        <f t="shared" si="563"/>
        <v>52314490.42838572</v>
      </c>
      <c r="K3490" s="24"/>
      <c r="L3490" s="24"/>
    </row>
    <row r="3491" spans="2:12" x14ac:dyDescent="0.35">
      <c r="B3491" s="1">
        <v>6</v>
      </c>
      <c r="C3491" s="22">
        <v>45231</v>
      </c>
      <c r="D3491" s="22">
        <v>45260</v>
      </c>
      <c r="E3491" s="23">
        <f t="shared" si="559"/>
        <v>30</v>
      </c>
      <c r="F3491" s="3">
        <f t="shared" si="561"/>
        <v>52314490.42838572</v>
      </c>
      <c r="G3491" s="3">
        <v>0</v>
      </c>
      <c r="H3491" s="3">
        <f t="shared" si="562"/>
        <v>435954.08690321434</v>
      </c>
      <c r="I3491" s="3">
        <f t="shared" si="560"/>
        <v>-435954.08690321434</v>
      </c>
      <c r="J3491" s="3">
        <f t="shared" si="563"/>
        <v>52750444.515288934</v>
      </c>
      <c r="K3491" s="24"/>
      <c r="L3491" s="26"/>
    </row>
    <row r="3492" spans="2:12" x14ac:dyDescent="0.35">
      <c r="B3492" s="1">
        <v>7</v>
      </c>
      <c r="C3492" s="22">
        <v>45261</v>
      </c>
      <c r="D3492" s="22">
        <v>45291</v>
      </c>
      <c r="E3492" s="23">
        <f t="shared" si="559"/>
        <v>31</v>
      </c>
      <c r="F3492" s="3">
        <f t="shared" si="561"/>
        <v>52750444.515288934</v>
      </c>
      <c r="G3492" s="3">
        <f t="shared" ref="G3492:G3533" si="564">-PMT($D$3477/$D$3479,42,$F$3492,,0)</f>
        <v>1493724.8076255764</v>
      </c>
      <c r="H3492" s="3">
        <f t="shared" si="562"/>
        <v>439587.03762740776</v>
      </c>
      <c r="I3492" s="3">
        <f t="shared" si="560"/>
        <v>1054137.7699981686</v>
      </c>
      <c r="J3492" s="3">
        <f t="shared" si="563"/>
        <v>51696306.745290764</v>
      </c>
      <c r="K3492" s="24">
        <v>1493720</v>
      </c>
      <c r="L3492" s="24">
        <f>G3492-K3492</f>
        <v>4.8076255763880908</v>
      </c>
    </row>
    <row r="3493" spans="2:12" x14ac:dyDescent="0.35">
      <c r="B3493" s="1">
        <v>8</v>
      </c>
      <c r="C3493" s="22">
        <v>45292</v>
      </c>
      <c r="D3493" s="22">
        <v>45322</v>
      </c>
      <c r="E3493" s="23">
        <f t="shared" si="559"/>
        <v>31</v>
      </c>
      <c r="F3493" s="3">
        <f t="shared" si="561"/>
        <v>51696306.745290764</v>
      </c>
      <c r="G3493" s="3">
        <f t="shared" si="564"/>
        <v>1493724.8076255764</v>
      </c>
      <c r="H3493" s="3">
        <f t="shared" si="562"/>
        <v>430802.55621075636</v>
      </c>
      <c r="I3493" s="3">
        <f t="shared" si="560"/>
        <v>1062922.2514148201</v>
      </c>
      <c r="J3493" s="3">
        <f t="shared" si="563"/>
        <v>50633384.493875943</v>
      </c>
      <c r="K3493" s="24">
        <v>1493720</v>
      </c>
      <c r="L3493" s="24">
        <f t="shared" ref="L3493:L3502" si="565">L3492+G3493-K3493</f>
        <v>9.6152511527761817</v>
      </c>
    </row>
    <row r="3494" spans="2:12" x14ac:dyDescent="0.35">
      <c r="B3494" s="1">
        <v>9</v>
      </c>
      <c r="C3494" s="22">
        <v>45323</v>
      </c>
      <c r="D3494" s="22">
        <v>45351</v>
      </c>
      <c r="E3494" s="23">
        <f t="shared" si="559"/>
        <v>29</v>
      </c>
      <c r="F3494" s="3">
        <f t="shared" si="561"/>
        <v>50633384.493875943</v>
      </c>
      <c r="G3494" s="3">
        <f t="shared" si="564"/>
        <v>1493724.8076255764</v>
      </c>
      <c r="H3494" s="3">
        <f t="shared" si="562"/>
        <v>421944.87078229949</v>
      </c>
      <c r="I3494" s="3">
        <f t="shared" si="560"/>
        <v>1071779.936843277</v>
      </c>
      <c r="J3494" s="3">
        <f t="shared" si="563"/>
        <v>49561604.557032667</v>
      </c>
      <c r="K3494" s="24">
        <v>1493000</v>
      </c>
      <c r="L3494" s="24">
        <f t="shared" si="565"/>
        <v>734.42287672916427</v>
      </c>
    </row>
    <row r="3495" spans="2:12" x14ac:dyDescent="0.35">
      <c r="B3495" s="1">
        <v>10</v>
      </c>
      <c r="C3495" s="22">
        <v>45352</v>
      </c>
      <c r="D3495" s="22">
        <v>45382</v>
      </c>
      <c r="E3495" s="23">
        <f t="shared" si="559"/>
        <v>31</v>
      </c>
      <c r="F3495" s="3">
        <f t="shared" si="561"/>
        <v>49561604.557032667</v>
      </c>
      <c r="G3495" s="3">
        <f t="shared" si="564"/>
        <v>1493724.8076255764</v>
      </c>
      <c r="H3495" s="3">
        <f t="shared" si="562"/>
        <v>413013.37130860554</v>
      </c>
      <c r="I3495" s="3">
        <f t="shared" si="560"/>
        <v>1080711.4363169707</v>
      </c>
      <c r="J3495" s="3">
        <f t="shared" si="563"/>
        <v>48480893.120715693</v>
      </c>
      <c r="K3495" s="24">
        <v>1494000</v>
      </c>
      <c r="L3495" s="24">
        <f t="shared" si="565"/>
        <v>459.23050230555236</v>
      </c>
    </row>
    <row r="3496" spans="2:12" x14ac:dyDescent="0.35">
      <c r="B3496" s="1">
        <v>11</v>
      </c>
      <c r="C3496" s="22">
        <v>45383</v>
      </c>
      <c r="D3496" s="22">
        <v>45412</v>
      </c>
      <c r="E3496" s="23">
        <f t="shared" si="559"/>
        <v>30</v>
      </c>
      <c r="F3496" s="3">
        <f t="shared" si="561"/>
        <v>48480893.120715693</v>
      </c>
      <c r="G3496" s="3">
        <f t="shared" si="564"/>
        <v>1493724.8076255764</v>
      </c>
      <c r="H3496" s="3">
        <f t="shared" si="562"/>
        <v>404007.44267263077</v>
      </c>
      <c r="I3496" s="3">
        <f t="shared" si="560"/>
        <v>1089717.3649529456</v>
      </c>
      <c r="J3496" s="3">
        <f t="shared" si="563"/>
        <v>47391175.755762748</v>
      </c>
      <c r="K3496" s="24">
        <v>1493000</v>
      </c>
      <c r="L3496" s="24">
        <f t="shared" si="565"/>
        <v>1184.0381278819405</v>
      </c>
    </row>
    <row r="3497" spans="2:12" x14ac:dyDescent="0.35">
      <c r="B3497" s="1">
        <v>12</v>
      </c>
      <c r="C3497" s="22">
        <v>45413</v>
      </c>
      <c r="D3497" s="22">
        <v>45443</v>
      </c>
      <c r="E3497" s="23">
        <f t="shared" si="559"/>
        <v>31</v>
      </c>
      <c r="F3497" s="3">
        <f t="shared" si="561"/>
        <v>47391175.755762748</v>
      </c>
      <c r="G3497" s="3">
        <f t="shared" si="564"/>
        <v>1493724.8076255764</v>
      </c>
      <c r="H3497" s="3">
        <f t="shared" si="562"/>
        <v>394926.46463135624</v>
      </c>
      <c r="I3497" s="3">
        <f t="shared" si="560"/>
        <v>1098798.3429942201</v>
      </c>
      <c r="J3497" s="3">
        <f t="shared" si="563"/>
        <v>46292377.412768528</v>
      </c>
      <c r="K3497" s="24">
        <v>1494000</v>
      </c>
      <c r="L3497" s="24">
        <f t="shared" si="565"/>
        <v>908.84575345832855</v>
      </c>
    </row>
    <row r="3498" spans="2:12" x14ac:dyDescent="0.35">
      <c r="B3498" s="1">
        <v>13</v>
      </c>
      <c r="C3498" s="22">
        <v>45444</v>
      </c>
      <c r="D3498" s="22">
        <v>45473</v>
      </c>
      <c r="E3498" s="23">
        <f t="shared" si="559"/>
        <v>30</v>
      </c>
      <c r="F3498" s="3">
        <f t="shared" si="561"/>
        <v>46292377.412768528</v>
      </c>
      <c r="G3498" s="3">
        <f t="shared" si="564"/>
        <v>1493724.8076255764</v>
      </c>
      <c r="H3498" s="3">
        <f t="shared" si="562"/>
        <v>385769.81177307107</v>
      </c>
      <c r="I3498" s="3">
        <f t="shared" si="560"/>
        <v>1107954.9958525053</v>
      </c>
      <c r="J3498" s="3">
        <f t="shared" si="563"/>
        <v>45184422.41691602</v>
      </c>
      <c r="K3498" s="24">
        <v>1494000</v>
      </c>
      <c r="L3498" s="24">
        <f t="shared" si="565"/>
        <v>633.65337903471664</v>
      </c>
    </row>
    <row r="3499" spans="2:12" x14ac:dyDescent="0.35">
      <c r="B3499" s="1">
        <v>14</v>
      </c>
      <c r="C3499" s="22">
        <v>45474</v>
      </c>
      <c r="D3499" s="22">
        <v>45504</v>
      </c>
      <c r="E3499" s="23">
        <f t="shared" si="559"/>
        <v>31</v>
      </c>
      <c r="F3499" s="3">
        <f t="shared" si="561"/>
        <v>45184422.41691602</v>
      </c>
      <c r="G3499" s="3">
        <f t="shared" si="564"/>
        <v>1493724.8076255764</v>
      </c>
      <c r="H3499" s="3">
        <f t="shared" si="562"/>
        <v>376536.85347430018</v>
      </c>
      <c r="I3499" s="3">
        <f t="shared" si="560"/>
        <v>1117187.9541512763</v>
      </c>
      <c r="J3499" s="3">
        <f t="shared" si="563"/>
        <v>44067234.462764747</v>
      </c>
      <c r="K3499" s="24">
        <v>1494000</v>
      </c>
      <c r="L3499" s="24">
        <f t="shared" si="565"/>
        <v>358.46100461110473</v>
      </c>
    </row>
    <row r="3500" spans="2:12" x14ac:dyDescent="0.35">
      <c r="B3500" s="1">
        <v>15</v>
      </c>
      <c r="C3500" s="22">
        <v>45505</v>
      </c>
      <c r="D3500" s="22">
        <v>45535</v>
      </c>
      <c r="E3500" s="23">
        <f t="shared" si="559"/>
        <v>31</v>
      </c>
      <c r="F3500" s="3">
        <f t="shared" si="561"/>
        <v>44067234.462764747</v>
      </c>
      <c r="G3500" s="3">
        <f t="shared" si="564"/>
        <v>1493724.8076255764</v>
      </c>
      <c r="H3500" s="3">
        <f t="shared" si="562"/>
        <v>367226.95385637291</v>
      </c>
      <c r="I3500" s="3">
        <f t="shared" si="560"/>
        <v>1126497.8537692034</v>
      </c>
      <c r="J3500" s="3">
        <f t="shared" si="563"/>
        <v>42940736.608995542</v>
      </c>
      <c r="K3500" s="24">
        <v>1495000</v>
      </c>
      <c r="L3500" s="24">
        <f t="shared" si="565"/>
        <v>-916.73136981250718</v>
      </c>
    </row>
    <row r="3501" spans="2:12" x14ac:dyDescent="0.35">
      <c r="B3501" s="1">
        <v>16</v>
      </c>
      <c r="C3501" s="22">
        <v>45536</v>
      </c>
      <c r="D3501" s="22">
        <v>45565</v>
      </c>
      <c r="E3501" s="23">
        <f t="shared" si="559"/>
        <v>30</v>
      </c>
      <c r="F3501" s="3">
        <f t="shared" si="561"/>
        <v>42940736.608995542</v>
      </c>
      <c r="G3501" s="3">
        <f t="shared" si="564"/>
        <v>1493724.8076255764</v>
      </c>
      <c r="H3501" s="3">
        <f t="shared" si="562"/>
        <v>357839.47174162953</v>
      </c>
      <c r="I3501" s="3">
        <f t="shared" si="560"/>
        <v>1135885.3358839469</v>
      </c>
      <c r="J3501" s="3">
        <f t="shared" si="563"/>
        <v>41804851.273111597</v>
      </c>
      <c r="K3501" s="24">
        <v>1495000</v>
      </c>
      <c r="L3501" s="24">
        <f t="shared" si="565"/>
        <v>-2191.9237442361191</v>
      </c>
    </row>
    <row r="3502" spans="2:12" x14ac:dyDescent="0.35">
      <c r="B3502" s="1">
        <v>17</v>
      </c>
      <c r="C3502" s="22">
        <v>45566</v>
      </c>
      <c r="D3502" s="22">
        <v>45596</v>
      </c>
      <c r="E3502" s="23">
        <f t="shared" si="559"/>
        <v>31</v>
      </c>
      <c r="F3502" s="3">
        <f t="shared" si="561"/>
        <v>41804851.273111597</v>
      </c>
      <c r="G3502" s="3">
        <f t="shared" si="564"/>
        <v>1493724.8076255764</v>
      </c>
      <c r="H3502" s="3">
        <f t="shared" si="562"/>
        <v>348373.76060926332</v>
      </c>
      <c r="I3502" s="3">
        <f t="shared" si="560"/>
        <v>1145351.0470163131</v>
      </c>
      <c r="J3502" s="3">
        <f t="shared" si="563"/>
        <v>40659500.226095282</v>
      </c>
      <c r="K3502" s="24">
        <v>1495000</v>
      </c>
      <c r="L3502" s="205">
        <f t="shared" si="565"/>
        <v>-3467.116118659731</v>
      </c>
    </row>
    <row r="3503" spans="2:12" x14ac:dyDescent="0.35">
      <c r="B3503" s="1">
        <v>18</v>
      </c>
      <c r="C3503" s="22">
        <v>45597</v>
      </c>
      <c r="D3503" s="22">
        <v>45626</v>
      </c>
      <c r="E3503" s="23">
        <f t="shared" si="559"/>
        <v>30</v>
      </c>
      <c r="F3503" s="3">
        <f t="shared" si="561"/>
        <v>40659500.226095282</v>
      </c>
      <c r="G3503" s="3">
        <f t="shared" si="564"/>
        <v>1493724.8076255764</v>
      </c>
      <c r="H3503" s="3">
        <f t="shared" si="562"/>
        <v>338829.16855079401</v>
      </c>
      <c r="I3503" s="3">
        <f t="shared" si="560"/>
        <v>1154895.6390747824</v>
      </c>
      <c r="J3503" s="3">
        <f t="shared" si="563"/>
        <v>39504604.587020501</v>
      </c>
      <c r="K3503" s="24"/>
      <c r="L3503" s="24"/>
    </row>
    <row r="3504" spans="2:12" x14ac:dyDescent="0.35">
      <c r="B3504" s="1">
        <v>19</v>
      </c>
      <c r="C3504" s="22">
        <v>45627</v>
      </c>
      <c r="D3504" s="22">
        <v>45657</v>
      </c>
      <c r="E3504" s="23">
        <f t="shared" si="559"/>
        <v>31</v>
      </c>
      <c r="F3504" s="3">
        <f t="shared" si="561"/>
        <v>39504604.587020501</v>
      </c>
      <c r="G3504" s="3">
        <f t="shared" si="564"/>
        <v>1493724.8076255764</v>
      </c>
      <c r="H3504" s="3">
        <f t="shared" si="562"/>
        <v>329205.03822517087</v>
      </c>
      <c r="I3504" s="3">
        <f t="shared" si="560"/>
        <v>1164519.7694004055</v>
      </c>
      <c r="J3504" s="3">
        <f t="shared" si="563"/>
        <v>38340084.817620099</v>
      </c>
      <c r="K3504" s="24"/>
      <c r="L3504" s="24"/>
    </row>
    <row r="3505" spans="2:12" x14ac:dyDescent="0.35">
      <c r="B3505" s="1">
        <v>20</v>
      </c>
      <c r="C3505" s="22">
        <v>45658</v>
      </c>
      <c r="D3505" s="22">
        <v>45688</v>
      </c>
      <c r="E3505" s="23">
        <f t="shared" si="559"/>
        <v>31</v>
      </c>
      <c r="F3505" s="3">
        <f t="shared" si="561"/>
        <v>38340084.817620099</v>
      </c>
      <c r="G3505" s="3">
        <f t="shared" si="564"/>
        <v>1493724.8076255764</v>
      </c>
      <c r="H3505" s="3">
        <f t="shared" si="562"/>
        <v>319500.70681350084</v>
      </c>
      <c r="I3505" s="3">
        <f t="shared" si="560"/>
        <v>1174224.1008120757</v>
      </c>
      <c r="J3505" s="3">
        <f t="shared" si="563"/>
        <v>37165860.716808021</v>
      </c>
      <c r="K3505" s="24"/>
      <c r="L3505" s="24"/>
    </row>
    <row r="3506" spans="2:12" x14ac:dyDescent="0.35">
      <c r="B3506" s="1">
        <v>21</v>
      </c>
      <c r="C3506" s="22">
        <v>45689</v>
      </c>
      <c r="D3506" s="22">
        <v>45716</v>
      </c>
      <c r="E3506" s="23">
        <f t="shared" si="559"/>
        <v>28</v>
      </c>
      <c r="F3506" s="3">
        <f t="shared" si="561"/>
        <v>37165860.716808021</v>
      </c>
      <c r="G3506" s="3">
        <f t="shared" si="564"/>
        <v>1493724.8076255764</v>
      </c>
      <c r="H3506" s="3">
        <f t="shared" si="562"/>
        <v>309715.5059734002</v>
      </c>
      <c r="I3506" s="3">
        <f t="shared" si="560"/>
        <v>1184009.3016521763</v>
      </c>
      <c r="J3506" s="3">
        <f t="shared" si="563"/>
        <v>35981851.415155843</v>
      </c>
      <c r="K3506" s="24"/>
      <c r="L3506" s="24"/>
    </row>
    <row r="3507" spans="2:12" x14ac:dyDescent="0.35">
      <c r="B3507" s="1">
        <v>22</v>
      </c>
      <c r="C3507" s="22">
        <v>45717</v>
      </c>
      <c r="D3507" s="22">
        <v>45747</v>
      </c>
      <c r="E3507" s="23">
        <f t="shared" si="559"/>
        <v>31</v>
      </c>
      <c r="F3507" s="3">
        <f t="shared" si="561"/>
        <v>35981851.415155843</v>
      </c>
      <c r="G3507" s="3">
        <f t="shared" si="564"/>
        <v>1493724.8076255764</v>
      </c>
      <c r="H3507" s="3">
        <f t="shared" si="562"/>
        <v>299848.76179296535</v>
      </c>
      <c r="I3507" s="3">
        <f t="shared" si="560"/>
        <v>1193876.0458326112</v>
      </c>
      <c r="J3507" s="3">
        <f t="shared" si="563"/>
        <v>34787975.369323231</v>
      </c>
      <c r="K3507" s="24"/>
      <c r="L3507" s="24"/>
    </row>
    <row r="3508" spans="2:12" x14ac:dyDescent="0.35">
      <c r="B3508" s="1">
        <v>23</v>
      </c>
      <c r="C3508" s="22">
        <v>45748</v>
      </c>
      <c r="D3508" s="22">
        <v>45777</v>
      </c>
      <c r="E3508" s="23">
        <f t="shared" si="559"/>
        <v>30</v>
      </c>
      <c r="F3508" s="3">
        <f t="shared" si="561"/>
        <v>34787975.369323231</v>
      </c>
      <c r="G3508" s="3">
        <f t="shared" si="564"/>
        <v>1493724.8076255764</v>
      </c>
      <c r="H3508" s="3">
        <f t="shared" si="562"/>
        <v>289899.79474436026</v>
      </c>
      <c r="I3508" s="3">
        <f t="shared" si="560"/>
        <v>1203825.0128812161</v>
      </c>
      <c r="J3508" s="3">
        <f t="shared" si="563"/>
        <v>33584150.356442012</v>
      </c>
      <c r="K3508" s="24"/>
      <c r="L3508" s="24"/>
    </row>
    <row r="3509" spans="2:12" x14ac:dyDescent="0.35">
      <c r="B3509" s="1">
        <v>24</v>
      </c>
      <c r="C3509" s="22">
        <v>45778</v>
      </c>
      <c r="D3509" s="22">
        <v>45808</v>
      </c>
      <c r="E3509" s="23">
        <f t="shared" si="559"/>
        <v>31</v>
      </c>
      <c r="F3509" s="3">
        <f t="shared" si="561"/>
        <v>33584150.356442012</v>
      </c>
      <c r="G3509" s="3">
        <f t="shared" si="564"/>
        <v>1493724.8076255764</v>
      </c>
      <c r="H3509" s="3">
        <f t="shared" si="562"/>
        <v>279867.91963701678</v>
      </c>
      <c r="I3509" s="3">
        <f t="shared" si="560"/>
        <v>1213856.8879885597</v>
      </c>
      <c r="J3509" s="3">
        <f t="shared" si="563"/>
        <v>32370293.468453452</v>
      </c>
      <c r="K3509" s="24"/>
      <c r="L3509" s="24"/>
    </row>
    <row r="3510" spans="2:12" x14ac:dyDescent="0.35">
      <c r="B3510" s="1">
        <v>25</v>
      </c>
      <c r="C3510" s="22">
        <v>45809</v>
      </c>
      <c r="D3510" s="22">
        <v>45838</v>
      </c>
      <c r="E3510" s="23">
        <f t="shared" si="559"/>
        <v>30</v>
      </c>
      <c r="F3510" s="3">
        <f t="shared" si="561"/>
        <v>32370293.468453452</v>
      </c>
      <c r="G3510" s="3">
        <f t="shared" si="564"/>
        <v>1493724.8076255764</v>
      </c>
      <c r="H3510" s="3">
        <f t="shared" si="562"/>
        <v>269752.44557044544</v>
      </c>
      <c r="I3510" s="3">
        <f t="shared" si="560"/>
        <v>1223972.362055131</v>
      </c>
      <c r="J3510" s="3">
        <f t="shared" si="563"/>
        <v>31146321.106398322</v>
      </c>
      <c r="K3510" s="24"/>
      <c r="L3510" s="24"/>
    </row>
    <row r="3511" spans="2:12" x14ac:dyDescent="0.35">
      <c r="B3511" s="1">
        <v>26</v>
      </c>
      <c r="C3511" s="22">
        <v>45839</v>
      </c>
      <c r="D3511" s="22">
        <v>45869</v>
      </c>
      <c r="E3511" s="23">
        <f t="shared" si="559"/>
        <v>31</v>
      </c>
      <c r="F3511" s="3">
        <f t="shared" si="561"/>
        <v>31146321.106398322</v>
      </c>
      <c r="G3511" s="3">
        <f t="shared" si="564"/>
        <v>1493724.8076255764</v>
      </c>
      <c r="H3511" s="3">
        <f t="shared" si="562"/>
        <v>259552.67588665267</v>
      </c>
      <c r="I3511" s="3">
        <f t="shared" si="560"/>
        <v>1234172.1317389237</v>
      </c>
      <c r="J3511" s="3">
        <f t="shared" si="563"/>
        <v>29912148.974659398</v>
      </c>
      <c r="K3511" s="24"/>
      <c r="L3511" s="24"/>
    </row>
    <row r="3512" spans="2:12" x14ac:dyDescent="0.35">
      <c r="B3512" s="1">
        <v>27</v>
      </c>
      <c r="C3512" s="22">
        <v>45870</v>
      </c>
      <c r="D3512" s="22">
        <v>45900</v>
      </c>
      <c r="E3512" s="23">
        <f t="shared" si="559"/>
        <v>31</v>
      </c>
      <c r="F3512" s="3">
        <f t="shared" si="561"/>
        <v>29912148.974659398</v>
      </c>
      <c r="G3512" s="3">
        <f t="shared" si="564"/>
        <v>1493724.8076255764</v>
      </c>
      <c r="H3512" s="3">
        <f t="shared" si="562"/>
        <v>249267.90812216164</v>
      </c>
      <c r="I3512" s="3">
        <f t="shared" si="560"/>
        <v>1244456.8995034148</v>
      </c>
      <c r="J3512" s="3">
        <f t="shared" si="563"/>
        <v>28667692.075155985</v>
      </c>
      <c r="K3512" s="24"/>
      <c r="L3512" s="24"/>
    </row>
    <row r="3513" spans="2:12" x14ac:dyDescent="0.35">
      <c r="B3513" s="1">
        <v>28</v>
      </c>
      <c r="C3513" s="22">
        <v>45901</v>
      </c>
      <c r="D3513" s="22">
        <v>45930</v>
      </c>
      <c r="E3513" s="23">
        <f t="shared" si="559"/>
        <v>30</v>
      </c>
      <c r="F3513" s="3">
        <f t="shared" si="561"/>
        <v>28667692.075155985</v>
      </c>
      <c r="G3513" s="3">
        <f t="shared" si="564"/>
        <v>1493724.8076255764</v>
      </c>
      <c r="H3513" s="3">
        <f t="shared" si="562"/>
        <v>238897.4339596332</v>
      </c>
      <c r="I3513" s="3">
        <f t="shared" si="560"/>
        <v>1254827.3736659433</v>
      </c>
      <c r="J3513" s="3">
        <f t="shared" si="563"/>
        <v>27412864.701490041</v>
      </c>
      <c r="K3513" s="24"/>
      <c r="L3513" s="24"/>
    </row>
    <row r="3514" spans="2:12" x14ac:dyDescent="0.35">
      <c r="B3514" s="1">
        <v>29</v>
      </c>
      <c r="C3514" s="22">
        <v>45931</v>
      </c>
      <c r="D3514" s="22">
        <v>45961</v>
      </c>
      <c r="E3514" s="23">
        <f t="shared" si="559"/>
        <v>31</v>
      </c>
      <c r="F3514" s="3">
        <f t="shared" si="561"/>
        <v>27412864.701490041</v>
      </c>
      <c r="G3514" s="3">
        <f t="shared" si="564"/>
        <v>1493724.8076255764</v>
      </c>
      <c r="H3514" s="3">
        <f t="shared" si="562"/>
        <v>228440.53917908366</v>
      </c>
      <c r="I3514" s="3">
        <f t="shared" si="560"/>
        <v>1265284.2684464927</v>
      </c>
      <c r="J3514" s="3">
        <f t="shared" si="563"/>
        <v>26147580.433043547</v>
      </c>
      <c r="K3514" s="24"/>
      <c r="L3514" s="24"/>
    </row>
    <row r="3515" spans="2:12" x14ac:dyDescent="0.35">
      <c r="B3515" s="1">
        <v>30</v>
      </c>
      <c r="C3515" s="22">
        <v>45962</v>
      </c>
      <c r="D3515" s="22">
        <v>45991</v>
      </c>
      <c r="E3515" s="23">
        <f t="shared" si="559"/>
        <v>30</v>
      </c>
      <c r="F3515" s="3">
        <f t="shared" si="561"/>
        <v>26147580.433043547</v>
      </c>
      <c r="G3515" s="3">
        <f t="shared" si="564"/>
        <v>1493724.8076255764</v>
      </c>
      <c r="H3515" s="3">
        <f t="shared" si="562"/>
        <v>217896.50360869622</v>
      </c>
      <c r="I3515" s="3">
        <f t="shared" si="560"/>
        <v>1275828.3040168802</v>
      </c>
      <c r="J3515" s="3">
        <f t="shared" si="563"/>
        <v>24871752.129026666</v>
      </c>
      <c r="K3515" s="24"/>
      <c r="L3515" s="24"/>
    </row>
    <row r="3516" spans="2:12" x14ac:dyDescent="0.35">
      <c r="B3516" s="1">
        <v>31</v>
      </c>
      <c r="C3516" s="22">
        <v>45992</v>
      </c>
      <c r="D3516" s="22">
        <v>46022</v>
      </c>
      <c r="E3516" s="23">
        <f t="shared" si="559"/>
        <v>31</v>
      </c>
      <c r="F3516" s="3">
        <f t="shared" si="561"/>
        <v>24871752.129026666</v>
      </c>
      <c r="G3516" s="3">
        <f t="shared" si="564"/>
        <v>1493724.8076255764</v>
      </c>
      <c r="H3516" s="3">
        <f t="shared" si="562"/>
        <v>207264.60107522222</v>
      </c>
      <c r="I3516" s="3">
        <f t="shared" si="560"/>
        <v>1286460.2065503541</v>
      </c>
      <c r="J3516" s="3">
        <f t="shared" si="563"/>
        <v>23585291.922476314</v>
      </c>
      <c r="K3516" s="24"/>
      <c r="L3516" s="24"/>
    </row>
    <row r="3517" spans="2:12" x14ac:dyDescent="0.35">
      <c r="B3517" s="1">
        <v>32</v>
      </c>
      <c r="C3517" s="22">
        <v>46023</v>
      </c>
      <c r="D3517" s="22">
        <v>46053</v>
      </c>
      <c r="E3517" s="23">
        <f t="shared" ref="E3517:E3533" si="566">D3517-C3517+1</f>
        <v>31</v>
      </c>
      <c r="F3517" s="3">
        <f t="shared" si="561"/>
        <v>23585291.922476314</v>
      </c>
      <c r="G3517" s="3">
        <f t="shared" si="564"/>
        <v>1493724.8076255764</v>
      </c>
      <c r="H3517" s="3">
        <f t="shared" si="562"/>
        <v>196544.09935396927</v>
      </c>
      <c r="I3517" s="3">
        <f t="shared" ref="I3517:I3533" si="567">G3517-H3517</f>
        <v>1297180.7082716071</v>
      </c>
      <c r="J3517" s="3">
        <f t="shared" si="563"/>
        <v>22288111.214204706</v>
      </c>
      <c r="K3517" s="24"/>
      <c r="L3517" s="24"/>
    </row>
    <row r="3518" spans="2:12" x14ac:dyDescent="0.35">
      <c r="B3518" s="1">
        <v>33</v>
      </c>
      <c r="C3518" s="22">
        <v>46054</v>
      </c>
      <c r="D3518" s="22">
        <v>46081</v>
      </c>
      <c r="E3518" s="23">
        <f t="shared" si="566"/>
        <v>28</v>
      </c>
      <c r="F3518" s="3">
        <f t="shared" si="561"/>
        <v>22288111.214204706</v>
      </c>
      <c r="G3518" s="3">
        <f t="shared" si="564"/>
        <v>1493724.8076255764</v>
      </c>
      <c r="H3518" s="3">
        <f t="shared" si="562"/>
        <v>185734.26011837256</v>
      </c>
      <c r="I3518" s="3">
        <f t="shared" si="567"/>
        <v>1307990.5475072039</v>
      </c>
      <c r="J3518" s="3">
        <f t="shared" si="563"/>
        <v>20980120.666697502</v>
      </c>
      <c r="K3518" s="24"/>
      <c r="L3518" s="24"/>
    </row>
    <row r="3519" spans="2:12" x14ac:dyDescent="0.35">
      <c r="B3519" s="1">
        <v>34</v>
      </c>
      <c r="C3519" s="22">
        <v>46082</v>
      </c>
      <c r="D3519" s="22">
        <v>46112</v>
      </c>
      <c r="E3519" s="23">
        <f t="shared" si="566"/>
        <v>31</v>
      </c>
      <c r="F3519" s="3">
        <f t="shared" si="561"/>
        <v>20980120.666697502</v>
      </c>
      <c r="G3519" s="3">
        <f t="shared" si="564"/>
        <v>1493724.8076255764</v>
      </c>
      <c r="H3519" s="3">
        <f t="shared" si="562"/>
        <v>174834.33888914585</v>
      </c>
      <c r="I3519" s="3">
        <f t="shared" si="567"/>
        <v>1318890.4687364306</v>
      </c>
      <c r="J3519" s="3">
        <f t="shared" si="563"/>
        <v>19661230.19796107</v>
      </c>
      <c r="K3519" s="24"/>
      <c r="L3519" s="24"/>
    </row>
    <row r="3520" spans="2:12" x14ac:dyDescent="0.35">
      <c r="B3520" s="1">
        <v>35</v>
      </c>
      <c r="C3520" s="22">
        <v>46113</v>
      </c>
      <c r="D3520" s="22">
        <v>46142</v>
      </c>
      <c r="E3520" s="23">
        <f t="shared" si="566"/>
        <v>30</v>
      </c>
      <c r="F3520" s="3">
        <f t="shared" si="561"/>
        <v>19661230.19796107</v>
      </c>
      <c r="G3520" s="3">
        <f t="shared" si="564"/>
        <v>1493724.8076255764</v>
      </c>
      <c r="H3520" s="3">
        <f t="shared" si="562"/>
        <v>163843.58498300891</v>
      </c>
      <c r="I3520" s="3">
        <f t="shared" si="567"/>
        <v>1329881.2226425675</v>
      </c>
      <c r="J3520" s="3">
        <f t="shared" si="563"/>
        <v>18331348.975318503</v>
      </c>
      <c r="K3520" s="24"/>
      <c r="L3520" s="24"/>
    </row>
    <row r="3521" spans="2:12" x14ac:dyDescent="0.35">
      <c r="B3521" s="1">
        <v>36</v>
      </c>
      <c r="C3521" s="22">
        <v>46143</v>
      </c>
      <c r="D3521" s="22">
        <v>46173</v>
      </c>
      <c r="E3521" s="23">
        <f t="shared" si="566"/>
        <v>31</v>
      </c>
      <c r="F3521" s="3">
        <f t="shared" si="561"/>
        <v>18331348.975318503</v>
      </c>
      <c r="G3521" s="3">
        <f t="shared" si="564"/>
        <v>1493724.8076255764</v>
      </c>
      <c r="H3521" s="3">
        <f t="shared" si="562"/>
        <v>152761.24146098751</v>
      </c>
      <c r="I3521" s="3">
        <f t="shared" si="567"/>
        <v>1340963.5661645888</v>
      </c>
      <c r="J3521" s="3">
        <f t="shared" si="563"/>
        <v>16990385.409153912</v>
      </c>
      <c r="K3521" s="24"/>
      <c r="L3521" s="24"/>
    </row>
    <row r="3522" spans="2:12" x14ac:dyDescent="0.35">
      <c r="B3522" s="1">
        <v>37</v>
      </c>
      <c r="C3522" s="22">
        <v>46174</v>
      </c>
      <c r="D3522" s="22">
        <v>46203</v>
      </c>
      <c r="E3522" s="23">
        <f t="shared" si="566"/>
        <v>30</v>
      </c>
      <c r="F3522" s="3">
        <f t="shared" si="561"/>
        <v>16990385.409153912</v>
      </c>
      <c r="G3522" s="3">
        <f t="shared" si="564"/>
        <v>1493724.8076255764</v>
      </c>
      <c r="H3522" s="3">
        <f t="shared" si="562"/>
        <v>141586.54507628261</v>
      </c>
      <c r="I3522" s="3">
        <f t="shared" si="567"/>
        <v>1352138.2625492937</v>
      </c>
      <c r="J3522" s="3">
        <f t="shared" si="563"/>
        <v>15638247.146604618</v>
      </c>
      <c r="K3522" s="24"/>
      <c r="L3522" s="24"/>
    </row>
    <row r="3523" spans="2:12" x14ac:dyDescent="0.35">
      <c r="B3523" s="1">
        <v>38</v>
      </c>
      <c r="C3523" s="22">
        <v>46204</v>
      </c>
      <c r="D3523" s="22">
        <v>46234</v>
      </c>
      <c r="E3523" s="23">
        <f t="shared" si="566"/>
        <v>31</v>
      </c>
      <c r="F3523" s="3">
        <f t="shared" si="561"/>
        <v>15638247.146604618</v>
      </c>
      <c r="G3523" s="3">
        <f t="shared" si="564"/>
        <v>1493724.8076255764</v>
      </c>
      <c r="H3523" s="3">
        <f t="shared" si="562"/>
        <v>130318.72622170515</v>
      </c>
      <c r="I3523" s="3">
        <f t="shared" si="567"/>
        <v>1363406.0814038713</v>
      </c>
      <c r="J3523" s="3">
        <f t="shared" si="563"/>
        <v>14274841.065200746</v>
      </c>
      <c r="K3523" s="24"/>
      <c r="L3523" s="24"/>
    </row>
    <row r="3524" spans="2:12" x14ac:dyDescent="0.35">
      <c r="B3524" s="1">
        <v>39</v>
      </c>
      <c r="C3524" s="22">
        <v>46235</v>
      </c>
      <c r="D3524" s="22">
        <v>46265</v>
      </c>
      <c r="E3524" s="23">
        <f t="shared" si="566"/>
        <v>31</v>
      </c>
      <c r="F3524" s="3">
        <f t="shared" si="561"/>
        <v>14274841.065200746</v>
      </c>
      <c r="G3524" s="3">
        <f t="shared" si="564"/>
        <v>1493724.8076255764</v>
      </c>
      <c r="H3524" s="3">
        <f t="shared" si="562"/>
        <v>118957.00887667289</v>
      </c>
      <c r="I3524" s="3">
        <f t="shared" si="567"/>
        <v>1374767.7987489034</v>
      </c>
      <c r="J3524" s="3">
        <f t="shared" si="563"/>
        <v>12900073.266451843</v>
      </c>
      <c r="K3524" s="24"/>
      <c r="L3524" s="24"/>
    </row>
    <row r="3525" spans="2:12" x14ac:dyDescent="0.35">
      <c r="B3525" s="1">
        <v>40</v>
      </c>
      <c r="C3525" s="22">
        <v>46266</v>
      </c>
      <c r="D3525" s="22">
        <v>46295</v>
      </c>
      <c r="E3525" s="23">
        <f t="shared" si="566"/>
        <v>30</v>
      </c>
      <c r="F3525" s="3">
        <f t="shared" si="561"/>
        <v>12900073.266451843</v>
      </c>
      <c r="G3525" s="3">
        <f t="shared" si="564"/>
        <v>1493724.8076255764</v>
      </c>
      <c r="H3525" s="3">
        <f t="shared" si="562"/>
        <v>107500.61055376536</v>
      </c>
      <c r="I3525" s="3">
        <f t="shared" si="567"/>
        <v>1386224.197071811</v>
      </c>
      <c r="J3525" s="3">
        <f t="shared" si="563"/>
        <v>11513849.069380032</v>
      </c>
      <c r="K3525" s="24"/>
      <c r="L3525" s="24"/>
    </row>
    <row r="3526" spans="2:12" x14ac:dyDescent="0.35">
      <c r="B3526" s="1">
        <v>41</v>
      </c>
      <c r="C3526" s="22">
        <v>46296</v>
      </c>
      <c r="D3526" s="22">
        <v>46326</v>
      </c>
      <c r="E3526" s="23">
        <f t="shared" si="566"/>
        <v>31</v>
      </c>
      <c r="F3526" s="3">
        <f t="shared" si="561"/>
        <v>11513849.069380032</v>
      </c>
      <c r="G3526" s="3">
        <f t="shared" si="564"/>
        <v>1493724.8076255764</v>
      </c>
      <c r="H3526" s="3">
        <f t="shared" si="562"/>
        <v>95948.7422448336</v>
      </c>
      <c r="I3526" s="3">
        <f t="shared" si="567"/>
        <v>1397776.0653807428</v>
      </c>
      <c r="J3526" s="3">
        <f t="shared" si="563"/>
        <v>10116073.003999289</v>
      </c>
      <c r="K3526" s="24"/>
      <c r="L3526" s="24"/>
    </row>
    <row r="3527" spans="2:12" x14ac:dyDescent="0.35">
      <c r="B3527" s="1">
        <v>42</v>
      </c>
      <c r="C3527" s="22">
        <v>46327</v>
      </c>
      <c r="D3527" s="22">
        <v>46356</v>
      </c>
      <c r="E3527" s="23">
        <f t="shared" si="566"/>
        <v>30</v>
      </c>
      <c r="F3527" s="3">
        <f t="shared" si="561"/>
        <v>10116073.003999289</v>
      </c>
      <c r="G3527" s="3">
        <f t="shared" si="564"/>
        <v>1493724.8076255764</v>
      </c>
      <c r="H3527" s="3">
        <f t="shared" si="562"/>
        <v>84300.608366660745</v>
      </c>
      <c r="I3527" s="3">
        <f t="shared" si="567"/>
        <v>1409424.1992589156</v>
      </c>
      <c r="J3527" s="3">
        <f t="shared" si="563"/>
        <v>8706648.804740373</v>
      </c>
      <c r="K3527" s="24"/>
      <c r="L3527" s="24"/>
    </row>
    <row r="3528" spans="2:12" x14ac:dyDescent="0.35">
      <c r="B3528" s="1">
        <v>43</v>
      </c>
      <c r="C3528" s="22">
        <v>46357</v>
      </c>
      <c r="D3528" s="22">
        <v>46387</v>
      </c>
      <c r="E3528" s="23">
        <f t="shared" si="566"/>
        <v>31</v>
      </c>
      <c r="F3528" s="3">
        <f t="shared" si="561"/>
        <v>8706648.804740373</v>
      </c>
      <c r="G3528" s="3">
        <f t="shared" si="564"/>
        <v>1493724.8076255764</v>
      </c>
      <c r="H3528" s="3">
        <f t="shared" si="562"/>
        <v>72555.406706169771</v>
      </c>
      <c r="I3528" s="3">
        <f t="shared" si="567"/>
        <v>1421169.4009194067</v>
      </c>
      <c r="J3528" s="3">
        <f t="shared" si="563"/>
        <v>7285479.4038209664</v>
      </c>
      <c r="K3528" s="24"/>
      <c r="L3528" s="24"/>
    </row>
    <row r="3529" spans="2:12" x14ac:dyDescent="0.35">
      <c r="B3529" s="1">
        <v>44</v>
      </c>
      <c r="C3529" s="22">
        <v>46388</v>
      </c>
      <c r="D3529" s="22">
        <v>46418</v>
      </c>
      <c r="E3529" s="23">
        <f t="shared" si="566"/>
        <v>31</v>
      </c>
      <c r="F3529" s="3">
        <f t="shared" si="561"/>
        <v>7285479.4038209664</v>
      </c>
      <c r="G3529" s="3">
        <f t="shared" si="564"/>
        <v>1493724.8076255764</v>
      </c>
      <c r="H3529" s="3">
        <f t="shared" si="562"/>
        <v>60712.328365174719</v>
      </c>
      <c r="I3529" s="3">
        <f t="shared" si="567"/>
        <v>1433012.4792604016</v>
      </c>
      <c r="J3529" s="3">
        <f t="shared" si="563"/>
        <v>5852466.9245605646</v>
      </c>
      <c r="K3529" s="24"/>
      <c r="L3529" s="24"/>
    </row>
    <row r="3530" spans="2:12" x14ac:dyDescent="0.35">
      <c r="B3530" s="1">
        <v>45</v>
      </c>
      <c r="C3530" s="22">
        <v>46419</v>
      </c>
      <c r="D3530" s="22">
        <v>46446</v>
      </c>
      <c r="E3530" s="23">
        <f t="shared" si="566"/>
        <v>28</v>
      </c>
      <c r="F3530" s="3">
        <f t="shared" si="561"/>
        <v>5852466.9245605646</v>
      </c>
      <c r="G3530" s="3">
        <f t="shared" si="564"/>
        <v>1493724.8076255764</v>
      </c>
      <c r="H3530" s="3">
        <f t="shared" si="562"/>
        <v>48770.557704671373</v>
      </c>
      <c r="I3530" s="3">
        <f t="shared" si="567"/>
        <v>1444954.2499209051</v>
      </c>
      <c r="J3530" s="3">
        <f t="shared" si="563"/>
        <v>4407512.674639659</v>
      </c>
      <c r="K3530" s="24"/>
      <c r="L3530" s="24"/>
    </row>
    <row r="3531" spans="2:12" x14ac:dyDescent="0.35">
      <c r="B3531" s="1">
        <v>46</v>
      </c>
      <c r="C3531" s="22">
        <v>46447</v>
      </c>
      <c r="D3531" s="22">
        <v>46477</v>
      </c>
      <c r="E3531" s="23">
        <f t="shared" si="566"/>
        <v>31</v>
      </c>
      <c r="F3531" s="3">
        <f t="shared" si="561"/>
        <v>4407512.674639659</v>
      </c>
      <c r="G3531" s="3">
        <f t="shared" si="564"/>
        <v>1493724.8076255764</v>
      </c>
      <c r="H3531" s="3">
        <f t="shared" si="562"/>
        <v>36729.272288663822</v>
      </c>
      <c r="I3531" s="3">
        <f t="shared" si="567"/>
        <v>1456995.5353369126</v>
      </c>
      <c r="J3531" s="3">
        <f t="shared" si="563"/>
        <v>2950517.1393027464</v>
      </c>
      <c r="K3531" s="24"/>
      <c r="L3531" s="24"/>
    </row>
    <row r="3532" spans="2:12" x14ac:dyDescent="0.35">
      <c r="B3532" s="1">
        <v>47</v>
      </c>
      <c r="C3532" s="22">
        <v>46478</v>
      </c>
      <c r="D3532" s="22">
        <v>46507</v>
      </c>
      <c r="E3532" s="23">
        <f t="shared" si="566"/>
        <v>30</v>
      </c>
      <c r="F3532" s="3">
        <f t="shared" si="561"/>
        <v>2950517.1393027464</v>
      </c>
      <c r="G3532" s="3">
        <f t="shared" si="564"/>
        <v>1493724.8076255764</v>
      </c>
      <c r="H3532" s="3">
        <f t="shared" si="562"/>
        <v>24587.642827522886</v>
      </c>
      <c r="I3532" s="3">
        <f t="shared" si="567"/>
        <v>1469137.1647980534</v>
      </c>
      <c r="J3532" s="3">
        <f t="shared" si="563"/>
        <v>1481379.9745046929</v>
      </c>
      <c r="K3532" s="24"/>
      <c r="L3532" s="24"/>
    </row>
    <row r="3533" spans="2:12" x14ac:dyDescent="0.35">
      <c r="B3533" s="1">
        <v>48</v>
      </c>
      <c r="C3533" s="22">
        <v>46508</v>
      </c>
      <c r="D3533" s="22">
        <v>46538</v>
      </c>
      <c r="E3533" s="23">
        <f t="shared" si="566"/>
        <v>31</v>
      </c>
      <c r="F3533" s="3">
        <f t="shared" si="561"/>
        <v>1481379.9745046929</v>
      </c>
      <c r="G3533" s="3">
        <f t="shared" si="564"/>
        <v>1493724.8076255764</v>
      </c>
      <c r="H3533" s="3">
        <f t="shared" si="562"/>
        <v>12344.833120872441</v>
      </c>
      <c r="I3533" s="3">
        <f t="shared" si="567"/>
        <v>1481379.9745047039</v>
      </c>
      <c r="J3533" s="3">
        <f t="shared" si="563"/>
        <v>-1.0943040251731873E-8</v>
      </c>
      <c r="K3533" s="24"/>
      <c r="L3533" s="24"/>
    </row>
    <row r="3534" spans="2:12" x14ac:dyDescent="0.35">
      <c r="B3534" s="1"/>
      <c r="C3534" s="22"/>
      <c r="D3534" s="22"/>
      <c r="E3534" s="23"/>
      <c r="F3534" s="3"/>
      <c r="G3534" s="3"/>
      <c r="H3534" s="3"/>
      <c r="I3534" s="3"/>
      <c r="J3534" s="3"/>
      <c r="K3534" s="24"/>
      <c r="L3534" s="24"/>
    </row>
    <row r="3535" spans="2:12" x14ac:dyDescent="0.35">
      <c r="B3535" s="1"/>
      <c r="C3535" s="22"/>
      <c r="D3535" s="22"/>
      <c r="E3535" s="28">
        <f>SUM(E3485:E3509)</f>
        <v>745</v>
      </c>
      <c r="F3535" s="3"/>
      <c r="G3535" s="3"/>
      <c r="H3535" s="3"/>
      <c r="I3535" s="3"/>
      <c r="J3535" s="3"/>
      <c r="K3535" s="24"/>
      <c r="L3535" s="24"/>
    </row>
    <row r="3540" spans="2:19" x14ac:dyDescent="0.35">
      <c r="B3540" s="1"/>
      <c r="C3540" s="8" t="s">
        <v>935</v>
      </c>
      <c r="D3540" s="3"/>
      <c r="E3540" s="3"/>
      <c r="F3540" s="3"/>
      <c r="G3540" s="3"/>
      <c r="H3540" s="3"/>
      <c r="I3540" s="3"/>
      <c r="J3540" s="3"/>
      <c r="K3540" s="3"/>
      <c r="L3540" s="3"/>
      <c r="R3540" s="438" t="s">
        <v>832</v>
      </c>
      <c r="S3540" s="432" t="str">
        <f>IFERROR(INDEX(Blocks!$I$2:$I$101,MATCH(64,Blocks!$A$2:$A$101,0)),"")</f>
        <v>000104460000066</v>
      </c>
    </row>
    <row r="3541" spans="2:19" x14ac:dyDescent="0.35">
      <c r="B3541" s="1"/>
      <c r="C3541" s="1"/>
      <c r="D3541" s="3"/>
      <c r="E3541" s="3"/>
      <c r="F3541" s="3" t="s">
        <v>905</v>
      </c>
      <c r="G3541" s="3" t="s">
        <v>901</v>
      </c>
      <c r="H3541" s="3"/>
      <c r="I3541" s="3"/>
      <c r="J3541" s="3"/>
      <c r="K3541" s="3"/>
      <c r="L3541" s="3"/>
      <c r="R3541" s="438" t="s">
        <v>834</v>
      </c>
      <c r="S3541" s="432" t="str">
        <f>IFERROR(INDEX(Blocks!$H$2:$H$101,MATCH(64,Blocks!$A$2:$A$101,0)),"")</f>
        <v>Mphanga Hodings Limited</v>
      </c>
    </row>
    <row r="3542" spans="2:19" x14ac:dyDescent="0.35">
      <c r="B3542" s="1"/>
      <c r="C3542" s="9" t="s">
        <v>835</v>
      </c>
      <c r="D3542" s="10">
        <v>150000000</v>
      </c>
      <c r="E3542" s="3"/>
      <c r="F3542" s="3">
        <v>54923700</v>
      </c>
      <c r="G3542" s="3">
        <v>30000000</v>
      </c>
      <c r="H3542" s="3"/>
      <c r="I3542" s="3"/>
      <c r="J3542" s="3"/>
      <c r="K3542" s="3"/>
      <c r="L3542" s="3"/>
      <c r="R3542" s="438" t="s">
        <v>223</v>
      </c>
      <c r="S3542" s="433">
        <f>IFERROR(INDEX('E-Banker master'!$N$2:$N$186,MATCH(S3540,'E-Banker master'!$A$2:$A$186,0)),"")</f>
        <v>84923700</v>
      </c>
    </row>
    <row r="3543" spans="2:19" x14ac:dyDescent="0.35">
      <c r="B3543" s="1"/>
      <c r="C3543" s="11" t="s">
        <v>837</v>
      </c>
      <c r="D3543" s="12">
        <v>0.1</v>
      </c>
      <c r="E3543" s="13"/>
      <c r="F3543" s="3"/>
      <c r="G3543" s="3"/>
      <c r="H3543" s="3"/>
      <c r="I3543" s="3"/>
      <c r="J3543" s="3"/>
      <c r="K3543" s="3"/>
      <c r="L3543" s="3"/>
      <c r="R3543" s="438" t="s">
        <v>52</v>
      </c>
      <c r="S3543" s="433">
        <f>IFERROR(INDEX('E-Banker master'!$P$2:$P$186,MATCH(S3540,'E-Banker master'!$A$2:$A$186,0)),"")</f>
        <v>34887586.619999997</v>
      </c>
    </row>
    <row r="3544" spans="2:19" x14ac:dyDescent="0.35">
      <c r="B3544" s="1"/>
      <c r="C3544" s="11" t="s">
        <v>838</v>
      </c>
      <c r="D3544" s="14">
        <v>2</v>
      </c>
      <c r="E3544" s="1"/>
      <c r="F3544" s="3"/>
      <c r="G3544" s="3"/>
      <c r="H3544" s="3"/>
      <c r="I3544" s="3"/>
      <c r="J3544" s="3"/>
      <c r="K3544" s="1"/>
      <c r="L3544" s="1"/>
    </row>
    <row r="3545" spans="2:19" x14ac:dyDescent="0.35">
      <c r="B3545" s="1"/>
      <c r="C3545" s="11" t="s">
        <v>839</v>
      </c>
      <c r="D3545" s="14">
        <v>12</v>
      </c>
      <c r="E3545" s="1"/>
      <c r="F3545" s="3"/>
      <c r="G3545" s="3"/>
      <c r="H3545" s="3"/>
      <c r="I3545" s="3"/>
      <c r="J3545" s="3"/>
      <c r="K3545" s="1"/>
      <c r="L3545" s="1"/>
    </row>
    <row r="3546" spans="2:19" x14ac:dyDescent="0.35">
      <c r="B3546" s="1"/>
      <c r="C3546" s="11" t="s">
        <v>843</v>
      </c>
      <c r="D3546" s="15">
        <f>D3544*D3545</f>
        <v>24</v>
      </c>
      <c r="E3546" s="1"/>
      <c r="F3546" s="3"/>
      <c r="G3546" s="3"/>
      <c r="H3546" s="3"/>
      <c r="I3546" s="3"/>
      <c r="J3546" s="3"/>
      <c r="K3546" s="1"/>
      <c r="L3546" s="1"/>
    </row>
    <row r="3547" spans="2:19" x14ac:dyDescent="0.35">
      <c r="B3547" s="1"/>
      <c r="C3547" s="11" t="s">
        <v>844</v>
      </c>
      <c r="D3547" s="16">
        <v>365</v>
      </c>
      <c r="E3547" s="1"/>
      <c r="F3547" s="3"/>
      <c r="G3547" s="3"/>
      <c r="H3547" s="3"/>
      <c r="I3547" s="3"/>
      <c r="J3547" s="3"/>
      <c r="K3547" s="1"/>
      <c r="L3547" s="1"/>
    </row>
    <row r="3548" spans="2:19" x14ac:dyDescent="0.35">
      <c r="B3548" s="1"/>
      <c r="C3548" s="17" t="s">
        <v>845</v>
      </c>
      <c r="D3548" s="18">
        <f>-PMT(D3543/D3545,D3546,D3542,0,0)</f>
        <v>6921738.950627476</v>
      </c>
      <c r="E3548" s="3"/>
      <c r="F3548" s="3"/>
      <c r="G3548" s="3"/>
      <c r="H3548" s="3"/>
      <c r="I3548" s="3"/>
      <c r="J3548" s="3"/>
      <c r="K3548" s="1"/>
      <c r="L3548" s="1"/>
    </row>
    <row r="3549" spans="2:19" x14ac:dyDescent="0.35">
      <c r="B3549" s="1"/>
      <c r="C3549" s="1"/>
      <c r="D3549" s="3"/>
      <c r="E3549" s="3"/>
      <c r="F3549" s="3"/>
      <c r="G3549" s="3"/>
      <c r="H3549" s="3"/>
      <c r="I3549" s="3"/>
      <c r="J3549" s="3"/>
      <c r="K3549" s="1"/>
      <c r="L3549" s="1"/>
    </row>
    <row r="3550" spans="2:19" x14ac:dyDescent="0.35">
      <c r="B3550" s="1"/>
      <c r="C3550" s="19" t="s">
        <v>846</v>
      </c>
      <c r="D3550" s="20" t="s">
        <v>847</v>
      </c>
      <c r="E3550" s="20" t="s">
        <v>764</v>
      </c>
      <c r="F3550" s="270" t="s">
        <v>848</v>
      </c>
      <c r="G3550" s="270" t="s">
        <v>849</v>
      </c>
      <c r="H3550" s="270" t="s">
        <v>742</v>
      </c>
      <c r="I3550" s="270" t="s">
        <v>740</v>
      </c>
      <c r="J3550" s="270" t="s">
        <v>850</v>
      </c>
      <c r="K3550" s="21" t="s">
        <v>851</v>
      </c>
      <c r="L3550" s="21" t="s">
        <v>852</v>
      </c>
    </row>
    <row r="3551" spans="2:19" x14ac:dyDescent="0.35">
      <c r="B3551" s="1">
        <v>0</v>
      </c>
      <c r="C3551" s="22">
        <v>45064</v>
      </c>
      <c r="D3551" s="22">
        <v>45077</v>
      </c>
      <c r="E3551" s="23">
        <f t="shared" ref="E3551:E3575" si="568">D3551-C3551+1</f>
        <v>14</v>
      </c>
      <c r="F3551" s="3">
        <f>F3542</f>
        <v>54923700</v>
      </c>
      <c r="G3551" s="3"/>
      <c r="H3551" s="3">
        <f>($D$3543/$D$3545*F3551*E3551/31)</f>
        <v>206702.09677419355</v>
      </c>
      <c r="I3551" s="3">
        <f>-H3551</f>
        <v>-206702.09677419355</v>
      </c>
      <c r="J3551" s="3">
        <f>F3551-I3551</f>
        <v>55130402.096774191</v>
      </c>
      <c r="K3551" s="24"/>
      <c r="L3551" s="24"/>
    </row>
    <row r="3552" spans="2:19" x14ac:dyDescent="0.35">
      <c r="B3552" s="1">
        <v>1</v>
      </c>
      <c r="C3552" s="22">
        <v>45078</v>
      </c>
      <c r="D3552" s="22">
        <v>45107</v>
      </c>
      <c r="E3552" s="23">
        <f t="shared" si="568"/>
        <v>30</v>
      </c>
      <c r="F3552" s="3">
        <f t="shared" ref="F3552:F3575" si="569">J3551</f>
        <v>55130402.096774191</v>
      </c>
      <c r="G3552" s="3"/>
      <c r="H3552" s="3">
        <f t="shared" ref="H3552:H3575" si="570">($D$3543/$D$3545*F3552)</f>
        <v>459420.01747311826</v>
      </c>
      <c r="I3552" s="3">
        <f>-H3552</f>
        <v>-459420.01747311826</v>
      </c>
      <c r="J3552" s="3">
        <f>F3552-I3552+G3542</f>
        <v>85589822.114247307</v>
      </c>
    </row>
    <row r="3553" spans="2:12" x14ac:dyDescent="0.35">
      <c r="B3553" s="1">
        <v>2</v>
      </c>
      <c r="C3553" s="22">
        <v>45108</v>
      </c>
      <c r="D3553" s="22">
        <v>45138</v>
      </c>
      <c r="E3553" s="23">
        <f t="shared" si="568"/>
        <v>31</v>
      </c>
      <c r="F3553" s="3">
        <f t="shared" si="569"/>
        <v>85589822.114247307</v>
      </c>
      <c r="G3553" s="3"/>
      <c r="H3553" s="3">
        <f t="shared" si="570"/>
        <v>713248.51761872752</v>
      </c>
      <c r="I3553" s="3">
        <f>-H3553</f>
        <v>-713248.51761872752</v>
      </c>
      <c r="J3553" s="3">
        <f t="shared" ref="J3553:J3575" si="571">F3553-I3553</f>
        <v>86303070.631866038</v>
      </c>
      <c r="K3553" s="24"/>
      <c r="L3553" s="24"/>
    </row>
    <row r="3554" spans="2:12" x14ac:dyDescent="0.35">
      <c r="B3554" s="1">
        <v>3</v>
      </c>
      <c r="C3554" s="22">
        <v>45139</v>
      </c>
      <c r="D3554" s="22">
        <v>45169</v>
      </c>
      <c r="E3554" s="23">
        <f t="shared" si="568"/>
        <v>31</v>
      </c>
      <c r="F3554" s="3">
        <f t="shared" si="569"/>
        <v>86303070.631866038</v>
      </c>
      <c r="G3554" s="3"/>
      <c r="H3554" s="3">
        <f t="shared" si="570"/>
        <v>719192.25526555034</v>
      </c>
      <c r="I3554" s="3">
        <f t="shared" ref="I3554:I3575" si="572">G3554-H3554</f>
        <v>-719192.25526555034</v>
      </c>
      <c r="J3554" s="3">
        <f t="shared" si="571"/>
        <v>87022262.887131587</v>
      </c>
      <c r="K3554" s="24"/>
      <c r="L3554" s="24"/>
    </row>
    <row r="3555" spans="2:12" x14ac:dyDescent="0.35">
      <c r="B3555" s="1">
        <v>4</v>
      </c>
      <c r="C3555" s="22">
        <v>45170</v>
      </c>
      <c r="D3555" s="22">
        <v>45199</v>
      </c>
      <c r="E3555" s="23">
        <f t="shared" si="568"/>
        <v>30</v>
      </c>
      <c r="F3555" s="3">
        <f t="shared" si="569"/>
        <v>87022262.887131587</v>
      </c>
      <c r="G3555" s="3">
        <f t="shared" ref="G3555:G3575" si="573">-PMT($D$3543/$D$3545,21,$F$3555,,0)</f>
        <v>4534278.9558868138</v>
      </c>
      <c r="H3555" s="3">
        <f t="shared" si="570"/>
        <v>725185.52405942988</v>
      </c>
      <c r="I3555" s="3">
        <f t="shared" si="572"/>
        <v>3809093.431827384</v>
      </c>
      <c r="J3555" s="3">
        <f t="shared" si="571"/>
        <v>83213169.455304205</v>
      </c>
      <c r="K3555" s="24">
        <v>4536020.66</v>
      </c>
      <c r="L3555" s="24">
        <f>G3555-K3555</f>
        <v>-1741.7041131863371</v>
      </c>
    </row>
    <row r="3556" spans="2:12" x14ac:dyDescent="0.35">
      <c r="B3556" s="1">
        <v>5</v>
      </c>
      <c r="C3556" s="22">
        <v>45200</v>
      </c>
      <c r="D3556" s="22">
        <v>45230</v>
      </c>
      <c r="E3556" s="23">
        <f t="shared" si="568"/>
        <v>31</v>
      </c>
      <c r="F3556" s="3">
        <f t="shared" si="569"/>
        <v>83213169.455304205</v>
      </c>
      <c r="G3556" s="3">
        <f t="shared" si="573"/>
        <v>4534278.9558868138</v>
      </c>
      <c r="H3556" s="3">
        <f t="shared" si="570"/>
        <v>693443.07879420172</v>
      </c>
      <c r="I3556" s="3">
        <f t="shared" si="572"/>
        <v>3840835.877092612</v>
      </c>
      <c r="J3556" s="3">
        <f t="shared" si="571"/>
        <v>79372333.578211591</v>
      </c>
      <c r="K3556" s="24">
        <v>4536020.66</v>
      </c>
      <c r="L3556" s="26">
        <f t="shared" ref="L3556:L3568" si="574">L3555+G3556-K3556</f>
        <v>-3483.4082263726741</v>
      </c>
    </row>
    <row r="3557" spans="2:12" x14ac:dyDescent="0.35">
      <c r="B3557" s="1">
        <v>6</v>
      </c>
      <c r="C3557" s="22">
        <v>45231</v>
      </c>
      <c r="D3557" s="22">
        <v>45260</v>
      </c>
      <c r="E3557" s="23">
        <f t="shared" si="568"/>
        <v>30</v>
      </c>
      <c r="F3557" s="3">
        <f t="shared" si="569"/>
        <v>79372333.578211591</v>
      </c>
      <c r="G3557" s="3">
        <f t="shared" si="573"/>
        <v>4534278.9558868138</v>
      </c>
      <c r="H3557" s="3">
        <f t="shared" si="570"/>
        <v>661436.11315176322</v>
      </c>
      <c r="I3557" s="3">
        <f t="shared" si="572"/>
        <v>3872842.8427350507</v>
      </c>
      <c r="J3557" s="3">
        <f t="shared" si="571"/>
        <v>75499490.735476539</v>
      </c>
      <c r="K3557" s="24"/>
      <c r="L3557" s="24">
        <f t="shared" si="574"/>
        <v>4530795.5476604411</v>
      </c>
    </row>
    <row r="3558" spans="2:12" x14ac:dyDescent="0.35">
      <c r="B3558" s="1">
        <v>7</v>
      </c>
      <c r="C3558" s="22">
        <v>45261</v>
      </c>
      <c r="D3558" s="22">
        <v>45291</v>
      </c>
      <c r="E3558" s="23">
        <f t="shared" si="568"/>
        <v>31</v>
      </c>
      <c r="F3558" s="3">
        <f t="shared" si="569"/>
        <v>75499490.735476539</v>
      </c>
      <c r="G3558" s="3">
        <f t="shared" si="573"/>
        <v>4534278.9558868138</v>
      </c>
      <c r="H3558" s="3">
        <f t="shared" si="570"/>
        <v>629162.42279563786</v>
      </c>
      <c r="I3558" s="3">
        <f t="shared" si="572"/>
        <v>3905116.5330911758</v>
      </c>
      <c r="J3558" s="3">
        <f t="shared" si="571"/>
        <v>71594374.202385366</v>
      </c>
      <c r="K3558" s="24">
        <v>4536020.66</v>
      </c>
      <c r="L3558" s="24">
        <f t="shared" si="574"/>
        <v>4529053.8435472548</v>
      </c>
    </row>
    <row r="3559" spans="2:12" x14ac:dyDescent="0.35">
      <c r="B3559" s="1">
        <v>8</v>
      </c>
      <c r="C3559" s="22">
        <v>45292</v>
      </c>
      <c r="D3559" s="22">
        <v>45322</v>
      </c>
      <c r="E3559" s="23">
        <f t="shared" si="568"/>
        <v>31</v>
      </c>
      <c r="F3559" s="3">
        <f t="shared" si="569"/>
        <v>71594374.202385366</v>
      </c>
      <c r="G3559" s="3">
        <f t="shared" si="573"/>
        <v>4534278.9558868138</v>
      </c>
      <c r="H3559" s="3">
        <f t="shared" si="570"/>
        <v>596619.78501987807</v>
      </c>
      <c r="I3559" s="3">
        <f t="shared" si="572"/>
        <v>3937659.1708669355</v>
      </c>
      <c r="J3559" s="3">
        <f t="shared" si="571"/>
        <v>67656715.03151843</v>
      </c>
      <c r="K3559" s="24"/>
      <c r="L3559" s="24">
        <f t="shared" si="574"/>
        <v>9063332.7994340695</v>
      </c>
    </row>
    <row r="3560" spans="2:12" x14ac:dyDescent="0.35">
      <c r="B3560" s="1">
        <v>9</v>
      </c>
      <c r="C3560" s="22">
        <v>45323</v>
      </c>
      <c r="D3560" s="22">
        <v>45351</v>
      </c>
      <c r="E3560" s="23">
        <f t="shared" si="568"/>
        <v>29</v>
      </c>
      <c r="F3560" s="3">
        <f t="shared" si="569"/>
        <v>67656715.03151843</v>
      </c>
      <c r="G3560" s="3">
        <f t="shared" si="573"/>
        <v>4534278.9558868138</v>
      </c>
      <c r="H3560" s="3">
        <f t="shared" si="570"/>
        <v>563805.95859598694</v>
      </c>
      <c r="I3560" s="3">
        <f t="shared" si="572"/>
        <v>3970472.9972908269</v>
      </c>
      <c r="J3560" s="3">
        <f t="shared" si="571"/>
        <v>63686242.034227602</v>
      </c>
      <c r="K3560" s="24">
        <v>4536020.66</v>
      </c>
      <c r="L3560" s="24">
        <f t="shared" si="574"/>
        <v>9061591.0953208841</v>
      </c>
    </row>
    <row r="3561" spans="2:12" x14ac:dyDescent="0.35">
      <c r="B3561" s="1">
        <v>10</v>
      </c>
      <c r="C3561" s="22">
        <v>45352</v>
      </c>
      <c r="D3561" s="22">
        <v>45382</v>
      </c>
      <c r="E3561" s="23">
        <f t="shared" si="568"/>
        <v>31</v>
      </c>
      <c r="F3561" s="3">
        <f t="shared" si="569"/>
        <v>63686242.034227602</v>
      </c>
      <c r="G3561" s="3">
        <f t="shared" si="573"/>
        <v>4534278.9558868138</v>
      </c>
      <c r="H3561" s="3">
        <f t="shared" si="570"/>
        <v>530718.68361856334</v>
      </c>
      <c r="I3561" s="3">
        <f t="shared" si="572"/>
        <v>4003560.2722682506</v>
      </c>
      <c r="J3561" s="3">
        <f t="shared" si="571"/>
        <v>59682681.761959352</v>
      </c>
      <c r="K3561" s="24"/>
      <c r="L3561" s="24">
        <f t="shared" si="574"/>
        <v>13595870.051207699</v>
      </c>
    </row>
    <row r="3562" spans="2:12" x14ac:dyDescent="0.35">
      <c r="B3562" s="1">
        <v>11</v>
      </c>
      <c r="C3562" s="22">
        <v>45383</v>
      </c>
      <c r="D3562" s="22">
        <v>45412</v>
      </c>
      <c r="E3562" s="23">
        <f t="shared" si="568"/>
        <v>30</v>
      </c>
      <c r="F3562" s="3">
        <f t="shared" si="569"/>
        <v>59682681.761959352</v>
      </c>
      <c r="G3562" s="3">
        <f t="shared" si="573"/>
        <v>4534278.9558868138</v>
      </c>
      <c r="H3562" s="3">
        <f t="shared" si="570"/>
        <v>497355.68134966126</v>
      </c>
      <c r="I3562" s="3">
        <f t="shared" si="572"/>
        <v>4036923.2745371526</v>
      </c>
      <c r="J3562" s="3">
        <f t="shared" si="571"/>
        <v>55645758.487422198</v>
      </c>
      <c r="K3562" s="24">
        <v>14000000</v>
      </c>
      <c r="L3562" s="24">
        <f t="shared" si="574"/>
        <v>4130149.0070945136</v>
      </c>
    </row>
    <row r="3563" spans="2:12" x14ac:dyDescent="0.35">
      <c r="B3563" s="1">
        <v>12</v>
      </c>
      <c r="C3563" s="22">
        <v>45413</v>
      </c>
      <c r="D3563" s="22">
        <v>45443</v>
      </c>
      <c r="E3563" s="23">
        <f t="shared" si="568"/>
        <v>31</v>
      </c>
      <c r="F3563" s="3">
        <f t="shared" si="569"/>
        <v>55645758.487422198</v>
      </c>
      <c r="G3563" s="3">
        <f t="shared" si="573"/>
        <v>4534278.9558868138</v>
      </c>
      <c r="H3563" s="3">
        <f t="shared" si="570"/>
        <v>463714.65406185162</v>
      </c>
      <c r="I3563" s="3">
        <f t="shared" si="572"/>
        <v>4070564.3018249623</v>
      </c>
      <c r="J3563" s="3">
        <f t="shared" si="571"/>
        <v>51575194.185597233</v>
      </c>
      <c r="K3563" s="24"/>
      <c r="L3563" s="24">
        <f t="shared" si="574"/>
        <v>8664427.9629813284</v>
      </c>
    </row>
    <row r="3564" spans="2:12" x14ac:dyDescent="0.35">
      <c r="B3564" s="1">
        <v>13</v>
      </c>
      <c r="C3564" s="22">
        <v>45444</v>
      </c>
      <c r="D3564" s="22">
        <v>45473</v>
      </c>
      <c r="E3564" s="23">
        <f t="shared" si="568"/>
        <v>30</v>
      </c>
      <c r="F3564" s="3">
        <f t="shared" si="569"/>
        <v>51575194.185597233</v>
      </c>
      <c r="G3564" s="3">
        <f t="shared" si="573"/>
        <v>4534278.9558868138</v>
      </c>
      <c r="H3564" s="3">
        <f t="shared" si="570"/>
        <v>429793.28487997694</v>
      </c>
      <c r="I3564" s="3">
        <f t="shared" si="572"/>
        <v>4104485.6710068369</v>
      </c>
      <c r="J3564" s="3">
        <f t="shared" si="571"/>
        <v>47470708.514590397</v>
      </c>
      <c r="K3564" s="24">
        <v>13198706.92</v>
      </c>
      <c r="L3564" s="24">
        <f t="shared" si="574"/>
        <v>-1.1318568140268326E-3</v>
      </c>
    </row>
    <row r="3565" spans="2:12" x14ac:dyDescent="0.35">
      <c r="B3565" s="1">
        <v>14</v>
      </c>
      <c r="C3565" s="22">
        <v>45474</v>
      </c>
      <c r="D3565" s="22">
        <v>45504</v>
      </c>
      <c r="E3565" s="23">
        <f t="shared" si="568"/>
        <v>31</v>
      </c>
      <c r="F3565" s="3">
        <f t="shared" si="569"/>
        <v>47470708.514590397</v>
      </c>
      <c r="G3565" s="3">
        <f t="shared" si="573"/>
        <v>4534278.9558868138</v>
      </c>
      <c r="H3565" s="3">
        <f t="shared" si="570"/>
        <v>395589.23762158665</v>
      </c>
      <c r="I3565" s="3">
        <f t="shared" si="572"/>
        <v>4138689.718265227</v>
      </c>
      <c r="J3565" s="3">
        <f t="shared" si="571"/>
        <v>43332018.79632517</v>
      </c>
      <c r="K3565" s="24"/>
      <c r="L3565" s="24">
        <f t="shared" si="574"/>
        <v>4534278.954754957</v>
      </c>
    </row>
    <row r="3566" spans="2:12" x14ac:dyDescent="0.35">
      <c r="B3566" s="1">
        <v>15</v>
      </c>
      <c r="C3566" s="22">
        <v>45505</v>
      </c>
      <c r="D3566" s="22">
        <v>45535</v>
      </c>
      <c r="E3566" s="23">
        <f t="shared" si="568"/>
        <v>31</v>
      </c>
      <c r="F3566" s="3">
        <f t="shared" si="569"/>
        <v>43332018.79632517</v>
      </c>
      <c r="G3566" s="3">
        <f t="shared" si="573"/>
        <v>4534278.9558868138</v>
      </c>
      <c r="H3566" s="3">
        <f t="shared" si="570"/>
        <v>361100.1566360431</v>
      </c>
      <c r="I3566" s="3">
        <f t="shared" si="572"/>
        <v>4173178.7992507708</v>
      </c>
      <c r="J3566" s="3">
        <f t="shared" si="571"/>
        <v>39158839.997074395</v>
      </c>
      <c r="K3566" s="24">
        <v>4600000</v>
      </c>
      <c r="L3566" s="24">
        <f t="shared" si="574"/>
        <v>4468557.9106417708</v>
      </c>
    </row>
    <row r="3567" spans="2:12" x14ac:dyDescent="0.35">
      <c r="B3567" s="1">
        <v>16</v>
      </c>
      <c r="C3567" s="22">
        <v>45536</v>
      </c>
      <c r="D3567" s="22">
        <v>45565</v>
      </c>
      <c r="E3567" s="23">
        <f t="shared" si="568"/>
        <v>30</v>
      </c>
      <c r="F3567" s="3">
        <f t="shared" si="569"/>
        <v>39158839.997074395</v>
      </c>
      <c r="G3567" s="3">
        <f t="shared" si="573"/>
        <v>4534278.9558868138</v>
      </c>
      <c r="H3567" s="3">
        <f t="shared" si="570"/>
        <v>326323.66664228664</v>
      </c>
      <c r="I3567" s="3">
        <f t="shared" si="572"/>
        <v>4207955.289244527</v>
      </c>
      <c r="J3567" s="3">
        <f t="shared" si="571"/>
        <v>34950884.70782987</v>
      </c>
      <c r="K3567" s="24">
        <f>4600000+4808387.1</f>
        <v>9408387.0999999996</v>
      </c>
      <c r="L3567" s="24">
        <f t="shared" si="574"/>
        <v>-405550.23347141407</v>
      </c>
    </row>
    <row r="3568" spans="2:12" x14ac:dyDescent="0.35">
      <c r="B3568" s="1">
        <v>17</v>
      </c>
      <c r="C3568" s="22">
        <v>45566</v>
      </c>
      <c r="D3568" s="22">
        <v>45596</v>
      </c>
      <c r="E3568" s="23">
        <f t="shared" si="568"/>
        <v>31</v>
      </c>
      <c r="F3568" s="3">
        <f t="shared" si="569"/>
        <v>34950884.70782987</v>
      </c>
      <c r="G3568" s="3">
        <f t="shared" si="573"/>
        <v>4534278.9558868138</v>
      </c>
      <c r="H3568" s="3">
        <f t="shared" si="570"/>
        <v>291257.37256524892</v>
      </c>
      <c r="I3568" s="3">
        <f t="shared" si="572"/>
        <v>4243021.5833215648</v>
      </c>
      <c r="J3568" s="3">
        <f t="shared" si="571"/>
        <v>30707863.124508306</v>
      </c>
      <c r="K3568" s="24"/>
      <c r="L3568" s="205">
        <f t="shared" si="574"/>
        <v>4128728.7224153997</v>
      </c>
    </row>
    <row r="3569" spans="2:19" x14ac:dyDescent="0.35">
      <c r="B3569" s="1">
        <v>18</v>
      </c>
      <c r="C3569" s="22">
        <v>45597</v>
      </c>
      <c r="D3569" s="22">
        <v>45626</v>
      </c>
      <c r="E3569" s="23">
        <f t="shared" si="568"/>
        <v>30</v>
      </c>
      <c r="F3569" s="3">
        <f t="shared" si="569"/>
        <v>30707863.124508306</v>
      </c>
      <c r="G3569" s="3">
        <f t="shared" si="573"/>
        <v>4534278.9558868138</v>
      </c>
      <c r="H3569" s="3">
        <f t="shared" si="570"/>
        <v>255898.85937090256</v>
      </c>
      <c r="I3569" s="3">
        <f t="shared" si="572"/>
        <v>4278380.0965159116</v>
      </c>
      <c r="J3569" s="3">
        <f t="shared" si="571"/>
        <v>26429483.027992394</v>
      </c>
      <c r="K3569" s="24"/>
      <c r="L3569" s="24"/>
    </row>
    <row r="3570" spans="2:19" x14ac:dyDescent="0.35">
      <c r="B3570" s="1">
        <v>19</v>
      </c>
      <c r="C3570" s="22">
        <v>45627</v>
      </c>
      <c r="D3570" s="22">
        <v>45657</v>
      </c>
      <c r="E3570" s="23">
        <f t="shared" si="568"/>
        <v>31</v>
      </c>
      <c r="F3570" s="3">
        <f t="shared" si="569"/>
        <v>26429483.027992394</v>
      </c>
      <c r="G3570" s="3">
        <f t="shared" si="573"/>
        <v>4534278.9558868138</v>
      </c>
      <c r="H3570" s="3">
        <f t="shared" si="570"/>
        <v>220245.69189993662</v>
      </c>
      <c r="I3570" s="3">
        <f t="shared" si="572"/>
        <v>4314033.2639868772</v>
      </c>
      <c r="J3570" s="3">
        <f t="shared" si="571"/>
        <v>22115449.764005516</v>
      </c>
      <c r="K3570" s="24"/>
      <c r="L3570" s="24"/>
    </row>
    <row r="3571" spans="2:19" x14ac:dyDescent="0.35">
      <c r="B3571" s="1">
        <v>20</v>
      </c>
      <c r="C3571" s="22">
        <v>45658</v>
      </c>
      <c r="D3571" s="22">
        <v>45688</v>
      </c>
      <c r="E3571" s="23">
        <f t="shared" si="568"/>
        <v>31</v>
      </c>
      <c r="F3571" s="3">
        <f t="shared" si="569"/>
        <v>22115449.764005516</v>
      </c>
      <c r="G3571" s="3">
        <f t="shared" si="573"/>
        <v>4534278.9558868138</v>
      </c>
      <c r="H3571" s="3">
        <f t="shared" si="570"/>
        <v>184295.41470004595</v>
      </c>
      <c r="I3571" s="3">
        <f t="shared" si="572"/>
        <v>4349983.5411867676</v>
      </c>
      <c r="J3571" s="3">
        <f t="shared" si="571"/>
        <v>17765466.222818747</v>
      </c>
      <c r="K3571" s="24"/>
      <c r="L3571" s="24"/>
    </row>
    <row r="3572" spans="2:19" x14ac:dyDescent="0.35">
      <c r="B3572" s="1">
        <v>21</v>
      </c>
      <c r="C3572" s="22">
        <v>45689</v>
      </c>
      <c r="D3572" s="22">
        <v>45716</v>
      </c>
      <c r="E3572" s="23">
        <f t="shared" si="568"/>
        <v>28</v>
      </c>
      <c r="F3572" s="3">
        <f t="shared" si="569"/>
        <v>17765466.222818747</v>
      </c>
      <c r="G3572" s="3">
        <f t="shared" si="573"/>
        <v>4534278.9558868138</v>
      </c>
      <c r="H3572" s="3">
        <f t="shared" si="570"/>
        <v>148045.55185682289</v>
      </c>
      <c r="I3572" s="3">
        <f t="shared" si="572"/>
        <v>4386233.4040299905</v>
      </c>
      <c r="J3572" s="3">
        <f t="shared" si="571"/>
        <v>13379232.818788756</v>
      </c>
      <c r="K3572" s="24"/>
      <c r="L3572" s="24"/>
    </row>
    <row r="3573" spans="2:19" x14ac:dyDescent="0.35">
      <c r="B3573" s="1">
        <v>22</v>
      </c>
      <c r="C3573" s="22">
        <v>45717</v>
      </c>
      <c r="D3573" s="22">
        <v>45747</v>
      </c>
      <c r="E3573" s="23">
        <f t="shared" si="568"/>
        <v>31</v>
      </c>
      <c r="F3573" s="3">
        <f t="shared" si="569"/>
        <v>13379232.818788756</v>
      </c>
      <c r="G3573" s="3">
        <f t="shared" si="573"/>
        <v>4534278.9558868138</v>
      </c>
      <c r="H3573" s="3">
        <f t="shared" si="570"/>
        <v>111493.60682323964</v>
      </c>
      <c r="I3573" s="3">
        <f t="shared" si="572"/>
        <v>4422785.3490635743</v>
      </c>
      <c r="J3573" s="3">
        <f t="shared" si="571"/>
        <v>8956447.4697251804</v>
      </c>
      <c r="K3573" s="24"/>
      <c r="L3573" s="24"/>
    </row>
    <row r="3574" spans="2:19" x14ac:dyDescent="0.35">
      <c r="B3574" s="1">
        <v>23</v>
      </c>
      <c r="C3574" s="22">
        <v>45748</v>
      </c>
      <c r="D3574" s="22">
        <v>45777</v>
      </c>
      <c r="E3574" s="23">
        <f t="shared" si="568"/>
        <v>30</v>
      </c>
      <c r="F3574" s="3">
        <f t="shared" si="569"/>
        <v>8956447.4697251804</v>
      </c>
      <c r="G3574" s="3">
        <f t="shared" si="573"/>
        <v>4534278.9558868138</v>
      </c>
      <c r="H3574" s="3">
        <f t="shared" si="570"/>
        <v>74637.062247709837</v>
      </c>
      <c r="I3574" s="3">
        <f t="shared" si="572"/>
        <v>4459641.8936391044</v>
      </c>
      <c r="J3574" s="3">
        <f t="shared" si="571"/>
        <v>4496805.576086076</v>
      </c>
      <c r="K3574" s="24"/>
      <c r="L3574" s="24"/>
    </row>
    <row r="3575" spans="2:19" x14ac:dyDescent="0.35">
      <c r="B3575" s="1">
        <v>24</v>
      </c>
      <c r="C3575" s="22">
        <v>45778</v>
      </c>
      <c r="D3575" s="22">
        <v>45808</v>
      </c>
      <c r="E3575" s="23">
        <f t="shared" si="568"/>
        <v>31</v>
      </c>
      <c r="F3575" s="3">
        <f t="shared" si="569"/>
        <v>4496805.576086076</v>
      </c>
      <c r="G3575" s="3">
        <f t="shared" si="573"/>
        <v>4534278.9558868138</v>
      </c>
      <c r="H3575" s="3">
        <f t="shared" si="570"/>
        <v>37473.379800717303</v>
      </c>
      <c r="I3575" s="3">
        <f t="shared" si="572"/>
        <v>4496805.5760860965</v>
      </c>
      <c r="J3575" s="3">
        <f t="shared" si="571"/>
        <v>-2.0489096641540527E-8</v>
      </c>
    </row>
    <row r="3577" spans="2:19" x14ac:dyDescent="0.35">
      <c r="E3577" s="261">
        <f>SUM(E3551:E3576)</f>
        <v>745</v>
      </c>
    </row>
    <row r="3579" spans="2:19" x14ac:dyDescent="0.35">
      <c r="K3579" s="141"/>
      <c r="L3579" s="141"/>
    </row>
    <row r="3580" spans="2:19" x14ac:dyDescent="0.35">
      <c r="K3580" s="141"/>
    </row>
    <row r="3581" spans="2:19" x14ac:dyDescent="0.35">
      <c r="K3581" s="141"/>
    </row>
    <row r="3582" spans="2:19" x14ac:dyDescent="0.35">
      <c r="B3582" s="1"/>
      <c r="C3582" s="8" t="s">
        <v>936</v>
      </c>
      <c r="D3582" s="3"/>
      <c r="E3582" s="3"/>
      <c r="F3582" s="3"/>
      <c r="G3582" s="3"/>
      <c r="H3582" s="3"/>
      <c r="K3582" s="3"/>
      <c r="L3582" s="3"/>
      <c r="R3582" s="438" t="s">
        <v>832</v>
      </c>
      <c r="S3582" s="432" t="str">
        <f>IFERROR(INDEX(Blocks!$I$2:$I$101,MATCH(65,Blocks!$A$2:$A$101,0)),"")</f>
        <v>000104450000067</v>
      </c>
    </row>
    <row r="3583" spans="2:19" ht="14.5" customHeight="1" thickBot="1" x14ac:dyDescent="0.4">
      <c r="B3583" s="1"/>
      <c r="C3583" s="1"/>
      <c r="D3583" s="3"/>
      <c r="E3583" s="3"/>
      <c r="F3583" s="3"/>
      <c r="G3583" s="3"/>
      <c r="H3583" s="3"/>
      <c r="I3583" s="398"/>
      <c r="J3583" s="398"/>
      <c r="K3583" s="3"/>
      <c r="L3583" s="3"/>
      <c r="R3583" s="438" t="s">
        <v>834</v>
      </c>
      <c r="S3583" s="432" t="str">
        <f>IFERROR(INDEX(Blocks!$H$2:$H$101,MATCH(65,Blocks!$A$2:$A$101,0)),"")</f>
        <v>Teren Agro Limited</v>
      </c>
    </row>
    <row r="3584" spans="2:19" ht="14.5" customHeight="1" thickTop="1" x14ac:dyDescent="0.35">
      <c r="B3584" s="1"/>
      <c r="C3584" s="9" t="s">
        <v>835</v>
      </c>
      <c r="D3584" s="10">
        <v>30000000</v>
      </c>
      <c r="E3584" s="3"/>
      <c r="F3584" s="3"/>
      <c r="G3584" s="3"/>
      <c r="H3584" s="3"/>
      <c r="I3584" s="3"/>
      <c r="J3584" s="3"/>
      <c r="K3584" s="3"/>
      <c r="L3584" s="3"/>
      <c r="R3584" s="438" t="s">
        <v>223</v>
      </c>
      <c r="S3584" s="433">
        <f>IFERROR(INDEX('E-Banker master'!$N$2:$N$186,MATCH(S3582,'E-Banker master'!$A$2:$A$186,0)),"")</f>
        <v>30000000</v>
      </c>
    </row>
    <row r="3585" spans="2:19" x14ac:dyDescent="0.35">
      <c r="B3585" s="1"/>
      <c r="C3585" s="11" t="s">
        <v>837</v>
      </c>
      <c r="D3585" s="12">
        <v>0.1</v>
      </c>
      <c r="E3585" s="13"/>
      <c r="F3585" s="3"/>
      <c r="G3585" s="3"/>
      <c r="H3585" s="3"/>
      <c r="I3585" s="3"/>
      <c r="J3585" s="3"/>
      <c r="K3585" s="3"/>
      <c r="L3585" s="3"/>
      <c r="R3585" s="438" t="s">
        <v>52</v>
      </c>
      <c r="S3585" s="433">
        <f>IFERROR(INDEX('E-Banker master'!$P$2:$P$186,MATCH(S3582,'E-Banker master'!$A$2:$A$186,0)),"")</f>
        <v>14200437.57</v>
      </c>
    </row>
    <row r="3586" spans="2:19" x14ac:dyDescent="0.35">
      <c r="B3586" s="1"/>
      <c r="C3586" s="11" t="s">
        <v>838</v>
      </c>
      <c r="D3586" s="14">
        <v>2</v>
      </c>
      <c r="E3586" s="1"/>
      <c r="F3586" s="3"/>
      <c r="G3586" s="3"/>
      <c r="H3586" s="3"/>
      <c r="I3586" s="3"/>
      <c r="J3586" s="3"/>
      <c r="K3586" s="1"/>
      <c r="L3586" s="1"/>
    </row>
    <row r="3587" spans="2:19" x14ac:dyDescent="0.35">
      <c r="B3587" s="1"/>
      <c r="C3587" s="11" t="s">
        <v>839</v>
      </c>
      <c r="D3587" s="14">
        <v>12</v>
      </c>
      <c r="E3587" s="1"/>
      <c r="F3587" s="3"/>
      <c r="G3587" s="3"/>
      <c r="H3587" s="3"/>
      <c r="I3587" s="3"/>
      <c r="J3587" s="3"/>
      <c r="K3587" s="1"/>
      <c r="L3587" s="1"/>
    </row>
    <row r="3588" spans="2:19" x14ac:dyDescent="0.35">
      <c r="B3588" s="1"/>
      <c r="C3588" s="11" t="s">
        <v>843</v>
      </c>
      <c r="D3588" s="15">
        <f>D3586*D3587</f>
        <v>24</v>
      </c>
      <c r="E3588" s="1"/>
      <c r="F3588" s="3"/>
      <c r="G3588" s="3"/>
      <c r="H3588" s="3"/>
      <c r="I3588" s="3"/>
      <c r="J3588" s="3"/>
      <c r="K3588" s="1"/>
      <c r="L3588" s="1"/>
    </row>
    <row r="3589" spans="2:19" x14ac:dyDescent="0.35">
      <c r="B3589" s="1"/>
      <c r="C3589" s="11" t="s">
        <v>844</v>
      </c>
      <c r="D3589" s="16">
        <v>365</v>
      </c>
      <c r="E3589" s="1"/>
      <c r="F3589" s="3"/>
      <c r="G3589" s="3"/>
      <c r="H3589" s="3"/>
      <c r="I3589" s="3"/>
      <c r="J3589" s="3"/>
      <c r="K3589" s="1"/>
      <c r="L3589" s="1"/>
    </row>
    <row r="3590" spans="2:19" x14ac:dyDescent="0.35">
      <c r="B3590" s="1"/>
      <c r="C3590" s="17" t="s">
        <v>845</v>
      </c>
      <c r="D3590" s="18">
        <f>-PMT(D3585/D3587,D3588,D3584,0,0)</f>
        <v>1384347.7901254953</v>
      </c>
      <c r="E3590" s="3"/>
      <c r="F3590" s="3"/>
      <c r="G3590" s="3"/>
      <c r="H3590" s="3"/>
      <c r="I3590" s="3"/>
      <c r="J3590" s="3"/>
      <c r="K3590" s="1"/>
      <c r="L3590" s="1"/>
    </row>
    <row r="3591" spans="2:19" x14ac:dyDescent="0.35">
      <c r="B3591" s="1"/>
      <c r="C3591" s="1"/>
      <c r="D3591" s="3"/>
      <c r="E3591" s="3"/>
      <c r="F3591" s="3"/>
      <c r="G3591" s="3"/>
      <c r="H3591" s="3"/>
      <c r="I3591" s="3"/>
      <c r="J3591" s="3"/>
      <c r="K3591" s="1"/>
      <c r="L3591" s="1"/>
    </row>
    <row r="3592" spans="2:19" x14ac:dyDescent="0.35">
      <c r="B3592" s="1"/>
      <c r="C3592" s="19" t="s">
        <v>846</v>
      </c>
      <c r="D3592" s="20" t="s">
        <v>847</v>
      </c>
      <c r="E3592" s="20" t="s">
        <v>764</v>
      </c>
      <c r="F3592" s="270" t="s">
        <v>848</v>
      </c>
      <c r="G3592" s="270" t="s">
        <v>849</v>
      </c>
      <c r="H3592" s="270" t="s">
        <v>742</v>
      </c>
      <c r="I3592" s="270" t="s">
        <v>740</v>
      </c>
      <c r="J3592" s="270" t="s">
        <v>850</v>
      </c>
      <c r="K3592" s="21" t="s">
        <v>851</v>
      </c>
      <c r="L3592" s="21" t="s">
        <v>852</v>
      </c>
    </row>
    <row r="3593" spans="2:19" x14ac:dyDescent="0.35">
      <c r="B3593" s="1">
        <v>0</v>
      </c>
      <c r="C3593" s="22">
        <v>45065</v>
      </c>
      <c r="D3593" s="22">
        <v>45077</v>
      </c>
      <c r="E3593" s="23">
        <f t="shared" ref="E3593:E3617" si="575">D3593-C3593+1</f>
        <v>13</v>
      </c>
      <c r="F3593" s="3">
        <f>D3584</f>
        <v>30000000</v>
      </c>
      <c r="G3593" s="3"/>
      <c r="H3593" s="3">
        <f>($D$3585/$D$3587*F3593*E3593/31)</f>
        <v>104838.70967741935</v>
      </c>
      <c r="I3593" s="3">
        <f>-H3593</f>
        <v>-104838.70967741935</v>
      </c>
      <c r="J3593" s="3">
        <f t="shared" ref="J3593:J3617" si="576">F3593-I3593</f>
        <v>30104838.709677421</v>
      </c>
      <c r="K3593" s="24"/>
      <c r="L3593" s="24"/>
    </row>
    <row r="3594" spans="2:19" x14ac:dyDescent="0.35">
      <c r="B3594" s="1">
        <v>1</v>
      </c>
      <c r="C3594" s="22">
        <v>45078</v>
      </c>
      <c r="D3594" s="22">
        <v>45107</v>
      </c>
      <c r="E3594" s="23">
        <f t="shared" si="575"/>
        <v>30</v>
      </c>
      <c r="F3594" s="3">
        <f t="shared" ref="F3594:F3617" si="577">J3593</f>
        <v>30104838.709677421</v>
      </c>
      <c r="G3594" s="3"/>
      <c r="H3594" s="3">
        <f t="shared" ref="H3594:H3617" si="578">($D$3585/$D$3587*F3594)</f>
        <v>250873.65591397849</v>
      </c>
      <c r="I3594" s="3">
        <f>-H3594</f>
        <v>-250873.65591397849</v>
      </c>
      <c r="J3594" s="3">
        <f t="shared" si="576"/>
        <v>30355712.365591399</v>
      </c>
    </row>
    <row r="3595" spans="2:19" x14ac:dyDescent="0.35">
      <c r="B3595" s="1">
        <v>2</v>
      </c>
      <c r="C3595" s="22">
        <v>45108</v>
      </c>
      <c r="D3595" s="22">
        <v>45138</v>
      </c>
      <c r="E3595" s="23">
        <f t="shared" si="575"/>
        <v>31</v>
      </c>
      <c r="F3595" s="3">
        <f t="shared" si="577"/>
        <v>30355712.365591399</v>
      </c>
      <c r="G3595" s="3"/>
      <c r="H3595" s="3">
        <f t="shared" si="578"/>
        <v>252964.26971326166</v>
      </c>
      <c r="I3595" s="3">
        <f>-H3595</f>
        <v>-252964.26971326166</v>
      </c>
      <c r="J3595" s="3">
        <f t="shared" si="576"/>
        <v>30608676.63530466</v>
      </c>
      <c r="K3595" s="24"/>
      <c r="L3595" s="24"/>
    </row>
    <row r="3596" spans="2:19" x14ac:dyDescent="0.35">
      <c r="B3596" s="1">
        <v>3</v>
      </c>
      <c r="C3596" s="22">
        <v>45139</v>
      </c>
      <c r="D3596" s="22">
        <v>45169</v>
      </c>
      <c r="E3596" s="23">
        <f t="shared" si="575"/>
        <v>31</v>
      </c>
      <c r="F3596" s="3">
        <f t="shared" si="577"/>
        <v>30608676.63530466</v>
      </c>
      <c r="G3596" s="3"/>
      <c r="H3596" s="3">
        <f t="shared" si="578"/>
        <v>255072.30529420549</v>
      </c>
      <c r="I3596" s="3">
        <f t="shared" ref="I3596:I3617" si="579">G3596-H3596</f>
        <v>-255072.30529420549</v>
      </c>
      <c r="J3596" s="3">
        <f t="shared" si="576"/>
        <v>30863748.940598864</v>
      </c>
      <c r="K3596" s="24"/>
      <c r="L3596" s="24"/>
    </row>
    <row r="3597" spans="2:19" x14ac:dyDescent="0.35">
      <c r="B3597" s="1">
        <v>4</v>
      </c>
      <c r="C3597" s="22">
        <v>45170</v>
      </c>
      <c r="D3597" s="22">
        <v>45199</v>
      </c>
      <c r="E3597" s="23">
        <f t="shared" si="575"/>
        <v>30</v>
      </c>
      <c r="F3597" s="3">
        <f t="shared" si="577"/>
        <v>30863748.940598864</v>
      </c>
      <c r="G3597" s="3">
        <f t="shared" ref="G3597:G3617" si="580">-PMT($D$3585/$D$3587,21,$F$3597,,0)</f>
        <v>1608149.9455218799</v>
      </c>
      <c r="H3597" s="3">
        <f t="shared" si="578"/>
        <v>257197.90783832385</v>
      </c>
      <c r="I3597" s="3">
        <f t="shared" si="579"/>
        <v>1350952.0376835561</v>
      </c>
      <c r="J3597" s="3">
        <f t="shared" si="576"/>
        <v>29512796.902915306</v>
      </c>
      <c r="K3597" s="24"/>
      <c r="L3597" s="24">
        <f>G3597</f>
        <v>1608149.9455218799</v>
      </c>
    </row>
    <row r="3598" spans="2:19" x14ac:dyDescent="0.35">
      <c r="B3598" s="1">
        <v>5</v>
      </c>
      <c r="C3598" s="22">
        <v>45200</v>
      </c>
      <c r="D3598" s="22">
        <v>45230</v>
      </c>
      <c r="E3598" s="23">
        <f t="shared" si="575"/>
        <v>31</v>
      </c>
      <c r="F3598" s="3">
        <f t="shared" si="577"/>
        <v>29512796.902915306</v>
      </c>
      <c r="G3598" s="3">
        <f t="shared" si="580"/>
        <v>1608149.9455218799</v>
      </c>
      <c r="H3598" s="3">
        <f t="shared" si="578"/>
        <v>245939.97419096087</v>
      </c>
      <c r="I3598" s="3">
        <f t="shared" si="579"/>
        <v>1362209.9713309191</v>
      </c>
      <c r="J3598" s="3">
        <f t="shared" si="576"/>
        <v>28150586.931584388</v>
      </c>
      <c r="K3598" s="24"/>
      <c r="L3598" s="24">
        <f>L3597+G3598</f>
        <v>3216299.8910437599</v>
      </c>
    </row>
    <row r="3599" spans="2:19" x14ac:dyDescent="0.35">
      <c r="B3599" s="1">
        <v>6</v>
      </c>
      <c r="C3599" s="22">
        <v>45231</v>
      </c>
      <c r="D3599" s="22">
        <v>45260</v>
      </c>
      <c r="E3599" s="23">
        <f t="shared" si="575"/>
        <v>30</v>
      </c>
      <c r="F3599" s="3">
        <f t="shared" si="577"/>
        <v>28150586.931584388</v>
      </c>
      <c r="G3599" s="3">
        <f t="shared" si="580"/>
        <v>1608149.9455218799</v>
      </c>
      <c r="H3599" s="3">
        <f t="shared" si="578"/>
        <v>234588.22442986991</v>
      </c>
      <c r="I3599" s="3">
        <f t="shared" si="579"/>
        <v>1373561.7210920099</v>
      </c>
      <c r="J3599" s="3">
        <f t="shared" si="576"/>
        <v>26777025.21049238</v>
      </c>
      <c r="K3599" s="24">
        <v>1602549.64</v>
      </c>
      <c r="L3599" s="24">
        <f t="shared" ref="L3599:L3610" si="581">L3598+G3599-K3599</f>
        <v>3221900.1965656402</v>
      </c>
    </row>
    <row r="3600" spans="2:19" x14ac:dyDescent="0.35">
      <c r="B3600" s="1">
        <v>7</v>
      </c>
      <c r="C3600" s="22">
        <v>45261</v>
      </c>
      <c r="D3600" s="22">
        <v>45291</v>
      </c>
      <c r="E3600" s="23">
        <f t="shared" si="575"/>
        <v>31</v>
      </c>
      <c r="F3600" s="3">
        <f t="shared" si="577"/>
        <v>26777025.21049238</v>
      </c>
      <c r="G3600" s="3">
        <f t="shared" si="580"/>
        <v>1608149.9455218799</v>
      </c>
      <c r="H3600" s="3">
        <f t="shared" si="578"/>
        <v>223141.87675410317</v>
      </c>
      <c r="I3600" s="3">
        <f t="shared" si="579"/>
        <v>1385008.0687677767</v>
      </c>
      <c r="J3600" s="3">
        <f t="shared" si="576"/>
        <v>25392017.141724601</v>
      </c>
      <c r="K3600" s="24"/>
      <c r="L3600" s="24">
        <f t="shared" si="581"/>
        <v>4830050.1420875201</v>
      </c>
    </row>
    <row r="3601" spans="2:12" x14ac:dyDescent="0.35">
      <c r="B3601" s="1">
        <v>8</v>
      </c>
      <c r="C3601" s="22">
        <v>45292</v>
      </c>
      <c r="D3601" s="22">
        <v>45322</v>
      </c>
      <c r="E3601" s="23">
        <f t="shared" si="575"/>
        <v>31</v>
      </c>
      <c r="F3601" s="3">
        <f t="shared" si="577"/>
        <v>25392017.141724601</v>
      </c>
      <c r="G3601" s="3">
        <f t="shared" si="580"/>
        <v>1608149.9455218799</v>
      </c>
      <c r="H3601" s="3">
        <f t="shared" si="578"/>
        <v>211600.14284770502</v>
      </c>
      <c r="I3601" s="3">
        <f t="shared" si="579"/>
        <v>1396549.802674175</v>
      </c>
      <c r="J3601" s="3">
        <f t="shared" si="576"/>
        <v>23995467.339050427</v>
      </c>
      <c r="K3601" s="24"/>
      <c r="L3601" s="24">
        <f t="shared" si="581"/>
        <v>6438200.0876094</v>
      </c>
    </row>
    <row r="3602" spans="2:12" x14ac:dyDescent="0.35">
      <c r="B3602" s="1">
        <v>9</v>
      </c>
      <c r="C3602" s="22">
        <v>45323</v>
      </c>
      <c r="D3602" s="22">
        <v>45351</v>
      </c>
      <c r="E3602" s="23">
        <f t="shared" si="575"/>
        <v>29</v>
      </c>
      <c r="F3602" s="3">
        <f t="shared" si="577"/>
        <v>23995467.339050427</v>
      </c>
      <c r="G3602" s="3">
        <f t="shared" si="580"/>
        <v>1608149.9455218799</v>
      </c>
      <c r="H3602" s="3">
        <f t="shared" si="578"/>
        <v>199962.22782542021</v>
      </c>
      <c r="I3602" s="3">
        <f t="shared" si="579"/>
        <v>1408187.7176964597</v>
      </c>
      <c r="J3602" s="3">
        <f t="shared" si="576"/>
        <v>22587279.621353969</v>
      </c>
      <c r="K3602" s="24">
        <v>3800000</v>
      </c>
      <c r="L3602" s="24">
        <f t="shared" si="581"/>
        <v>4246350.03313128</v>
      </c>
    </row>
    <row r="3603" spans="2:12" x14ac:dyDescent="0.35">
      <c r="B3603" s="1">
        <v>10</v>
      </c>
      <c r="C3603" s="22">
        <v>45352</v>
      </c>
      <c r="D3603" s="22">
        <v>45382</v>
      </c>
      <c r="E3603" s="23">
        <f t="shared" si="575"/>
        <v>31</v>
      </c>
      <c r="F3603" s="3">
        <f t="shared" si="577"/>
        <v>22587279.621353969</v>
      </c>
      <c r="G3603" s="3">
        <f t="shared" si="580"/>
        <v>1608149.9455218799</v>
      </c>
      <c r="H3603" s="3">
        <f t="shared" si="578"/>
        <v>188227.33017794974</v>
      </c>
      <c r="I3603" s="3">
        <f t="shared" si="579"/>
        <v>1419922.6153439302</v>
      </c>
      <c r="J3603" s="3">
        <f t="shared" si="576"/>
        <v>21167357.006010041</v>
      </c>
      <c r="K3603" s="24"/>
      <c r="L3603" s="24">
        <f t="shared" si="581"/>
        <v>5854499.9786531599</v>
      </c>
    </row>
    <row r="3604" spans="2:12" x14ac:dyDescent="0.35">
      <c r="B3604" s="1">
        <v>11</v>
      </c>
      <c r="C3604" s="22">
        <v>45383</v>
      </c>
      <c r="D3604" s="22">
        <v>45412</v>
      </c>
      <c r="E3604" s="23">
        <f t="shared" si="575"/>
        <v>30</v>
      </c>
      <c r="F3604" s="3">
        <f t="shared" si="577"/>
        <v>21167357.006010041</v>
      </c>
      <c r="G3604" s="3">
        <f t="shared" si="580"/>
        <v>1608149.9455218799</v>
      </c>
      <c r="H3604" s="3">
        <f t="shared" si="578"/>
        <v>176394.64171675034</v>
      </c>
      <c r="I3604" s="3">
        <f t="shared" si="579"/>
        <v>1431755.3038051296</v>
      </c>
      <c r="J3604" s="3">
        <f t="shared" si="576"/>
        <v>19735601.702204913</v>
      </c>
      <c r="K3604" s="24"/>
      <c r="L3604" s="24">
        <f t="shared" si="581"/>
        <v>7462649.9241750399</v>
      </c>
    </row>
    <row r="3605" spans="2:12" x14ac:dyDescent="0.35">
      <c r="B3605" s="1">
        <v>12</v>
      </c>
      <c r="C3605" s="22">
        <v>45413</v>
      </c>
      <c r="D3605" s="22">
        <v>45443</v>
      </c>
      <c r="E3605" s="23">
        <f t="shared" si="575"/>
        <v>31</v>
      </c>
      <c r="F3605" s="3">
        <f t="shared" si="577"/>
        <v>19735601.702204913</v>
      </c>
      <c r="G3605" s="3">
        <f t="shared" si="580"/>
        <v>1608149.9455218799</v>
      </c>
      <c r="H3605" s="3">
        <f t="shared" si="578"/>
        <v>164463.34751837427</v>
      </c>
      <c r="I3605" s="3">
        <f t="shared" si="579"/>
        <v>1443686.5980035057</v>
      </c>
      <c r="J3605" s="3">
        <f t="shared" si="576"/>
        <v>18291915.104201406</v>
      </c>
      <c r="K3605" s="24">
        <f>1062650+1400000+5000000+900000+710000</f>
        <v>9072650</v>
      </c>
      <c r="L3605" s="24">
        <f t="shared" si="581"/>
        <v>-1850.130303081125</v>
      </c>
    </row>
    <row r="3606" spans="2:12" x14ac:dyDescent="0.35">
      <c r="B3606" s="1">
        <v>13</v>
      </c>
      <c r="C3606" s="22">
        <v>45444</v>
      </c>
      <c r="D3606" s="22">
        <v>45473</v>
      </c>
      <c r="E3606" s="23">
        <f t="shared" si="575"/>
        <v>30</v>
      </c>
      <c r="F3606" s="3">
        <f t="shared" si="577"/>
        <v>18291915.104201406</v>
      </c>
      <c r="G3606" s="3">
        <f t="shared" si="580"/>
        <v>1608149.9455218799</v>
      </c>
      <c r="H3606" s="3">
        <f t="shared" si="578"/>
        <v>152432.62586834506</v>
      </c>
      <c r="I3606" s="3">
        <f t="shared" si="579"/>
        <v>1455717.3196535348</v>
      </c>
      <c r="J3606" s="3">
        <f t="shared" si="576"/>
        <v>16836197.784547873</v>
      </c>
      <c r="K3606" s="24">
        <v>1600000</v>
      </c>
      <c r="L3606" s="24">
        <f t="shared" si="581"/>
        <v>6299.8152187988162</v>
      </c>
    </row>
    <row r="3607" spans="2:12" x14ac:dyDescent="0.35">
      <c r="B3607" s="1">
        <v>14</v>
      </c>
      <c r="C3607" s="22">
        <v>45474</v>
      </c>
      <c r="D3607" s="22">
        <v>45504</v>
      </c>
      <c r="E3607" s="23">
        <f t="shared" si="575"/>
        <v>31</v>
      </c>
      <c r="F3607" s="3">
        <f t="shared" si="577"/>
        <v>16836197.784547873</v>
      </c>
      <c r="G3607" s="3">
        <f t="shared" si="580"/>
        <v>1608149.9455218799</v>
      </c>
      <c r="H3607" s="3">
        <f t="shared" si="578"/>
        <v>140301.6482045656</v>
      </c>
      <c r="I3607" s="3">
        <f t="shared" si="579"/>
        <v>1467848.2973173144</v>
      </c>
      <c r="J3607" s="3">
        <f t="shared" si="576"/>
        <v>15368349.487230558</v>
      </c>
      <c r="K3607" s="24"/>
      <c r="L3607" s="24">
        <f t="shared" si="581"/>
        <v>1614449.7607406788</v>
      </c>
    </row>
    <row r="3608" spans="2:12" x14ac:dyDescent="0.35">
      <c r="B3608" s="1">
        <v>15</v>
      </c>
      <c r="C3608" s="22">
        <v>45505</v>
      </c>
      <c r="D3608" s="22">
        <v>45535</v>
      </c>
      <c r="E3608" s="23">
        <f t="shared" si="575"/>
        <v>31</v>
      </c>
      <c r="F3608" s="3">
        <f t="shared" si="577"/>
        <v>15368349.487230558</v>
      </c>
      <c r="G3608" s="3">
        <f t="shared" si="580"/>
        <v>1608149.9455218799</v>
      </c>
      <c r="H3608" s="3">
        <f t="shared" si="578"/>
        <v>128069.57906025465</v>
      </c>
      <c r="I3608" s="3">
        <f t="shared" si="579"/>
        <v>1480080.3664616253</v>
      </c>
      <c r="J3608" s="3">
        <f t="shared" si="576"/>
        <v>13888269.120768933</v>
      </c>
      <c r="K3608" s="24"/>
      <c r="L3608" s="24">
        <f t="shared" si="581"/>
        <v>3222599.7062625587</v>
      </c>
    </row>
    <row r="3609" spans="2:12" x14ac:dyDescent="0.35">
      <c r="B3609" s="1">
        <v>16</v>
      </c>
      <c r="C3609" s="22">
        <v>45536</v>
      </c>
      <c r="D3609" s="22">
        <v>45565</v>
      </c>
      <c r="E3609" s="23">
        <f t="shared" si="575"/>
        <v>30</v>
      </c>
      <c r="F3609" s="3">
        <f t="shared" si="577"/>
        <v>13888269.120768933</v>
      </c>
      <c r="G3609" s="3">
        <f t="shared" si="580"/>
        <v>1608149.9455218799</v>
      </c>
      <c r="H3609" s="3">
        <f t="shared" si="578"/>
        <v>115735.57600640778</v>
      </c>
      <c r="I3609" s="3">
        <f t="shared" si="579"/>
        <v>1492414.3695154721</v>
      </c>
      <c r="J3609" s="3">
        <f t="shared" si="576"/>
        <v>12395854.75125346</v>
      </c>
      <c r="K3609" s="24"/>
      <c r="L3609" s="24">
        <f t="shared" si="581"/>
        <v>4830749.6517844386</v>
      </c>
    </row>
    <row r="3610" spans="2:12" x14ac:dyDescent="0.35">
      <c r="B3610" s="1">
        <v>17</v>
      </c>
      <c r="C3610" s="22">
        <v>45566</v>
      </c>
      <c r="D3610" s="22">
        <v>45596</v>
      </c>
      <c r="E3610" s="23">
        <f t="shared" si="575"/>
        <v>31</v>
      </c>
      <c r="F3610" s="3">
        <f t="shared" si="577"/>
        <v>12395854.75125346</v>
      </c>
      <c r="G3610" s="3">
        <f t="shared" si="580"/>
        <v>1608149.9455218799</v>
      </c>
      <c r="H3610" s="3">
        <f t="shared" si="578"/>
        <v>103298.78959377883</v>
      </c>
      <c r="I3610" s="3">
        <f t="shared" si="579"/>
        <v>1504851.1559281012</v>
      </c>
      <c r="J3610" s="3">
        <f t="shared" si="576"/>
        <v>10891003.595325358</v>
      </c>
      <c r="K3610" s="24">
        <v>3200000</v>
      </c>
      <c r="L3610" s="204">
        <f t="shared" si="581"/>
        <v>3238899.5973063186</v>
      </c>
    </row>
    <row r="3611" spans="2:12" x14ac:dyDescent="0.35">
      <c r="B3611" s="1">
        <v>18</v>
      </c>
      <c r="C3611" s="22">
        <v>45597</v>
      </c>
      <c r="D3611" s="22">
        <v>45626</v>
      </c>
      <c r="E3611" s="23">
        <f t="shared" si="575"/>
        <v>30</v>
      </c>
      <c r="F3611" s="3">
        <f t="shared" si="577"/>
        <v>10891003.595325358</v>
      </c>
      <c r="G3611" s="3">
        <f t="shared" si="580"/>
        <v>1608149.9455218799</v>
      </c>
      <c r="H3611" s="3">
        <f t="shared" si="578"/>
        <v>90758.363294377981</v>
      </c>
      <c r="I3611" s="3">
        <f t="shared" si="579"/>
        <v>1517391.582227502</v>
      </c>
      <c r="J3611" s="3">
        <f t="shared" si="576"/>
        <v>9373612.0130978562</v>
      </c>
      <c r="K3611" s="24"/>
      <c r="L3611" s="24"/>
    </row>
    <row r="3612" spans="2:12" x14ac:dyDescent="0.35">
      <c r="B3612" s="1">
        <v>19</v>
      </c>
      <c r="C3612" s="22">
        <v>45627</v>
      </c>
      <c r="D3612" s="22">
        <v>45657</v>
      </c>
      <c r="E3612" s="23">
        <f t="shared" si="575"/>
        <v>31</v>
      </c>
      <c r="F3612" s="3">
        <f t="shared" si="577"/>
        <v>9373612.0130978562</v>
      </c>
      <c r="G3612" s="3">
        <f t="shared" si="580"/>
        <v>1608149.9455218799</v>
      </c>
      <c r="H3612" s="3">
        <f t="shared" si="578"/>
        <v>78113.433442482128</v>
      </c>
      <c r="I3612" s="3">
        <f t="shared" si="579"/>
        <v>1530036.5120793979</v>
      </c>
      <c r="J3612" s="3">
        <f t="shared" si="576"/>
        <v>7843575.501018458</v>
      </c>
      <c r="K3612" s="24"/>
      <c r="L3612" s="24"/>
    </row>
    <row r="3613" spans="2:12" x14ac:dyDescent="0.35">
      <c r="B3613" s="1">
        <v>20</v>
      </c>
      <c r="C3613" s="22">
        <v>45658</v>
      </c>
      <c r="D3613" s="22">
        <v>45688</v>
      </c>
      <c r="E3613" s="23">
        <f t="shared" si="575"/>
        <v>31</v>
      </c>
      <c r="F3613" s="3">
        <f t="shared" si="577"/>
        <v>7843575.501018458</v>
      </c>
      <c r="G3613" s="3">
        <f t="shared" si="580"/>
        <v>1608149.9455218799</v>
      </c>
      <c r="H3613" s="3">
        <f t="shared" si="578"/>
        <v>65363.129175153816</v>
      </c>
      <c r="I3613" s="3">
        <f t="shared" si="579"/>
        <v>1542786.8163467261</v>
      </c>
      <c r="J3613" s="3">
        <f t="shared" si="576"/>
        <v>6300788.6846717317</v>
      </c>
      <c r="K3613" s="24"/>
      <c r="L3613" s="24"/>
    </row>
    <row r="3614" spans="2:12" x14ac:dyDescent="0.35">
      <c r="B3614" s="1">
        <v>21</v>
      </c>
      <c r="C3614" s="22">
        <v>45689</v>
      </c>
      <c r="D3614" s="22">
        <v>45716</v>
      </c>
      <c r="E3614" s="23">
        <f t="shared" si="575"/>
        <v>28</v>
      </c>
      <c r="F3614" s="3">
        <f t="shared" si="577"/>
        <v>6300788.6846717317</v>
      </c>
      <c r="G3614" s="3">
        <f t="shared" si="580"/>
        <v>1608149.9455218799</v>
      </c>
      <c r="H3614" s="3">
        <f t="shared" si="578"/>
        <v>52506.572372264432</v>
      </c>
      <c r="I3614" s="3">
        <f t="shared" si="579"/>
        <v>1555643.3731496155</v>
      </c>
      <c r="J3614" s="3">
        <f t="shared" si="576"/>
        <v>4745145.311522116</v>
      </c>
      <c r="K3614" s="24"/>
      <c r="L3614" s="24"/>
    </row>
    <row r="3615" spans="2:12" x14ac:dyDescent="0.35">
      <c r="B3615" s="1">
        <v>22</v>
      </c>
      <c r="C3615" s="22">
        <v>45717</v>
      </c>
      <c r="D3615" s="22">
        <v>45747</v>
      </c>
      <c r="E3615" s="23">
        <f t="shared" si="575"/>
        <v>31</v>
      </c>
      <c r="F3615" s="3">
        <f t="shared" si="577"/>
        <v>4745145.311522116</v>
      </c>
      <c r="G3615" s="3">
        <f t="shared" si="580"/>
        <v>1608149.9455218799</v>
      </c>
      <c r="H3615" s="3">
        <f t="shared" si="578"/>
        <v>39542.877596017635</v>
      </c>
      <c r="I3615" s="3">
        <f t="shared" si="579"/>
        <v>1568607.0679258623</v>
      </c>
      <c r="J3615" s="3">
        <f t="shared" si="576"/>
        <v>3176538.2435962539</v>
      </c>
      <c r="K3615" s="24"/>
      <c r="L3615" s="24"/>
    </row>
    <row r="3616" spans="2:12" x14ac:dyDescent="0.35">
      <c r="B3616" s="1">
        <v>23</v>
      </c>
      <c r="C3616" s="22">
        <v>45748</v>
      </c>
      <c r="D3616" s="22">
        <v>45777</v>
      </c>
      <c r="E3616" s="23">
        <f t="shared" si="575"/>
        <v>30</v>
      </c>
      <c r="F3616" s="3">
        <f t="shared" si="577"/>
        <v>3176538.2435962539</v>
      </c>
      <c r="G3616" s="3">
        <f t="shared" si="580"/>
        <v>1608149.9455218799</v>
      </c>
      <c r="H3616" s="3">
        <f t="shared" si="578"/>
        <v>26471.152029968784</v>
      </c>
      <c r="I3616" s="3">
        <f t="shared" si="579"/>
        <v>1581678.7934919111</v>
      </c>
      <c r="J3616" s="3">
        <f t="shared" si="576"/>
        <v>1594859.4501043428</v>
      </c>
      <c r="K3616" s="24"/>
      <c r="L3616" s="24"/>
    </row>
    <row r="3617" spans="2:19" x14ac:dyDescent="0.35">
      <c r="B3617" s="1">
        <v>24</v>
      </c>
      <c r="C3617" s="22">
        <v>45778</v>
      </c>
      <c r="D3617" s="22">
        <v>45808</v>
      </c>
      <c r="E3617" s="23">
        <f t="shared" si="575"/>
        <v>31</v>
      </c>
      <c r="F3617" s="3">
        <f t="shared" si="577"/>
        <v>1594859.4501043428</v>
      </c>
      <c r="G3617" s="3">
        <f t="shared" si="580"/>
        <v>1608149.9455218799</v>
      </c>
      <c r="H3617" s="3">
        <f t="shared" si="578"/>
        <v>13290.495417536189</v>
      </c>
      <c r="I3617" s="3">
        <f t="shared" si="579"/>
        <v>1594859.4501043437</v>
      </c>
      <c r="J3617" s="3">
        <f t="shared" si="576"/>
        <v>0</v>
      </c>
    </row>
    <row r="3619" spans="2:19" x14ac:dyDescent="0.35">
      <c r="E3619" s="261">
        <f>SUM(E3593:E3618)</f>
        <v>744</v>
      </c>
    </row>
    <row r="3626" spans="2:19" x14ac:dyDescent="0.35">
      <c r="B3626" s="1"/>
      <c r="C3626" s="8" t="s">
        <v>800</v>
      </c>
      <c r="D3626" s="3"/>
      <c r="E3626" s="3"/>
      <c r="F3626" s="3"/>
      <c r="G3626" s="3"/>
      <c r="H3626" s="3"/>
      <c r="I3626" s="3"/>
      <c r="J3626" s="3"/>
      <c r="K3626" s="3"/>
      <c r="L3626" s="3"/>
      <c r="R3626" s="438" t="s">
        <v>832</v>
      </c>
      <c r="S3626" s="432" t="str">
        <f>IFERROR(INDEX(Blocks!$I$2:$I$101,MATCH(66,Blocks!$A$2:$A$101,0)),"")</f>
        <v>000104450000068</v>
      </c>
    </row>
    <row r="3627" spans="2:19" x14ac:dyDescent="0.35">
      <c r="B3627" s="1"/>
      <c r="C3627" s="1"/>
      <c r="D3627" s="3"/>
      <c r="E3627" s="3"/>
      <c r="F3627" s="3"/>
      <c r="G3627" s="3"/>
      <c r="H3627" s="3"/>
      <c r="I3627" s="3"/>
      <c r="J3627" s="3"/>
      <c r="K3627" s="3"/>
      <c r="L3627" s="3"/>
      <c r="R3627" s="438" t="s">
        <v>834</v>
      </c>
      <c r="S3627" s="432" t="str">
        <f>IFERROR(INDEX(Blocks!$H$2:$H$101,MATCH(66,Blocks!$A$2:$A$101,0)),"")</f>
        <v>The Food Empire</v>
      </c>
    </row>
    <row r="3628" spans="2:19" x14ac:dyDescent="0.35">
      <c r="B3628" s="1"/>
      <c r="C3628" s="9" t="s">
        <v>835</v>
      </c>
      <c r="D3628" s="10">
        <v>250000000</v>
      </c>
      <c r="E3628" s="3"/>
      <c r="F3628" s="3"/>
      <c r="G3628" s="3"/>
      <c r="H3628" s="3"/>
      <c r="I3628" s="3"/>
      <c r="J3628" s="3"/>
      <c r="K3628" s="3"/>
      <c r="L3628" s="3"/>
      <c r="R3628" s="438" t="s">
        <v>223</v>
      </c>
      <c r="S3628" s="433">
        <f>IFERROR(INDEX('E-Banker master'!$N$2:$N$186,MATCH(S3626,'E-Banker master'!$A$2:$A$186,0)),"")</f>
        <v>250000000</v>
      </c>
    </row>
    <row r="3629" spans="2:19" x14ac:dyDescent="0.35">
      <c r="B3629" s="1"/>
      <c r="C3629" s="11" t="s">
        <v>837</v>
      </c>
      <c r="D3629" s="12">
        <v>0.1</v>
      </c>
      <c r="E3629" s="13"/>
      <c r="F3629" s="3"/>
      <c r="G3629" s="3"/>
      <c r="H3629" s="3"/>
      <c r="I3629" s="3"/>
      <c r="J3629" s="3"/>
      <c r="K3629" s="3"/>
      <c r="L3629" s="3"/>
      <c r="R3629" s="438" t="s">
        <v>52</v>
      </c>
      <c r="S3629" s="433">
        <f>IFERROR(INDEX('E-Banker master'!$P$2:$P$186,MATCH(S3626,'E-Banker master'!$A$2:$A$186,0)),"")</f>
        <v>172097958.03</v>
      </c>
    </row>
    <row r="3630" spans="2:19" x14ac:dyDescent="0.35">
      <c r="B3630" s="1"/>
      <c r="C3630" s="11" t="s">
        <v>838</v>
      </c>
      <c r="D3630" s="14">
        <v>4</v>
      </c>
      <c r="E3630" s="1"/>
      <c r="F3630" s="3"/>
      <c r="G3630" s="3"/>
      <c r="H3630" s="3"/>
      <c r="I3630" s="3"/>
      <c r="J3630" s="3"/>
      <c r="K3630" s="1"/>
      <c r="L3630" s="1"/>
    </row>
    <row r="3631" spans="2:19" x14ac:dyDescent="0.35">
      <c r="B3631" s="1"/>
      <c r="C3631" s="11" t="s">
        <v>839</v>
      </c>
      <c r="D3631" s="14">
        <v>12</v>
      </c>
      <c r="E3631" s="1"/>
      <c r="F3631" s="3"/>
      <c r="G3631" s="3"/>
      <c r="H3631" s="3"/>
      <c r="I3631" s="3"/>
      <c r="J3631" s="3"/>
      <c r="K3631" s="1"/>
      <c r="L3631" s="1"/>
    </row>
    <row r="3632" spans="2:19" x14ac:dyDescent="0.35">
      <c r="B3632" s="1"/>
      <c r="C3632" s="11" t="s">
        <v>843</v>
      </c>
      <c r="D3632" s="15">
        <f>D3630*D3631</f>
        <v>48</v>
      </c>
      <c r="E3632" s="1"/>
      <c r="F3632" s="3"/>
      <c r="G3632" s="3"/>
      <c r="H3632" s="3"/>
      <c r="I3632" s="3"/>
      <c r="J3632" s="3"/>
      <c r="K3632" s="25">
        <f>D3628+H3637+H3638-K3637-K3638</f>
        <v>239867059.34551975</v>
      </c>
      <c r="L3632" s="1"/>
    </row>
    <row r="3633" spans="2:12" x14ac:dyDescent="0.35">
      <c r="B3633" s="1"/>
      <c r="C3633" s="11" t="s">
        <v>844</v>
      </c>
      <c r="D3633" s="16">
        <v>365</v>
      </c>
      <c r="E3633" s="1"/>
      <c r="F3633" s="3"/>
      <c r="G3633" s="3"/>
      <c r="H3633" s="3"/>
      <c r="I3633" s="3"/>
      <c r="J3633" s="3"/>
      <c r="K3633" s="1"/>
      <c r="L3633" s="1"/>
    </row>
    <row r="3634" spans="2:12" x14ac:dyDescent="0.35">
      <c r="B3634" s="1"/>
      <c r="C3634" s="17" t="s">
        <v>845</v>
      </c>
      <c r="D3634" s="18">
        <f>-PMT(D3629/D3631,D3632,D3628,0,0)</f>
        <v>6340645.8586867964</v>
      </c>
      <c r="E3634" s="3"/>
      <c r="F3634" s="3"/>
      <c r="G3634" s="3"/>
      <c r="H3634" s="3"/>
      <c r="I3634" s="3"/>
      <c r="J3634" s="3"/>
      <c r="K3634" s="1"/>
      <c r="L3634" s="1"/>
    </row>
    <row r="3635" spans="2:12" x14ac:dyDescent="0.35">
      <c r="B3635" s="1"/>
      <c r="C3635" s="1"/>
      <c r="D3635" s="3"/>
      <c r="E3635" s="3"/>
      <c r="F3635" s="3"/>
      <c r="G3635" s="3"/>
      <c r="H3635" s="3"/>
      <c r="I3635" s="3"/>
      <c r="J3635" s="3"/>
      <c r="K3635" s="1"/>
      <c r="L3635" s="1"/>
    </row>
    <row r="3636" spans="2:12" x14ac:dyDescent="0.35">
      <c r="B3636" s="1"/>
      <c r="C3636" s="19" t="s">
        <v>846</v>
      </c>
      <c r="D3636" s="20" t="s">
        <v>847</v>
      </c>
      <c r="E3636" s="20" t="s">
        <v>764</v>
      </c>
      <c r="F3636" s="270" t="s">
        <v>848</v>
      </c>
      <c r="G3636" s="270" t="s">
        <v>849</v>
      </c>
      <c r="H3636" s="270" t="s">
        <v>742</v>
      </c>
      <c r="I3636" s="270" t="s">
        <v>740</v>
      </c>
      <c r="J3636" s="270" t="s">
        <v>850</v>
      </c>
      <c r="K3636" s="21" t="s">
        <v>851</v>
      </c>
      <c r="L3636" s="21" t="s">
        <v>852</v>
      </c>
    </row>
    <row r="3637" spans="2:12" x14ac:dyDescent="0.35">
      <c r="B3637" s="1">
        <v>0</v>
      </c>
      <c r="C3637" s="22">
        <v>45117</v>
      </c>
      <c r="D3637" s="22">
        <v>45138</v>
      </c>
      <c r="E3637" s="23">
        <f t="shared" ref="E3637:E3668" si="582">D3637-C3637+1</f>
        <v>22</v>
      </c>
      <c r="F3637" s="3">
        <f>D3628</f>
        <v>250000000</v>
      </c>
      <c r="G3637" s="3"/>
      <c r="H3637" s="3">
        <f>($D$3629/$D$3631*F3637*E3637/31)</f>
        <v>1478494.6236559139</v>
      </c>
      <c r="I3637" s="3">
        <f>-H3637</f>
        <v>-1478494.6236559139</v>
      </c>
      <c r="J3637" s="3">
        <f t="shared" ref="J3637:J3668" si="583">F3637-I3637</f>
        <v>251478494.62365592</v>
      </c>
      <c r="K3637" s="24">
        <v>6853544.7000000002</v>
      </c>
      <c r="L3637" s="24"/>
    </row>
    <row r="3638" spans="2:12" x14ac:dyDescent="0.35">
      <c r="B3638" s="1">
        <v>1</v>
      </c>
      <c r="C3638" s="22">
        <v>45139</v>
      </c>
      <c r="D3638" s="22">
        <v>45169</v>
      </c>
      <c r="E3638" s="23">
        <f t="shared" si="582"/>
        <v>31</v>
      </c>
      <c r="F3638" s="3">
        <f t="shared" ref="F3638:F3685" si="584">J3637</f>
        <v>251478494.62365592</v>
      </c>
      <c r="G3638" s="3"/>
      <c r="H3638" s="3">
        <f t="shared" ref="H3638:H3685" si="585">($D$3629/$D$3631*F3638)</f>
        <v>2095654.1218637992</v>
      </c>
      <c r="I3638" s="3">
        <f>-H3638</f>
        <v>-2095654.1218637992</v>
      </c>
      <c r="J3638" s="3">
        <f t="shared" si="583"/>
        <v>253574148.74551973</v>
      </c>
      <c r="K3638" s="24">
        <v>6853544.7000000002</v>
      </c>
    </row>
    <row r="3639" spans="2:12" x14ac:dyDescent="0.35">
      <c r="B3639" s="1">
        <v>2</v>
      </c>
      <c r="C3639" s="22">
        <f>+C3638+31</f>
        <v>45170</v>
      </c>
      <c r="D3639" s="22">
        <f>+C3639+29</f>
        <v>45199</v>
      </c>
      <c r="E3639" s="23">
        <f t="shared" si="582"/>
        <v>30</v>
      </c>
      <c r="F3639" s="3">
        <f t="shared" si="584"/>
        <v>253574148.74551973</v>
      </c>
      <c r="G3639" s="3"/>
      <c r="H3639" s="3">
        <f t="shared" si="585"/>
        <v>2113117.9062126642</v>
      </c>
      <c r="I3639" s="3">
        <f>-H3639</f>
        <v>-2113117.9062126642</v>
      </c>
      <c r="J3639" s="3">
        <f t="shared" si="583"/>
        <v>255687266.65173239</v>
      </c>
      <c r="K3639" s="24">
        <v>6853544.7000000002</v>
      </c>
      <c r="L3639" s="24"/>
    </row>
    <row r="3640" spans="2:12" x14ac:dyDescent="0.35">
      <c r="B3640" s="1">
        <v>3</v>
      </c>
      <c r="C3640" s="22">
        <f>+C3639+30</f>
        <v>45200</v>
      </c>
      <c r="D3640" s="22">
        <v>45230</v>
      </c>
      <c r="E3640" s="23">
        <f t="shared" si="582"/>
        <v>31</v>
      </c>
      <c r="F3640" s="3">
        <f t="shared" si="584"/>
        <v>255687266.65173239</v>
      </c>
      <c r="G3640" s="3"/>
      <c r="H3640" s="3">
        <f t="shared" si="585"/>
        <v>2130727.2220977698</v>
      </c>
      <c r="I3640" s="3">
        <f t="shared" ref="I3640:I3685" si="586">G3640-H3640</f>
        <v>-2130727.2220977698</v>
      </c>
      <c r="J3640" s="3">
        <f t="shared" si="583"/>
        <v>257817993.87383017</v>
      </c>
      <c r="K3640" s="24">
        <v>6853544.7000000002</v>
      </c>
      <c r="L3640" s="24"/>
    </row>
    <row r="3641" spans="2:12" x14ac:dyDescent="0.35">
      <c r="B3641" s="1">
        <v>4</v>
      </c>
      <c r="C3641" s="22">
        <f>+C3640+31</f>
        <v>45231</v>
      </c>
      <c r="D3641" s="22">
        <v>45260</v>
      </c>
      <c r="E3641" s="23">
        <f t="shared" si="582"/>
        <v>30</v>
      </c>
      <c r="F3641" s="3">
        <f t="shared" si="584"/>
        <v>257817993.87383017</v>
      </c>
      <c r="G3641" s="3">
        <f t="shared" ref="G3641:G3685" si="587">-PMT($D$3629/$D$3631,45,$F$3641,,0)</f>
        <v>6894076.411524063</v>
      </c>
      <c r="H3641" s="3">
        <f t="shared" si="585"/>
        <v>2148483.282281918</v>
      </c>
      <c r="I3641" s="3">
        <f t="shared" si="586"/>
        <v>4745593.1292421445</v>
      </c>
      <c r="J3641" s="3">
        <f t="shared" si="583"/>
        <v>253072400.74458802</v>
      </c>
      <c r="K3641" s="24">
        <v>6853544.7000000002</v>
      </c>
      <c r="L3641" s="24"/>
    </row>
    <row r="3642" spans="2:12" x14ac:dyDescent="0.35">
      <c r="B3642" s="1">
        <v>5</v>
      </c>
      <c r="C3642" s="22">
        <f>+C3641+30</f>
        <v>45261</v>
      </c>
      <c r="D3642" s="22">
        <v>45291</v>
      </c>
      <c r="E3642" s="23">
        <f t="shared" si="582"/>
        <v>31</v>
      </c>
      <c r="F3642" s="3">
        <f t="shared" si="584"/>
        <v>253072400.74458802</v>
      </c>
      <c r="G3642" s="3">
        <f t="shared" si="587"/>
        <v>6894076.411524063</v>
      </c>
      <c r="H3642" s="3">
        <f t="shared" si="585"/>
        <v>2108936.6728715668</v>
      </c>
      <c r="I3642" s="3">
        <f t="shared" si="586"/>
        <v>4785139.7386524957</v>
      </c>
      <c r="J3642" s="3">
        <f t="shared" si="583"/>
        <v>248287261.00593552</v>
      </c>
      <c r="K3642" s="24">
        <v>6853544.7000000002</v>
      </c>
      <c r="L3642" s="26"/>
    </row>
    <row r="3643" spans="2:12" x14ac:dyDescent="0.35">
      <c r="B3643" s="1">
        <v>6</v>
      </c>
      <c r="C3643" s="22">
        <f>+C3642+31</f>
        <v>45292</v>
      </c>
      <c r="D3643" s="22">
        <f>+C3643+30</f>
        <v>45322</v>
      </c>
      <c r="E3643" s="23">
        <f t="shared" si="582"/>
        <v>31</v>
      </c>
      <c r="F3643" s="3">
        <f t="shared" si="584"/>
        <v>248287261.00593552</v>
      </c>
      <c r="G3643" s="3">
        <f t="shared" si="587"/>
        <v>6894076.411524063</v>
      </c>
      <c r="H3643" s="3">
        <f t="shared" si="585"/>
        <v>2069060.5083827961</v>
      </c>
      <c r="I3643" s="3">
        <f t="shared" si="586"/>
        <v>4825015.9031412667</v>
      </c>
      <c r="J3643" s="3">
        <f t="shared" si="583"/>
        <v>243462245.10279426</v>
      </c>
      <c r="K3643" s="24">
        <v>6853544.7000000002</v>
      </c>
    </row>
    <row r="3644" spans="2:12" x14ac:dyDescent="0.35">
      <c r="B3644" s="1">
        <v>7</v>
      </c>
      <c r="C3644" s="22">
        <f>+C3643+31</f>
        <v>45323</v>
      </c>
      <c r="D3644" s="22">
        <f>+C3644+28</f>
        <v>45351</v>
      </c>
      <c r="E3644" s="23">
        <f t="shared" si="582"/>
        <v>29</v>
      </c>
      <c r="F3644" s="3">
        <f t="shared" si="584"/>
        <v>243462245.10279426</v>
      </c>
      <c r="G3644" s="3">
        <f t="shared" si="587"/>
        <v>6894076.411524063</v>
      </c>
      <c r="H3644" s="3">
        <f t="shared" si="585"/>
        <v>2028852.0425232854</v>
      </c>
      <c r="I3644" s="3">
        <f t="shared" si="586"/>
        <v>4865224.3690007776</v>
      </c>
      <c r="J3644" s="3">
        <f t="shared" si="583"/>
        <v>238597020.7337935</v>
      </c>
      <c r="K3644" s="24">
        <v>6121038.1299999999</v>
      </c>
      <c r="L3644" s="24"/>
    </row>
    <row r="3645" spans="2:12" x14ac:dyDescent="0.35">
      <c r="B3645" s="1">
        <v>8</v>
      </c>
      <c r="C3645" s="22">
        <f>+C3644+29</f>
        <v>45352</v>
      </c>
      <c r="D3645" s="22">
        <f>+C3645+30</f>
        <v>45382</v>
      </c>
      <c r="E3645" s="23">
        <f t="shared" si="582"/>
        <v>31</v>
      </c>
      <c r="F3645" s="3">
        <f t="shared" si="584"/>
        <v>238597020.7337935</v>
      </c>
      <c r="G3645" s="3">
        <f t="shared" si="587"/>
        <v>6894076.411524063</v>
      </c>
      <c r="H3645" s="3">
        <f t="shared" si="585"/>
        <v>1988308.5061149457</v>
      </c>
      <c r="I3645" s="3">
        <f t="shared" si="586"/>
        <v>4905767.9054091172</v>
      </c>
      <c r="J3645" s="3">
        <f t="shared" si="583"/>
        <v>233691252.82838437</v>
      </c>
      <c r="K3645" s="24">
        <v>6121038.1299999999</v>
      </c>
      <c r="L3645" s="24"/>
    </row>
    <row r="3646" spans="2:12" x14ac:dyDescent="0.35">
      <c r="B3646" s="1">
        <v>9</v>
      </c>
      <c r="C3646" s="22">
        <f>+C3645+31</f>
        <v>45383</v>
      </c>
      <c r="D3646" s="22">
        <f>+C3646+29</f>
        <v>45412</v>
      </c>
      <c r="E3646" s="23">
        <f t="shared" si="582"/>
        <v>30</v>
      </c>
      <c r="F3646" s="3">
        <f t="shared" si="584"/>
        <v>233691252.82838437</v>
      </c>
      <c r="G3646" s="3">
        <f t="shared" si="587"/>
        <v>6894076.411524063</v>
      </c>
      <c r="H3646" s="3">
        <f t="shared" si="585"/>
        <v>1947427.1069032031</v>
      </c>
      <c r="I3646" s="3">
        <f t="shared" si="586"/>
        <v>4946649.3046208601</v>
      </c>
      <c r="J3646" s="3">
        <f t="shared" si="583"/>
        <v>228744603.52376351</v>
      </c>
      <c r="K3646" s="24">
        <v>6853544</v>
      </c>
      <c r="L3646" s="24"/>
    </row>
    <row r="3647" spans="2:12" x14ac:dyDescent="0.35">
      <c r="B3647" s="1">
        <v>10</v>
      </c>
      <c r="C3647" s="22">
        <f>+C3646+30</f>
        <v>45413</v>
      </c>
      <c r="D3647" s="22">
        <f>+C3647+30</f>
        <v>45443</v>
      </c>
      <c r="E3647" s="23">
        <f t="shared" si="582"/>
        <v>31</v>
      </c>
      <c r="F3647" s="3">
        <f t="shared" si="584"/>
        <v>228744603.52376351</v>
      </c>
      <c r="G3647" s="3">
        <f t="shared" si="587"/>
        <v>6894076.411524063</v>
      </c>
      <c r="H3647" s="3">
        <f t="shared" si="585"/>
        <v>1906205.0293646958</v>
      </c>
      <c r="I3647" s="3">
        <f t="shared" si="586"/>
        <v>4987871.3821593672</v>
      </c>
      <c r="J3647" s="3">
        <f t="shared" si="583"/>
        <v>223756732.14160413</v>
      </c>
      <c r="K3647" s="24">
        <v>6853544</v>
      </c>
      <c r="L3647" s="24"/>
    </row>
    <row r="3648" spans="2:12" x14ac:dyDescent="0.35">
      <c r="B3648" s="1">
        <v>11</v>
      </c>
      <c r="C3648" s="22">
        <f>+C3647+31</f>
        <v>45444</v>
      </c>
      <c r="D3648" s="22">
        <f>+C3648+29</f>
        <v>45473</v>
      </c>
      <c r="E3648" s="23">
        <f t="shared" si="582"/>
        <v>30</v>
      </c>
      <c r="F3648" s="3">
        <f t="shared" si="584"/>
        <v>223756732.14160413</v>
      </c>
      <c r="G3648" s="3">
        <f t="shared" si="587"/>
        <v>6894076.411524063</v>
      </c>
      <c r="H3648" s="3">
        <f t="shared" si="585"/>
        <v>1864639.4345133677</v>
      </c>
      <c r="I3648" s="3">
        <f t="shared" si="586"/>
        <v>5029436.9770106953</v>
      </c>
      <c r="J3648" s="3">
        <f t="shared" si="583"/>
        <v>218727295.16459343</v>
      </c>
      <c r="K3648" s="24">
        <v>0</v>
      </c>
      <c r="L3648" s="24"/>
    </row>
    <row r="3649" spans="2:12" x14ac:dyDescent="0.35">
      <c r="B3649" s="1">
        <v>12</v>
      </c>
      <c r="C3649" s="22">
        <f>+C3648+30</f>
        <v>45474</v>
      </c>
      <c r="D3649" s="22">
        <f>+C3649+30</f>
        <v>45504</v>
      </c>
      <c r="E3649" s="23">
        <f t="shared" si="582"/>
        <v>31</v>
      </c>
      <c r="F3649" s="3">
        <f t="shared" si="584"/>
        <v>218727295.16459343</v>
      </c>
      <c r="G3649" s="3">
        <f t="shared" si="587"/>
        <v>6894076.411524063</v>
      </c>
      <c r="H3649" s="3">
        <f t="shared" si="585"/>
        <v>1822727.4597049451</v>
      </c>
      <c r="I3649" s="3">
        <f t="shared" si="586"/>
        <v>5071348.9518191181</v>
      </c>
      <c r="J3649" s="3">
        <f t="shared" si="583"/>
        <v>213655946.21277431</v>
      </c>
      <c r="K3649" s="24">
        <f>6853544.7+6853544.7</f>
        <v>13707089.4</v>
      </c>
      <c r="L3649" s="24"/>
    </row>
    <row r="3650" spans="2:12" x14ac:dyDescent="0.35">
      <c r="B3650" s="1">
        <v>13</v>
      </c>
      <c r="C3650" s="22">
        <f>+C3649+31</f>
        <v>45505</v>
      </c>
      <c r="D3650" s="22">
        <f>+C3650+30</f>
        <v>45535</v>
      </c>
      <c r="E3650" s="23">
        <f t="shared" si="582"/>
        <v>31</v>
      </c>
      <c r="F3650" s="3">
        <f t="shared" si="584"/>
        <v>213655946.21277431</v>
      </c>
      <c r="G3650" s="3">
        <f t="shared" si="587"/>
        <v>6894076.411524063</v>
      </c>
      <c r="H3650" s="3">
        <f t="shared" si="585"/>
        <v>1780466.2184397858</v>
      </c>
      <c r="I3650" s="3">
        <f t="shared" si="586"/>
        <v>5113610.1930842772</v>
      </c>
      <c r="J3650" s="3">
        <f t="shared" si="583"/>
        <v>208542336.01969004</v>
      </c>
      <c r="K3650" s="24">
        <v>6853544.7000000002</v>
      </c>
      <c r="L3650" s="24"/>
    </row>
    <row r="3651" spans="2:12" x14ac:dyDescent="0.35">
      <c r="B3651" s="1">
        <v>14</v>
      </c>
      <c r="C3651" s="22">
        <f>+C3650+31</f>
        <v>45536</v>
      </c>
      <c r="D3651" s="22">
        <f>+C3651+29</f>
        <v>45565</v>
      </c>
      <c r="E3651" s="23">
        <f t="shared" si="582"/>
        <v>30</v>
      </c>
      <c r="F3651" s="3">
        <f t="shared" si="584"/>
        <v>208542336.01969004</v>
      </c>
      <c r="G3651" s="3">
        <f t="shared" si="587"/>
        <v>6894076.411524063</v>
      </c>
      <c r="H3651" s="3">
        <f t="shared" si="585"/>
        <v>1737852.8001640837</v>
      </c>
      <c r="I3651" s="3">
        <f t="shared" si="586"/>
        <v>5156223.611359979</v>
      </c>
      <c r="J3651" s="3">
        <f t="shared" si="583"/>
        <v>203386112.40833005</v>
      </c>
      <c r="K3651" s="24">
        <v>6853544.7000000002</v>
      </c>
      <c r="L3651" s="24"/>
    </row>
    <row r="3652" spans="2:12" x14ac:dyDescent="0.35">
      <c r="B3652" s="1">
        <v>15</v>
      </c>
      <c r="C3652" s="22">
        <f>+C3651+30</f>
        <v>45566</v>
      </c>
      <c r="D3652" s="22">
        <f>+C3652+30</f>
        <v>45596</v>
      </c>
      <c r="E3652" s="23">
        <f t="shared" si="582"/>
        <v>31</v>
      </c>
      <c r="F3652" s="3">
        <f t="shared" si="584"/>
        <v>203386112.40833005</v>
      </c>
      <c r="G3652" s="3">
        <f t="shared" si="587"/>
        <v>6894076.411524063</v>
      </c>
      <c r="H3652" s="3">
        <f t="shared" si="585"/>
        <v>1694884.2700694171</v>
      </c>
      <c r="I3652" s="3">
        <f t="shared" si="586"/>
        <v>5199192.1414546464</v>
      </c>
      <c r="J3652" s="3">
        <f t="shared" si="583"/>
        <v>198186920.26687542</v>
      </c>
      <c r="K3652" s="24">
        <v>6853544.7000000002</v>
      </c>
      <c r="L3652" s="24"/>
    </row>
    <row r="3653" spans="2:12" x14ac:dyDescent="0.35">
      <c r="B3653" s="1">
        <v>16</v>
      </c>
      <c r="C3653" s="22">
        <f>+C3652+31</f>
        <v>45597</v>
      </c>
      <c r="D3653" s="22">
        <f>+C3653+29</f>
        <v>45626</v>
      </c>
      <c r="E3653" s="23">
        <f t="shared" si="582"/>
        <v>30</v>
      </c>
      <c r="F3653" s="3">
        <f t="shared" si="584"/>
        <v>198186920.26687542</v>
      </c>
      <c r="G3653" s="3">
        <f t="shared" si="587"/>
        <v>6894076.411524063</v>
      </c>
      <c r="H3653" s="3">
        <f t="shared" si="585"/>
        <v>1651557.6688906285</v>
      </c>
      <c r="I3653" s="3">
        <f t="shared" si="586"/>
        <v>5242518.742633434</v>
      </c>
      <c r="J3653" s="3">
        <f t="shared" si="583"/>
        <v>192944401.52424198</v>
      </c>
      <c r="K3653" s="24"/>
      <c r="L3653" s="24"/>
    </row>
    <row r="3654" spans="2:12" x14ac:dyDescent="0.35">
      <c r="B3654" s="1">
        <v>17</v>
      </c>
      <c r="C3654" s="22">
        <f>+C3653+30</f>
        <v>45627</v>
      </c>
      <c r="D3654" s="22">
        <f>+C3654+30</f>
        <v>45657</v>
      </c>
      <c r="E3654" s="23">
        <f t="shared" si="582"/>
        <v>31</v>
      </c>
      <c r="F3654" s="3">
        <f t="shared" si="584"/>
        <v>192944401.52424198</v>
      </c>
      <c r="G3654" s="3">
        <f t="shared" si="587"/>
        <v>6894076.411524063</v>
      </c>
      <c r="H3654" s="3">
        <f t="shared" si="585"/>
        <v>1607870.0127020166</v>
      </c>
      <c r="I3654" s="3">
        <f t="shared" si="586"/>
        <v>5286206.3988220468</v>
      </c>
      <c r="J3654" s="3">
        <f t="shared" si="583"/>
        <v>187658195.12541994</v>
      </c>
      <c r="K3654" s="24"/>
      <c r="L3654" s="24"/>
    </row>
    <row r="3655" spans="2:12" x14ac:dyDescent="0.35">
      <c r="B3655" s="1">
        <v>18</v>
      </c>
      <c r="C3655" s="22">
        <f>+C3654+31</f>
        <v>45658</v>
      </c>
      <c r="D3655" s="22">
        <f>+C3655+30</f>
        <v>45688</v>
      </c>
      <c r="E3655" s="23">
        <f t="shared" si="582"/>
        <v>31</v>
      </c>
      <c r="F3655" s="3">
        <f t="shared" si="584"/>
        <v>187658195.12541994</v>
      </c>
      <c r="G3655" s="3">
        <f t="shared" si="587"/>
        <v>6894076.411524063</v>
      </c>
      <c r="H3655" s="3">
        <f t="shared" si="585"/>
        <v>1563818.2927118328</v>
      </c>
      <c r="I3655" s="3">
        <f t="shared" si="586"/>
        <v>5330258.1188122304</v>
      </c>
      <c r="J3655" s="3">
        <f t="shared" si="583"/>
        <v>182327937.00660771</v>
      </c>
      <c r="K3655" s="24"/>
      <c r="L3655" s="24"/>
    </row>
    <row r="3656" spans="2:12" x14ac:dyDescent="0.35">
      <c r="B3656" s="1">
        <v>19</v>
      </c>
      <c r="C3656" s="22">
        <f>+C3655+31</f>
        <v>45689</v>
      </c>
      <c r="D3656" s="22">
        <f>+C3656+27</f>
        <v>45716</v>
      </c>
      <c r="E3656" s="23">
        <f t="shared" si="582"/>
        <v>28</v>
      </c>
      <c r="F3656" s="3">
        <f t="shared" si="584"/>
        <v>182327937.00660771</v>
      </c>
      <c r="G3656" s="3">
        <f t="shared" si="587"/>
        <v>6894076.411524063</v>
      </c>
      <c r="H3656" s="3">
        <f t="shared" si="585"/>
        <v>1519399.4750550643</v>
      </c>
      <c r="I3656" s="3">
        <f t="shared" si="586"/>
        <v>5374676.9364689989</v>
      </c>
      <c r="J3656" s="3">
        <f t="shared" si="583"/>
        <v>176953260.07013872</v>
      </c>
      <c r="K3656" s="24"/>
      <c r="L3656" s="24"/>
    </row>
    <row r="3657" spans="2:12" x14ac:dyDescent="0.35">
      <c r="B3657" s="1">
        <v>20</v>
      </c>
      <c r="C3657" s="22">
        <f>+C3656+28</f>
        <v>45717</v>
      </c>
      <c r="D3657" s="22">
        <f>+C3657+30</f>
        <v>45747</v>
      </c>
      <c r="E3657" s="23">
        <f t="shared" si="582"/>
        <v>31</v>
      </c>
      <c r="F3657" s="3">
        <f t="shared" si="584"/>
        <v>176953260.07013872</v>
      </c>
      <c r="G3657" s="3">
        <f t="shared" si="587"/>
        <v>6894076.411524063</v>
      </c>
      <c r="H3657" s="3">
        <f t="shared" si="585"/>
        <v>1474610.5005844894</v>
      </c>
      <c r="I3657" s="3">
        <f t="shared" si="586"/>
        <v>5419465.9109395733</v>
      </c>
      <c r="J3657" s="3">
        <f t="shared" si="583"/>
        <v>171533794.15919915</v>
      </c>
      <c r="K3657" s="24"/>
      <c r="L3657" s="24"/>
    </row>
    <row r="3658" spans="2:12" x14ac:dyDescent="0.35">
      <c r="B3658" s="1">
        <v>21</v>
      </c>
      <c r="C3658" s="22">
        <f>+C3657+31</f>
        <v>45748</v>
      </c>
      <c r="D3658" s="22">
        <f>+C3658+29</f>
        <v>45777</v>
      </c>
      <c r="E3658" s="23">
        <f t="shared" si="582"/>
        <v>30</v>
      </c>
      <c r="F3658" s="3">
        <f t="shared" si="584"/>
        <v>171533794.15919915</v>
      </c>
      <c r="G3658" s="3">
        <f t="shared" si="587"/>
        <v>6894076.411524063</v>
      </c>
      <c r="H3658" s="3">
        <f t="shared" si="585"/>
        <v>1429448.2846599929</v>
      </c>
      <c r="I3658" s="3">
        <f t="shared" si="586"/>
        <v>5464628.1268640701</v>
      </c>
      <c r="J3658" s="3">
        <f t="shared" si="583"/>
        <v>166069166.03233507</v>
      </c>
      <c r="K3658" s="24"/>
      <c r="L3658" s="24"/>
    </row>
    <row r="3659" spans="2:12" x14ac:dyDescent="0.35">
      <c r="B3659" s="1">
        <v>22</v>
      </c>
      <c r="C3659" s="22">
        <f>+C3658+30</f>
        <v>45778</v>
      </c>
      <c r="D3659" s="22">
        <f>+C3659+30</f>
        <v>45808</v>
      </c>
      <c r="E3659" s="23">
        <f t="shared" si="582"/>
        <v>31</v>
      </c>
      <c r="F3659" s="3">
        <f t="shared" si="584"/>
        <v>166069166.03233507</v>
      </c>
      <c r="G3659" s="3">
        <f t="shared" si="587"/>
        <v>6894076.411524063</v>
      </c>
      <c r="H3659" s="3">
        <f t="shared" si="585"/>
        <v>1383909.7169361257</v>
      </c>
      <c r="I3659" s="3">
        <f t="shared" si="586"/>
        <v>5510166.6945879376</v>
      </c>
      <c r="J3659" s="3">
        <f t="shared" si="583"/>
        <v>160558999.33774713</v>
      </c>
      <c r="K3659" s="24"/>
      <c r="L3659" s="24"/>
    </row>
    <row r="3660" spans="2:12" x14ac:dyDescent="0.35">
      <c r="B3660" s="1">
        <v>23</v>
      </c>
      <c r="C3660" s="22">
        <f>+C3659+31</f>
        <v>45809</v>
      </c>
      <c r="D3660" s="22">
        <f>+D3659+30</f>
        <v>45838</v>
      </c>
      <c r="E3660" s="23">
        <f t="shared" si="582"/>
        <v>30</v>
      </c>
      <c r="F3660" s="3">
        <f t="shared" si="584"/>
        <v>160558999.33774713</v>
      </c>
      <c r="G3660" s="3">
        <f t="shared" si="587"/>
        <v>6894076.411524063</v>
      </c>
      <c r="H3660" s="3">
        <f t="shared" si="585"/>
        <v>1337991.6611478927</v>
      </c>
      <c r="I3660" s="3">
        <f t="shared" si="586"/>
        <v>5556084.7503761705</v>
      </c>
      <c r="J3660" s="3">
        <f t="shared" si="583"/>
        <v>155002914.58737096</v>
      </c>
      <c r="K3660" s="24"/>
      <c r="L3660" s="24"/>
    </row>
    <row r="3661" spans="2:12" x14ac:dyDescent="0.35">
      <c r="B3661" s="1">
        <f t="shared" ref="B3661:B3685" si="588">+B3660+1</f>
        <v>24</v>
      </c>
      <c r="C3661" s="22">
        <f>+C3660+30</f>
        <v>45839</v>
      </c>
      <c r="D3661" s="22">
        <f>+D3660+30</f>
        <v>45868</v>
      </c>
      <c r="E3661" s="23">
        <f t="shared" si="582"/>
        <v>30</v>
      </c>
      <c r="F3661" s="3">
        <f t="shared" si="584"/>
        <v>155002914.58737096</v>
      </c>
      <c r="G3661" s="3">
        <f t="shared" si="587"/>
        <v>6894076.411524063</v>
      </c>
      <c r="H3661" s="3">
        <f t="shared" si="585"/>
        <v>1291690.9548947581</v>
      </c>
      <c r="I3661" s="3">
        <f t="shared" si="586"/>
        <v>5602385.4566293051</v>
      </c>
      <c r="J3661" s="3">
        <f t="shared" si="583"/>
        <v>149400529.13074166</v>
      </c>
    </row>
    <row r="3662" spans="2:12" x14ac:dyDescent="0.35">
      <c r="B3662" s="1">
        <f t="shared" si="588"/>
        <v>25</v>
      </c>
      <c r="C3662" s="22">
        <f>+C3661+31</f>
        <v>45870</v>
      </c>
      <c r="D3662" s="22">
        <f>+D3661+31</f>
        <v>45899</v>
      </c>
      <c r="E3662" s="23">
        <f t="shared" si="582"/>
        <v>30</v>
      </c>
      <c r="F3662" s="3">
        <f t="shared" si="584"/>
        <v>149400529.13074166</v>
      </c>
      <c r="G3662" s="3">
        <f t="shared" si="587"/>
        <v>6894076.411524063</v>
      </c>
      <c r="H3662" s="3">
        <f t="shared" si="585"/>
        <v>1245004.4094228472</v>
      </c>
      <c r="I3662" s="3">
        <f t="shared" si="586"/>
        <v>5649072.0021012155</v>
      </c>
      <c r="J3662" s="3">
        <f t="shared" si="583"/>
        <v>143751457.12864044</v>
      </c>
    </row>
    <row r="3663" spans="2:12" x14ac:dyDescent="0.35">
      <c r="B3663" s="1">
        <f t="shared" si="588"/>
        <v>26</v>
      </c>
      <c r="C3663" s="22">
        <f>+C3662+31</f>
        <v>45901</v>
      </c>
      <c r="D3663" s="22">
        <f>+D3662+31</f>
        <v>45930</v>
      </c>
      <c r="E3663" s="23">
        <f t="shared" si="582"/>
        <v>30</v>
      </c>
      <c r="F3663" s="3">
        <f t="shared" si="584"/>
        <v>143751457.12864044</v>
      </c>
      <c r="G3663" s="3">
        <f t="shared" si="587"/>
        <v>6894076.411524063</v>
      </c>
      <c r="H3663" s="3">
        <f t="shared" si="585"/>
        <v>1197928.8094053371</v>
      </c>
      <c r="I3663" s="3">
        <f t="shared" si="586"/>
        <v>5696147.6021187259</v>
      </c>
      <c r="J3663" s="3">
        <f t="shared" si="583"/>
        <v>138055309.52652171</v>
      </c>
    </row>
    <row r="3664" spans="2:12" x14ac:dyDescent="0.35">
      <c r="B3664" s="1">
        <f t="shared" si="588"/>
        <v>27</v>
      </c>
      <c r="C3664" s="22">
        <f>+C3663+30</f>
        <v>45931</v>
      </c>
      <c r="D3664" s="22">
        <f>+D3663+31</f>
        <v>45961</v>
      </c>
      <c r="E3664" s="23">
        <f t="shared" si="582"/>
        <v>31</v>
      </c>
      <c r="F3664" s="3">
        <f t="shared" si="584"/>
        <v>138055309.52652171</v>
      </c>
      <c r="G3664" s="3">
        <f t="shared" si="587"/>
        <v>6894076.411524063</v>
      </c>
      <c r="H3664" s="3">
        <f t="shared" si="585"/>
        <v>1150460.9127210143</v>
      </c>
      <c r="I3664" s="3">
        <f t="shared" si="586"/>
        <v>5743615.4988030484</v>
      </c>
      <c r="J3664" s="3">
        <f t="shared" si="583"/>
        <v>132311694.02771866</v>
      </c>
    </row>
    <row r="3665" spans="2:10" x14ac:dyDescent="0.35">
      <c r="B3665" s="1">
        <f t="shared" si="588"/>
        <v>28</v>
      </c>
      <c r="C3665" s="22">
        <f>+C3664+31</f>
        <v>45962</v>
      </c>
      <c r="D3665" s="22">
        <f>+D3664+30</f>
        <v>45991</v>
      </c>
      <c r="E3665" s="23">
        <f t="shared" si="582"/>
        <v>30</v>
      </c>
      <c r="F3665" s="3">
        <f t="shared" si="584"/>
        <v>132311694.02771866</v>
      </c>
      <c r="G3665" s="3">
        <f t="shared" si="587"/>
        <v>6894076.411524063</v>
      </c>
      <c r="H3665" s="3">
        <f t="shared" si="585"/>
        <v>1102597.4502309889</v>
      </c>
      <c r="I3665" s="3">
        <f t="shared" si="586"/>
        <v>5791478.9612930743</v>
      </c>
      <c r="J3665" s="3">
        <f t="shared" si="583"/>
        <v>126520215.06642559</v>
      </c>
    </row>
    <row r="3666" spans="2:10" x14ac:dyDescent="0.35">
      <c r="B3666" s="1">
        <f t="shared" si="588"/>
        <v>29</v>
      </c>
      <c r="C3666" s="22">
        <f>+C3665+30</f>
        <v>45992</v>
      </c>
      <c r="D3666" s="22">
        <f>+D3665+31</f>
        <v>46022</v>
      </c>
      <c r="E3666" s="23">
        <f t="shared" si="582"/>
        <v>31</v>
      </c>
      <c r="F3666" s="3">
        <f t="shared" si="584"/>
        <v>126520215.06642559</v>
      </c>
      <c r="G3666" s="3">
        <f t="shared" si="587"/>
        <v>6894076.411524063</v>
      </c>
      <c r="H3666" s="3">
        <f t="shared" si="585"/>
        <v>1054335.1255535465</v>
      </c>
      <c r="I3666" s="3">
        <f t="shared" si="586"/>
        <v>5839741.2859705165</v>
      </c>
      <c r="J3666" s="3">
        <f t="shared" si="583"/>
        <v>120680473.78045508</v>
      </c>
    </row>
    <row r="3667" spans="2:10" x14ac:dyDescent="0.35">
      <c r="B3667" s="1">
        <f t="shared" si="588"/>
        <v>30</v>
      </c>
      <c r="C3667" s="22">
        <f>+C3666+31</f>
        <v>46023</v>
      </c>
      <c r="D3667" s="22">
        <f>+D3666+31</f>
        <v>46053</v>
      </c>
      <c r="E3667" s="23">
        <f t="shared" si="582"/>
        <v>31</v>
      </c>
      <c r="F3667" s="3">
        <f t="shared" si="584"/>
        <v>120680473.78045508</v>
      </c>
      <c r="G3667" s="3">
        <f t="shared" si="587"/>
        <v>6894076.411524063</v>
      </c>
      <c r="H3667" s="3">
        <f t="shared" si="585"/>
        <v>1005670.6148371256</v>
      </c>
      <c r="I3667" s="3">
        <f t="shared" si="586"/>
        <v>5888405.7966869371</v>
      </c>
      <c r="J3667" s="3">
        <f t="shared" si="583"/>
        <v>114792067.98376815</v>
      </c>
    </row>
    <row r="3668" spans="2:10" x14ac:dyDescent="0.35">
      <c r="B3668" s="1">
        <f t="shared" si="588"/>
        <v>31</v>
      </c>
      <c r="C3668" s="22">
        <f>+C3667+31</f>
        <v>46054</v>
      </c>
      <c r="D3668" s="22">
        <f>+D3667+28</f>
        <v>46081</v>
      </c>
      <c r="E3668" s="23">
        <f t="shared" si="582"/>
        <v>28</v>
      </c>
      <c r="F3668" s="3">
        <f t="shared" si="584"/>
        <v>114792067.98376815</v>
      </c>
      <c r="G3668" s="3">
        <f t="shared" si="587"/>
        <v>6894076.411524063</v>
      </c>
      <c r="H3668" s="3">
        <f t="shared" si="585"/>
        <v>956600.56653140124</v>
      </c>
      <c r="I3668" s="3">
        <f t="shared" si="586"/>
        <v>5937475.8449926618</v>
      </c>
      <c r="J3668" s="3">
        <f t="shared" si="583"/>
        <v>108854592.13877548</v>
      </c>
    </row>
    <row r="3669" spans="2:10" x14ac:dyDescent="0.35">
      <c r="B3669" s="1">
        <f t="shared" si="588"/>
        <v>32</v>
      </c>
      <c r="C3669" s="22">
        <f>+C3668+28</f>
        <v>46082</v>
      </c>
      <c r="D3669" s="22">
        <f>+D3668+31</f>
        <v>46112</v>
      </c>
      <c r="E3669" s="23">
        <f t="shared" ref="E3669:E3685" si="589">D3669-C3669+1</f>
        <v>31</v>
      </c>
      <c r="F3669" s="3">
        <f t="shared" si="584"/>
        <v>108854592.13877548</v>
      </c>
      <c r="G3669" s="3">
        <f t="shared" si="587"/>
        <v>6894076.411524063</v>
      </c>
      <c r="H3669" s="3">
        <f t="shared" si="585"/>
        <v>907121.60115646233</v>
      </c>
      <c r="I3669" s="3">
        <f t="shared" si="586"/>
        <v>5986954.810367601</v>
      </c>
      <c r="J3669" s="3">
        <f t="shared" ref="J3669:J3685" si="590">F3669-I3669</f>
        <v>102867637.32840788</v>
      </c>
    </row>
    <row r="3670" spans="2:10" x14ac:dyDescent="0.35">
      <c r="B3670" s="1">
        <f t="shared" si="588"/>
        <v>33</v>
      </c>
      <c r="C3670" s="22">
        <f>+C3669+31</f>
        <v>46113</v>
      </c>
      <c r="D3670" s="22">
        <f>+D3669+30</f>
        <v>46142</v>
      </c>
      <c r="E3670" s="23">
        <f t="shared" si="589"/>
        <v>30</v>
      </c>
      <c r="F3670" s="3">
        <f t="shared" si="584"/>
        <v>102867637.32840788</v>
      </c>
      <c r="G3670" s="3">
        <f t="shared" si="587"/>
        <v>6894076.411524063</v>
      </c>
      <c r="H3670" s="3">
        <f t="shared" si="585"/>
        <v>857230.31107006571</v>
      </c>
      <c r="I3670" s="3">
        <f t="shared" si="586"/>
        <v>6036846.100453997</v>
      </c>
      <c r="J3670" s="3">
        <f t="shared" si="590"/>
        <v>96830791.227953881</v>
      </c>
    </row>
    <row r="3671" spans="2:10" x14ac:dyDescent="0.35">
      <c r="B3671" s="1">
        <f t="shared" si="588"/>
        <v>34</v>
      </c>
      <c r="C3671" s="22">
        <f>+C3670+30</f>
        <v>46143</v>
      </c>
      <c r="D3671" s="22">
        <f>+D3670+31</f>
        <v>46173</v>
      </c>
      <c r="E3671" s="23">
        <f t="shared" si="589"/>
        <v>31</v>
      </c>
      <c r="F3671" s="3">
        <f t="shared" si="584"/>
        <v>96830791.227953881</v>
      </c>
      <c r="G3671" s="3">
        <f t="shared" si="587"/>
        <v>6894076.411524063</v>
      </c>
      <c r="H3671" s="3">
        <f t="shared" si="585"/>
        <v>806923.26023294905</v>
      </c>
      <c r="I3671" s="3">
        <f t="shared" si="586"/>
        <v>6087153.1512911143</v>
      </c>
      <c r="J3671" s="3">
        <f t="shared" si="590"/>
        <v>90743638.076662764</v>
      </c>
    </row>
    <row r="3672" spans="2:10" x14ac:dyDescent="0.35">
      <c r="B3672" s="1">
        <f t="shared" si="588"/>
        <v>35</v>
      </c>
      <c r="C3672" s="22">
        <f>+C3671+31</f>
        <v>46174</v>
      </c>
      <c r="D3672" s="22">
        <f>+D3671+30</f>
        <v>46203</v>
      </c>
      <c r="E3672" s="23">
        <f t="shared" si="589"/>
        <v>30</v>
      </c>
      <c r="F3672" s="3">
        <f t="shared" si="584"/>
        <v>90743638.076662764</v>
      </c>
      <c r="G3672" s="3">
        <f t="shared" si="587"/>
        <v>6894076.411524063</v>
      </c>
      <c r="H3672" s="3">
        <f t="shared" si="585"/>
        <v>756196.98397218972</v>
      </c>
      <c r="I3672" s="3">
        <f t="shared" si="586"/>
        <v>6137879.427551873</v>
      </c>
      <c r="J3672" s="3">
        <f t="shared" si="590"/>
        <v>84605758.649110883</v>
      </c>
    </row>
    <row r="3673" spans="2:10" x14ac:dyDescent="0.35">
      <c r="B3673" s="1">
        <f t="shared" si="588"/>
        <v>36</v>
      </c>
      <c r="C3673" s="22">
        <f>+C3672+30</f>
        <v>46204</v>
      </c>
      <c r="D3673" s="22">
        <f>+D3672+31</f>
        <v>46234</v>
      </c>
      <c r="E3673" s="23">
        <f t="shared" si="589"/>
        <v>31</v>
      </c>
      <c r="F3673" s="3">
        <f t="shared" si="584"/>
        <v>84605758.649110883</v>
      </c>
      <c r="G3673" s="3">
        <f t="shared" si="587"/>
        <v>6894076.411524063</v>
      </c>
      <c r="H3673" s="3">
        <f t="shared" si="585"/>
        <v>705047.98874259065</v>
      </c>
      <c r="I3673" s="3">
        <f t="shared" si="586"/>
        <v>6189028.4227814721</v>
      </c>
      <c r="J3673" s="3">
        <f t="shared" si="590"/>
        <v>78416730.226329416</v>
      </c>
    </row>
    <row r="3674" spans="2:10" x14ac:dyDescent="0.35">
      <c r="B3674" s="1">
        <f t="shared" si="588"/>
        <v>37</v>
      </c>
      <c r="C3674" s="22">
        <f>+C3673+31</f>
        <v>46235</v>
      </c>
      <c r="D3674" s="22">
        <f>+D3673+31</f>
        <v>46265</v>
      </c>
      <c r="E3674" s="23">
        <f t="shared" si="589"/>
        <v>31</v>
      </c>
      <c r="F3674" s="3">
        <f t="shared" si="584"/>
        <v>78416730.226329416</v>
      </c>
      <c r="G3674" s="3">
        <f t="shared" si="587"/>
        <v>6894076.411524063</v>
      </c>
      <c r="H3674" s="3">
        <f t="shared" si="585"/>
        <v>653472.75188607851</v>
      </c>
      <c r="I3674" s="3">
        <f t="shared" si="586"/>
        <v>6240603.6596379848</v>
      </c>
      <c r="J3674" s="3">
        <f t="shared" si="590"/>
        <v>72176126.566691428</v>
      </c>
    </row>
    <row r="3675" spans="2:10" x14ac:dyDescent="0.35">
      <c r="B3675" s="1">
        <f t="shared" si="588"/>
        <v>38</v>
      </c>
      <c r="C3675" s="22">
        <f>+C3674+31</f>
        <v>46266</v>
      </c>
      <c r="D3675" s="22">
        <f>+D3674+30</f>
        <v>46295</v>
      </c>
      <c r="E3675" s="23">
        <f t="shared" si="589"/>
        <v>30</v>
      </c>
      <c r="F3675" s="3">
        <f t="shared" si="584"/>
        <v>72176126.566691428</v>
      </c>
      <c r="G3675" s="3">
        <f t="shared" si="587"/>
        <v>6894076.411524063</v>
      </c>
      <c r="H3675" s="3">
        <f t="shared" si="585"/>
        <v>601467.72138909518</v>
      </c>
      <c r="I3675" s="3">
        <f t="shared" si="586"/>
        <v>6292608.6901349677</v>
      </c>
      <c r="J3675" s="3">
        <f t="shared" si="590"/>
        <v>65883517.876556464</v>
      </c>
    </row>
    <row r="3676" spans="2:10" x14ac:dyDescent="0.35">
      <c r="B3676" s="1">
        <f t="shared" si="588"/>
        <v>39</v>
      </c>
      <c r="C3676" s="22">
        <f>+C3675+30</f>
        <v>46296</v>
      </c>
      <c r="D3676" s="22">
        <f>+D3675+31</f>
        <v>46326</v>
      </c>
      <c r="E3676" s="23">
        <f t="shared" si="589"/>
        <v>31</v>
      </c>
      <c r="F3676" s="3">
        <f t="shared" si="584"/>
        <v>65883517.876556464</v>
      </c>
      <c r="G3676" s="3">
        <f t="shared" si="587"/>
        <v>6894076.411524063</v>
      </c>
      <c r="H3676" s="3">
        <f t="shared" si="585"/>
        <v>549029.31563797058</v>
      </c>
      <c r="I3676" s="3">
        <f t="shared" si="586"/>
        <v>6345047.0958860926</v>
      </c>
      <c r="J3676" s="3">
        <f t="shared" si="590"/>
        <v>59538470.780670375</v>
      </c>
    </row>
    <row r="3677" spans="2:10" x14ac:dyDescent="0.35">
      <c r="B3677" s="1">
        <f t="shared" si="588"/>
        <v>40</v>
      </c>
      <c r="C3677" s="22">
        <f>+C3676+31</f>
        <v>46327</v>
      </c>
      <c r="D3677" s="22">
        <f>+D3676+30</f>
        <v>46356</v>
      </c>
      <c r="E3677" s="23">
        <f t="shared" si="589"/>
        <v>30</v>
      </c>
      <c r="F3677" s="3">
        <f t="shared" si="584"/>
        <v>59538470.780670375</v>
      </c>
      <c r="G3677" s="3">
        <f t="shared" si="587"/>
        <v>6894076.411524063</v>
      </c>
      <c r="H3677" s="3">
        <f t="shared" si="585"/>
        <v>496153.92317225313</v>
      </c>
      <c r="I3677" s="3">
        <f t="shared" si="586"/>
        <v>6397922.4883518098</v>
      </c>
      <c r="J3677" s="3">
        <f t="shared" si="590"/>
        <v>53140548.292318568</v>
      </c>
    </row>
    <row r="3678" spans="2:10" x14ac:dyDescent="0.35">
      <c r="B3678" s="1">
        <f t="shared" si="588"/>
        <v>41</v>
      </c>
      <c r="C3678" s="22">
        <f>+C3677+30</f>
        <v>46357</v>
      </c>
      <c r="D3678" s="22">
        <f>+D3677+31</f>
        <v>46387</v>
      </c>
      <c r="E3678" s="23">
        <f t="shared" si="589"/>
        <v>31</v>
      </c>
      <c r="F3678" s="3">
        <f t="shared" si="584"/>
        <v>53140548.292318568</v>
      </c>
      <c r="G3678" s="3">
        <f t="shared" si="587"/>
        <v>6894076.411524063</v>
      </c>
      <c r="H3678" s="3">
        <f t="shared" si="585"/>
        <v>442837.90243598807</v>
      </c>
      <c r="I3678" s="3">
        <f t="shared" si="586"/>
        <v>6451238.5090880748</v>
      </c>
      <c r="J3678" s="3">
        <f t="shared" si="590"/>
        <v>46689309.783230491</v>
      </c>
    </row>
    <row r="3679" spans="2:10" x14ac:dyDescent="0.35">
      <c r="B3679" s="1">
        <f t="shared" si="588"/>
        <v>42</v>
      </c>
      <c r="C3679" s="22">
        <f>+C3678+31</f>
        <v>46388</v>
      </c>
      <c r="D3679" s="22">
        <f>+D3678+31</f>
        <v>46418</v>
      </c>
      <c r="E3679" s="23">
        <f t="shared" si="589"/>
        <v>31</v>
      </c>
      <c r="F3679" s="3">
        <f t="shared" si="584"/>
        <v>46689309.783230491</v>
      </c>
      <c r="G3679" s="3">
        <f t="shared" si="587"/>
        <v>6894076.411524063</v>
      </c>
      <c r="H3679" s="3">
        <f t="shared" si="585"/>
        <v>389077.58152692078</v>
      </c>
      <c r="I3679" s="3">
        <f t="shared" si="586"/>
        <v>6504998.8299971418</v>
      </c>
      <c r="J3679" s="3">
        <f t="shared" si="590"/>
        <v>40184310.953233346</v>
      </c>
    </row>
    <row r="3680" spans="2:10" x14ac:dyDescent="0.35">
      <c r="B3680" s="1">
        <f t="shared" si="588"/>
        <v>43</v>
      </c>
      <c r="C3680" s="22">
        <f>+C3679+31</f>
        <v>46419</v>
      </c>
      <c r="D3680" s="22">
        <f>+D3679+28</f>
        <v>46446</v>
      </c>
      <c r="E3680" s="23">
        <f t="shared" si="589"/>
        <v>28</v>
      </c>
      <c r="F3680" s="3">
        <f t="shared" si="584"/>
        <v>40184310.953233346</v>
      </c>
      <c r="G3680" s="3">
        <f t="shared" si="587"/>
        <v>6894076.411524063</v>
      </c>
      <c r="H3680" s="3">
        <f t="shared" si="585"/>
        <v>334869.25794361124</v>
      </c>
      <c r="I3680" s="3">
        <f t="shared" si="586"/>
        <v>6559207.1535804514</v>
      </c>
      <c r="J3680" s="3">
        <f t="shared" si="590"/>
        <v>33625103.799652897</v>
      </c>
    </row>
    <row r="3681" spans="2:19" x14ac:dyDescent="0.35">
      <c r="B3681" s="1">
        <f t="shared" si="588"/>
        <v>44</v>
      </c>
      <c r="C3681" s="22">
        <f>+C3680+28</f>
        <v>46447</v>
      </c>
      <c r="D3681" s="22">
        <f>+D3680+31</f>
        <v>46477</v>
      </c>
      <c r="E3681" s="23">
        <f t="shared" si="589"/>
        <v>31</v>
      </c>
      <c r="F3681" s="3">
        <f t="shared" si="584"/>
        <v>33625103.799652897</v>
      </c>
      <c r="G3681" s="3">
        <f t="shared" si="587"/>
        <v>6894076.411524063</v>
      </c>
      <c r="H3681" s="3">
        <f t="shared" si="585"/>
        <v>280209.19833044079</v>
      </c>
      <c r="I3681" s="3">
        <f t="shared" si="586"/>
        <v>6613867.2131936224</v>
      </c>
      <c r="J3681" s="3">
        <f t="shared" si="590"/>
        <v>27011236.586459275</v>
      </c>
    </row>
    <row r="3682" spans="2:19" x14ac:dyDescent="0.35">
      <c r="B3682" s="1">
        <f t="shared" si="588"/>
        <v>45</v>
      </c>
      <c r="C3682" s="22">
        <f>+C3681+31</f>
        <v>46478</v>
      </c>
      <c r="D3682" s="22">
        <f>+D3681+30</f>
        <v>46507</v>
      </c>
      <c r="E3682" s="23">
        <f t="shared" si="589"/>
        <v>30</v>
      </c>
      <c r="F3682" s="3">
        <f t="shared" si="584"/>
        <v>27011236.586459275</v>
      </c>
      <c r="G3682" s="3">
        <f t="shared" si="587"/>
        <v>6894076.411524063</v>
      </c>
      <c r="H3682" s="3">
        <f t="shared" si="585"/>
        <v>225093.63822049394</v>
      </c>
      <c r="I3682" s="3">
        <f t="shared" si="586"/>
        <v>6668982.7733035693</v>
      </c>
      <c r="J3682" s="3">
        <f t="shared" si="590"/>
        <v>20342253.813155707</v>
      </c>
    </row>
    <row r="3683" spans="2:19" x14ac:dyDescent="0.35">
      <c r="B3683" s="1">
        <f t="shared" si="588"/>
        <v>46</v>
      </c>
      <c r="C3683" s="22">
        <f>+C3682+30</f>
        <v>46508</v>
      </c>
      <c r="D3683" s="22">
        <f>+D3682+31</f>
        <v>46538</v>
      </c>
      <c r="E3683" s="23">
        <f t="shared" si="589"/>
        <v>31</v>
      </c>
      <c r="F3683" s="3">
        <f t="shared" si="584"/>
        <v>20342253.813155707</v>
      </c>
      <c r="G3683" s="3">
        <f t="shared" si="587"/>
        <v>6894076.411524063</v>
      </c>
      <c r="H3683" s="3">
        <f t="shared" si="585"/>
        <v>169518.78177629755</v>
      </c>
      <c r="I3683" s="3">
        <f t="shared" si="586"/>
        <v>6724557.6297477651</v>
      </c>
      <c r="J3683" s="3">
        <f t="shared" si="590"/>
        <v>13617696.183407942</v>
      </c>
    </row>
    <row r="3684" spans="2:19" x14ac:dyDescent="0.35">
      <c r="B3684" s="1">
        <f t="shared" si="588"/>
        <v>47</v>
      </c>
      <c r="C3684" s="22">
        <f>+C3683+31</f>
        <v>46539</v>
      </c>
      <c r="D3684" s="22">
        <f>+D3683+30</f>
        <v>46568</v>
      </c>
      <c r="E3684" s="23">
        <f t="shared" si="589"/>
        <v>30</v>
      </c>
      <c r="F3684" s="3">
        <f t="shared" si="584"/>
        <v>13617696.183407942</v>
      </c>
      <c r="G3684" s="3">
        <f t="shared" si="587"/>
        <v>6894076.411524063</v>
      </c>
      <c r="H3684" s="3">
        <f t="shared" si="585"/>
        <v>113480.80152839952</v>
      </c>
      <c r="I3684" s="3">
        <f t="shared" si="586"/>
        <v>6780595.6099956632</v>
      </c>
      <c r="J3684" s="3">
        <f t="shared" si="590"/>
        <v>6837100.5734122787</v>
      </c>
    </row>
    <row r="3685" spans="2:19" x14ac:dyDescent="0.35">
      <c r="B3685" s="1">
        <f t="shared" si="588"/>
        <v>48</v>
      </c>
      <c r="C3685" s="22">
        <f>+C3684+30</f>
        <v>46569</v>
      </c>
      <c r="D3685" s="22">
        <f>+D3684+31</f>
        <v>46599</v>
      </c>
      <c r="E3685" s="23">
        <f t="shared" si="589"/>
        <v>31</v>
      </c>
      <c r="F3685" s="3">
        <f t="shared" si="584"/>
        <v>6837100.5734122787</v>
      </c>
      <c r="G3685" s="3">
        <f t="shared" si="587"/>
        <v>6894076.411524063</v>
      </c>
      <c r="H3685" s="3">
        <f t="shared" si="585"/>
        <v>56975.838111768986</v>
      </c>
      <c r="I3685" s="3">
        <f t="shared" si="586"/>
        <v>6837100.5734122936</v>
      </c>
      <c r="J3685" s="3">
        <f t="shared" si="590"/>
        <v>-1.4901161193847656E-8</v>
      </c>
    </row>
    <row r="3687" spans="2:19" x14ac:dyDescent="0.35">
      <c r="E3687" s="6">
        <f>SUM(E3637:E3686)</f>
        <v>1481</v>
      </c>
    </row>
    <row r="3692" spans="2:19" x14ac:dyDescent="0.35">
      <c r="B3692" s="1"/>
      <c r="C3692" s="8" t="s">
        <v>937</v>
      </c>
      <c r="D3692" s="3"/>
      <c r="E3692" s="3"/>
      <c r="F3692" s="3"/>
      <c r="G3692" s="3"/>
      <c r="H3692" s="3"/>
      <c r="I3692" s="3"/>
      <c r="J3692" s="3"/>
      <c r="K3692" s="3"/>
      <c r="L3692" s="3"/>
      <c r="R3692" s="438" t="s">
        <v>832</v>
      </c>
      <c r="S3692" s="432" t="str">
        <f>IFERROR(INDEX(Blocks!$I$2:$I$101,MATCH(67,Blocks!$A$2:$A$101,0)),"")</f>
        <v>000104450000069</v>
      </c>
    </row>
    <row r="3693" spans="2:19" x14ac:dyDescent="0.35">
      <c r="B3693" s="1"/>
      <c r="C3693" s="1"/>
      <c r="D3693" s="3"/>
      <c r="E3693" s="3"/>
      <c r="F3693" s="3"/>
      <c r="G3693" s="3"/>
      <c r="H3693" s="3"/>
      <c r="I3693" s="3"/>
      <c r="J3693" s="3"/>
      <c r="K3693" s="3"/>
      <c r="L3693" s="3"/>
      <c r="R3693" s="438" t="s">
        <v>834</v>
      </c>
      <c r="S3693" s="432" t="str">
        <f>IFERROR(INDEX(Blocks!$H$2:$H$101,MATCH(67,Blocks!$A$2:$A$101,0)),"")</f>
        <v>Chisitu Tea Blenders and Packers Ltd</v>
      </c>
    </row>
    <row r="3694" spans="2:19" x14ac:dyDescent="0.35">
      <c r="B3694" s="1"/>
      <c r="C3694" s="9" t="s">
        <v>835</v>
      </c>
      <c r="D3694" s="10">
        <v>200000000</v>
      </c>
      <c r="E3694" s="3"/>
      <c r="F3694" s="3"/>
      <c r="G3694" s="3"/>
      <c r="H3694" s="3"/>
      <c r="I3694" s="3"/>
      <c r="J3694" s="3"/>
      <c r="K3694" s="3"/>
      <c r="L3694" s="3"/>
      <c r="R3694" s="438" t="s">
        <v>223</v>
      </c>
      <c r="S3694" s="433">
        <f>IFERROR(INDEX('E-Banker master'!$N$2:$N$186,MATCH(S3692,'E-Banker master'!$A$2:$A$186,0)),"")</f>
        <v>200000000</v>
      </c>
    </row>
    <row r="3695" spans="2:19" x14ac:dyDescent="0.35">
      <c r="B3695" s="1"/>
      <c r="C3695" s="11" t="s">
        <v>837</v>
      </c>
      <c r="D3695" s="12">
        <v>0.1</v>
      </c>
      <c r="E3695" s="13"/>
      <c r="F3695" s="3"/>
      <c r="G3695" s="3"/>
      <c r="H3695" s="3"/>
      <c r="I3695" s="3"/>
      <c r="J3695" s="3"/>
      <c r="K3695" s="3"/>
      <c r="L3695" s="3"/>
      <c r="R3695" s="438" t="s">
        <v>52</v>
      </c>
      <c r="S3695" s="433">
        <f>IFERROR(INDEX('E-Banker master'!$P$2:$P$186,MATCH(S3692,'E-Banker master'!$A$2:$A$186,0)),"")</f>
        <v>207088006.12</v>
      </c>
    </row>
    <row r="3696" spans="2:19" x14ac:dyDescent="0.35">
      <c r="B3696" s="1"/>
      <c r="C3696" s="11" t="s">
        <v>838</v>
      </c>
      <c r="D3696" s="14">
        <v>4</v>
      </c>
      <c r="E3696" s="1"/>
      <c r="F3696" s="3"/>
      <c r="G3696" s="3"/>
      <c r="H3696" s="3"/>
      <c r="I3696" s="3"/>
      <c r="J3696" s="3"/>
      <c r="K3696" s="1"/>
      <c r="L3696" s="1"/>
    </row>
    <row r="3697" spans="2:12" x14ac:dyDescent="0.35">
      <c r="B3697" s="1"/>
      <c r="C3697" s="11" t="s">
        <v>839</v>
      </c>
      <c r="D3697" s="14">
        <v>12</v>
      </c>
      <c r="E3697" s="1"/>
      <c r="F3697" s="3"/>
      <c r="G3697" s="3"/>
      <c r="H3697" s="3"/>
      <c r="I3697" s="3"/>
      <c r="J3697" s="3"/>
      <c r="K3697" s="1"/>
      <c r="L3697" s="1"/>
    </row>
    <row r="3698" spans="2:12" x14ac:dyDescent="0.35">
      <c r="B3698" s="1"/>
      <c r="C3698" s="11" t="s">
        <v>843</v>
      </c>
      <c r="D3698" s="15">
        <f>D3696*D3697</f>
        <v>48</v>
      </c>
      <c r="E3698" s="1"/>
      <c r="F3698" s="3"/>
      <c r="G3698" s="3"/>
      <c r="H3698" s="3"/>
      <c r="I3698" s="3"/>
      <c r="J3698" s="3"/>
      <c r="K3698" s="1"/>
      <c r="L3698" s="1"/>
    </row>
    <row r="3699" spans="2:12" x14ac:dyDescent="0.35">
      <c r="B3699" s="1"/>
      <c r="C3699" s="11" t="s">
        <v>844</v>
      </c>
      <c r="D3699" s="16">
        <v>365</v>
      </c>
      <c r="E3699" s="1"/>
      <c r="F3699" s="3"/>
      <c r="G3699" s="3"/>
      <c r="H3699" s="3"/>
      <c r="I3699" s="3"/>
      <c r="J3699" s="3"/>
      <c r="K3699" s="1"/>
      <c r="L3699" s="1"/>
    </row>
    <row r="3700" spans="2:12" x14ac:dyDescent="0.35">
      <c r="B3700" s="1"/>
      <c r="C3700" s="17" t="s">
        <v>845</v>
      </c>
      <c r="D3700" s="18">
        <f>-PMT(D3695/D3697,D3698,D3694,0,0)</f>
        <v>5072516.6869494375</v>
      </c>
      <c r="E3700" s="3"/>
      <c r="F3700" s="3"/>
      <c r="G3700" s="3"/>
      <c r="H3700" s="3"/>
      <c r="I3700" s="3"/>
      <c r="J3700" s="3"/>
      <c r="K3700" s="1"/>
      <c r="L3700" s="1"/>
    </row>
    <row r="3701" spans="2:12" x14ac:dyDescent="0.35">
      <c r="B3701" s="1"/>
      <c r="C3701" s="1"/>
      <c r="D3701" s="3"/>
      <c r="E3701" s="3"/>
      <c r="F3701" s="3"/>
      <c r="G3701" s="3"/>
      <c r="H3701" s="3"/>
      <c r="I3701" s="3"/>
      <c r="J3701" s="3"/>
      <c r="K3701" s="1"/>
      <c r="L3701" s="1"/>
    </row>
    <row r="3702" spans="2:12" x14ac:dyDescent="0.35">
      <c r="B3702" s="1"/>
      <c r="C3702" s="19" t="s">
        <v>846</v>
      </c>
      <c r="D3702" s="20" t="s">
        <v>847</v>
      </c>
      <c r="E3702" s="20" t="s">
        <v>764</v>
      </c>
      <c r="F3702" s="270" t="s">
        <v>848</v>
      </c>
      <c r="G3702" s="270" t="s">
        <v>849</v>
      </c>
      <c r="H3702" s="270" t="s">
        <v>742</v>
      </c>
      <c r="I3702" s="270" t="s">
        <v>740</v>
      </c>
      <c r="J3702" s="270" t="s">
        <v>850</v>
      </c>
      <c r="K3702" s="21" t="s">
        <v>851</v>
      </c>
      <c r="L3702" s="21" t="s">
        <v>852</v>
      </c>
    </row>
    <row r="3703" spans="2:12" x14ac:dyDescent="0.35">
      <c r="B3703" s="1">
        <v>0</v>
      </c>
      <c r="C3703" s="22">
        <v>45127</v>
      </c>
      <c r="D3703" s="22">
        <v>45138</v>
      </c>
      <c r="E3703" s="23">
        <f t="shared" ref="E3703:E3734" si="591">D3703-C3703+1</f>
        <v>12</v>
      </c>
      <c r="F3703" s="3">
        <f>D3694</f>
        <v>200000000</v>
      </c>
      <c r="G3703" s="3"/>
      <c r="H3703" s="3">
        <f>($D$3695/$D$3697*F3703*E3703/31)</f>
        <v>645161.29032258061</v>
      </c>
      <c r="I3703" s="3">
        <f>-H3703</f>
        <v>-645161.29032258061</v>
      </c>
      <c r="J3703" s="3">
        <f t="shared" ref="J3703:J3734" si="592">F3703-I3703</f>
        <v>200645161.29032257</v>
      </c>
      <c r="K3703" s="24"/>
      <c r="L3703" s="24"/>
    </row>
    <row r="3704" spans="2:12" x14ac:dyDescent="0.35">
      <c r="B3704" s="1">
        <v>1</v>
      </c>
      <c r="C3704" s="22">
        <v>45139</v>
      </c>
      <c r="D3704" s="22">
        <v>45169</v>
      </c>
      <c r="E3704" s="23">
        <f t="shared" si="591"/>
        <v>31</v>
      </c>
      <c r="F3704" s="3">
        <f t="shared" ref="F3704:F3751" si="593">J3703</f>
        <v>200645161.29032257</v>
      </c>
      <c r="G3704" s="3"/>
      <c r="H3704" s="3">
        <f t="shared" ref="H3704:H3751" si="594">($D$3695/$D$3697*F3704)</f>
        <v>1672043.0107526882</v>
      </c>
      <c r="I3704" s="3">
        <f>-H3704</f>
        <v>-1672043.0107526882</v>
      </c>
      <c r="J3704" s="3">
        <f t="shared" si="592"/>
        <v>202317204.30107525</v>
      </c>
    </row>
    <row r="3705" spans="2:12" x14ac:dyDescent="0.35">
      <c r="B3705" s="1">
        <v>2</v>
      </c>
      <c r="C3705" s="22">
        <f>+C3704+31</f>
        <v>45170</v>
      </c>
      <c r="D3705" s="22">
        <f>+C3705+29</f>
        <v>45199</v>
      </c>
      <c r="E3705" s="23">
        <f t="shared" si="591"/>
        <v>30</v>
      </c>
      <c r="F3705" s="3">
        <f t="shared" si="593"/>
        <v>202317204.30107525</v>
      </c>
      <c r="G3705" s="3"/>
      <c r="H3705" s="3">
        <f t="shared" si="594"/>
        <v>1685976.7025089604</v>
      </c>
      <c r="I3705" s="3">
        <f>-H3705</f>
        <v>-1685976.7025089604</v>
      </c>
      <c r="J3705" s="3">
        <f t="shared" si="592"/>
        <v>204003181.00358421</v>
      </c>
      <c r="K3705" s="24"/>
      <c r="L3705" s="24"/>
    </row>
    <row r="3706" spans="2:12" x14ac:dyDescent="0.35">
      <c r="B3706" s="1">
        <v>3</v>
      </c>
      <c r="C3706" s="22">
        <f>+C3705+30</f>
        <v>45200</v>
      </c>
      <c r="D3706" s="22">
        <v>45230</v>
      </c>
      <c r="E3706" s="23">
        <f t="shared" si="591"/>
        <v>31</v>
      </c>
      <c r="F3706" s="3">
        <f t="shared" si="593"/>
        <v>204003181.00358421</v>
      </c>
      <c r="G3706" s="3"/>
      <c r="H3706" s="3">
        <f t="shared" si="594"/>
        <v>1700026.5083632017</v>
      </c>
      <c r="I3706" s="3">
        <f t="shared" ref="I3706:I3751" si="595">G3706-H3706</f>
        <v>-1700026.5083632017</v>
      </c>
      <c r="J3706" s="3">
        <f t="shared" si="592"/>
        <v>205703207.51194739</v>
      </c>
      <c r="K3706" s="24"/>
      <c r="L3706" s="24"/>
    </row>
    <row r="3707" spans="2:12" x14ac:dyDescent="0.35">
      <c r="B3707" s="1">
        <v>4</v>
      </c>
      <c r="C3707" s="22">
        <f>+C3706+31</f>
        <v>45231</v>
      </c>
      <c r="D3707" s="22">
        <v>45260</v>
      </c>
      <c r="E3707" s="23">
        <f t="shared" si="591"/>
        <v>30</v>
      </c>
      <c r="F3707" s="3">
        <f t="shared" si="593"/>
        <v>205703207.51194739</v>
      </c>
      <c r="G3707" s="3"/>
      <c r="H3707" s="3">
        <f t="shared" si="594"/>
        <v>1714193.3959328949</v>
      </c>
      <c r="I3707" s="3">
        <f t="shared" si="595"/>
        <v>-1714193.3959328949</v>
      </c>
      <c r="J3707" s="3">
        <f t="shared" si="592"/>
        <v>207417400.90788028</v>
      </c>
      <c r="K3707" s="24"/>
      <c r="L3707" s="24"/>
    </row>
    <row r="3708" spans="2:12" x14ac:dyDescent="0.35">
      <c r="B3708" s="1">
        <v>5</v>
      </c>
      <c r="C3708" s="22">
        <f>+C3707+30</f>
        <v>45261</v>
      </c>
      <c r="D3708" s="22">
        <v>45291</v>
      </c>
      <c r="E3708" s="23">
        <f t="shared" si="591"/>
        <v>31</v>
      </c>
      <c r="F3708" s="3">
        <f t="shared" si="593"/>
        <v>207417400.90788028</v>
      </c>
      <c r="G3708" s="3"/>
      <c r="H3708" s="3">
        <f t="shared" si="594"/>
        <v>1728478.3408990023</v>
      </c>
      <c r="I3708" s="3">
        <f t="shared" si="595"/>
        <v>-1728478.3408990023</v>
      </c>
      <c r="J3708" s="3">
        <f t="shared" si="592"/>
        <v>209145879.24877927</v>
      </c>
      <c r="K3708" s="24"/>
      <c r="L3708" s="26"/>
    </row>
    <row r="3709" spans="2:12" x14ac:dyDescent="0.35">
      <c r="B3709" s="1">
        <v>6</v>
      </c>
      <c r="C3709" s="22">
        <f>+C3708+31</f>
        <v>45292</v>
      </c>
      <c r="D3709" s="22">
        <f>+C3709+30</f>
        <v>45322</v>
      </c>
      <c r="E3709" s="23">
        <f t="shared" si="591"/>
        <v>31</v>
      </c>
      <c r="F3709" s="3">
        <f t="shared" si="593"/>
        <v>209145879.24877927</v>
      </c>
      <c r="G3709" s="3"/>
      <c r="H3709" s="3">
        <f t="shared" si="594"/>
        <v>1742882.3270731606</v>
      </c>
      <c r="I3709" s="3">
        <f t="shared" si="595"/>
        <v>-1742882.3270731606</v>
      </c>
      <c r="J3709" s="3">
        <f t="shared" si="592"/>
        <v>210888761.57585242</v>
      </c>
      <c r="K3709" s="24"/>
      <c r="L3709" s="24"/>
    </row>
    <row r="3710" spans="2:12" x14ac:dyDescent="0.35">
      <c r="B3710" s="1">
        <v>7</v>
      </c>
      <c r="C3710" s="22">
        <f>+C3709+31</f>
        <v>45323</v>
      </c>
      <c r="D3710" s="22">
        <f>+C3710+28</f>
        <v>45351</v>
      </c>
      <c r="E3710" s="23">
        <f t="shared" si="591"/>
        <v>29</v>
      </c>
      <c r="F3710" s="3">
        <f t="shared" si="593"/>
        <v>210888761.57585242</v>
      </c>
      <c r="G3710" s="3">
        <f t="shared" ref="G3710:G3751" si="596">-PMT($D$3695/$D$3697,42,$F$3710,,0)</f>
        <v>5971698.9631051412</v>
      </c>
      <c r="H3710" s="3">
        <f t="shared" si="594"/>
        <v>1757406.3464654367</v>
      </c>
      <c r="I3710" s="3">
        <f t="shared" si="595"/>
        <v>4214292.6166397044</v>
      </c>
      <c r="J3710" s="3">
        <f t="shared" si="592"/>
        <v>206674468.95921272</v>
      </c>
      <c r="K3710" s="24"/>
      <c r="L3710" s="24">
        <f t="shared" ref="L3710:L3718" si="597">L3709+G3710-K3710</f>
        <v>5971698.9631051412</v>
      </c>
    </row>
    <row r="3711" spans="2:12" x14ac:dyDescent="0.35">
      <c r="B3711" s="1">
        <v>8</v>
      </c>
      <c r="C3711" s="22">
        <f>+C3710+29</f>
        <v>45352</v>
      </c>
      <c r="D3711" s="22">
        <f>+C3711+30</f>
        <v>45382</v>
      </c>
      <c r="E3711" s="23">
        <f t="shared" si="591"/>
        <v>31</v>
      </c>
      <c r="F3711" s="3">
        <f t="shared" si="593"/>
        <v>206674468.95921272</v>
      </c>
      <c r="G3711" s="3">
        <f t="shared" si="596"/>
        <v>5971698.9631051412</v>
      </c>
      <c r="H3711" s="3">
        <f t="shared" si="594"/>
        <v>1722287.2413267726</v>
      </c>
      <c r="I3711" s="3">
        <f t="shared" si="595"/>
        <v>4249411.7217783686</v>
      </c>
      <c r="J3711" s="3">
        <f t="shared" si="592"/>
        <v>202425057.23743436</v>
      </c>
      <c r="K3711" s="24"/>
      <c r="L3711" s="24">
        <f t="shared" si="597"/>
        <v>11943397.926210282</v>
      </c>
    </row>
    <row r="3712" spans="2:12" x14ac:dyDescent="0.35">
      <c r="B3712" s="1">
        <v>9</v>
      </c>
      <c r="C3712" s="22">
        <f>+C3711+31</f>
        <v>45383</v>
      </c>
      <c r="D3712" s="22">
        <f>+C3712+29</f>
        <v>45412</v>
      </c>
      <c r="E3712" s="23">
        <f t="shared" si="591"/>
        <v>30</v>
      </c>
      <c r="F3712" s="3">
        <f t="shared" si="593"/>
        <v>202425057.23743436</v>
      </c>
      <c r="G3712" s="3">
        <f t="shared" si="596"/>
        <v>5971698.9631051412</v>
      </c>
      <c r="H3712" s="3">
        <f t="shared" si="594"/>
        <v>1686875.4769786196</v>
      </c>
      <c r="I3712" s="3">
        <f t="shared" si="595"/>
        <v>4284823.4861265216</v>
      </c>
      <c r="J3712" s="3">
        <f t="shared" si="592"/>
        <v>198140233.75130785</v>
      </c>
      <c r="K3712" s="24">
        <v>1950000</v>
      </c>
      <c r="L3712" s="24">
        <f t="shared" si="597"/>
        <v>15965096.889315423</v>
      </c>
    </row>
    <row r="3713" spans="2:12" x14ac:dyDescent="0.35">
      <c r="B3713" s="1">
        <v>10</v>
      </c>
      <c r="C3713" s="22">
        <f>+C3712+30</f>
        <v>45413</v>
      </c>
      <c r="D3713" s="22">
        <f>+C3713+30</f>
        <v>45443</v>
      </c>
      <c r="E3713" s="23">
        <f t="shared" si="591"/>
        <v>31</v>
      </c>
      <c r="F3713" s="3">
        <f t="shared" si="593"/>
        <v>198140233.75130785</v>
      </c>
      <c r="G3713" s="3">
        <f t="shared" si="596"/>
        <v>5971698.9631051412</v>
      </c>
      <c r="H3713" s="3">
        <f t="shared" si="594"/>
        <v>1651168.6145942321</v>
      </c>
      <c r="I3713" s="3">
        <f t="shared" si="595"/>
        <v>4320530.3485109089</v>
      </c>
      <c r="J3713" s="3">
        <f t="shared" si="592"/>
        <v>193819703.40279692</v>
      </c>
      <c r="K3713" s="24">
        <v>3050000</v>
      </c>
      <c r="L3713" s="24">
        <f t="shared" si="597"/>
        <v>18886795.852420565</v>
      </c>
    </row>
    <row r="3714" spans="2:12" x14ac:dyDescent="0.35">
      <c r="B3714" s="1">
        <v>11</v>
      </c>
      <c r="C3714" s="22">
        <f>+C3713+31</f>
        <v>45444</v>
      </c>
      <c r="D3714" s="22">
        <f>+C3714+29</f>
        <v>45473</v>
      </c>
      <c r="E3714" s="23">
        <f t="shared" si="591"/>
        <v>30</v>
      </c>
      <c r="F3714" s="3">
        <f t="shared" si="593"/>
        <v>193819703.40279692</v>
      </c>
      <c r="G3714" s="3">
        <f t="shared" si="596"/>
        <v>5971698.9631051412</v>
      </c>
      <c r="H3714" s="3">
        <f t="shared" si="594"/>
        <v>1615164.1950233076</v>
      </c>
      <c r="I3714" s="3">
        <f t="shared" si="595"/>
        <v>4356534.7680818336</v>
      </c>
      <c r="J3714" s="3">
        <f t="shared" si="592"/>
        <v>189463168.63471508</v>
      </c>
      <c r="K3714" s="24"/>
      <c r="L3714" s="24">
        <f t="shared" si="597"/>
        <v>24858494.815525707</v>
      </c>
    </row>
    <row r="3715" spans="2:12" x14ac:dyDescent="0.35">
      <c r="B3715" s="1">
        <v>12</v>
      </c>
      <c r="C3715" s="22">
        <f>+C3714+30</f>
        <v>45474</v>
      </c>
      <c r="D3715" s="22">
        <f>+C3715+30</f>
        <v>45504</v>
      </c>
      <c r="E3715" s="23">
        <f t="shared" si="591"/>
        <v>31</v>
      </c>
      <c r="F3715" s="3">
        <f t="shared" si="593"/>
        <v>189463168.63471508</v>
      </c>
      <c r="G3715" s="3">
        <f t="shared" si="596"/>
        <v>5971698.9631051412</v>
      </c>
      <c r="H3715" s="3">
        <f t="shared" si="594"/>
        <v>1578859.7386226256</v>
      </c>
      <c r="I3715" s="3">
        <f t="shared" si="595"/>
        <v>4392839.2244825158</v>
      </c>
      <c r="J3715" s="3">
        <f t="shared" si="592"/>
        <v>185070329.41023257</v>
      </c>
      <c r="K3715" s="24">
        <f>4050000+4950000</f>
        <v>9000000</v>
      </c>
      <c r="L3715" s="24">
        <f t="shared" si="597"/>
        <v>21830193.778630849</v>
      </c>
    </row>
    <row r="3716" spans="2:12" x14ac:dyDescent="0.35">
      <c r="B3716" s="1">
        <v>13</v>
      </c>
      <c r="C3716" s="22">
        <f>+C3715+31</f>
        <v>45505</v>
      </c>
      <c r="D3716" s="22">
        <f>+C3716+30</f>
        <v>45535</v>
      </c>
      <c r="E3716" s="23">
        <f t="shared" si="591"/>
        <v>31</v>
      </c>
      <c r="F3716" s="3">
        <f t="shared" si="593"/>
        <v>185070329.41023257</v>
      </c>
      <c r="G3716" s="3">
        <f t="shared" si="596"/>
        <v>5971698.9631051412</v>
      </c>
      <c r="H3716" s="3">
        <f t="shared" si="594"/>
        <v>1542252.7450852715</v>
      </c>
      <c r="I3716" s="3">
        <f t="shared" si="595"/>
        <v>4429446.2180198692</v>
      </c>
      <c r="J3716" s="3">
        <f t="shared" si="592"/>
        <v>180640883.1922127</v>
      </c>
      <c r="K3716" s="24"/>
      <c r="L3716" s="24">
        <f t="shared" si="597"/>
        <v>27801892.741735991</v>
      </c>
    </row>
    <row r="3717" spans="2:12" x14ac:dyDescent="0.35">
      <c r="B3717" s="1">
        <v>14</v>
      </c>
      <c r="C3717" s="22">
        <f>+C3716+31</f>
        <v>45536</v>
      </c>
      <c r="D3717" s="22">
        <f>+C3717+29</f>
        <v>45565</v>
      </c>
      <c r="E3717" s="23">
        <f t="shared" si="591"/>
        <v>30</v>
      </c>
      <c r="F3717" s="3">
        <f t="shared" si="593"/>
        <v>180640883.1922127</v>
      </c>
      <c r="G3717" s="3">
        <f t="shared" si="596"/>
        <v>5971698.9631051412</v>
      </c>
      <c r="H3717" s="3">
        <f t="shared" si="594"/>
        <v>1505340.6932684393</v>
      </c>
      <c r="I3717" s="3">
        <f t="shared" si="595"/>
        <v>4466358.2698367015</v>
      </c>
      <c r="J3717" s="3">
        <f t="shared" si="592"/>
        <v>176174524.92237601</v>
      </c>
      <c r="K3717" s="24">
        <f>1000000+4000000</f>
        <v>5000000</v>
      </c>
      <c r="L3717" s="24">
        <f t="shared" si="597"/>
        <v>28773591.704841129</v>
      </c>
    </row>
    <row r="3718" spans="2:12" x14ac:dyDescent="0.35">
      <c r="B3718" s="1">
        <v>15</v>
      </c>
      <c r="C3718" s="22">
        <f>+C3717+30</f>
        <v>45566</v>
      </c>
      <c r="D3718" s="22">
        <f>+C3718+30</f>
        <v>45596</v>
      </c>
      <c r="E3718" s="23">
        <f t="shared" si="591"/>
        <v>31</v>
      </c>
      <c r="F3718" s="3">
        <f t="shared" si="593"/>
        <v>176174524.92237601</v>
      </c>
      <c r="G3718" s="3">
        <f t="shared" si="596"/>
        <v>5971698.9631051412</v>
      </c>
      <c r="H3718" s="3">
        <f t="shared" si="594"/>
        <v>1468121.0410198001</v>
      </c>
      <c r="I3718" s="3">
        <f t="shared" si="595"/>
        <v>4503577.9220853411</v>
      </c>
      <c r="J3718" s="3">
        <f t="shared" si="592"/>
        <v>171670947.00029066</v>
      </c>
      <c r="K3718" s="24"/>
      <c r="L3718" s="204">
        <f t="shared" si="597"/>
        <v>34745290.667946272</v>
      </c>
    </row>
    <row r="3719" spans="2:12" x14ac:dyDescent="0.35">
      <c r="B3719" s="1">
        <v>16</v>
      </c>
      <c r="C3719" s="22">
        <f>+C3718+31</f>
        <v>45597</v>
      </c>
      <c r="D3719" s="22">
        <f>+C3719+29</f>
        <v>45626</v>
      </c>
      <c r="E3719" s="23">
        <f t="shared" si="591"/>
        <v>30</v>
      </c>
      <c r="F3719" s="3">
        <f t="shared" si="593"/>
        <v>171670947.00029066</v>
      </c>
      <c r="G3719" s="3">
        <f t="shared" si="596"/>
        <v>5971698.9631051412</v>
      </c>
      <c r="H3719" s="3">
        <f t="shared" si="594"/>
        <v>1430591.2250024222</v>
      </c>
      <c r="I3719" s="3">
        <f t="shared" si="595"/>
        <v>4541107.7381027192</v>
      </c>
      <c r="J3719" s="3">
        <f t="shared" si="592"/>
        <v>167129839.26218796</v>
      </c>
      <c r="K3719" s="24"/>
      <c r="L3719" s="24"/>
    </row>
    <row r="3720" spans="2:12" x14ac:dyDescent="0.35">
      <c r="B3720" s="1">
        <v>17</v>
      </c>
      <c r="C3720" s="22">
        <f>+C3719+30</f>
        <v>45627</v>
      </c>
      <c r="D3720" s="22">
        <f>+C3720+30</f>
        <v>45657</v>
      </c>
      <c r="E3720" s="23">
        <f t="shared" si="591"/>
        <v>31</v>
      </c>
      <c r="F3720" s="3">
        <f t="shared" si="593"/>
        <v>167129839.26218796</v>
      </c>
      <c r="G3720" s="3">
        <f t="shared" si="596"/>
        <v>5971698.9631051412</v>
      </c>
      <c r="H3720" s="3">
        <f t="shared" si="594"/>
        <v>1392748.660518233</v>
      </c>
      <c r="I3720" s="3">
        <f t="shared" si="595"/>
        <v>4578950.3025869085</v>
      </c>
      <c r="J3720" s="3">
        <f t="shared" si="592"/>
        <v>162550888.95960104</v>
      </c>
      <c r="K3720" s="24"/>
      <c r="L3720" s="24"/>
    </row>
    <row r="3721" spans="2:12" x14ac:dyDescent="0.35">
      <c r="B3721" s="1">
        <v>18</v>
      </c>
      <c r="C3721" s="22">
        <f>+C3720+31</f>
        <v>45658</v>
      </c>
      <c r="D3721" s="22">
        <f>+C3721+30</f>
        <v>45688</v>
      </c>
      <c r="E3721" s="23">
        <f t="shared" si="591"/>
        <v>31</v>
      </c>
      <c r="F3721" s="3">
        <f t="shared" si="593"/>
        <v>162550888.95960104</v>
      </c>
      <c r="G3721" s="3">
        <f t="shared" si="596"/>
        <v>5971698.9631051412</v>
      </c>
      <c r="H3721" s="3">
        <f t="shared" si="594"/>
        <v>1354590.7413300087</v>
      </c>
      <c r="I3721" s="3">
        <f t="shared" si="595"/>
        <v>4617108.2217751322</v>
      </c>
      <c r="J3721" s="3">
        <f t="shared" si="592"/>
        <v>157933780.7378259</v>
      </c>
      <c r="K3721" s="24"/>
      <c r="L3721" s="24"/>
    </row>
    <row r="3722" spans="2:12" x14ac:dyDescent="0.35">
      <c r="B3722" s="1">
        <v>19</v>
      </c>
      <c r="C3722" s="22">
        <f>+C3721+31</f>
        <v>45689</v>
      </c>
      <c r="D3722" s="22">
        <f>+C3722+27</f>
        <v>45716</v>
      </c>
      <c r="E3722" s="23">
        <f t="shared" si="591"/>
        <v>28</v>
      </c>
      <c r="F3722" s="3">
        <f t="shared" si="593"/>
        <v>157933780.7378259</v>
      </c>
      <c r="G3722" s="3">
        <f t="shared" si="596"/>
        <v>5971698.9631051412</v>
      </c>
      <c r="H3722" s="3">
        <f t="shared" si="594"/>
        <v>1316114.8394818825</v>
      </c>
      <c r="I3722" s="3">
        <f t="shared" si="595"/>
        <v>4655584.1236232584</v>
      </c>
      <c r="J3722" s="3">
        <f t="shared" si="592"/>
        <v>153278196.61420265</v>
      </c>
      <c r="K3722" s="24"/>
      <c r="L3722" s="24"/>
    </row>
    <row r="3723" spans="2:12" x14ac:dyDescent="0.35">
      <c r="B3723" s="1">
        <v>20</v>
      </c>
      <c r="C3723" s="22">
        <f>+C3722+28</f>
        <v>45717</v>
      </c>
      <c r="D3723" s="22">
        <f>+C3723+30</f>
        <v>45747</v>
      </c>
      <c r="E3723" s="23">
        <f t="shared" si="591"/>
        <v>31</v>
      </c>
      <c r="F3723" s="3">
        <f t="shared" si="593"/>
        <v>153278196.61420265</v>
      </c>
      <c r="G3723" s="3">
        <f t="shared" si="596"/>
        <v>5971698.9631051412</v>
      </c>
      <c r="H3723" s="3">
        <f t="shared" si="594"/>
        <v>1277318.3051183554</v>
      </c>
      <c r="I3723" s="3">
        <f t="shared" si="595"/>
        <v>4694380.6579867862</v>
      </c>
      <c r="J3723" s="3">
        <f t="shared" si="592"/>
        <v>148583815.95621586</v>
      </c>
      <c r="K3723" s="24"/>
      <c r="L3723" s="24"/>
    </row>
    <row r="3724" spans="2:12" x14ac:dyDescent="0.35">
      <c r="B3724" s="1">
        <v>21</v>
      </c>
      <c r="C3724" s="22">
        <f>+C3723+31</f>
        <v>45748</v>
      </c>
      <c r="D3724" s="22">
        <f>+C3724+29</f>
        <v>45777</v>
      </c>
      <c r="E3724" s="23">
        <f t="shared" si="591"/>
        <v>30</v>
      </c>
      <c r="F3724" s="3">
        <f t="shared" si="593"/>
        <v>148583815.95621586</v>
      </c>
      <c r="G3724" s="3">
        <f t="shared" si="596"/>
        <v>5971698.9631051412</v>
      </c>
      <c r="H3724" s="3">
        <f t="shared" si="594"/>
        <v>1238198.4663017988</v>
      </c>
      <c r="I3724" s="3">
        <f t="shared" si="595"/>
        <v>4733500.4968033424</v>
      </c>
      <c r="J3724" s="3">
        <f t="shared" si="592"/>
        <v>143850315.45941252</v>
      </c>
      <c r="K3724" s="24"/>
      <c r="L3724" s="24"/>
    </row>
    <row r="3725" spans="2:12" x14ac:dyDescent="0.35">
      <c r="B3725" s="1">
        <v>22</v>
      </c>
      <c r="C3725" s="22">
        <f>+C3724+30</f>
        <v>45778</v>
      </c>
      <c r="D3725" s="22">
        <f>+C3725+30</f>
        <v>45808</v>
      </c>
      <c r="E3725" s="23">
        <f t="shared" si="591"/>
        <v>31</v>
      </c>
      <c r="F3725" s="3">
        <f t="shared" si="593"/>
        <v>143850315.45941252</v>
      </c>
      <c r="G3725" s="3">
        <f t="shared" si="596"/>
        <v>5971698.9631051412</v>
      </c>
      <c r="H3725" s="3">
        <f t="shared" si="594"/>
        <v>1198752.6288284375</v>
      </c>
      <c r="I3725" s="3">
        <f t="shared" si="595"/>
        <v>4772946.3342767041</v>
      </c>
      <c r="J3725" s="3">
        <f t="shared" si="592"/>
        <v>139077369.12513581</v>
      </c>
      <c r="K3725" s="24"/>
      <c r="L3725" s="24"/>
    </row>
    <row r="3726" spans="2:12" x14ac:dyDescent="0.35">
      <c r="B3726" s="1">
        <v>23</v>
      </c>
      <c r="C3726" s="22">
        <f>+C3725+31</f>
        <v>45809</v>
      </c>
      <c r="D3726" s="22">
        <f>+D3725+30</f>
        <v>45838</v>
      </c>
      <c r="E3726" s="23">
        <f t="shared" si="591"/>
        <v>30</v>
      </c>
      <c r="F3726" s="3">
        <f t="shared" si="593"/>
        <v>139077369.12513581</v>
      </c>
      <c r="G3726" s="3">
        <f t="shared" si="596"/>
        <v>5971698.9631051412</v>
      </c>
      <c r="H3726" s="3">
        <f t="shared" si="594"/>
        <v>1158978.0760427983</v>
      </c>
      <c r="I3726" s="3">
        <f t="shared" si="595"/>
        <v>4812720.8870623428</v>
      </c>
      <c r="J3726" s="3">
        <f t="shared" si="592"/>
        <v>134264648.23807347</v>
      </c>
      <c r="K3726" s="24"/>
      <c r="L3726" s="24"/>
    </row>
    <row r="3727" spans="2:12" x14ac:dyDescent="0.35">
      <c r="B3727" s="1">
        <f t="shared" ref="B3727:B3751" si="598">+B3726+1</f>
        <v>24</v>
      </c>
      <c r="C3727" s="22">
        <f>+C3726+30</f>
        <v>45839</v>
      </c>
      <c r="D3727" s="22">
        <f>+D3726+30</f>
        <v>45868</v>
      </c>
      <c r="E3727" s="23">
        <f t="shared" si="591"/>
        <v>30</v>
      </c>
      <c r="F3727" s="3">
        <f t="shared" si="593"/>
        <v>134264648.23807347</v>
      </c>
      <c r="G3727" s="3">
        <f t="shared" si="596"/>
        <v>5971698.9631051412</v>
      </c>
      <c r="H3727" s="3">
        <f t="shared" si="594"/>
        <v>1118872.0686506121</v>
      </c>
      <c r="I3727" s="3">
        <f t="shared" si="595"/>
        <v>4852826.8944545295</v>
      </c>
      <c r="J3727" s="3">
        <f t="shared" si="592"/>
        <v>129411821.34361894</v>
      </c>
    </row>
    <row r="3728" spans="2:12" x14ac:dyDescent="0.35">
      <c r="B3728" s="1">
        <f t="shared" si="598"/>
        <v>25</v>
      </c>
      <c r="C3728" s="22">
        <f>+C3727+31</f>
        <v>45870</v>
      </c>
      <c r="D3728" s="22">
        <f>+D3727+31</f>
        <v>45899</v>
      </c>
      <c r="E3728" s="23">
        <f t="shared" si="591"/>
        <v>30</v>
      </c>
      <c r="F3728" s="3">
        <f t="shared" si="593"/>
        <v>129411821.34361894</v>
      </c>
      <c r="G3728" s="3">
        <f t="shared" si="596"/>
        <v>5971698.9631051412</v>
      </c>
      <c r="H3728" s="3">
        <f t="shared" si="594"/>
        <v>1078431.8445301577</v>
      </c>
      <c r="I3728" s="3">
        <f t="shared" si="595"/>
        <v>4893267.1185749834</v>
      </c>
      <c r="J3728" s="3">
        <f t="shared" si="592"/>
        <v>124518554.22504397</v>
      </c>
    </row>
    <row r="3729" spans="2:10" x14ac:dyDescent="0.35">
      <c r="B3729" s="1">
        <f t="shared" si="598"/>
        <v>26</v>
      </c>
      <c r="C3729" s="22">
        <f>+C3728+31</f>
        <v>45901</v>
      </c>
      <c r="D3729" s="22">
        <f>+D3728+31</f>
        <v>45930</v>
      </c>
      <c r="E3729" s="23">
        <f t="shared" si="591"/>
        <v>30</v>
      </c>
      <c r="F3729" s="3">
        <f t="shared" si="593"/>
        <v>124518554.22504397</v>
      </c>
      <c r="G3729" s="3">
        <f t="shared" si="596"/>
        <v>5971698.9631051412</v>
      </c>
      <c r="H3729" s="3">
        <f t="shared" si="594"/>
        <v>1037654.618542033</v>
      </c>
      <c r="I3729" s="3">
        <f t="shared" si="595"/>
        <v>4934044.3445631079</v>
      </c>
      <c r="J3729" s="3">
        <f t="shared" si="592"/>
        <v>119584509.88048086</v>
      </c>
    </row>
    <row r="3730" spans="2:10" x14ac:dyDescent="0.35">
      <c r="B3730" s="1">
        <f t="shared" si="598"/>
        <v>27</v>
      </c>
      <c r="C3730" s="22">
        <f>+C3729+30</f>
        <v>45931</v>
      </c>
      <c r="D3730" s="22">
        <f>+D3729+31</f>
        <v>45961</v>
      </c>
      <c r="E3730" s="23">
        <f t="shared" si="591"/>
        <v>31</v>
      </c>
      <c r="F3730" s="3">
        <f t="shared" si="593"/>
        <v>119584509.88048086</v>
      </c>
      <c r="G3730" s="3">
        <f t="shared" si="596"/>
        <v>5971698.9631051412</v>
      </c>
      <c r="H3730" s="3">
        <f t="shared" si="594"/>
        <v>996537.58233734046</v>
      </c>
      <c r="I3730" s="3">
        <f t="shared" si="595"/>
        <v>4975161.3807678008</v>
      </c>
      <c r="J3730" s="3">
        <f t="shared" si="592"/>
        <v>114609348.49971305</v>
      </c>
    </row>
    <row r="3731" spans="2:10" x14ac:dyDescent="0.35">
      <c r="B3731" s="1">
        <f t="shared" si="598"/>
        <v>28</v>
      </c>
      <c r="C3731" s="22">
        <f>+C3730+31</f>
        <v>45962</v>
      </c>
      <c r="D3731" s="22">
        <f>+D3730+30</f>
        <v>45991</v>
      </c>
      <c r="E3731" s="23">
        <f t="shared" si="591"/>
        <v>30</v>
      </c>
      <c r="F3731" s="3">
        <f t="shared" si="593"/>
        <v>114609348.49971305</v>
      </c>
      <c r="G3731" s="3">
        <f t="shared" si="596"/>
        <v>5971698.9631051412</v>
      </c>
      <c r="H3731" s="3">
        <f t="shared" si="594"/>
        <v>955077.90416427539</v>
      </c>
      <c r="I3731" s="3">
        <f t="shared" si="595"/>
        <v>5016621.058940866</v>
      </c>
      <c r="J3731" s="3">
        <f t="shared" si="592"/>
        <v>109592727.44077218</v>
      </c>
    </row>
    <row r="3732" spans="2:10" x14ac:dyDescent="0.35">
      <c r="B3732" s="1">
        <f t="shared" si="598"/>
        <v>29</v>
      </c>
      <c r="C3732" s="22">
        <f>+C3731+30</f>
        <v>45992</v>
      </c>
      <c r="D3732" s="22">
        <f>+D3731+31</f>
        <v>46022</v>
      </c>
      <c r="E3732" s="23">
        <f t="shared" si="591"/>
        <v>31</v>
      </c>
      <c r="F3732" s="3">
        <f t="shared" si="593"/>
        <v>109592727.44077218</v>
      </c>
      <c r="G3732" s="3">
        <f t="shared" si="596"/>
        <v>5971698.9631051412</v>
      </c>
      <c r="H3732" s="3">
        <f t="shared" si="594"/>
        <v>913272.7286731014</v>
      </c>
      <c r="I3732" s="3">
        <f t="shared" si="595"/>
        <v>5058426.2344320398</v>
      </c>
      <c r="J3732" s="3">
        <f t="shared" si="592"/>
        <v>104534301.20634013</v>
      </c>
    </row>
    <row r="3733" spans="2:10" x14ac:dyDescent="0.35">
      <c r="B3733" s="1">
        <f t="shared" si="598"/>
        <v>30</v>
      </c>
      <c r="C3733" s="22">
        <f>+C3732+31</f>
        <v>46023</v>
      </c>
      <c r="D3733" s="22">
        <f>+D3732+31</f>
        <v>46053</v>
      </c>
      <c r="E3733" s="23">
        <f t="shared" si="591"/>
        <v>31</v>
      </c>
      <c r="F3733" s="3">
        <f t="shared" si="593"/>
        <v>104534301.20634013</v>
      </c>
      <c r="G3733" s="3">
        <f t="shared" si="596"/>
        <v>5971698.9631051412</v>
      </c>
      <c r="H3733" s="3">
        <f t="shared" si="594"/>
        <v>871119.17671950115</v>
      </c>
      <c r="I3733" s="3">
        <f t="shared" si="595"/>
        <v>5100579.7863856405</v>
      </c>
      <c r="J3733" s="3">
        <f t="shared" si="592"/>
        <v>99433721.419954494</v>
      </c>
    </row>
    <row r="3734" spans="2:10" x14ac:dyDescent="0.35">
      <c r="B3734" s="1">
        <f t="shared" si="598"/>
        <v>31</v>
      </c>
      <c r="C3734" s="22">
        <f>+C3733+31</f>
        <v>46054</v>
      </c>
      <c r="D3734" s="22">
        <f>+D3733+28</f>
        <v>46081</v>
      </c>
      <c r="E3734" s="23">
        <f t="shared" si="591"/>
        <v>28</v>
      </c>
      <c r="F3734" s="3">
        <f t="shared" si="593"/>
        <v>99433721.419954494</v>
      </c>
      <c r="G3734" s="3">
        <f t="shared" si="596"/>
        <v>5971698.9631051412</v>
      </c>
      <c r="H3734" s="3">
        <f t="shared" si="594"/>
        <v>828614.34516628738</v>
      </c>
      <c r="I3734" s="3">
        <f t="shared" si="595"/>
        <v>5143084.6179388538</v>
      </c>
      <c r="J3734" s="3">
        <f t="shared" si="592"/>
        <v>94290636.802015632</v>
      </c>
    </row>
    <row r="3735" spans="2:10" x14ac:dyDescent="0.35">
      <c r="B3735" s="1">
        <f t="shared" si="598"/>
        <v>32</v>
      </c>
      <c r="C3735" s="22">
        <f>+C3734+28</f>
        <v>46082</v>
      </c>
      <c r="D3735" s="22">
        <f>+D3734+31</f>
        <v>46112</v>
      </c>
      <c r="E3735" s="23">
        <f t="shared" ref="E3735:E3751" si="599">D3735-C3735+1</f>
        <v>31</v>
      </c>
      <c r="F3735" s="3">
        <f t="shared" si="593"/>
        <v>94290636.802015632</v>
      </c>
      <c r="G3735" s="3">
        <f t="shared" si="596"/>
        <v>5971698.9631051412</v>
      </c>
      <c r="H3735" s="3">
        <f t="shared" si="594"/>
        <v>785755.30668346363</v>
      </c>
      <c r="I3735" s="3">
        <f t="shared" si="595"/>
        <v>5185943.6564216772</v>
      </c>
      <c r="J3735" s="3">
        <f t="shared" ref="J3735:J3751" si="600">F3735-I3735</f>
        <v>89104693.145593956</v>
      </c>
    </row>
    <row r="3736" spans="2:10" x14ac:dyDescent="0.35">
      <c r="B3736" s="1">
        <f t="shared" si="598"/>
        <v>33</v>
      </c>
      <c r="C3736" s="22">
        <f>+C3735+31</f>
        <v>46113</v>
      </c>
      <c r="D3736" s="22">
        <f>+D3735+30</f>
        <v>46142</v>
      </c>
      <c r="E3736" s="23">
        <f t="shared" si="599"/>
        <v>30</v>
      </c>
      <c r="F3736" s="3">
        <f t="shared" si="593"/>
        <v>89104693.145593956</v>
      </c>
      <c r="G3736" s="3">
        <f t="shared" si="596"/>
        <v>5971698.9631051412</v>
      </c>
      <c r="H3736" s="3">
        <f t="shared" si="594"/>
        <v>742539.10954661632</v>
      </c>
      <c r="I3736" s="3">
        <f t="shared" si="595"/>
        <v>5229159.8535585245</v>
      </c>
      <c r="J3736" s="3">
        <f t="shared" si="600"/>
        <v>83875533.292035431</v>
      </c>
    </row>
    <row r="3737" spans="2:10" x14ac:dyDescent="0.35">
      <c r="B3737" s="1">
        <f t="shared" si="598"/>
        <v>34</v>
      </c>
      <c r="C3737" s="22">
        <f>+C3736+30</f>
        <v>46143</v>
      </c>
      <c r="D3737" s="22">
        <f>+D3736+31</f>
        <v>46173</v>
      </c>
      <c r="E3737" s="23">
        <f t="shared" si="599"/>
        <v>31</v>
      </c>
      <c r="F3737" s="3">
        <f t="shared" si="593"/>
        <v>83875533.292035431</v>
      </c>
      <c r="G3737" s="3">
        <f t="shared" si="596"/>
        <v>5971698.9631051412</v>
      </c>
      <c r="H3737" s="3">
        <f t="shared" si="594"/>
        <v>698962.77743362857</v>
      </c>
      <c r="I3737" s="3">
        <f t="shared" si="595"/>
        <v>5272736.185671513</v>
      </c>
      <c r="J3737" s="3">
        <f t="shared" si="600"/>
        <v>78602797.106363922</v>
      </c>
    </row>
    <row r="3738" spans="2:10" x14ac:dyDescent="0.35">
      <c r="B3738" s="1">
        <f t="shared" si="598"/>
        <v>35</v>
      </c>
      <c r="C3738" s="22">
        <f>+C3737+31</f>
        <v>46174</v>
      </c>
      <c r="D3738" s="22">
        <f>+D3737+30</f>
        <v>46203</v>
      </c>
      <c r="E3738" s="23">
        <f t="shared" si="599"/>
        <v>30</v>
      </c>
      <c r="F3738" s="3">
        <f t="shared" si="593"/>
        <v>78602797.106363922</v>
      </c>
      <c r="G3738" s="3">
        <f t="shared" si="596"/>
        <v>5971698.9631051412</v>
      </c>
      <c r="H3738" s="3">
        <f t="shared" si="594"/>
        <v>655023.30921969935</v>
      </c>
      <c r="I3738" s="3">
        <f t="shared" si="595"/>
        <v>5316675.6538854418</v>
      </c>
      <c r="J3738" s="3">
        <f t="shared" si="600"/>
        <v>73286121.452478483</v>
      </c>
    </row>
    <row r="3739" spans="2:10" x14ac:dyDescent="0.35">
      <c r="B3739" s="1">
        <f t="shared" si="598"/>
        <v>36</v>
      </c>
      <c r="C3739" s="22">
        <f>+C3738+30</f>
        <v>46204</v>
      </c>
      <c r="D3739" s="22">
        <f>+D3738+31</f>
        <v>46234</v>
      </c>
      <c r="E3739" s="23">
        <f t="shared" si="599"/>
        <v>31</v>
      </c>
      <c r="F3739" s="3">
        <f t="shared" si="593"/>
        <v>73286121.452478483</v>
      </c>
      <c r="G3739" s="3">
        <f t="shared" si="596"/>
        <v>5971698.9631051412</v>
      </c>
      <c r="H3739" s="3">
        <f t="shared" si="594"/>
        <v>610717.67877065402</v>
      </c>
      <c r="I3739" s="3">
        <f t="shared" si="595"/>
        <v>5360981.2843344873</v>
      </c>
      <c r="J3739" s="3">
        <f t="shared" si="600"/>
        <v>67925140.168144003</v>
      </c>
    </row>
    <row r="3740" spans="2:10" x14ac:dyDescent="0.35">
      <c r="B3740" s="1">
        <f t="shared" si="598"/>
        <v>37</v>
      </c>
      <c r="C3740" s="22">
        <f>+C3739+31</f>
        <v>46235</v>
      </c>
      <c r="D3740" s="22">
        <f>+D3739+31</f>
        <v>46265</v>
      </c>
      <c r="E3740" s="23">
        <f t="shared" si="599"/>
        <v>31</v>
      </c>
      <c r="F3740" s="3">
        <f t="shared" si="593"/>
        <v>67925140.168144003</v>
      </c>
      <c r="G3740" s="3">
        <f t="shared" si="596"/>
        <v>5971698.9631051412</v>
      </c>
      <c r="H3740" s="3">
        <f t="shared" si="594"/>
        <v>566042.83473453333</v>
      </c>
      <c r="I3740" s="3">
        <f t="shared" si="595"/>
        <v>5405656.1283706082</v>
      </c>
      <c r="J3740" s="3">
        <f t="shared" si="600"/>
        <v>62519484.039773397</v>
      </c>
    </row>
    <row r="3741" spans="2:10" x14ac:dyDescent="0.35">
      <c r="B3741" s="1">
        <f t="shared" si="598"/>
        <v>38</v>
      </c>
      <c r="C3741" s="22">
        <f>+C3740+31</f>
        <v>46266</v>
      </c>
      <c r="D3741" s="22">
        <f>+D3740+30</f>
        <v>46295</v>
      </c>
      <c r="E3741" s="23">
        <f t="shared" si="599"/>
        <v>30</v>
      </c>
      <c r="F3741" s="3">
        <f t="shared" si="593"/>
        <v>62519484.039773397</v>
      </c>
      <c r="G3741" s="3">
        <f t="shared" si="596"/>
        <v>5971698.9631051412</v>
      </c>
      <c r="H3741" s="3">
        <f t="shared" si="594"/>
        <v>520995.70033144497</v>
      </c>
      <c r="I3741" s="3">
        <f t="shared" si="595"/>
        <v>5450703.2627736963</v>
      </c>
      <c r="J3741" s="3">
        <f t="shared" si="600"/>
        <v>57068780.776999697</v>
      </c>
    </row>
    <row r="3742" spans="2:10" x14ac:dyDescent="0.35">
      <c r="B3742" s="1">
        <f t="shared" si="598"/>
        <v>39</v>
      </c>
      <c r="C3742" s="22">
        <f>+C3741+30</f>
        <v>46296</v>
      </c>
      <c r="D3742" s="22">
        <f>+D3741+31</f>
        <v>46326</v>
      </c>
      <c r="E3742" s="23">
        <f t="shared" si="599"/>
        <v>31</v>
      </c>
      <c r="F3742" s="3">
        <f t="shared" si="593"/>
        <v>57068780.776999697</v>
      </c>
      <c r="G3742" s="3">
        <f t="shared" si="596"/>
        <v>5971698.9631051412</v>
      </c>
      <c r="H3742" s="3">
        <f t="shared" si="594"/>
        <v>475573.17314166413</v>
      </c>
      <c r="I3742" s="3">
        <f t="shared" si="595"/>
        <v>5496125.7899634773</v>
      </c>
      <c r="J3742" s="3">
        <f t="shared" si="600"/>
        <v>51572654.987036221</v>
      </c>
    </row>
    <row r="3743" spans="2:10" x14ac:dyDescent="0.35">
      <c r="B3743" s="1">
        <f t="shared" si="598"/>
        <v>40</v>
      </c>
      <c r="C3743" s="22">
        <f>+C3742+31</f>
        <v>46327</v>
      </c>
      <c r="D3743" s="22">
        <f>+D3742+30</f>
        <v>46356</v>
      </c>
      <c r="E3743" s="23">
        <f t="shared" si="599"/>
        <v>30</v>
      </c>
      <c r="F3743" s="3">
        <f t="shared" si="593"/>
        <v>51572654.987036221</v>
      </c>
      <c r="G3743" s="3">
        <f t="shared" si="596"/>
        <v>5971698.9631051412</v>
      </c>
      <c r="H3743" s="3">
        <f t="shared" si="594"/>
        <v>429772.1248919685</v>
      </c>
      <c r="I3743" s="3">
        <f t="shared" si="595"/>
        <v>5541926.8382131727</v>
      </c>
      <c r="J3743" s="3">
        <f t="shared" si="600"/>
        <v>46030728.148823045</v>
      </c>
    </row>
    <row r="3744" spans="2:10" x14ac:dyDescent="0.35">
      <c r="B3744" s="1">
        <f t="shared" si="598"/>
        <v>41</v>
      </c>
      <c r="C3744" s="22">
        <f>+C3743+30</f>
        <v>46357</v>
      </c>
      <c r="D3744" s="22">
        <f>+D3743+31</f>
        <v>46387</v>
      </c>
      <c r="E3744" s="23">
        <f t="shared" si="599"/>
        <v>31</v>
      </c>
      <c r="F3744" s="3">
        <f t="shared" si="593"/>
        <v>46030728.148823045</v>
      </c>
      <c r="G3744" s="3">
        <f t="shared" si="596"/>
        <v>5971698.9631051412</v>
      </c>
      <c r="H3744" s="3">
        <f t="shared" si="594"/>
        <v>383589.40124019206</v>
      </c>
      <c r="I3744" s="3">
        <f t="shared" si="595"/>
        <v>5588109.5618649488</v>
      </c>
      <c r="J3744" s="3">
        <f t="shared" si="600"/>
        <v>40442618.586958095</v>
      </c>
    </row>
    <row r="3745" spans="2:19" x14ac:dyDescent="0.35">
      <c r="B3745" s="1">
        <f t="shared" si="598"/>
        <v>42</v>
      </c>
      <c r="C3745" s="22">
        <f>+C3744+31</f>
        <v>46388</v>
      </c>
      <c r="D3745" s="22">
        <f>+D3744+31</f>
        <v>46418</v>
      </c>
      <c r="E3745" s="23">
        <f t="shared" si="599"/>
        <v>31</v>
      </c>
      <c r="F3745" s="3">
        <f t="shared" si="593"/>
        <v>40442618.586958095</v>
      </c>
      <c r="G3745" s="3">
        <f t="shared" si="596"/>
        <v>5971698.9631051412</v>
      </c>
      <c r="H3745" s="3">
        <f t="shared" si="594"/>
        <v>337021.82155798411</v>
      </c>
      <c r="I3745" s="3">
        <f t="shared" si="595"/>
        <v>5634677.1415471574</v>
      </c>
      <c r="J3745" s="3">
        <f t="shared" si="600"/>
        <v>34807941.445410937</v>
      </c>
    </row>
    <row r="3746" spans="2:19" x14ac:dyDescent="0.35">
      <c r="B3746" s="1">
        <f t="shared" si="598"/>
        <v>43</v>
      </c>
      <c r="C3746" s="22">
        <f>+C3745+31</f>
        <v>46419</v>
      </c>
      <c r="D3746" s="22">
        <f>+D3745+28</f>
        <v>46446</v>
      </c>
      <c r="E3746" s="23">
        <f t="shared" si="599"/>
        <v>28</v>
      </c>
      <c r="F3746" s="3">
        <f t="shared" si="593"/>
        <v>34807941.445410937</v>
      </c>
      <c r="G3746" s="3">
        <f t="shared" si="596"/>
        <v>5971698.9631051412</v>
      </c>
      <c r="H3746" s="3">
        <f t="shared" si="594"/>
        <v>290066.17871175782</v>
      </c>
      <c r="I3746" s="3">
        <f t="shared" si="595"/>
        <v>5681632.7843933832</v>
      </c>
      <c r="J3746" s="3">
        <f t="shared" si="600"/>
        <v>29126308.661017552</v>
      </c>
    </row>
    <row r="3747" spans="2:19" x14ac:dyDescent="0.35">
      <c r="B3747" s="1">
        <f t="shared" si="598"/>
        <v>44</v>
      </c>
      <c r="C3747" s="22">
        <f>+C3746+28</f>
        <v>46447</v>
      </c>
      <c r="D3747" s="22">
        <f>+D3746+31</f>
        <v>46477</v>
      </c>
      <c r="E3747" s="23">
        <f t="shared" si="599"/>
        <v>31</v>
      </c>
      <c r="F3747" s="3">
        <f t="shared" si="593"/>
        <v>29126308.661017552</v>
      </c>
      <c r="G3747" s="3">
        <f t="shared" si="596"/>
        <v>5971698.9631051412</v>
      </c>
      <c r="H3747" s="3">
        <f t="shared" si="594"/>
        <v>242719.23884181294</v>
      </c>
      <c r="I3747" s="3">
        <f t="shared" si="595"/>
        <v>5728979.7242633281</v>
      </c>
      <c r="J3747" s="3">
        <f t="shared" si="600"/>
        <v>23397328.936754223</v>
      </c>
    </row>
    <row r="3748" spans="2:19" x14ac:dyDescent="0.35">
      <c r="B3748" s="1">
        <f t="shared" si="598"/>
        <v>45</v>
      </c>
      <c r="C3748" s="22">
        <f>+C3747+31</f>
        <v>46478</v>
      </c>
      <c r="D3748" s="22">
        <f>+D3747+30</f>
        <v>46507</v>
      </c>
      <c r="E3748" s="23">
        <f t="shared" si="599"/>
        <v>30</v>
      </c>
      <c r="F3748" s="3">
        <f t="shared" si="593"/>
        <v>23397328.936754223</v>
      </c>
      <c r="G3748" s="3">
        <f t="shared" si="596"/>
        <v>5971698.9631051412</v>
      </c>
      <c r="H3748" s="3">
        <f t="shared" si="594"/>
        <v>194977.74113961853</v>
      </c>
      <c r="I3748" s="3">
        <f t="shared" si="595"/>
        <v>5776721.2219655225</v>
      </c>
      <c r="J3748" s="3">
        <f t="shared" si="600"/>
        <v>17620607.714788701</v>
      </c>
    </row>
    <row r="3749" spans="2:19" x14ac:dyDescent="0.35">
      <c r="B3749" s="1">
        <f t="shared" si="598"/>
        <v>46</v>
      </c>
      <c r="C3749" s="22">
        <f>+C3748+30</f>
        <v>46508</v>
      </c>
      <c r="D3749" s="22">
        <f>+D3748+31</f>
        <v>46538</v>
      </c>
      <c r="E3749" s="23">
        <f t="shared" si="599"/>
        <v>31</v>
      </c>
      <c r="F3749" s="3">
        <f t="shared" si="593"/>
        <v>17620607.714788701</v>
      </c>
      <c r="G3749" s="3">
        <f t="shared" si="596"/>
        <v>5971698.9631051412</v>
      </c>
      <c r="H3749" s="3">
        <f t="shared" si="594"/>
        <v>146838.39762323917</v>
      </c>
      <c r="I3749" s="3">
        <f t="shared" si="595"/>
        <v>5824860.5654819021</v>
      </c>
      <c r="J3749" s="3">
        <f t="shared" si="600"/>
        <v>11795747.1493068</v>
      </c>
    </row>
    <row r="3750" spans="2:19" x14ac:dyDescent="0.35">
      <c r="B3750" s="1">
        <f t="shared" si="598"/>
        <v>47</v>
      </c>
      <c r="C3750" s="22">
        <f>+C3749+31</f>
        <v>46539</v>
      </c>
      <c r="D3750" s="22">
        <f>+D3749+30</f>
        <v>46568</v>
      </c>
      <c r="E3750" s="23">
        <f t="shared" si="599"/>
        <v>30</v>
      </c>
      <c r="F3750" s="3">
        <f t="shared" si="593"/>
        <v>11795747.1493068</v>
      </c>
      <c r="G3750" s="3">
        <f t="shared" si="596"/>
        <v>5971698.9631051412</v>
      </c>
      <c r="H3750" s="3">
        <f t="shared" si="594"/>
        <v>98297.892910890005</v>
      </c>
      <c r="I3750" s="3">
        <f t="shared" si="595"/>
        <v>5873401.0701942509</v>
      </c>
      <c r="J3750" s="3">
        <f t="shared" si="600"/>
        <v>5922346.0791125493</v>
      </c>
    </row>
    <row r="3751" spans="2:19" x14ac:dyDescent="0.35">
      <c r="B3751" s="1">
        <f t="shared" si="598"/>
        <v>48</v>
      </c>
      <c r="C3751" s="22">
        <f>+C3750+30</f>
        <v>46569</v>
      </c>
      <c r="D3751" s="22">
        <f>+D3750+31</f>
        <v>46599</v>
      </c>
      <c r="E3751" s="23">
        <f t="shared" si="599"/>
        <v>31</v>
      </c>
      <c r="F3751" s="3">
        <f t="shared" si="593"/>
        <v>5922346.0791125493</v>
      </c>
      <c r="G3751" s="3">
        <f t="shared" si="596"/>
        <v>5971698.9631051412</v>
      </c>
      <c r="H3751" s="3">
        <f t="shared" si="594"/>
        <v>49352.883992604577</v>
      </c>
      <c r="I3751" s="3">
        <f t="shared" si="595"/>
        <v>5922346.0791125363</v>
      </c>
      <c r="J3751" s="3">
        <f t="shared" si="600"/>
        <v>1.3038516044616699E-8</v>
      </c>
    </row>
    <row r="3754" spans="2:19" x14ac:dyDescent="0.35">
      <c r="E3754" s="6">
        <f>SUM(E3703:E3753)</f>
        <v>1471</v>
      </c>
    </row>
    <row r="3758" spans="2:19" x14ac:dyDescent="0.35">
      <c r="B3758" s="1"/>
      <c r="C3758" s="8" t="s">
        <v>938</v>
      </c>
      <c r="D3758" s="3"/>
      <c r="E3758" s="3"/>
      <c r="F3758" s="3"/>
      <c r="G3758" s="3"/>
      <c r="H3758" s="3"/>
      <c r="I3758" s="3"/>
      <c r="J3758" s="3"/>
      <c r="K3758" s="3"/>
      <c r="L3758" s="3"/>
      <c r="R3758" s="438" t="s">
        <v>832</v>
      </c>
      <c r="S3758" s="432" t="str">
        <f>IFERROR(INDEX(Blocks!$I$2:$I$101,MATCH(68,Blocks!$A$2:$A$101,0)),"")</f>
        <v>000104460000070</v>
      </c>
    </row>
    <row r="3759" spans="2:19" x14ac:dyDescent="0.35">
      <c r="B3759" s="1"/>
      <c r="C3759" s="1"/>
      <c r="D3759" s="3"/>
      <c r="E3759" s="3"/>
      <c r="F3759" s="3"/>
      <c r="G3759" s="3"/>
      <c r="H3759" s="3"/>
      <c r="I3759" s="3"/>
      <c r="J3759" s="3"/>
      <c r="K3759" s="3"/>
      <c r="L3759" s="3"/>
      <c r="R3759" s="438" t="s">
        <v>834</v>
      </c>
      <c r="S3759" s="432" t="str">
        <f>IFERROR(INDEX(Blocks!$H$2:$H$101,MATCH(68,Blocks!$A$2:$A$101,0)),"")</f>
        <v>Mchinji Civil Servants SACCO</v>
      </c>
    </row>
    <row r="3760" spans="2:19" x14ac:dyDescent="0.35">
      <c r="B3760" s="1"/>
      <c r="C3760" s="9" t="s">
        <v>835</v>
      </c>
      <c r="D3760" s="10">
        <v>50000000</v>
      </c>
      <c r="E3760" s="3"/>
      <c r="F3760" s="3" t="s">
        <v>939</v>
      </c>
      <c r="G3760" s="3"/>
      <c r="H3760" s="3"/>
      <c r="I3760" s="3"/>
      <c r="J3760" s="3"/>
      <c r="K3760" s="3"/>
      <c r="L3760" s="3"/>
      <c r="R3760" s="438" t="s">
        <v>223</v>
      </c>
      <c r="S3760" s="433">
        <f>IFERROR(INDEX('E-Banker master'!$N$2:$N$186,MATCH(S3758,'E-Banker master'!$A$2:$A$186,0)),"")</f>
        <v>100000000</v>
      </c>
    </row>
    <row r="3761" spans="2:19" x14ac:dyDescent="0.35">
      <c r="B3761" s="1"/>
      <c r="C3761" s="11" t="s">
        <v>837</v>
      </c>
      <c r="D3761" s="12">
        <v>0.1</v>
      </c>
      <c r="E3761" s="13"/>
      <c r="F3761" s="3">
        <v>50000000</v>
      </c>
      <c r="G3761" s="3"/>
      <c r="H3761" s="3"/>
      <c r="I3761" s="3"/>
      <c r="J3761" s="3"/>
      <c r="K3761" s="3"/>
      <c r="L3761" s="3"/>
      <c r="R3761" s="438" t="s">
        <v>52</v>
      </c>
      <c r="S3761" s="433">
        <f>IFERROR(INDEX('E-Banker master'!$P$2:$P$186,MATCH(S3758,'E-Banker master'!$A$2:$A$186,0)),"")</f>
        <v>50940060.280000001</v>
      </c>
    </row>
    <row r="3762" spans="2:19" x14ac:dyDescent="0.35">
      <c r="B3762" s="1"/>
      <c r="C3762" s="11" t="s">
        <v>838</v>
      </c>
      <c r="D3762" s="14">
        <v>1</v>
      </c>
      <c r="E3762" s="1"/>
      <c r="F3762" s="3"/>
      <c r="G3762" s="3"/>
      <c r="H3762" s="3"/>
      <c r="I3762" s="3"/>
      <c r="J3762" s="3"/>
      <c r="K3762" s="1"/>
      <c r="L3762" s="1"/>
    </row>
    <row r="3763" spans="2:19" x14ac:dyDescent="0.35">
      <c r="B3763" s="1"/>
      <c r="C3763" s="11" t="s">
        <v>839</v>
      </c>
      <c r="D3763" s="14">
        <v>12</v>
      </c>
      <c r="E3763" s="1"/>
      <c r="F3763" s="3"/>
      <c r="G3763" s="3"/>
      <c r="H3763" s="3"/>
      <c r="I3763" s="3"/>
      <c r="J3763" s="3"/>
      <c r="K3763" s="1"/>
      <c r="L3763" s="1"/>
    </row>
    <row r="3764" spans="2:19" x14ac:dyDescent="0.35">
      <c r="B3764" s="1"/>
      <c r="C3764" s="11" t="s">
        <v>843</v>
      </c>
      <c r="D3764" s="15">
        <v>15</v>
      </c>
      <c r="E3764" s="1"/>
      <c r="F3764" s="3"/>
      <c r="G3764" s="3"/>
      <c r="H3764" s="3"/>
      <c r="I3764" s="3"/>
      <c r="J3764" s="3"/>
      <c r="K3764" s="1"/>
      <c r="L3764" s="1"/>
    </row>
    <row r="3765" spans="2:19" x14ac:dyDescent="0.35">
      <c r="B3765" s="1"/>
      <c r="C3765" s="11" t="s">
        <v>844</v>
      </c>
      <c r="D3765" s="16">
        <v>365</v>
      </c>
      <c r="E3765" s="1"/>
      <c r="F3765" s="3"/>
      <c r="G3765" s="3"/>
      <c r="H3765" s="3"/>
      <c r="I3765" s="3"/>
      <c r="J3765" s="3"/>
      <c r="K3765" s="1"/>
      <c r="L3765" s="1"/>
    </row>
    <row r="3766" spans="2:19" x14ac:dyDescent="0.35">
      <c r="B3766" s="1"/>
      <c r="C3766" s="17" t="s">
        <v>845</v>
      </c>
      <c r="D3766" s="18">
        <f>-PMT(D3761/D3763,9,D3760,0,0)</f>
        <v>5789598.1548809586</v>
      </c>
      <c r="E3766" s="3"/>
      <c r="F3766" s="3"/>
      <c r="G3766" s="3"/>
      <c r="H3766" s="3"/>
      <c r="I3766" s="3"/>
      <c r="J3766" s="3"/>
      <c r="K3766" s="1"/>
      <c r="L3766" s="1"/>
    </row>
    <row r="3767" spans="2:19" x14ac:dyDescent="0.35">
      <c r="B3767" s="1"/>
      <c r="C3767" s="1"/>
      <c r="D3767" s="3"/>
      <c r="E3767" s="3"/>
      <c r="F3767" s="3"/>
      <c r="G3767" s="3"/>
      <c r="H3767" s="3"/>
      <c r="I3767" s="3"/>
      <c r="J3767" s="3"/>
      <c r="K3767" s="1"/>
      <c r="L3767" s="1"/>
    </row>
    <row r="3768" spans="2:19" x14ac:dyDescent="0.35">
      <c r="B3768" s="1"/>
      <c r="C3768" s="19" t="s">
        <v>846</v>
      </c>
      <c r="D3768" s="20" t="s">
        <v>847</v>
      </c>
      <c r="E3768" s="20" t="s">
        <v>764</v>
      </c>
      <c r="F3768" s="270" t="s">
        <v>848</v>
      </c>
      <c r="G3768" s="270" t="s">
        <v>849</v>
      </c>
      <c r="H3768" s="270" t="s">
        <v>742</v>
      </c>
      <c r="I3768" s="270" t="s">
        <v>740</v>
      </c>
      <c r="J3768" s="270" t="s">
        <v>850</v>
      </c>
      <c r="K3768" s="21" t="s">
        <v>851</v>
      </c>
      <c r="L3768" s="21" t="s">
        <v>852</v>
      </c>
    </row>
    <row r="3769" spans="2:19" x14ac:dyDescent="0.35">
      <c r="B3769" s="1">
        <v>0</v>
      </c>
      <c r="C3769" s="22">
        <v>45127</v>
      </c>
      <c r="D3769" s="22">
        <v>45138</v>
      </c>
      <c r="E3769" s="23">
        <v>12</v>
      </c>
      <c r="F3769" s="3">
        <f>D3760</f>
        <v>50000000</v>
      </c>
      <c r="G3769" s="3"/>
      <c r="H3769" s="3">
        <f>($D$3761/$D$3763*F3769*E3769/31)</f>
        <v>161290.32258064515</v>
      </c>
      <c r="I3769" s="3">
        <f>-H3769</f>
        <v>-161290.32258064515</v>
      </c>
      <c r="J3769" s="3">
        <f t="shared" ref="J3769:J3793" si="601">F3769-I3769</f>
        <v>50161290.322580643</v>
      </c>
      <c r="K3769" s="24"/>
      <c r="L3769" s="24"/>
    </row>
    <row r="3770" spans="2:19" x14ac:dyDescent="0.35">
      <c r="B3770" s="1">
        <v>1</v>
      </c>
      <c r="C3770" s="22">
        <v>45139</v>
      </c>
      <c r="D3770" s="22">
        <v>45169</v>
      </c>
      <c r="E3770" s="23">
        <f t="shared" ref="E3770:E3783" si="602">D3770-C3770+1</f>
        <v>31</v>
      </c>
      <c r="F3770" s="3">
        <f t="shared" ref="F3770:F3779" si="603">J3769</f>
        <v>50161290.322580643</v>
      </c>
      <c r="G3770" s="3"/>
      <c r="H3770" s="3">
        <f t="shared" ref="H3770:H3793" si="604">($D$3761/$D$3763*F3770)</f>
        <v>418010.75268817204</v>
      </c>
      <c r="I3770" s="3">
        <f>-H3770</f>
        <v>-418010.75268817204</v>
      </c>
      <c r="J3770" s="3">
        <f t="shared" si="601"/>
        <v>50579301.075268812</v>
      </c>
    </row>
    <row r="3771" spans="2:19" x14ac:dyDescent="0.35">
      <c r="B3771" s="1">
        <v>2</v>
      </c>
      <c r="C3771" s="22">
        <f>+C3770+31</f>
        <v>45170</v>
      </c>
      <c r="D3771" s="22">
        <f>+C3771+29</f>
        <v>45199</v>
      </c>
      <c r="E3771" s="23">
        <f t="shared" si="602"/>
        <v>30</v>
      </c>
      <c r="F3771" s="3">
        <f t="shared" si="603"/>
        <v>50579301.075268812</v>
      </c>
      <c r="G3771" s="3"/>
      <c r="H3771" s="3">
        <f t="shared" si="604"/>
        <v>421494.1756272401</v>
      </c>
      <c r="I3771" s="3">
        <f>-H3771</f>
        <v>-421494.1756272401</v>
      </c>
      <c r="J3771" s="3">
        <f t="shared" si="601"/>
        <v>51000795.250896052</v>
      </c>
      <c r="K3771" s="24"/>
      <c r="L3771" s="24"/>
    </row>
    <row r="3772" spans="2:19" x14ac:dyDescent="0.35">
      <c r="B3772" s="1">
        <v>3</v>
      </c>
      <c r="C3772" s="22">
        <f>+C3771+30</f>
        <v>45200</v>
      </c>
      <c r="D3772" s="22">
        <v>45230</v>
      </c>
      <c r="E3772" s="23">
        <f t="shared" si="602"/>
        <v>31</v>
      </c>
      <c r="F3772" s="3">
        <f t="shared" si="603"/>
        <v>51000795.250896052</v>
      </c>
      <c r="G3772" s="3"/>
      <c r="H3772" s="3">
        <f t="shared" si="604"/>
        <v>425006.62709080044</v>
      </c>
      <c r="I3772" s="3">
        <f t="shared" ref="I3772:I3793" si="605">G3772-H3772</f>
        <v>-425006.62709080044</v>
      </c>
      <c r="J3772" s="3">
        <f t="shared" si="601"/>
        <v>51425801.877986848</v>
      </c>
      <c r="K3772" s="24"/>
      <c r="L3772" s="24"/>
    </row>
    <row r="3773" spans="2:19" x14ac:dyDescent="0.35">
      <c r="B3773" s="1">
        <v>4</v>
      </c>
      <c r="C3773" s="22">
        <f>+C3772+31</f>
        <v>45231</v>
      </c>
      <c r="D3773" s="22">
        <v>45260</v>
      </c>
      <c r="E3773" s="23">
        <f t="shared" si="602"/>
        <v>30</v>
      </c>
      <c r="F3773" s="3">
        <f t="shared" si="603"/>
        <v>51425801.877986848</v>
      </c>
      <c r="G3773" s="3"/>
      <c r="H3773" s="3">
        <f t="shared" si="604"/>
        <v>428548.34898322372</v>
      </c>
      <c r="I3773" s="3">
        <f t="shared" si="605"/>
        <v>-428548.34898322372</v>
      </c>
      <c r="J3773" s="3">
        <f t="shared" si="601"/>
        <v>51854350.226970069</v>
      </c>
      <c r="K3773" s="24"/>
      <c r="L3773" s="24"/>
    </row>
    <row r="3774" spans="2:19" x14ac:dyDescent="0.35">
      <c r="B3774" s="1">
        <v>5</v>
      </c>
      <c r="C3774" s="22">
        <f>+C3773+30</f>
        <v>45261</v>
      </c>
      <c r="D3774" s="22">
        <v>45291</v>
      </c>
      <c r="E3774" s="23">
        <f t="shared" si="602"/>
        <v>31</v>
      </c>
      <c r="F3774" s="3">
        <f t="shared" si="603"/>
        <v>51854350.226970069</v>
      </c>
      <c r="G3774" s="3"/>
      <c r="H3774" s="3">
        <f t="shared" si="604"/>
        <v>432119.58522475057</v>
      </c>
      <c r="I3774" s="3">
        <f t="shared" si="605"/>
        <v>-432119.58522475057</v>
      </c>
      <c r="J3774" s="3">
        <f t="shared" si="601"/>
        <v>52286469.812194817</v>
      </c>
      <c r="K3774" s="24"/>
      <c r="L3774" s="26"/>
    </row>
    <row r="3775" spans="2:19" x14ac:dyDescent="0.35">
      <c r="B3775" s="1">
        <v>6</v>
      </c>
      <c r="C3775" s="22">
        <f>+C3774+31</f>
        <v>45292</v>
      </c>
      <c r="D3775" s="22">
        <f>+C3775+30</f>
        <v>45322</v>
      </c>
      <c r="E3775" s="23">
        <f t="shared" si="602"/>
        <v>31</v>
      </c>
      <c r="F3775" s="3">
        <f t="shared" si="603"/>
        <v>52286469.812194817</v>
      </c>
      <c r="G3775" s="3"/>
      <c r="H3775" s="3">
        <f t="shared" si="604"/>
        <v>435720.58176829014</v>
      </c>
      <c r="I3775" s="3">
        <f t="shared" si="605"/>
        <v>-435720.58176829014</v>
      </c>
      <c r="J3775" s="3">
        <f t="shared" si="601"/>
        <v>52722190.393963106</v>
      </c>
      <c r="K3775" s="24"/>
      <c r="L3775" s="24"/>
    </row>
    <row r="3776" spans="2:19" x14ac:dyDescent="0.35">
      <c r="B3776" s="1">
        <v>7</v>
      </c>
      <c r="C3776" s="22">
        <f>+C3775+31</f>
        <v>45323</v>
      </c>
      <c r="D3776" s="22">
        <f>+C3776+28</f>
        <v>45351</v>
      </c>
      <c r="E3776" s="23">
        <f t="shared" si="602"/>
        <v>29</v>
      </c>
      <c r="F3776" s="3">
        <f t="shared" si="603"/>
        <v>52722190.393963106</v>
      </c>
      <c r="G3776" s="298">
        <f t="shared" ref="G3776:G3783" si="606">-PMT($D$3761/$D$3763,8,$F$3776,,0)</f>
        <v>6839801.6362100849</v>
      </c>
      <c r="H3776" s="3">
        <f t="shared" si="604"/>
        <v>439351.58661635919</v>
      </c>
      <c r="I3776" s="3">
        <f t="shared" si="605"/>
        <v>6400450.0495937262</v>
      </c>
      <c r="J3776" s="3">
        <f t="shared" si="601"/>
        <v>46321740.344369382</v>
      </c>
      <c r="K3776" s="24"/>
      <c r="L3776" s="24">
        <f t="shared" ref="L3776:L3784" si="607">L3775+G3776-K3776</f>
        <v>6839801.6362100849</v>
      </c>
    </row>
    <row r="3777" spans="2:12" x14ac:dyDescent="0.35">
      <c r="B3777" s="1">
        <v>8</v>
      </c>
      <c r="C3777" s="22">
        <f>+C3776+29</f>
        <v>45352</v>
      </c>
      <c r="D3777" s="22">
        <f>+C3777+30</f>
        <v>45382</v>
      </c>
      <c r="E3777" s="23">
        <f t="shared" si="602"/>
        <v>31</v>
      </c>
      <c r="F3777" s="3">
        <f t="shared" si="603"/>
        <v>46321740.344369382</v>
      </c>
      <c r="G3777" s="298">
        <f t="shared" si="606"/>
        <v>6839801.6362100849</v>
      </c>
      <c r="H3777" s="3">
        <f t="shared" si="604"/>
        <v>386014.50286974484</v>
      </c>
      <c r="I3777" s="3">
        <f t="shared" si="605"/>
        <v>6453787.1333403401</v>
      </c>
      <c r="J3777" s="3">
        <f t="shared" si="601"/>
        <v>39867953.211029038</v>
      </c>
      <c r="K3777" s="24">
        <v>7000000</v>
      </c>
      <c r="L3777" s="24">
        <f t="shared" si="607"/>
        <v>6679603.2724201698</v>
      </c>
    </row>
    <row r="3778" spans="2:12" x14ac:dyDescent="0.35">
      <c r="B3778" s="1">
        <v>9</v>
      </c>
      <c r="C3778" s="22">
        <f>+C3777+31</f>
        <v>45383</v>
      </c>
      <c r="D3778" s="22">
        <f>+C3778+29</f>
        <v>45412</v>
      </c>
      <c r="E3778" s="23">
        <f t="shared" si="602"/>
        <v>30</v>
      </c>
      <c r="F3778" s="3">
        <f t="shared" si="603"/>
        <v>39867953.211029038</v>
      </c>
      <c r="G3778" s="298">
        <f t="shared" si="606"/>
        <v>6839801.6362100849</v>
      </c>
      <c r="H3778" s="3">
        <f t="shared" si="604"/>
        <v>332232.94342524197</v>
      </c>
      <c r="I3778" s="3">
        <f t="shared" si="605"/>
        <v>6507568.692784843</v>
      </c>
      <c r="J3778" s="3">
        <f t="shared" si="601"/>
        <v>33360384.518244196</v>
      </c>
      <c r="K3778" s="24">
        <v>7000000</v>
      </c>
      <c r="L3778" s="24">
        <f t="shared" si="607"/>
        <v>6519404.9086302556</v>
      </c>
    </row>
    <row r="3779" spans="2:12" x14ac:dyDescent="0.35">
      <c r="B3779" s="1">
        <v>10</v>
      </c>
      <c r="C3779" s="22">
        <f>+C3778+30</f>
        <v>45413</v>
      </c>
      <c r="D3779" s="22">
        <f>+C3779+30</f>
        <v>45443</v>
      </c>
      <c r="E3779" s="23">
        <f t="shared" si="602"/>
        <v>31</v>
      </c>
      <c r="F3779" s="3">
        <f t="shared" si="603"/>
        <v>33360384.518244196</v>
      </c>
      <c r="G3779" s="298">
        <f t="shared" si="606"/>
        <v>6839801.6362100849</v>
      </c>
      <c r="H3779" s="3">
        <f t="shared" si="604"/>
        <v>278003.20431870164</v>
      </c>
      <c r="I3779" s="3">
        <f t="shared" si="605"/>
        <v>6561798.4318913836</v>
      </c>
      <c r="J3779" s="3">
        <f t="shared" si="601"/>
        <v>26798586.08635281</v>
      </c>
      <c r="K3779" s="24">
        <v>7000000</v>
      </c>
      <c r="L3779" s="24">
        <f t="shared" si="607"/>
        <v>6359206.5448403396</v>
      </c>
    </row>
    <row r="3780" spans="2:12" x14ac:dyDescent="0.35">
      <c r="B3780" s="1">
        <v>11</v>
      </c>
      <c r="C3780" s="22">
        <f>+C3779+31</f>
        <v>45444</v>
      </c>
      <c r="D3780" s="22">
        <f>+C3780+29</f>
        <v>45473</v>
      </c>
      <c r="E3780" s="23">
        <f t="shared" si="602"/>
        <v>30</v>
      </c>
      <c r="F3780" s="3">
        <f>J3779+F3761</f>
        <v>76798586.08635281</v>
      </c>
      <c r="G3780" s="298">
        <f t="shared" si="606"/>
        <v>6839801.6362100849</v>
      </c>
      <c r="H3780" s="3">
        <f t="shared" si="604"/>
        <v>639988.21738627343</v>
      </c>
      <c r="I3780" s="3">
        <f t="shared" si="605"/>
        <v>6199813.4188238112</v>
      </c>
      <c r="J3780" s="3">
        <f t="shared" si="601"/>
        <v>70598772.667529002</v>
      </c>
      <c r="K3780" s="24">
        <v>7000000</v>
      </c>
      <c r="L3780" s="24">
        <f t="shared" si="607"/>
        <v>6199008.1810504235</v>
      </c>
    </row>
    <row r="3781" spans="2:12" x14ac:dyDescent="0.35">
      <c r="B3781" s="1">
        <v>12</v>
      </c>
      <c r="C3781" s="22">
        <f>+C3780+30</f>
        <v>45474</v>
      </c>
      <c r="D3781" s="22">
        <f>+C3781+30</f>
        <v>45504</v>
      </c>
      <c r="E3781" s="23">
        <f t="shared" si="602"/>
        <v>31</v>
      </c>
      <c r="F3781" s="3">
        <f t="shared" ref="F3781:F3793" si="608">J3780</f>
        <v>70598772.667529002</v>
      </c>
      <c r="G3781" s="298">
        <f t="shared" si="606"/>
        <v>6839801.6362100849</v>
      </c>
      <c r="H3781" s="3">
        <f t="shared" si="604"/>
        <v>588323.10556274164</v>
      </c>
      <c r="I3781" s="3">
        <f t="shared" si="605"/>
        <v>6251478.530647343</v>
      </c>
      <c r="J3781" s="3">
        <f t="shared" si="601"/>
        <v>64347294.136881657</v>
      </c>
      <c r="K3781" s="24">
        <v>7000000</v>
      </c>
      <c r="L3781" s="24">
        <f t="shared" si="607"/>
        <v>6038809.8172605075</v>
      </c>
    </row>
    <row r="3782" spans="2:12" x14ac:dyDescent="0.35">
      <c r="B3782" s="1">
        <v>13</v>
      </c>
      <c r="C3782" s="22">
        <f>+C3781+31</f>
        <v>45505</v>
      </c>
      <c r="D3782" s="22">
        <f>+C3782+30</f>
        <v>45535</v>
      </c>
      <c r="E3782" s="23">
        <f t="shared" si="602"/>
        <v>31</v>
      </c>
      <c r="F3782" s="3">
        <f t="shared" si="608"/>
        <v>64347294.136881657</v>
      </c>
      <c r="G3782" s="298">
        <f t="shared" si="606"/>
        <v>6839801.6362100849</v>
      </c>
      <c r="H3782" s="3">
        <f t="shared" si="604"/>
        <v>536227.45114068047</v>
      </c>
      <c r="I3782" s="3">
        <f t="shared" si="605"/>
        <v>6303574.1850694045</v>
      </c>
      <c r="J3782" s="3">
        <f t="shared" si="601"/>
        <v>58043719.951812252</v>
      </c>
      <c r="K3782" s="24">
        <v>7000000</v>
      </c>
      <c r="L3782" s="24">
        <f t="shared" si="607"/>
        <v>5878611.4534705915</v>
      </c>
    </row>
    <row r="3783" spans="2:12" x14ac:dyDescent="0.35">
      <c r="B3783" s="1">
        <v>14</v>
      </c>
      <c r="C3783" s="22">
        <f>+C3782+31</f>
        <v>45536</v>
      </c>
      <c r="D3783" s="22">
        <f>+C3783+29</f>
        <v>45565</v>
      </c>
      <c r="E3783" s="23">
        <f t="shared" si="602"/>
        <v>30</v>
      </c>
      <c r="F3783" s="3">
        <f t="shared" si="608"/>
        <v>58043719.951812252</v>
      </c>
      <c r="G3783" s="298">
        <f t="shared" si="606"/>
        <v>6839801.6362100849</v>
      </c>
      <c r="H3783" s="3">
        <f t="shared" si="604"/>
        <v>483697.6662651021</v>
      </c>
      <c r="I3783" s="3">
        <f t="shared" si="605"/>
        <v>6356103.9699449828</v>
      </c>
      <c r="J3783" s="3">
        <f t="shared" si="601"/>
        <v>51687615.981867269</v>
      </c>
      <c r="K3783" s="24">
        <v>7000000</v>
      </c>
      <c r="L3783" s="24">
        <f t="shared" si="607"/>
        <v>5718413.0896806754</v>
      </c>
    </row>
    <row r="3784" spans="2:12" x14ac:dyDescent="0.35">
      <c r="B3784" s="1">
        <v>15</v>
      </c>
      <c r="C3784" s="22">
        <v>45566</v>
      </c>
      <c r="D3784" s="22">
        <v>45596</v>
      </c>
      <c r="E3784" s="23">
        <v>31</v>
      </c>
      <c r="F3784" s="405">
        <f t="shared" si="608"/>
        <v>51687615.981867269</v>
      </c>
      <c r="G3784" s="298">
        <f t="shared" ref="G3784:G3793" si="609">-PMT($D$3761/$D$3763,10,$F$3784,,0)</f>
        <v>5408611.8287757998</v>
      </c>
      <c r="H3784" s="3">
        <f t="shared" si="604"/>
        <v>430730.1331822272</v>
      </c>
      <c r="I3784" s="3">
        <f t="shared" si="605"/>
        <v>4977881.6955935722</v>
      </c>
      <c r="J3784" s="3">
        <f t="shared" si="601"/>
        <v>46709734.286273696</v>
      </c>
      <c r="K3784" s="24">
        <v>7000000</v>
      </c>
      <c r="L3784" s="205">
        <f t="shared" si="607"/>
        <v>4127024.9184564762</v>
      </c>
    </row>
    <row r="3785" spans="2:12" x14ac:dyDescent="0.35">
      <c r="B3785" s="1">
        <v>16</v>
      </c>
      <c r="C3785" s="22">
        <v>45597</v>
      </c>
      <c r="D3785" s="22">
        <v>45626</v>
      </c>
      <c r="E3785" s="23">
        <v>30</v>
      </c>
      <c r="F3785" s="3">
        <f t="shared" si="608"/>
        <v>46709734.286273696</v>
      </c>
      <c r="G3785" s="298">
        <f t="shared" si="609"/>
        <v>5408611.8287757998</v>
      </c>
      <c r="H3785" s="3">
        <f t="shared" si="604"/>
        <v>389247.78571894747</v>
      </c>
      <c r="I3785" s="3">
        <f t="shared" si="605"/>
        <v>5019364.0430568522</v>
      </c>
      <c r="J3785" s="3">
        <f t="shared" si="601"/>
        <v>41690370.243216842</v>
      </c>
      <c r="K3785" s="24"/>
      <c r="L3785" s="24"/>
    </row>
    <row r="3786" spans="2:12" x14ac:dyDescent="0.35">
      <c r="B3786" s="1">
        <v>17</v>
      </c>
      <c r="C3786" s="22">
        <v>45627</v>
      </c>
      <c r="D3786" s="22">
        <v>45657</v>
      </c>
      <c r="E3786" s="23">
        <v>31</v>
      </c>
      <c r="F3786" s="3">
        <f t="shared" si="608"/>
        <v>41690370.243216842</v>
      </c>
      <c r="G3786" s="298">
        <f t="shared" si="609"/>
        <v>5408611.8287757998</v>
      </c>
      <c r="H3786" s="3">
        <f t="shared" si="604"/>
        <v>347419.75202680699</v>
      </c>
      <c r="I3786" s="3">
        <f t="shared" si="605"/>
        <v>5061192.0767489932</v>
      </c>
      <c r="J3786" s="3">
        <f t="shared" si="601"/>
        <v>36629178.166467845</v>
      </c>
      <c r="K3786" s="24"/>
      <c r="L3786" s="24"/>
    </row>
    <row r="3787" spans="2:12" x14ac:dyDescent="0.35">
      <c r="B3787" s="1">
        <v>18</v>
      </c>
      <c r="C3787" s="22">
        <v>45658</v>
      </c>
      <c r="D3787" s="22">
        <v>45688</v>
      </c>
      <c r="E3787" s="23">
        <v>31</v>
      </c>
      <c r="F3787" s="3">
        <f t="shared" si="608"/>
        <v>36629178.166467845</v>
      </c>
      <c r="G3787" s="298">
        <f t="shared" si="609"/>
        <v>5408611.8287757998</v>
      </c>
      <c r="H3787" s="3">
        <f t="shared" si="604"/>
        <v>305243.15138723206</v>
      </c>
      <c r="I3787" s="3">
        <f t="shared" si="605"/>
        <v>5103368.6773885675</v>
      </c>
      <c r="J3787" s="3">
        <f t="shared" si="601"/>
        <v>31525809.489079278</v>
      </c>
      <c r="K3787" s="24"/>
      <c r="L3787" s="24"/>
    </row>
    <row r="3788" spans="2:12" x14ac:dyDescent="0.35">
      <c r="B3788" s="1">
        <v>19</v>
      </c>
      <c r="C3788" s="22">
        <v>45689</v>
      </c>
      <c r="D3788" s="22">
        <v>45716</v>
      </c>
      <c r="E3788" s="23">
        <v>28</v>
      </c>
      <c r="F3788" s="3">
        <f t="shared" si="608"/>
        <v>31525809.489079278</v>
      </c>
      <c r="G3788" s="298">
        <f t="shared" si="609"/>
        <v>5408611.8287757998</v>
      </c>
      <c r="H3788" s="3">
        <f t="shared" si="604"/>
        <v>262715.07907566067</v>
      </c>
      <c r="I3788" s="3">
        <f t="shared" si="605"/>
        <v>5145896.7497001393</v>
      </c>
      <c r="J3788" s="3">
        <f t="shared" si="601"/>
        <v>26379912.739379138</v>
      </c>
      <c r="K3788" s="24"/>
      <c r="L3788" s="24"/>
    </row>
    <row r="3789" spans="2:12" x14ac:dyDescent="0.35">
      <c r="B3789" s="1">
        <v>20</v>
      </c>
      <c r="C3789" s="22">
        <v>45717</v>
      </c>
      <c r="D3789" s="22">
        <v>45747</v>
      </c>
      <c r="E3789" s="23">
        <v>31</v>
      </c>
      <c r="F3789" s="3">
        <f t="shared" si="608"/>
        <v>26379912.739379138</v>
      </c>
      <c r="G3789" s="298">
        <f t="shared" si="609"/>
        <v>5408611.8287757998</v>
      </c>
      <c r="H3789" s="3">
        <f t="shared" si="604"/>
        <v>219832.60616149282</v>
      </c>
      <c r="I3789" s="3">
        <f t="shared" si="605"/>
        <v>5188779.222614307</v>
      </c>
      <c r="J3789" s="3">
        <f t="shared" si="601"/>
        <v>21191133.516764831</v>
      </c>
      <c r="K3789" s="24"/>
      <c r="L3789" s="24"/>
    </row>
    <row r="3790" spans="2:12" x14ac:dyDescent="0.35">
      <c r="B3790" s="1">
        <v>21</v>
      </c>
      <c r="C3790" s="22">
        <v>45748</v>
      </c>
      <c r="D3790" s="22">
        <v>45777</v>
      </c>
      <c r="E3790" s="23">
        <v>30</v>
      </c>
      <c r="F3790" s="3">
        <f t="shared" si="608"/>
        <v>21191133.516764831</v>
      </c>
      <c r="G3790" s="298">
        <f t="shared" si="609"/>
        <v>5408611.8287757998</v>
      </c>
      <c r="H3790" s="3">
        <f t="shared" si="604"/>
        <v>176592.77930637359</v>
      </c>
      <c r="I3790" s="3">
        <f t="shared" si="605"/>
        <v>5232019.0494694263</v>
      </c>
      <c r="J3790" s="3">
        <f t="shared" si="601"/>
        <v>15959114.467295405</v>
      </c>
      <c r="K3790" s="24"/>
      <c r="L3790" s="24"/>
    </row>
    <row r="3791" spans="2:12" x14ac:dyDescent="0.35">
      <c r="B3791" s="1">
        <v>22</v>
      </c>
      <c r="C3791" s="22">
        <v>45778</v>
      </c>
      <c r="D3791" s="22">
        <v>45808</v>
      </c>
      <c r="E3791" s="23">
        <v>31</v>
      </c>
      <c r="F3791" s="3">
        <f t="shared" si="608"/>
        <v>15959114.467295405</v>
      </c>
      <c r="G3791" s="298">
        <f t="shared" si="609"/>
        <v>5408611.8287757998</v>
      </c>
      <c r="H3791" s="3">
        <f t="shared" si="604"/>
        <v>132992.62056079504</v>
      </c>
      <c r="I3791" s="3">
        <f t="shared" si="605"/>
        <v>5275619.2082150048</v>
      </c>
      <c r="J3791" s="3">
        <f t="shared" si="601"/>
        <v>10683495.259080399</v>
      </c>
      <c r="K3791" s="24"/>
      <c r="L3791" s="24"/>
    </row>
    <row r="3792" spans="2:12" x14ac:dyDescent="0.35">
      <c r="B3792" s="1">
        <v>23</v>
      </c>
      <c r="C3792" s="22">
        <v>45809</v>
      </c>
      <c r="D3792" s="22">
        <v>45838</v>
      </c>
      <c r="E3792" s="23">
        <v>30</v>
      </c>
      <c r="F3792" s="3">
        <f t="shared" si="608"/>
        <v>10683495.259080399</v>
      </c>
      <c r="G3792" s="298">
        <f t="shared" si="609"/>
        <v>5408611.8287757998</v>
      </c>
      <c r="H3792" s="3">
        <f t="shared" si="604"/>
        <v>89029.127159003328</v>
      </c>
      <c r="I3792" s="3">
        <f t="shared" si="605"/>
        <v>5319582.7016167967</v>
      </c>
      <c r="J3792" s="3">
        <f t="shared" si="601"/>
        <v>5363912.5574636022</v>
      </c>
      <c r="K3792" s="24"/>
      <c r="L3792" s="24"/>
    </row>
    <row r="3793" spans="2:19" x14ac:dyDescent="0.35">
      <c r="B3793" s="1">
        <v>24</v>
      </c>
      <c r="C3793" s="22">
        <v>45839</v>
      </c>
      <c r="D3793" s="22">
        <v>45868</v>
      </c>
      <c r="E3793" s="23">
        <v>31</v>
      </c>
      <c r="F3793" s="3">
        <f t="shared" si="608"/>
        <v>5363912.5574636022</v>
      </c>
      <c r="G3793" s="298">
        <f t="shared" si="609"/>
        <v>5408611.8287757998</v>
      </c>
      <c r="H3793" s="3">
        <f t="shared" si="604"/>
        <v>44699.271312196681</v>
      </c>
      <c r="I3793" s="3">
        <f t="shared" si="605"/>
        <v>5363912.5574636031</v>
      </c>
      <c r="J3793" s="3">
        <f t="shared" si="601"/>
        <v>0</v>
      </c>
      <c r="K3793" s="24"/>
      <c r="L3793" s="24"/>
    </row>
    <row r="3794" spans="2:19" x14ac:dyDescent="0.35">
      <c r="B3794" s="1"/>
      <c r="C3794" s="22"/>
      <c r="D3794" s="22"/>
      <c r="E3794" s="23"/>
      <c r="F3794" s="3"/>
      <c r="G3794" s="3"/>
      <c r="H3794" s="3"/>
      <c r="I3794" s="3"/>
      <c r="J3794" s="3"/>
      <c r="K3794" s="24"/>
      <c r="L3794" s="24"/>
    </row>
    <row r="3795" spans="2:19" x14ac:dyDescent="0.35">
      <c r="B3795" s="1"/>
      <c r="C3795" s="22"/>
      <c r="D3795" s="22"/>
      <c r="E3795" s="23">
        <f>SUM(E3769:E3794)</f>
        <v>743</v>
      </c>
      <c r="F3795" s="3"/>
      <c r="G3795" s="3"/>
      <c r="H3795" s="3"/>
      <c r="I3795" s="3"/>
      <c r="J3795" s="3"/>
      <c r="K3795" s="24"/>
      <c r="L3795" s="24"/>
    </row>
    <row r="3796" spans="2:19" x14ac:dyDescent="0.35">
      <c r="B3796" s="1"/>
      <c r="C3796" s="22"/>
      <c r="D3796" s="22"/>
      <c r="E3796" s="23"/>
      <c r="F3796" s="3"/>
      <c r="G3796" s="3"/>
      <c r="H3796" s="3"/>
      <c r="I3796" s="3"/>
      <c r="J3796" s="3"/>
      <c r="K3796" s="24"/>
      <c r="L3796" s="24"/>
    </row>
    <row r="3797" spans="2:19" x14ac:dyDescent="0.35">
      <c r="B3797" s="1"/>
      <c r="C3797" s="22"/>
      <c r="D3797" s="22"/>
      <c r="E3797" s="23"/>
      <c r="F3797" s="3"/>
      <c r="G3797" s="3"/>
      <c r="H3797" s="3"/>
      <c r="I3797" s="3"/>
      <c r="J3797" s="3"/>
      <c r="K3797" s="24"/>
      <c r="L3797" s="24"/>
    </row>
    <row r="3798" spans="2:19" x14ac:dyDescent="0.35">
      <c r="B3798" s="1"/>
      <c r="C3798" s="22"/>
      <c r="D3798" s="22"/>
      <c r="E3798" s="23"/>
      <c r="F3798" s="3"/>
      <c r="G3798" s="3"/>
      <c r="H3798" s="3"/>
      <c r="I3798" s="3"/>
      <c r="J3798" s="3"/>
      <c r="K3798" s="24"/>
      <c r="L3798" s="24"/>
    </row>
    <row r="3799" spans="2:19" x14ac:dyDescent="0.35">
      <c r="B3799" s="1"/>
      <c r="C3799" s="8" t="s">
        <v>621</v>
      </c>
      <c r="D3799" s="3"/>
      <c r="E3799" s="3"/>
      <c r="F3799" s="3"/>
      <c r="G3799" s="3"/>
      <c r="H3799" s="3"/>
      <c r="I3799" s="3"/>
      <c r="J3799" s="3"/>
      <c r="K3799" s="3"/>
      <c r="L3799" s="3"/>
      <c r="R3799" s="438" t="s">
        <v>832</v>
      </c>
      <c r="S3799" s="432" t="str">
        <f>IFERROR(INDEX(Blocks!$I$2:$I$101,MATCH(69,Blocks!$A$2:$A$101,0)),"")</f>
        <v>000104450000074</v>
      </c>
    </row>
    <row r="3800" spans="2:19" x14ac:dyDescent="0.35">
      <c r="B3800" s="1"/>
      <c r="C3800" s="1"/>
      <c r="D3800" s="3"/>
      <c r="E3800" s="3"/>
      <c r="F3800" s="3"/>
      <c r="G3800" s="3"/>
      <c r="H3800" s="3"/>
      <c r="I3800" s="3"/>
      <c r="J3800" s="3"/>
      <c r="K3800" s="3"/>
      <c r="L3800" s="3"/>
      <c r="R3800" s="438" t="s">
        <v>834</v>
      </c>
      <c r="S3800" s="432" t="str">
        <f>IFERROR(INDEX(Blocks!$H$2:$H$101,MATCH(69,Blocks!$A$2:$A$101,0)),"")</f>
        <v>Pamela Investments</v>
      </c>
    </row>
    <row r="3801" spans="2:19" x14ac:dyDescent="0.35">
      <c r="B3801" s="1"/>
      <c r="C3801" s="9" t="s">
        <v>835</v>
      </c>
      <c r="D3801" s="10">
        <v>30000000</v>
      </c>
      <c r="E3801" s="3"/>
      <c r="F3801" s="3"/>
      <c r="G3801" s="3"/>
      <c r="H3801" s="3"/>
      <c r="I3801" s="3"/>
      <c r="J3801" s="3"/>
      <c r="K3801" s="3"/>
      <c r="L3801" s="3"/>
      <c r="R3801" s="438" t="s">
        <v>223</v>
      </c>
      <c r="S3801" s="433">
        <f>IFERROR(INDEX('E-Banker master'!$N$2:$N$186,MATCH(S3799,'E-Banker master'!$A$2:$A$186,0)),"")</f>
        <v>30000000</v>
      </c>
    </row>
    <row r="3802" spans="2:19" x14ac:dyDescent="0.35">
      <c r="B3802" s="1"/>
      <c r="C3802" s="11" t="s">
        <v>837</v>
      </c>
      <c r="D3802" s="12">
        <v>0.1</v>
      </c>
      <c r="E3802" s="13"/>
      <c r="F3802" s="3"/>
      <c r="G3802" s="3"/>
      <c r="H3802" s="3"/>
      <c r="I3802" s="3"/>
      <c r="J3802" s="3"/>
      <c r="K3802" s="3"/>
      <c r="L3802" s="3"/>
      <c r="R3802" s="438" t="s">
        <v>52</v>
      </c>
      <c r="S3802" s="433">
        <f>IFERROR(INDEX('E-Banker master'!$P$2:$P$186,MATCH(S3799,'E-Banker master'!$A$2:$A$186,0)),"")</f>
        <v>22848584.379999999</v>
      </c>
    </row>
    <row r="3803" spans="2:19" x14ac:dyDescent="0.35">
      <c r="B3803" s="1"/>
      <c r="C3803" s="11" t="s">
        <v>838</v>
      </c>
      <c r="D3803" s="14">
        <v>2</v>
      </c>
      <c r="E3803" s="1"/>
      <c r="F3803" s="3"/>
      <c r="G3803" s="3"/>
      <c r="H3803" s="3"/>
      <c r="I3803" s="3"/>
      <c r="J3803" s="3"/>
      <c r="K3803" s="1"/>
      <c r="L3803" s="1"/>
    </row>
    <row r="3804" spans="2:19" x14ac:dyDescent="0.35">
      <c r="B3804" s="1"/>
      <c r="C3804" s="11" t="s">
        <v>839</v>
      </c>
      <c r="D3804" s="14">
        <v>12</v>
      </c>
      <c r="E3804" s="1"/>
      <c r="F3804" s="3"/>
      <c r="G3804" s="3"/>
      <c r="H3804" s="3"/>
      <c r="I3804" s="3"/>
      <c r="J3804" s="3"/>
      <c r="K3804" s="1"/>
      <c r="L3804" s="1"/>
    </row>
    <row r="3805" spans="2:19" x14ac:dyDescent="0.35">
      <c r="B3805" s="1"/>
      <c r="C3805" s="11" t="s">
        <v>843</v>
      </c>
      <c r="D3805" s="15">
        <f>D3803*D3804</f>
        <v>24</v>
      </c>
      <c r="E3805" s="1"/>
      <c r="F3805" s="3"/>
      <c r="G3805" s="3"/>
      <c r="H3805" s="3"/>
      <c r="I3805" s="3"/>
      <c r="J3805" s="3"/>
      <c r="K3805" s="1"/>
      <c r="L3805" s="1"/>
    </row>
    <row r="3806" spans="2:19" x14ac:dyDescent="0.35">
      <c r="B3806" s="1"/>
      <c r="C3806" s="11" t="s">
        <v>844</v>
      </c>
      <c r="D3806" s="16">
        <v>365</v>
      </c>
      <c r="E3806" s="1"/>
      <c r="F3806" s="3"/>
      <c r="G3806" s="3"/>
      <c r="H3806" s="3"/>
      <c r="I3806" s="3"/>
      <c r="J3806" s="3"/>
      <c r="K3806" s="1"/>
      <c r="L3806" s="1"/>
    </row>
    <row r="3807" spans="2:19" x14ac:dyDescent="0.35">
      <c r="B3807" s="1"/>
      <c r="C3807" s="17" t="s">
        <v>845</v>
      </c>
      <c r="D3807" s="18">
        <f>-PMT(D3802/D3804,D3805,D3801,0,0)</f>
        <v>1384347.7901254953</v>
      </c>
      <c r="E3807" s="3"/>
      <c r="F3807" s="3"/>
      <c r="G3807" s="3"/>
      <c r="H3807" s="3"/>
      <c r="I3807" s="3"/>
      <c r="J3807" s="3"/>
      <c r="K3807" s="1"/>
      <c r="L3807" s="1"/>
    </row>
    <row r="3808" spans="2:19" x14ac:dyDescent="0.35">
      <c r="B3808" s="1"/>
      <c r="C3808" s="1"/>
      <c r="D3808" s="3"/>
      <c r="E3808" s="3"/>
      <c r="F3808" s="3"/>
      <c r="G3808" s="3"/>
      <c r="H3808" s="3"/>
      <c r="I3808" s="3"/>
      <c r="J3808" s="3"/>
      <c r="K3808" s="1"/>
      <c r="L3808" s="1"/>
    </row>
    <row r="3809" spans="2:12" x14ac:dyDescent="0.35">
      <c r="B3809" s="1"/>
      <c r="C3809" s="19" t="s">
        <v>846</v>
      </c>
      <c r="D3809" s="20" t="s">
        <v>847</v>
      </c>
      <c r="E3809" s="20" t="s">
        <v>764</v>
      </c>
      <c r="F3809" s="270" t="s">
        <v>848</v>
      </c>
      <c r="G3809" s="270" t="s">
        <v>849</v>
      </c>
      <c r="H3809" s="270" t="s">
        <v>742</v>
      </c>
      <c r="I3809" s="270" t="s">
        <v>740</v>
      </c>
      <c r="J3809" s="270" t="s">
        <v>850</v>
      </c>
      <c r="K3809" s="21" t="s">
        <v>851</v>
      </c>
      <c r="L3809" s="21" t="s">
        <v>852</v>
      </c>
    </row>
    <row r="3810" spans="2:12" x14ac:dyDescent="0.35">
      <c r="B3810" s="1">
        <v>0</v>
      </c>
      <c r="C3810" s="22">
        <v>45108</v>
      </c>
      <c r="D3810" s="22">
        <v>45138</v>
      </c>
      <c r="E3810" s="23">
        <f t="shared" ref="E3810:E3834" si="610">D3810-C3810+1</f>
        <v>31</v>
      </c>
      <c r="F3810" s="3">
        <f>D3801</f>
        <v>30000000</v>
      </c>
      <c r="G3810" s="3"/>
      <c r="H3810" s="3">
        <f t="shared" ref="H3810:H3834" si="611">($D$3802/$D$3804*F3810)</f>
        <v>250000</v>
      </c>
      <c r="I3810" s="3">
        <f>-H3810</f>
        <v>-250000</v>
      </c>
      <c r="J3810" s="3">
        <f t="shared" ref="J3810:J3834" si="612">F3810-I3810</f>
        <v>30250000</v>
      </c>
      <c r="K3810" s="24"/>
      <c r="L3810" s="24"/>
    </row>
    <row r="3811" spans="2:12" x14ac:dyDescent="0.35">
      <c r="B3811" s="1">
        <v>1</v>
      </c>
      <c r="C3811" s="22">
        <v>45139</v>
      </c>
      <c r="D3811" s="22">
        <v>45169</v>
      </c>
      <c r="E3811" s="23">
        <f t="shared" si="610"/>
        <v>31</v>
      </c>
      <c r="F3811" s="3">
        <f t="shared" ref="F3811:F3834" si="613">J3810</f>
        <v>30250000</v>
      </c>
      <c r="G3811" s="3"/>
      <c r="H3811" s="3">
        <f t="shared" si="611"/>
        <v>252083.33333333334</v>
      </c>
      <c r="I3811" s="3">
        <f>-H3811</f>
        <v>-252083.33333333334</v>
      </c>
      <c r="J3811" s="3">
        <f t="shared" si="612"/>
        <v>30502083.333333332</v>
      </c>
    </row>
    <row r="3812" spans="2:12" x14ac:dyDescent="0.35">
      <c r="B3812" s="1">
        <v>2</v>
      </c>
      <c r="C3812" s="22">
        <f>+C3811+31</f>
        <v>45170</v>
      </c>
      <c r="D3812" s="22">
        <f>+C3812+29</f>
        <v>45199</v>
      </c>
      <c r="E3812" s="23">
        <f t="shared" si="610"/>
        <v>30</v>
      </c>
      <c r="F3812" s="3">
        <f t="shared" si="613"/>
        <v>30502083.333333332</v>
      </c>
      <c r="G3812" s="3"/>
      <c r="H3812" s="3">
        <f t="shared" si="611"/>
        <v>254184.02777777775</v>
      </c>
      <c r="I3812" s="3">
        <f>-H3812</f>
        <v>-254184.02777777775</v>
      </c>
      <c r="J3812" s="3">
        <f t="shared" si="612"/>
        <v>30756267.361111108</v>
      </c>
      <c r="K3812" s="24">
        <f>1600000+1072817.95</f>
        <v>2672817.9500000002</v>
      </c>
      <c r="L3812" s="24"/>
    </row>
    <row r="3813" spans="2:12" x14ac:dyDescent="0.35">
      <c r="B3813" s="1">
        <v>3</v>
      </c>
      <c r="C3813" s="22">
        <f>+C3812+30</f>
        <v>45200</v>
      </c>
      <c r="D3813" s="22">
        <v>45230</v>
      </c>
      <c r="E3813" s="23">
        <f t="shared" si="610"/>
        <v>31</v>
      </c>
      <c r="F3813" s="3">
        <f t="shared" si="613"/>
        <v>30756267.361111108</v>
      </c>
      <c r="G3813" s="3">
        <f t="shared" ref="G3813:G3834" si="614">-PMT($D$3802/$D$3804,22,$F$3813,,0)</f>
        <v>1535877.5989707909</v>
      </c>
      <c r="H3813" s="3">
        <f t="shared" si="611"/>
        <v>256302.22800925924</v>
      </c>
      <c r="I3813" s="3">
        <f t="shared" ref="I3813:I3834" si="615">G3813-H3813</f>
        <v>1279575.3709615315</v>
      </c>
      <c r="J3813" s="3">
        <f t="shared" si="612"/>
        <v>29476691.990149576</v>
      </c>
      <c r="K3813" s="24">
        <v>1600000</v>
      </c>
      <c r="L3813" s="24">
        <f>L3812+G3813-K3812-K3813</f>
        <v>-2736940.3510292093</v>
      </c>
    </row>
    <row r="3814" spans="2:12" x14ac:dyDescent="0.35">
      <c r="B3814" s="1">
        <v>4</v>
      </c>
      <c r="C3814" s="22">
        <f>+C3813+31</f>
        <v>45231</v>
      </c>
      <c r="D3814" s="22">
        <v>45260</v>
      </c>
      <c r="E3814" s="23">
        <f t="shared" si="610"/>
        <v>30</v>
      </c>
      <c r="F3814" s="3">
        <f t="shared" si="613"/>
        <v>29476691.990149576</v>
      </c>
      <c r="G3814" s="3">
        <f t="shared" si="614"/>
        <v>1535877.5989707909</v>
      </c>
      <c r="H3814" s="3">
        <f t="shared" si="611"/>
        <v>245639.09991791312</v>
      </c>
      <c r="I3814" s="3">
        <f t="shared" si="615"/>
        <v>1290238.4990528778</v>
      </c>
      <c r="J3814" s="3">
        <f t="shared" si="612"/>
        <v>28186453.491096698</v>
      </c>
      <c r="K3814" s="24">
        <v>1600000</v>
      </c>
      <c r="L3814" s="24">
        <f t="shared" ref="L3814:L3825" si="616">L3813+G3814-K3814</f>
        <v>-2801062.7520584185</v>
      </c>
    </row>
    <row r="3815" spans="2:12" x14ac:dyDescent="0.35">
      <c r="B3815" s="1">
        <v>5</v>
      </c>
      <c r="C3815" s="22">
        <f>+C3814+30</f>
        <v>45261</v>
      </c>
      <c r="D3815" s="22">
        <v>45291</v>
      </c>
      <c r="E3815" s="23">
        <f t="shared" si="610"/>
        <v>31</v>
      </c>
      <c r="F3815" s="3">
        <f t="shared" si="613"/>
        <v>28186453.491096698</v>
      </c>
      <c r="G3815" s="3">
        <f t="shared" si="614"/>
        <v>1535877.5989707909</v>
      </c>
      <c r="H3815" s="3">
        <f t="shared" si="611"/>
        <v>234887.1124258058</v>
      </c>
      <c r="I3815" s="3">
        <f t="shared" si="615"/>
        <v>1300990.4865449851</v>
      </c>
      <c r="J3815" s="3">
        <f t="shared" si="612"/>
        <v>26885463.004551712</v>
      </c>
      <c r="K3815" s="24"/>
      <c r="L3815" s="24">
        <f t="shared" si="616"/>
        <v>-1265185.1530876276</v>
      </c>
    </row>
    <row r="3816" spans="2:12" x14ac:dyDescent="0.35">
      <c r="B3816" s="1">
        <v>6</v>
      </c>
      <c r="C3816" s="22">
        <f>+C3815+31</f>
        <v>45292</v>
      </c>
      <c r="D3816" s="22">
        <f>+C3816+30</f>
        <v>45322</v>
      </c>
      <c r="E3816" s="23">
        <f t="shared" si="610"/>
        <v>31</v>
      </c>
      <c r="F3816" s="3">
        <f t="shared" si="613"/>
        <v>26885463.004551712</v>
      </c>
      <c r="G3816" s="3">
        <f t="shared" si="614"/>
        <v>1535877.5989707909</v>
      </c>
      <c r="H3816" s="3">
        <f t="shared" si="611"/>
        <v>224045.52503793093</v>
      </c>
      <c r="I3816" s="3">
        <f t="shared" si="615"/>
        <v>1311832.07393286</v>
      </c>
      <c r="J3816" s="3">
        <f t="shared" si="612"/>
        <v>25573630.930618852</v>
      </c>
      <c r="K3816" s="24"/>
      <c r="L3816" s="24">
        <f t="shared" si="616"/>
        <v>270692.44588316325</v>
      </c>
    </row>
    <row r="3817" spans="2:12" x14ac:dyDescent="0.35">
      <c r="B3817" s="1">
        <v>7</v>
      </c>
      <c r="C3817" s="22">
        <f>+C3816+31</f>
        <v>45323</v>
      </c>
      <c r="D3817" s="22">
        <f>+C3817+28</f>
        <v>45351</v>
      </c>
      <c r="E3817" s="23">
        <f t="shared" si="610"/>
        <v>29</v>
      </c>
      <c r="F3817" s="3">
        <f t="shared" si="613"/>
        <v>25573630.930618852</v>
      </c>
      <c r="G3817" s="3">
        <f t="shared" si="614"/>
        <v>1535877.5989707909</v>
      </c>
      <c r="H3817" s="3">
        <f t="shared" si="611"/>
        <v>213113.59108849044</v>
      </c>
      <c r="I3817" s="3">
        <f t="shared" si="615"/>
        <v>1322764.0078823003</v>
      </c>
      <c r="J3817" s="3">
        <f t="shared" si="612"/>
        <v>24250866.922736552</v>
      </c>
      <c r="K3817" s="24">
        <v>1600000</v>
      </c>
      <c r="L3817" s="24">
        <f t="shared" si="616"/>
        <v>206570.04485395411</v>
      </c>
    </row>
    <row r="3818" spans="2:12" x14ac:dyDescent="0.35">
      <c r="B3818" s="1">
        <v>8</v>
      </c>
      <c r="C3818" s="22">
        <f>+C3817+29</f>
        <v>45352</v>
      </c>
      <c r="D3818" s="22">
        <f>+C3818+30</f>
        <v>45382</v>
      </c>
      <c r="E3818" s="23">
        <f t="shared" si="610"/>
        <v>31</v>
      </c>
      <c r="F3818" s="3">
        <f t="shared" si="613"/>
        <v>24250866.922736552</v>
      </c>
      <c r="G3818" s="3">
        <f t="shared" si="614"/>
        <v>1535877.5989707909</v>
      </c>
      <c r="H3818" s="3">
        <f t="shared" si="611"/>
        <v>202090.55768947126</v>
      </c>
      <c r="I3818" s="3">
        <f t="shared" si="615"/>
        <v>1333787.0412813197</v>
      </c>
      <c r="J3818" s="3">
        <f t="shared" si="612"/>
        <v>22917079.881455231</v>
      </c>
      <c r="K3818" s="24"/>
      <c r="L3818" s="24">
        <f t="shared" si="616"/>
        <v>1742447.643824745</v>
      </c>
    </row>
    <row r="3819" spans="2:12" x14ac:dyDescent="0.35">
      <c r="B3819" s="1">
        <v>9</v>
      </c>
      <c r="C3819" s="22">
        <f>+C3818+31</f>
        <v>45383</v>
      </c>
      <c r="D3819" s="22">
        <f>+C3819+29</f>
        <v>45412</v>
      </c>
      <c r="E3819" s="23">
        <f t="shared" si="610"/>
        <v>30</v>
      </c>
      <c r="F3819" s="3">
        <f t="shared" si="613"/>
        <v>22917079.881455231</v>
      </c>
      <c r="G3819" s="3">
        <f t="shared" si="614"/>
        <v>1535877.5989707909</v>
      </c>
      <c r="H3819" s="3">
        <f t="shared" si="611"/>
        <v>190975.66567879359</v>
      </c>
      <c r="I3819" s="3">
        <f t="shared" si="615"/>
        <v>1344901.9332919973</v>
      </c>
      <c r="J3819" s="3">
        <f t="shared" si="612"/>
        <v>21572177.948163234</v>
      </c>
      <c r="K3819" s="24"/>
      <c r="L3819" s="24">
        <f t="shared" si="616"/>
        <v>3278325.2427955358</v>
      </c>
    </row>
    <row r="3820" spans="2:12" x14ac:dyDescent="0.35">
      <c r="B3820" s="1">
        <v>10</v>
      </c>
      <c r="C3820" s="22">
        <f>+C3819+30</f>
        <v>45413</v>
      </c>
      <c r="D3820" s="22">
        <f>+C3820+30</f>
        <v>45443</v>
      </c>
      <c r="E3820" s="23">
        <f t="shared" si="610"/>
        <v>31</v>
      </c>
      <c r="F3820" s="3">
        <f t="shared" si="613"/>
        <v>21572177.948163234</v>
      </c>
      <c r="G3820" s="3">
        <f t="shared" si="614"/>
        <v>1535877.5989707909</v>
      </c>
      <c r="H3820" s="3">
        <f t="shared" si="611"/>
        <v>179768.14956802694</v>
      </c>
      <c r="I3820" s="3">
        <f t="shared" si="615"/>
        <v>1356109.449402764</v>
      </c>
      <c r="J3820" s="3">
        <f t="shared" si="612"/>
        <v>20216068.498760469</v>
      </c>
      <c r="K3820" s="24"/>
      <c r="L3820" s="24">
        <f t="shared" si="616"/>
        <v>4814202.8417663267</v>
      </c>
    </row>
    <row r="3821" spans="2:12" x14ac:dyDescent="0.35">
      <c r="B3821" s="1">
        <v>11</v>
      </c>
      <c r="C3821" s="22">
        <f>+C3820+31</f>
        <v>45444</v>
      </c>
      <c r="D3821" s="22">
        <f>+C3821+29</f>
        <v>45473</v>
      </c>
      <c r="E3821" s="23">
        <f t="shared" si="610"/>
        <v>30</v>
      </c>
      <c r="F3821" s="3">
        <f t="shared" si="613"/>
        <v>20216068.498760469</v>
      </c>
      <c r="G3821" s="3">
        <f t="shared" si="614"/>
        <v>1535877.5989707909</v>
      </c>
      <c r="H3821" s="3">
        <f t="shared" si="611"/>
        <v>168467.23748967057</v>
      </c>
      <c r="I3821" s="3">
        <f t="shared" si="615"/>
        <v>1367410.3614811203</v>
      </c>
      <c r="J3821" s="3">
        <f t="shared" si="612"/>
        <v>18848658.13727935</v>
      </c>
      <c r="K3821" s="24">
        <f>700000</f>
        <v>700000</v>
      </c>
      <c r="L3821" s="24">
        <f t="shared" si="616"/>
        <v>5650080.4407371171</v>
      </c>
    </row>
    <row r="3822" spans="2:12" x14ac:dyDescent="0.35">
      <c r="B3822" s="1">
        <v>12</v>
      </c>
      <c r="C3822" s="22">
        <f>+C3821+30</f>
        <v>45474</v>
      </c>
      <c r="D3822" s="22">
        <f>+C3822+30</f>
        <v>45504</v>
      </c>
      <c r="E3822" s="23">
        <f t="shared" si="610"/>
        <v>31</v>
      </c>
      <c r="F3822" s="3">
        <f t="shared" si="613"/>
        <v>18848658.13727935</v>
      </c>
      <c r="G3822" s="3">
        <f t="shared" si="614"/>
        <v>1535877.5989707909</v>
      </c>
      <c r="H3822" s="3">
        <f t="shared" si="611"/>
        <v>157072.15114399459</v>
      </c>
      <c r="I3822" s="3">
        <f t="shared" si="615"/>
        <v>1378805.4478267962</v>
      </c>
      <c r="J3822" s="3">
        <f t="shared" si="612"/>
        <v>17469852.689452555</v>
      </c>
      <c r="K3822" s="24">
        <v>800000</v>
      </c>
      <c r="L3822" s="24">
        <f t="shared" si="616"/>
        <v>6385958.0397079084</v>
      </c>
    </row>
    <row r="3823" spans="2:12" x14ac:dyDescent="0.35">
      <c r="B3823" s="1">
        <v>13</v>
      </c>
      <c r="C3823" s="22">
        <f>+C3822+31</f>
        <v>45505</v>
      </c>
      <c r="D3823" s="22">
        <f>+C3823+30</f>
        <v>45535</v>
      </c>
      <c r="E3823" s="23">
        <f t="shared" si="610"/>
        <v>31</v>
      </c>
      <c r="F3823" s="3">
        <f t="shared" si="613"/>
        <v>17469852.689452555</v>
      </c>
      <c r="G3823" s="3">
        <f t="shared" si="614"/>
        <v>1535877.5989707909</v>
      </c>
      <c r="H3823" s="3">
        <f t="shared" si="611"/>
        <v>145582.10574543796</v>
      </c>
      <c r="I3823" s="3">
        <f t="shared" si="615"/>
        <v>1390295.4932253528</v>
      </c>
      <c r="J3823" s="3">
        <f t="shared" si="612"/>
        <v>16079557.196227202</v>
      </c>
      <c r="K3823" s="24"/>
      <c r="L3823" s="24">
        <f t="shared" si="616"/>
        <v>7921835.6386786997</v>
      </c>
    </row>
    <row r="3824" spans="2:12" x14ac:dyDescent="0.35">
      <c r="B3824" s="1">
        <v>14</v>
      </c>
      <c r="C3824" s="22">
        <f>+C3823+31</f>
        <v>45536</v>
      </c>
      <c r="D3824" s="22">
        <f>+C3824+29</f>
        <v>45565</v>
      </c>
      <c r="E3824" s="23">
        <f t="shared" si="610"/>
        <v>30</v>
      </c>
      <c r="F3824" s="3">
        <f t="shared" si="613"/>
        <v>16079557.196227202</v>
      </c>
      <c r="G3824" s="3">
        <f t="shared" si="614"/>
        <v>1535877.5989707909</v>
      </c>
      <c r="H3824" s="3">
        <f t="shared" si="611"/>
        <v>133996.30996856</v>
      </c>
      <c r="I3824" s="3">
        <f t="shared" si="615"/>
        <v>1401881.2890022309</v>
      </c>
      <c r="J3824" s="3">
        <f t="shared" si="612"/>
        <v>14677675.907224972</v>
      </c>
      <c r="K3824" s="24">
        <v>1600000</v>
      </c>
      <c r="L3824" s="24">
        <f t="shared" si="616"/>
        <v>7857713.2376494911</v>
      </c>
    </row>
    <row r="3825" spans="2:12" x14ac:dyDescent="0.35">
      <c r="B3825" s="1">
        <v>15</v>
      </c>
      <c r="C3825" s="22">
        <f>+C3824+30</f>
        <v>45566</v>
      </c>
      <c r="D3825" s="22">
        <f>+C3825+30</f>
        <v>45596</v>
      </c>
      <c r="E3825" s="23">
        <f t="shared" si="610"/>
        <v>31</v>
      </c>
      <c r="F3825" s="3">
        <f t="shared" si="613"/>
        <v>14677675.907224972</v>
      </c>
      <c r="G3825" s="3">
        <f t="shared" si="614"/>
        <v>1535877.5989707909</v>
      </c>
      <c r="H3825" s="3">
        <f t="shared" si="611"/>
        <v>122313.96589354143</v>
      </c>
      <c r="I3825" s="3">
        <f t="shared" si="615"/>
        <v>1413563.6330772494</v>
      </c>
      <c r="J3825" s="3">
        <f t="shared" si="612"/>
        <v>13264112.274147723</v>
      </c>
      <c r="K3825" s="24"/>
      <c r="L3825" s="204">
        <f t="shared" si="616"/>
        <v>9393590.8366202824</v>
      </c>
    </row>
    <row r="3826" spans="2:12" x14ac:dyDescent="0.35">
      <c r="B3826" s="1">
        <v>16</v>
      </c>
      <c r="C3826" s="22">
        <f>+C3825+31</f>
        <v>45597</v>
      </c>
      <c r="D3826" s="22">
        <f>+C3826+29</f>
        <v>45626</v>
      </c>
      <c r="E3826" s="23">
        <f t="shared" si="610"/>
        <v>30</v>
      </c>
      <c r="F3826" s="3">
        <f t="shared" si="613"/>
        <v>13264112.274147723</v>
      </c>
      <c r="G3826" s="3">
        <f t="shared" si="614"/>
        <v>1535877.5989707909</v>
      </c>
      <c r="H3826" s="3">
        <f t="shared" si="611"/>
        <v>110534.26895123102</v>
      </c>
      <c r="I3826" s="3">
        <f t="shared" si="615"/>
        <v>1425343.3300195599</v>
      </c>
      <c r="J3826" s="3">
        <f t="shared" si="612"/>
        <v>11838768.944128163</v>
      </c>
      <c r="K3826" s="24"/>
      <c r="L3826" s="24"/>
    </row>
    <row r="3827" spans="2:12" x14ac:dyDescent="0.35">
      <c r="B3827" s="1">
        <v>17</v>
      </c>
      <c r="C3827" s="22">
        <f>+C3826+30</f>
        <v>45627</v>
      </c>
      <c r="D3827" s="22">
        <f>+C3827+30</f>
        <v>45657</v>
      </c>
      <c r="E3827" s="23">
        <f t="shared" si="610"/>
        <v>31</v>
      </c>
      <c r="F3827" s="3">
        <f t="shared" si="613"/>
        <v>11838768.944128163</v>
      </c>
      <c r="G3827" s="3">
        <f t="shared" si="614"/>
        <v>1535877.5989707909</v>
      </c>
      <c r="H3827" s="3">
        <f t="shared" si="611"/>
        <v>98656.407867734699</v>
      </c>
      <c r="I3827" s="3">
        <f t="shared" si="615"/>
        <v>1437221.1911030561</v>
      </c>
      <c r="J3827" s="3">
        <f t="shared" si="612"/>
        <v>10401547.753025107</v>
      </c>
      <c r="K3827" s="24"/>
      <c r="L3827" s="24"/>
    </row>
    <row r="3828" spans="2:12" x14ac:dyDescent="0.35">
      <c r="B3828" s="1">
        <v>18</v>
      </c>
      <c r="C3828" s="22">
        <f>+C3827+31</f>
        <v>45658</v>
      </c>
      <c r="D3828" s="22">
        <f>+C3828+30</f>
        <v>45688</v>
      </c>
      <c r="E3828" s="23">
        <f t="shared" si="610"/>
        <v>31</v>
      </c>
      <c r="F3828" s="3">
        <f t="shared" si="613"/>
        <v>10401547.753025107</v>
      </c>
      <c r="G3828" s="3">
        <f t="shared" si="614"/>
        <v>1535877.5989707909</v>
      </c>
      <c r="H3828" s="3">
        <f t="shared" si="611"/>
        <v>86679.564608542554</v>
      </c>
      <c r="I3828" s="3">
        <f t="shared" si="615"/>
        <v>1449198.0343622484</v>
      </c>
      <c r="J3828" s="3">
        <f t="shared" si="612"/>
        <v>8952349.718662858</v>
      </c>
      <c r="K3828" s="24"/>
      <c r="L3828" s="24"/>
    </row>
    <row r="3829" spans="2:12" x14ac:dyDescent="0.35">
      <c r="B3829" s="1">
        <v>19</v>
      </c>
      <c r="C3829" s="22">
        <f>+C3828+31</f>
        <v>45689</v>
      </c>
      <c r="D3829" s="22">
        <f>+C3829+27</f>
        <v>45716</v>
      </c>
      <c r="E3829" s="23">
        <f t="shared" si="610"/>
        <v>28</v>
      </c>
      <c r="F3829" s="3">
        <f t="shared" si="613"/>
        <v>8952349.718662858</v>
      </c>
      <c r="G3829" s="3">
        <f t="shared" si="614"/>
        <v>1535877.5989707909</v>
      </c>
      <c r="H3829" s="3">
        <f t="shared" si="611"/>
        <v>74602.914322190481</v>
      </c>
      <c r="I3829" s="3">
        <f t="shared" si="615"/>
        <v>1461274.6846486004</v>
      </c>
      <c r="J3829" s="3">
        <f t="shared" si="612"/>
        <v>7491075.0340142576</v>
      </c>
      <c r="K3829" s="24"/>
      <c r="L3829" s="24"/>
    </row>
    <row r="3830" spans="2:12" x14ac:dyDescent="0.35">
      <c r="B3830" s="1">
        <v>20</v>
      </c>
      <c r="C3830" s="22">
        <f>+C3829+28</f>
        <v>45717</v>
      </c>
      <c r="D3830" s="22">
        <f>+C3830+30</f>
        <v>45747</v>
      </c>
      <c r="E3830" s="23">
        <f t="shared" si="610"/>
        <v>31</v>
      </c>
      <c r="F3830" s="3">
        <f t="shared" si="613"/>
        <v>7491075.0340142576</v>
      </c>
      <c r="G3830" s="3">
        <f t="shared" si="614"/>
        <v>1535877.5989707909</v>
      </c>
      <c r="H3830" s="3">
        <f t="shared" si="611"/>
        <v>62425.625283452144</v>
      </c>
      <c r="I3830" s="3">
        <f t="shared" si="615"/>
        <v>1473451.9736873386</v>
      </c>
      <c r="J3830" s="3">
        <f t="shared" si="612"/>
        <v>6017623.060326919</v>
      </c>
      <c r="K3830" s="24"/>
      <c r="L3830" s="24"/>
    </row>
    <row r="3831" spans="2:12" x14ac:dyDescent="0.35">
      <c r="B3831" s="1">
        <v>21</v>
      </c>
      <c r="C3831" s="22">
        <f>+C3830+31</f>
        <v>45748</v>
      </c>
      <c r="D3831" s="22">
        <f>+C3831+29</f>
        <v>45777</v>
      </c>
      <c r="E3831" s="23">
        <f t="shared" si="610"/>
        <v>30</v>
      </c>
      <c r="F3831" s="3">
        <f t="shared" si="613"/>
        <v>6017623.060326919</v>
      </c>
      <c r="G3831" s="3">
        <f t="shared" si="614"/>
        <v>1535877.5989707909</v>
      </c>
      <c r="H3831" s="3">
        <f t="shared" si="611"/>
        <v>50146.858836057654</v>
      </c>
      <c r="I3831" s="3">
        <f t="shared" si="615"/>
        <v>1485730.7401347333</v>
      </c>
      <c r="J3831" s="3">
        <f t="shared" si="612"/>
        <v>4531892.3201921862</v>
      </c>
      <c r="K3831" s="24"/>
      <c r="L3831" s="24"/>
    </row>
    <row r="3832" spans="2:12" x14ac:dyDescent="0.35">
      <c r="B3832" s="1">
        <v>22</v>
      </c>
      <c r="C3832" s="22">
        <f>+C3831+30</f>
        <v>45778</v>
      </c>
      <c r="D3832" s="22">
        <f>+C3832+30</f>
        <v>45808</v>
      </c>
      <c r="E3832" s="23">
        <f t="shared" si="610"/>
        <v>31</v>
      </c>
      <c r="F3832" s="3">
        <f t="shared" si="613"/>
        <v>4531892.3201921862</v>
      </c>
      <c r="G3832" s="3">
        <f t="shared" si="614"/>
        <v>1535877.5989707909</v>
      </c>
      <c r="H3832" s="3">
        <f t="shared" si="611"/>
        <v>37765.769334934885</v>
      </c>
      <c r="I3832" s="3">
        <f t="shared" si="615"/>
        <v>1498111.829635856</v>
      </c>
      <c r="J3832" s="3">
        <f t="shared" si="612"/>
        <v>3033780.4905563304</v>
      </c>
      <c r="K3832" s="24"/>
      <c r="L3832" s="24"/>
    </row>
    <row r="3833" spans="2:12" x14ac:dyDescent="0.35">
      <c r="B3833" s="1">
        <v>23</v>
      </c>
      <c r="C3833" s="22">
        <f>+C3832+31</f>
        <v>45809</v>
      </c>
      <c r="D3833" s="22">
        <f>+D3832+30</f>
        <v>45838</v>
      </c>
      <c r="E3833" s="23">
        <f t="shared" si="610"/>
        <v>30</v>
      </c>
      <c r="F3833" s="3">
        <f t="shared" si="613"/>
        <v>3033780.4905563304</v>
      </c>
      <c r="G3833" s="3">
        <f t="shared" si="614"/>
        <v>1535877.5989707909</v>
      </c>
      <c r="H3833" s="3">
        <f t="shared" si="611"/>
        <v>25281.504087969421</v>
      </c>
      <c r="I3833" s="3">
        <f t="shared" si="615"/>
        <v>1510596.0948828214</v>
      </c>
      <c r="J3833" s="3">
        <f t="shared" si="612"/>
        <v>1523184.395673509</v>
      </c>
      <c r="K3833" s="24"/>
      <c r="L3833" s="24"/>
    </row>
    <row r="3834" spans="2:12" x14ac:dyDescent="0.35">
      <c r="B3834" s="1">
        <f>+B3833+1</f>
        <v>24</v>
      </c>
      <c r="C3834" s="22">
        <f>+C3833+30</f>
        <v>45839</v>
      </c>
      <c r="D3834" s="22">
        <f>+D3833+30</f>
        <v>45868</v>
      </c>
      <c r="E3834" s="23">
        <f t="shared" si="610"/>
        <v>30</v>
      </c>
      <c r="F3834" s="3">
        <f t="shared" si="613"/>
        <v>1523184.395673509</v>
      </c>
      <c r="G3834" s="3">
        <f t="shared" si="614"/>
        <v>1535877.5989707909</v>
      </c>
      <c r="H3834" s="3">
        <f t="shared" si="611"/>
        <v>12693.203297279242</v>
      </c>
      <c r="I3834" s="3">
        <f t="shared" si="615"/>
        <v>1523184.3956735115</v>
      </c>
      <c r="J3834" s="3">
        <f t="shared" si="612"/>
        <v>-2.5611370801925659E-9</v>
      </c>
    </row>
    <row r="3836" spans="2:12" x14ac:dyDescent="0.35">
      <c r="E3836" s="6">
        <f>SUM(E3810:E3835)</f>
        <v>761</v>
      </c>
    </row>
    <row r="3841" spans="2:19" x14ac:dyDescent="0.35">
      <c r="B3841" s="1"/>
      <c r="C3841" s="8" t="s">
        <v>940</v>
      </c>
      <c r="D3841" s="3"/>
      <c r="E3841" s="3"/>
      <c r="F3841" s="3"/>
      <c r="G3841" s="3"/>
      <c r="H3841" s="3"/>
      <c r="I3841" s="3"/>
      <c r="J3841" s="3"/>
      <c r="K3841" s="3"/>
      <c r="L3841" s="3"/>
      <c r="R3841" s="438" t="s">
        <v>832</v>
      </c>
      <c r="S3841" s="432" t="str">
        <f>IFERROR(INDEX(Blocks!$I$2:$I$101,MATCH(70,Blocks!$A$2:$A$101,0)),"")</f>
        <v>000104460000071</v>
      </c>
    </row>
    <row r="3842" spans="2:19" x14ac:dyDescent="0.35">
      <c r="B3842" s="1"/>
      <c r="C3842" s="1"/>
      <c r="D3842" s="3"/>
      <c r="E3842" s="3"/>
      <c r="F3842" s="3"/>
      <c r="G3842" s="3"/>
      <c r="H3842" s="3"/>
      <c r="I3842" s="3"/>
      <c r="J3842" s="3"/>
      <c r="K3842" s="3"/>
      <c r="L3842" s="3"/>
      <c r="R3842" s="438" t="s">
        <v>834</v>
      </c>
      <c r="S3842" s="432" t="str">
        <f>IFERROR(INDEX(Blocks!$H$2:$H$101,MATCH(70,Blocks!$A$2:$A$101,0)),"")</f>
        <v>Design Management Consultants Ltd</v>
      </c>
    </row>
    <row r="3843" spans="2:19" x14ac:dyDescent="0.35">
      <c r="B3843" s="1"/>
      <c r="C3843" s="9" t="s">
        <v>835</v>
      </c>
      <c r="D3843" s="10">
        <f>'[5]Loan amortisation'!$D$4</f>
        <v>236401400</v>
      </c>
      <c r="E3843" s="3"/>
      <c r="F3843" s="3"/>
      <c r="G3843" s="3"/>
      <c r="H3843" s="3"/>
      <c r="I3843" s="3"/>
      <c r="J3843" s="3"/>
      <c r="K3843" s="3"/>
      <c r="L3843" s="3"/>
      <c r="R3843" s="438" t="s">
        <v>223</v>
      </c>
      <c r="S3843" s="433">
        <f>IFERROR(INDEX('E-Banker master'!$N$2:$N$186,MATCH(S3841,'E-Banker master'!$A$2:$A$186,0)),"")</f>
        <v>236401400</v>
      </c>
    </row>
    <row r="3844" spans="2:19" x14ac:dyDescent="0.35">
      <c r="B3844" s="1"/>
      <c r="C3844" s="11" t="s">
        <v>837</v>
      </c>
      <c r="D3844" s="12">
        <v>0.1</v>
      </c>
      <c r="E3844" s="13"/>
      <c r="F3844" s="3"/>
      <c r="G3844" s="3"/>
      <c r="H3844" s="3"/>
      <c r="I3844" s="3"/>
      <c r="J3844" s="3"/>
      <c r="K3844" s="3"/>
      <c r="L3844" s="3"/>
      <c r="R3844" s="438" t="s">
        <v>52</v>
      </c>
      <c r="S3844" s="433">
        <f>IFERROR(INDEX('E-Banker master'!$P$2:$P$186,MATCH(S3841,'E-Banker master'!$A$2:$A$186,0)),"")</f>
        <v>198864434.30000001</v>
      </c>
    </row>
    <row r="3845" spans="2:19" x14ac:dyDescent="0.35">
      <c r="B3845" s="1"/>
      <c r="C3845" s="11" t="s">
        <v>838</v>
      </c>
      <c r="D3845" s="14">
        <v>4</v>
      </c>
      <c r="E3845" s="1"/>
      <c r="F3845" s="3"/>
      <c r="G3845" s="3"/>
      <c r="H3845" s="3"/>
      <c r="I3845" s="3"/>
      <c r="J3845" s="3"/>
      <c r="K3845" s="1"/>
      <c r="L3845" s="1"/>
    </row>
    <row r="3846" spans="2:19" x14ac:dyDescent="0.35">
      <c r="B3846" s="1"/>
      <c r="C3846" s="11" t="s">
        <v>839</v>
      </c>
      <c r="D3846" s="14">
        <v>12</v>
      </c>
      <c r="E3846" s="1"/>
      <c r="F3846" s="3"/>
      <c r="G3846" s="3"/>
      <c r="H3846" s="3"/>
      <c r="I3846" s="3"/>
      <c r="J3846" s="3"/>
      <c r="K3846" s="1"/>
      <c r="L3846" s="1"/>
    </row>
    <row r="3847" spans="2:19" x14ac:dyDescent="0.35">
      <c r="B3847" s="1"/>
      <c r="C3847" s="11" t="s">
        <v>843</v>
      </c>
      <c r="D3847" s="15">
        <f>D3845*D3846</f>
        <v>48</v>
      </c>
      <c r="E3847" s="1"/>
      <c r="F3847" s="3"/>
      <c r="G3847" s="3"/>
      <c r="H3847" s="3"/>
      <c r="I3847" s="3"/>
      <c r="J3847" s="3"/>
      <c r="K3847" s="1"/>
      <c r="L3847" s="1"/>
    </row>
    <row r="3848" spans="2:19" x14ac:dyDescent="0.35">
      <c r="B3848" s="1"/>
      <c r="C3848" s="11" t="s">
        <v>844</v>
      </c>
      <c r="D3848" s="16">
        <v>365</v>
      </c>
      <c r="E3848" s="1"/>
      <c r="F3848" s="3"/>
      <c r="G3848" s="3"/>
      <c r="H3848" s="3"/>
      <c r="I3848" s="3"/>
      <c r="J3848" s="3"/>
      <c r="K3848" s="1"/>
      <c r="L3848" s="1"/>
    </row>
    <row r="3849" spans="2:19" x14ac:dyDescent="0.35">
      <c r="B3849" s="1"/>
      <c r="C3849" s="17" t="s">
        <v>845</v>
      </c>
      <c r="D3849" s="220">
        <f>-PMT(D3844/D3846,D3847,D3843,0,0)</f>
        <v>5995750.231591044</v>
      </c>
      <c r="E3849" s="3"/>
      <c r="F3849" s="3"/>
      <c r="G3849" s="3"/>
      <c r="H3849" s="3"/>
      <c r="I3849" s="3"/>
      <c r="J3849" s="3"/>
      <c r="K3849" s="1"/>
      <c r="L3849" s="1"/>
    </row>
    <row r="3850" spans="2:19" x14ac:dyDescent="0.35">
      <c r="B3850" s="1"/>
      <c r="C3850" s="1"/>
      <c r="D3850" s="3"/>
      <c r="E3850" s="3"/>
      <c r="F3850" s="3"/>
      <c r="G3850" s="3"/>
      <c r="H3850" s="3"/>
      <c r="I3850" s="3"/>
      <c r="J3850" s="3"/>
      <c r="K3850" s="1"/>
      <c r="L3850" s="1"/>
    </row>
    <row r="3851" spans="2:19" x14ac:dyDescent="0.35">
      <c r="B3851" s="1"/>
      <c r="C3851" s="19" t="s">
        <v>846</v>
      </c>
      <c r="D3851" s="20" t="s">
        <v>847</v>
      </c>
      <c r="E3851" s="20" t="s">
        <v>764</v>
      </c>
      <c r="F3851" s="270" t="s">
        <v>848</v>
      </c>
      <c r="G3851" s="270" t="s">
        <v>849</v>
      </c>
      <c r="H3851" s="270" t="s">
        <v>742</v>
      </c>
      <c r="I3851" s="270" t="s">
        <v>740</v>
      </c>
      <c r="J3851" s="270" t="s">
        <v>850</v>
      </c>
      <c r="K3851" s="21" t="s">
        <v>851</v>
      </c>
      <c r="L3851" s="21" t="s">
        <v>852</v>
      </c>
    </row>
    <row r="3852" spans="2:19" x14ac:dyDescent="0.35">
      <c r="B3852" s="1">
        <v>0</v>
      </c>
      <c r="C3852" s="22">
        <v>45138</v>
      </c>
      <c r="D3852" s="22">
        <v>45138</v>
      </c>
      <c r="E3852" s="23">
        <v>0</v>
      </c>
      <c r="F3852" s="3">
        <f>D3843</f>
        <v>236401400</v>
      </c>
      <c r="G3852" s="3"/>
      <c r="H3852" s="3">
        <f>($D$3695/$D$3697*F3852*E3852/31)</f>
        <v>0</v>
      </c>
      <c r="I3852" s="3">
        <f>-H3852</f>
        <v>0</v>
      </c>
      <c r="J3852" s="3">
        <f t="shared" ref="J3852:J3883" si="617">F3852-I3852</f>
        <v>236401400</v>
      </c>
      <c r="K3852" s="24"/>
      <c r="L3852" s="24"/>
    </row>
    <row r="3853" spans="2:19" x14ac:dyDescent="0.35">
      <c r="B3853" s="1">
        <v>1</v>
      </c>
      <c r="C3853" s="22">
        <v>45139</v>
      </c>
      <c r="D3853" s="22">
        <v>45169</v>
      </c>
      <c r="E3853" s="23">
        <f t="shared" ref="E3853:E3900" si="618">D3853-C3853+1</f>
        <v>31</v>
      </c>
      <c r="F3853" s="3">
        <f t="shared" ref="F3853:F3900" si="619">J3852</f>
        <v>236401400</v>
      </c>
      <c r="G3853" s="3"/>
      <c r="H3853" s="3">
        <f t="shared" ref="H3853:H3900" si="620">($D$3844/$D$3846*F3853)</f>
        <v>1970011.6666666667</v>
      </c>
      <c r="I3853" s="3">
        <f>-H3853</f>
        <v>-1970011.6666666667</v>
      </c>
      <c r="J3853" s="3">
        <f t="shared" si="617"/>
        <v>238371411.66666666</v>
      </c>
    </row>
    <row r="3854" spans="2:19" x14ac:dyDescent="0.35">
      <c r="B3854" s="1">
        <v>2</v>
      </c>
      <c r="C3854" s="22">
        <f>+C3853+31</f>
        <v>45170</v>
      </c>
      <c r="D3854" s="22">
        <f>+C3854+29</f>
        <v>45199</v>
      </c>
      <c r="E3854" s="23">
        <f t="shared" si="618"/>
        <v>30</v>
      </c>
      <c r="F3854" s="3">
        <f t="shared" si="619"/>
        <v>238371411.66666666</v>
      </c>
      <c r="G3854" s="3"/>
      <c r="H3854" s="3">
        <f t="shared" si="620"/>
        <v>1986428.4305555555</v>
      </c>
      <c r="I3854" s="3">
        <f>-H3854</f>
        <v>-1986428.4305555555</v>
      </c>
      <c r="J3854" s="3">
        <f t="shared" si="617"/>
        <v>240357840.09722221</v>
      </c>
      <c r="K3854" s="24"/>
      <c r="L3854" s="24"/>
    </row>
    <row r="3855" spans="2:19" x14ac:dyDescent="0.35">
      <c r="B3855" s="1">
        <v>3</v>
      </c>
      <c r="C3855" s="22">
        <f>+C3854+30</f>
        <v>45200</v>
      </c>
      <c r="D3855" s="22">
        <v>45230</v>
      </c>
      <c r="E3855" s="23">
        <f t="shared" si="618"/>
        <v>31</v>
      </c>
      <c r="F3855" s="3">
        <f t="shared" si="619"/>
        <v>240357840.09722221</v>
      </c>
      <c r="G3855" s="3"/>
      <c r="H3855" s="3">
        <f t="shared" si="620"/>
        <v>2002982.000810185</v>
      </c>
      <c r="I3855" s="3">
        <f t="shared" ref="I3855:I3900" si="621">G3855-H3855</f>
        <v>-2002982.000810185</v>
      </c>
      <c r="J3855" s="3">
        <f t="shared" si="617"/>
        <v>242360822.09803239</v>
      </c>
      <c r="K3855" s="24"/>
      <c r="L3855" s="24"/>
    </row>
    <row r="3856" spans="2:19" x14ac:dyDescent="0.35">
      <c r="B3856" s="1">
        <v>4</v>
      </c>
      <c r="C3856" s="22">
        <f>+C3855+31</f>
        <v>45231</v>
      </c>
      <c r="D3856" s="22">
        <v>45260</v>
      </c>
      <c r="E3856" s="23">
        <f t="shared" si="618"/>
        <v>30</v>
      </c>
      <c r="F3856" s="3">
        <f t="shared" si="619"/>
        <v>242360822.09803239</v>
      </c>
      <c r="G3856" s="3"/>
      <c r="H3856" s="3">
        <f t="shared" si="620"/>
        <v>2019673.5174836032</v>
      </c>
      <c r="I3856" s="3">
        <f t="shared" si="621"/>
        <v>-2019673.5174836032</v>
      </c>
      <c r="J3856" s="3">
        <f t="shared" si="617"/>
        <v>244380495.61551598</v>
      </c>
      <c r="K3856" s="24"/>
      <c r="L3856" s="24"/>
    </row>
    <row r="3857" spans="2:12" x14ac:dyDescent="0.35">
      <c r="B3857" s="1">
        <v>5</v>
      </c>
      <c r="C3857" s="22">
        <f>+C3856+30</f>
        <v>45261</v>
      </c>
      <c r="D3857" s="22">
        <v>45291</v>
      </c>
      <c r="E3857" s="23">
        <f t="shared" si="618"/>
        <v>31</v>
      </c>
      <c r="F3857" s="3">
        <f t="shared" si="619"/>
        <v>244380495.61551598</v>
      </c>
      <c r="G3857" s="3"/>
      <c r="H3857" s="3">
        <f t="shared" si="620"/>
        <v>2036504.1301292998</v>
      </c>
      <c r="I3857" s="3">
        <f t="shared" si="621"/>
        <v>-2036504.1301292998</v>
      </c>
      <c r="J3857" s="3">
        <f t="shared" si="617"/>
        <v>246416999.74564528</v>
      </c>
      <c r="K3857" s="24"/>
      <c r="L3857" s="26"/>
    </row>
    <row r="3858" spans="2:12" x14ac:dyDescent="0.35">
      <c r="B3858" s="1">
        <v>6</v>
      </c>
      <c r="C3858" s="22">
        <f>+C3857+31</f>
        <v>45292</v>
      </c>
      <c r="D3858" s="22">
        <f>+C3858+30</f>
        <v>45322</v>
      </c>
      <c r="E3858" s="23">
        <f t="shared" si="618"/>
        <v>31</v>
      </c>
      <c r="F3858" s="3">
        <f t="shared" si="619"/>
        <v>246416999.74564528</v>
      </c>
      <c r="G3858" s="3"/>
      <c r="H3858" s="3">
        <f t="shared" si="620"/>
        <v>2053474.9978803773</v>
      </c>
      <c r="I3858" s="3">
        <f t="shared" si="621"/>
        <v>-2053474.9978803773</v>
      </c>
      <c r="J3858" s="3">
        <f t="shared" si="617"/>
        <v>248470474.74352565</v>
      </c>
      <c r="K3858" s="24"/>
      <c r="L3858" s="24"/>
    </row>
    <row r="3859" spans="2:12" x14ac:dyDescent="0.35">
      <c r="B3859" s="1">
        <v>7</v>
      </c>
      <c r="C3859" s="22">
        <f>+C3858+31</f>
        <v>45323</v>
      </c>
      <c r="D3859" s="22">
        <f>+C3859+28</f>
        <v>45351</v>
      </c>
      <c r="E3859" s="23">
        <f t="shared" si="618"/>
        <v>29</v>
      </c>
      <c r="F3859" s="3">
        <f t="shared" si="619"/>
        <v>248470474.74352565</v>
      </c>
      <c r="G3859" s="3">
        <f t="shared" ref="G3859:G3900" si="622">-PMT($D$3844/$D$3846,42,$F$3859,,0)</f>
        <v>7035893.5454911133</v>
      </c>
      <c r="H3859" s="3">
        <f t="shared" si="620"/>
        <v>2070587.2895293804</v>
      </c>
      <c r="I3859" s="3">
        <f t="shared" si="621"/>
        <v>4965306.2559617329</v>
      </c>
      <c r="J3859" s="3">
        <f t="shared" si="617"/>
        <v>243505168.48756391</v>
      </c>
      <c r="K3859" s="24">
        <v>9154765.1099999994</v>
      </c>
      <c r="L3859" s="24">
        <f t="shared" ref="L3859:L3867" si="623">L3858+G3859-K3859</f>
        <v>-2118871.5645088861</v>
      </c>
    </row>
    <row r="3860" spans="2:12" x14ac:dyDescent="0.35">
      <c r="B3860" s="1">
        <v>8</v>
      </c>
      <c r="C3860" s="22">
        <f>+C3859+29</f>
        <v>45352</v>
      </c>
      <c r="D3860" s="22">
        <f>+C3860+30</f>
        <v>45382</v>
      </c>
      <c r="E3860" s="23">
        <f t="shared" si="618"/>
        <v>31</v>
      </c>
      <c r="F3860" s="3">
        <f t="shared" si="619"/>
        <v>243505168.48756391</v>
      </c>
      <c r="G3860" s="3">
        <f t="shared" si="622"/>
        <v>7035893.5454911133</v>
      </c>
      <c r="H3860" s="3">
        <f t="shared" si="620"/>
        <v>2029209.737396366</v>
      </c>
      <c r="I3860" s="3">
        <f t="shared" si="621"/>
        <v>5006683.8080947474</v>
      </c>
      <c r="J3860" s="3">
        <f t="shared" si="617"/>
        <v>238498484.67946917</v>
      </c>
      <c r="K3860" s="24"/>
      <c r="L3860" s="24">
        <f t="shared" si="623"/>
        <v>4917021.9809822273</v>
      </c>
    </row>
    <row r="3861" spans="2:12" x14ac:dyDescent="0.35">
      <c r="B3861" s="1">
        <v>9</v>
      </c>
      <c r="C3861" s="22">
        <f>+C3860+31</f>
        <v>45383</v>
      </c>
      <c r="D3861" s="22">
        <f>+C3861+29</f>
        <v>45412</v>
      </c>
      <c r="E3861" s="23">
        <f t="shared" si="618"/>
        <v>30</v>
      </c>
      <c r="F3861" s="3">
        <f t="shared" si="619"/>
        <v>238498484.67946917</v>
      </c>
      <c r="G3861" s="3">
        <f t="shared" si="622"/>
        <v>7035893.5454911133</v>
      </c>
      <c r="H3861" s="3">
        <f t="shared" si="620"/>
        <v>1987487.3723289098</v>
      </c>
      <c r="I3861" s="3">
        <f t="shared" si="621"/>
        <v>5048406.1731622033</v>
      </c>
      <c r="J3861" s="3">
        <f t="shared" si="617"/>
        <v>233450078.50630698</v>
      </c>
      <c r="K3861" s="24">
        <f>7196398+7196398.44</f>
        <v>14392796.440000001</v>
      </c>
      <c r="L3861" s="24">
        <f t="shared" si="623"/>
        <v>-2439880.9135266617</v>
      </c>
    </row>
    <row r="3862" spans="2:12" x14ac:dyDescent="0.35">
      <c r="B3862" s="1">
        <v>10</v>
      </c>
      <c r="C3862" s="22">
        <f>+C3861+30</f>
        <v>45413</v>
      </c>
      <c r="D3862" s="22">
        <f>+C3862+30</f>
        <v>45443</v>
      </c>
      <c r="E3862" s="23">
        <f t="shared" si="618"/>
        <v>31</v>
      </c>
      <c r="F3862" s="3">
        <f t="shared" si="619"/>
        <v>233450078.50630698</v>
      </c>
      <c r="G3862" s="3">
        <f t="shared" si="622"/>
        <v>7035893.5454911133</v>
      </c>
      <c r="H3862" s="3">
        <f t="shared" si="620"/>
        <v>1945417.3208858913</v>
      </c>
      <c r="I3862" s="3">
        <f t="shared" si="621"/>
        <v>5090476.2246052222</v>
      </c>
      <c r="J3862" s="3">
        <f t="shared" si="617"/>
        <v>228359602.28170174</v>
      </c>
      <c r="K3862" s="24">
        <v>7196398.4400000004</v>
      </c>
      <c r="L3862" s="24">
        <f t="shared" si="623"/>
        <v>-2600385.8080355488</v>
      </c>
    </row>
    <row r="3863" spans="2:12" x14ac:dyDescent="0.35">
      <c r="B3863" s="1">
        <v>11</v>
      </c>
      <c r="C3863" s="22">
        <f>+C3862+31</f>
        <v>45444</v>
      </c>
      <c r="D3863" s="22">
        <f>+C3863+29</f>
        <v>45473</v>
      </c>
      <c r="E3863" s="23">
        <f t="shared" si="618"/>
        <v>30</v>
      </c>
      <c r="F3863" s="3">
        <f t="shared" si="619"/>
        <v>228359602.28170174</v>
      </c>
      <c r="G3863" s="3">
        <f t="shared" si="622"/>
        <v>7035893.5454911133</v>
      </c>
      <c r="H3863" s="3">
        <f t="shared" si="620"/>
        <v>1902996.6856808478</v>
      </c>
      <c r="I3863" s="3">
        <f t="shared" si="621"/>
        <v>5132896.8598102657</v>
      </c>
      <c r="J3863" s="3">
        <f t="shared" si="617"/>
        <v>223226705.42189148</v>
      </c>
      <c r="K3863" s="24">
        <v>7149914.9400000004</v>
      </c>
      <c r="L3863" s="24">
        <f t="shared" si="623"/>
        <v>-2714407.2025444359</v>
      </c>
    </row>
    <row r="3864" spans="2:12" x14ac:dyDescent="0.35">
      <c r="B3864" s="1">
        <v>12</v>
      </c>
      <c r="C3864" s="22">
        <f>+C3863+30</f>
        <v>45474</v>
      </c>
      <c r="D3864" s="22">
        <f>+C3864+30</f>
        <v>45504</v>
      </c>
      <c r="E3864" s="23">
        <f t="shared" si="618"/>
        <v>31</v>
      </c>
      <c r="F3864" s="3">
        <f t="shared" si="619"/>
        <v>223226705.42189148</v>
      </c>
      <c r="G3864" s="3">
        <f t="shared" si="622"/>
        <v>7035893.5454911133</v>
      </c>
      <c r="H3864" s="3">
        <f t="shared" si="620"/>
        <v>1860222.545182429</v>
      </c>
      <c r="I3864" s="3">
        <f t="shared" si="621"/>
        <v>5175671.0003086841</v>
      </c>
      <c r="J3864" s="3">
        <f t="shared" si="617"/>
        <v>218051034.42158279</v>
      </c>
      <c r="K3864" s="24">
        <v>7196398.4400000004</v>
      </c>
      <c r="L3864" s="24">
        <f t="shared" si="623"/>
        <v>-2874912.0970533229</v>
      </c>
    </row>
    <row r="3865" spans="2:12" x14ac:dyDescent="0.35">
      <c r="B3865" s="1">
        <v>13</v>
      </c>
      <c r="C3865" s="22">
        <f>+C3864+31</f>
        <v>45505</v>
      </c>
      <c r="D3865" s="22">
        <f>+C3865+30</f>
        <v>45535</v>
      </c>
      <c r="E3865" s="23">
        <f t="shared" si="618"/>
        <v>31</v>
      </c>
      <c r="F3865" s="3">
        <f t="shared" si="619"/>
        <v>218051034.42158279</v>
      </c>
      <c r="G3865" s="3">
        <f t="shared" si="622"/>
        <v>7035893.5454911133</v>
      </c>
      <c r="H3865" s="3">
        <f t="shared" si="620"/>
        <v>1817091.9535131899</v>
      </c>
      <c r="I3865" s="3">
        <f t="shared" si="621"/>
        <v>5218801.5919779232</v>
      </c>
      <c r="J3865" s="3">
        <f t="shared" si="617"/>
        <v>212832232.82960486</v>
      </c>
      <c r="K3865" s="24">
        <v>7196398.4400000004</v>
      </c>
      <c r="L3865" s="24">
        <f t="shared" si="623"/>
        <v>-3035416.99156221</v>
      </c>
    </row>
    <row r="3866" spans="2:12" x14ac:dyDescent="0.35">
      <c r="B3866" s="1">
        <v>14</v>
      </c>
      <c r="C3866" s="22">
        <f>+C3865+31</f>
        <v>45536</v>
      </c>
      <c r="D3866" s="22">
        <f>+C3866+29</f>
        <v>45565</v>
      </c>
      <c r="E3866" s="23">
        <f t="shared" si="618"/>
        <v>30</v>
      </c>
      <c r="F3866" s="3">
        <f t="shared" si="619"/>
        <v>212832232.82960486</v>
      </c>
      <c r="G3866" s="3">
        <f t="shared" si="622"/>
        <v>7035893.5454911133</v>
      </c>
      <c r="H3866" s="3">
        <f t="shared" si="620"/>
        <v>1773601.9402467071</v>
      </c>
      <c r="I3866" s="3">
        <f t="shared" si="621"/>
        <v>5262291.6052444065</v>
      </c>
      <c r="J3866" s="3">
        <f t="shared" si="617"/>
        <v>207569941.22436047</v>
      </c>
      <c r="K3866" s="24">
        <v>7196398.4400000004</v>
      </c>
      <c r="L3866" s="24">
        <f t="shared" si="623"/>
        <v>-3195921.8860710971</v>
      </c>
    </row>
    <row r="3867" spans="2:12" x14ac:dyDescent="0.35">
      <c r="B3867" s="1">
        <v>15</v>
      </c>
      <c r="C3867" s="22">
        <f>+C3866+30</f>
        <v>45566</v>
      </c>
      <c r="D3867" s="22">
        <f>+C3867+30</f>
        <v>45596</v>
      </c>
      <c r="E3867" s="23">
        <f t="shared" si="618"/>
        <v>31</v>
      </c>
      <c r="F3867" s="3">
        <f t="shared" si="619"/>
        <v>207569941.22436047</v>
      </c>
      <c r="G3867" s="3">
        <f t="shared" si="622"/>
        <v>7035893.5454911133</v>
      </c>
      <c r="H3867" s="3">
        <f t="shared" si="620"/>
        <v>1729749.5102030039</v>
      </c>
      <c r="I3867" s="3">
        <f t="shared" si="621"/>
        <v>5306144.0352881094</v>
      </c>
      <c r="J3867" s="3">
        <f t="shared" si="617"/>
        <v>202263797.18907237</v>
      </c>
      <c r="K3867" s="24">
        <v>7196400</v>
      </c>
      <c r="L3867" s="205">
        <f t="shared" si="623"/>
        <v>-3356428.3405799838</v>
      </c>
    </row>
    <row r="3868" spans="2:12" x14ac:dyDescent="0.35">
      <c r="B3868" s="1">
        <v>16</v>
      </c>
      <c r="C3868" s="22">
        <f>+C3867+31</f>
        <v>45597</v>
      </c>
      <c r="D3868" s="22">
        <f>+C3868+29</f>
        <v>45626</v>
      </c>
      <c r="E3868" s="23">
        <f t="shared" si="618"/>
        <v>30</v>
      </c>
      <c r="F3868" s="3">
        <f t="shared" si="619"/>
        <v>202263797.18907237</v>
      </c>
      <c r="G3868" s="3">
        <f t="shared" si="622"/>
        <v>7035893.5454911133</v>
      </c>
      <c r="H3868" s="3">
        <f t="shared" si="620"/>
        <v>1685531.6432422698</v>
      </c>
      <c r="I3868" s="3">
        <f t="shared" si="621"/>
        <v>5350361.9022488436</v>
      </c>
      <c r="J3868" s="3">
        <f t="shared" si="617"/>
        <v>196913435.28682354</v>
      </c>
      <c r="K3868" s="24"/>
      <c r="L3868" s="24"/>
    </row>
    <row r="3869" spans="2:12" x14ac:dyDescent="0.35">
      <c r="B3869" s="1">
        <v>17</v>
      </c>
      <c r="C3869" s="22">
        <f>+C3868+30</f>
        <v>45627</v>
      </c>
      <c r="D3869" s="22">
        <f>+C3869+30</f>
        <v>45657</v>
      </c>
      <c r="E3869" s="23">
        <f t="shared" si="618"/>
        <v>31</v>
      </c>
      <c r="F3869" s="3">
        <f t="shared" si="619"/>
        <v>196913435.28682354</v>
      </c>
      <c r="G3869" s="3">
        <f t="shared" si="622"/>
        <v>7035893.5454911133</v>
      </c>
      <c r="H3869" s="3">
        <f t="shared" si="620"/>
        <v>1640945.2940568628</v>
      </c>
      <c r="I3869" s="3">
        <f t="shared" si="621"/>
        <v>5394948.2514342507</v>
      </c>
      <c r="J3869" s="3">
        <f t="shared" si="617"/>
        <v>191518487.0353893</v>
      </c>
      <c r="K3869" s="24"/>
      <c r="L3869" s="24"/>
    </row>
    <row r="3870" spans="2:12" x14ac:dyDescent="0.35">
      <c r="B3870" s="1">
        <v>18</v>
      </c>
      <c r="C3870" s="22">
        <f>+C3869+31</f>
        <v>45658</v>
      </c>
      <c r="D3870" s="22">
        <f>+C3870+30</f>
        <v>45688</v>
      </c>
      <c r="E3870" s="23">
        <f t="shared" si="618"/>
        <v>31</v>
      </c>
      <c r="F3870" s="3">
        <f t="shared" si="619"/>
        <v>191518487.0353893</v>
      </c>
      <c r="G3870" s="3">
        <f t="shared" si="622"/>
        <v>7035893.5454911133</v>
      </c>
      <c r="H3870" s="3">
        <f t="shared" si="620"/>
        <v>1595987.3919615776</v>
      </c>
      <c r="I3870" s="3">
        <f t="shared" si="621"/>
        <v>5439906.153529536</v>
      </c>
      <c r="J3870" s="3">
        <f t="shared" si="617"/>
        <v>186078580.88185978</v>
      </c>
      <c r="K3870" s="24"/>
      <c r="L3870" s="24"/>
    </row>
    <row r="3871" spans="2:12" x14ac:dyDescent="0.35">
      <c r="B3871" s="1">
        <v>19</v>
      </c>
      <c r="C3871" s="22">
        <f>+C3870+31</f>
        <v>45689</v>
      </c>
      <c r="D3871" s="22">
        <f>+C3871+27</f>
        <v>45716</v>
      </c>
      <c r="E3871" s="23">
        <f t="shared" si="618"/>
        <v>28</v>
      </c>
      <c r="F3871" s="3">
        <f t="shared" si="619"/>
        <v>186078580.88185978</v>
      </c>
      <c r="G3871" s="3">
        <f t="shared" si="622"/>
        <v>7035893.5454911133</v>
      </c>
      <c r="H3871" s="3">
        <f t="shared" si="620"/>
        <v>1550654.8406821648</v>
      </c>
      <c r="I3871" s="3">
        <f t="shared" si="621"/>
        <v>5485238.7048089486</v>
      </c>
      <c r="J3871" s="3">
        <f t="shared" si="617"/>
        <v>180593342.17705083</v>
      </c>
      <c r="K3871" s="24"/>
      <c r="L3871" s="24"/>
    </row>
    <row r="3872" spans="2:12" x14ac:dyDescent="0.35">
      <c r="B3872" s="1">
        <v>20</v>
      </c>
      <c r="C3872" s="22">
        <f>+C3871+28</f>
        <v>45717</v>
      </c>
      <c r="D3872" s="22">
        <f>+C3872+30</f>
        <v>45747</v>
      </c>
      <c r="E3872" s="23">
        <f t="shared" si="618"/>
        <v>31</v>
      </c>
      <c r="F3872" s="3">
        <f t="shared" si="619"/>
        <v>180593342.17705083</v>
      </c>
      <c r="G3872" s="3">
        <f t="shared" si="622"/>
        <v>7035893.5454911133</v>
      </c>
      <c r="H3872" s="3">
        <f t="shared" si="620"/>
        <v>1504944.5181420902</v>
      </c>
      <c r="I3872" s="3">
        <f t="shared" si="621"/>
        <v>5530949.0273490231</v>
      </c>
      <c r="J3872" s="3">
        <f t="shared" si="617"/>
        <v>175062393.1497018</v>
      </c>
      <c r="K3872" s="24"/>
      <c r="L3872" s="24"/>
    </row>
    <row r="3873" spans="2:12" x14ac:dyDescent="0.35">
      <c r="B3873" s="1">
        <v>21</v>
      </c>
      <c r="C3873" s="22">
        <f>+C3872+31</f>
        <v>45748</v>
      </c>
      <c r="D3873" s="22">
        <f>+C3873+29</f>
        <v>45777</v>
      </c>
      <c r="E3873" s="23">
        <f t="shared" si="618"/>
        <v>30</v>
      </c>
      <c r="F3873" s="3">
        <f t="shared" si="619"/>
        <v>175062393.1497018</v>
      </c>
      <c r="G3873" s="3">
        <f t="shared" si="622"/>
        <v>7035893.5454911133</v>
      </c>
      <c r="H3873" s="3">
        <f t="shared" si="620"/>
        <v>1458853.2762475151</v>
      </c>
      <c r="I3873" s="3">
        <f t="shared" si="621"/>
        <v>5577040.269243598</v>
      </c>
      <c r="J3873" s="3">
        <f t="shared" si="617"/>
        <v>169485352.88045821</v>
      </c>
      <c r="K3873" s="24"/>
      <c r="L3873" s="24"/>
    </row>
    <row r="3874" spans="2:12" x14ac:dyDescent="0.35">
      <c r="B3874" s="1">
        <v>22</v>
      </c>
      <c r="C3874" s="22">
        <f>+C3873+30</f>
        <v>45778</v>
      </c>
      <c r="D3874" s="22">
        <f>+C3874+30</f>
        <v>45808</v>
      </c>
      <c r="E3874" s="23">
        <f t="shared" si="618"/>
        <v>31</v>
      </c>
      <c r="F3874" s="3">
        <f t="shared" si="619"/>
        <v>169485352.88045821</v>
      </c>
      <c r="G3874" s="3">
        <f t="shared" si="622"/>
        <v>7035893.5454911133</v>
      </c>
      <c r="H3874" s="3">
        <f t="shared" si="620"/>
        <v>1412377.9406704851</v>
      </c>
      <c r="I3874" s="3">
        <f t="shared" si="621"/>
        <v>5623515.6048206277</v>
      </c>
      <c r="J3874" s="3">
        <f t="shared" si="617"/>
        <v>163861837.27563757</v>
      </c>
      <c r="K3874" s="24"/>
      <c r="L3874" s="24"/>
    </row>
    <row r="3875" spans="2:12" x14ac:dyDescent="0.35">
      <c r="B3875" s="1">
        <v>23</v>
      </c>
      <c r="C3875" s="22">
        <f>+C3874+31</f>
        <v>45809</v>
      </c>
      <c r="D3875" s="22">
        <f>+D3874+30</f>
        <v>45838</v>
      </c>
      <c r="E3875" s="23">
        <f t="shared" si="618"/>
        <v>30</v>
      </c>
      <c r="F3875" s="3">
        <f t="shared" si="619"/>
        <v>163861837.27563757</v>
      </c>
      <c r="G3875" s="3">
        <f t="shared" si="622"/>
        <v>7035893.5454911133</v>
      </c>
      <c r="H3875" s="3">
        <f t="shared" si="620"/>
        <v>1365515.3106303131</v>
      </c>
      <c r="I3875" s="3">
        <f t="shared" si="621"/>
        <v>5670378.2348608002</v>
      </c>
      <c r="J3875" s="3">
        <f t="shared" si="617"/>
        <v>158191459.04077676</v>
      </c>
      <c r="K3875" s="24"/>
      <c r="L3875" s="24"/>
    </row>
    <row r="3876" spans="2:12" x14ac:dyDescent="0.35">
      <c r="B3876" s="1">
        <f t="shared" ref="B3876:B3900" si="624">+B3875+1</f>
        <v>24</v>
      </c>
      <c r="C3876" s="22">
        <f>+C3875+30</f>
        <v>45839</v>
      </c>
      <c r="D3876" s="22">
        <f>+D3875+30</f>
        <v>45868</v>
      </c>
      <c r="E3876" s="23">
        <f t="shared" si="618"/>
        <v>30</v>
      </c>
      <c r="F3876" s="3">
        <f t="shared" si="619"/>
        <v>158191459.04077676</v>
      </c>
      <c r="G3876" s="3">
        <f t="shared" si="622"/>
        <v>7035893.5454911133</v>
      </c>
      <c r="H3876" s="3">
        <f t="shared" si="620"/>
        <v>1318262.1586731398</v>
      </c>
      <c r="I3876" s="3">
        <f t="shared" si="621"/>
        <v>5717631.3868179731</v>
      </c>
      <c r="J3876" s="3">
        <f t="shared" si="617"/>
        <v>152473827.6539588</v>
      </c>
    </row>
    <row r="3877" spans="2:12" x14ac:dyDescent="0.35">
      <c r="B3877" s="1">
        <f t="shared" si="624"/>
        <v>25</v>
      </c>
      <c r="C3877" s="22">
        <f>+C3876+31</f>
        <v>45870</v>
      </c>
      <c r="D3877" s="22">
        <f>+D3876+31</f>
        <v>45899</v>
      </c>
      <c r="E3877" s="23">
        <f t="shared" si="618"/>
        <v>30</v>
      </c>
      <c r="F3877" s="3">
        <f t="shared" si="619"/>
        <v>152473827.6539588</v>
      </c>
      <c r="G3877" s="3">
        <f t="shared" si="622"/>
        <v>7035893.5454911133</v>
      </c>
      <c r="H3877" s="3">
        <f t="shared" si="620"/>
        <v>1270615.2304496567</v>
      </c>
      <c r="I3877" s="3">
        <f t="shared" si="621"/>
        <v>5765278.3150414564</v>
      </c>
      <c r="J3877" s="3">
        <f t="shared" si="617"/>
        <v>146708549.33891734</v>
      </c>
    </row>
    <row r="3878" spans="2:12" x14ac:dyDescent="0.35">
      <c r="B3878" s="1">
        <f t="shared" si="624"/>
        <v>26</v>
      </c>
      <c r="C3878" s="22">
        <f>+C3877+31</f>
        <v>45901</v>
      </c>
      <c r="D3878" s="22">
        <f>+D3877+31</f>
        <v>45930</v>
      </c>
      <c r="E3878" s="23">
        <f t="shared" si="618"/>
        <v>30</v>
      </c>
      <c r="F3878" s="3">
        <f t="shared" si="619"/>
        <v>146708549.33891734</v>
      </c>
      <c r="G3878" s="3">
        <f t="shared" si="622"/>
        <v>7035893.5454911133</v>
      </c>
      <c r="H3878" s="3">
        <f t="shared" si="620"/>
        <v>1222571.2444909778</v>
      </c>
      <c r="I3878" s="3">
        <f t="shared" si="621"/>
        <v>5813322.301000135</v>
      </c>
      <c r="J3878" s="3">
        <f t="shared" si="617"/>
        <v>140895227.0379172</v>
      </c>
    </row>
    <row r="3879" spans="2:12" x14ac:dyDescent="0.35">
      <c r="B3879" s="1">
        <f t="shared" si="624"/>
        <v>27</v>
      </c>
      <c r="C3879" s="22">
        <f>+C3878+30</f>
        <v>45931</v>
      </c>
      <c r="D3879" s="22">
        <f>+D3878+31</f>
        <v>45961</v>
      </c>
      <c r="E3879" s="23">
        <f t="shared" si="618"/>
        <v>31</v>
      </c>
      <c r="F3879" s="3">
        <f t="shared" si="619"/>
        <v>140895227.0379172</v>
      </c>
      <c r="G3879" s="3">
        <f t="shared" si="622"/>
        <v>7035893.5454911133</v>
      </c>
      <c r="H3879" s="3">
        <f t="shared" si="620"/>
        <v>1174126.8919826434</v>
      </c>
      <c r="I3879" s="3">
        <f t="shared" si="621"/>
        <v>5861766.6535084695</v>
      </c>
      <c r="J3879" s="3">
        <f t="shared" si="617"/>
        <v>135033460.38440871</v>
      </c>
    </row>
    <row r="3880" spans="2:12" x14ac:dyDescent="0.35">
      <c r="B3880" s="1">
        <f t="shared" si="624"/>
        <v>28</v>
      </c>
      <c r="C3880" s="22">
        <f>+C3879+31</f>
        <v>45962</v>
      </c>
      <c r="D3880" s="22">
        <f>+D3879+30</f>
        <v>45991</v>
      </c>
      <c r="E3880" s="23">
        <f t="shared" si="618"/>
        <v>30</v>
      </c>
      <c r="F3880" s="3">
        <f t="shared" si="619"/>
        <v>135033460.38440871</v>
      </c>
      <c r="G3880" s="3">
        <f t="shared" si="622"/>
        <v>7035893.5454911133</v>
      </c>
      <c r="H3880" s="3">
        <f t="shared" si="620"/>
        <v>1125278.8365367393</v>
      </c>
      <c r="I3880" s="3">
        <f t="shared" si="621"/>
        <v>5910614.7089543743</v>
      </c>
      <c r="J3880" s="3">
        <f t="shared" si="617"/>
        <v>129122845.67545433</v>
      </c>
    </row>
    <row r="3881" spans="2:12" x14ac:dyDescent="0.35">
      <c r="B3881" s="1">
        <f t="shared" si="624"/>
        <v>29</v>
      </c>
      <c r="C3881" s="22">
        <f>+C3880+30</f>
        <v>45992</v>
      </c>
      <c r="D3881" s="22">
        <f>+D3880+31</f>
        <v>46022</v>
      </c>
      <c r="E3881" s="23">
        <f t="shared" si="618"/>
        <v>31</v>
      </c>
      <c r="F3881" s="3">
        <f t="shared" si="619"/>
        <v>129122845.67545433</v>
      </c>
      <c r="G3881" s="3">
        <f t="shared" si="622"/>
        <v>7035893.5454911133</v>
      </c>
      <c r="H3881" s="3">
        <f t="shared" si="620"/>
        <v>1076023.7139621195</v>
      </c>
      <c r="I3881" s="3">
        <f t="shared" si="621"/>
        <v>5959869.8315289933</v>
      </c>
      <c r="J3881" s="3">
        <f t="shared" si="617"/>
        <v>123162975.84392534</v>
      </c>
    </row>
    <row r="3882" spans="2:12" x14ac:dyDescent="0.35">
      <c r="B3882" s="1">
        <f t="shared" si="624"/>
        <v>30</v>
      </c>
      <c r="C3882" s="22">
        <f>+C3881+31</f>
        <v>46023</v>
      </c>
      <c r="D3882" s="22">
        <f>+D3881+31</f>
        <v>46053</v>
      </c>
      <c r="E3882" s="23">
        <f t="shared" si="618"/>
        <v>31</v>
      </c>
      <c r="F3882" s="3">
        <f t="shared" si="619"/>
        <v>123162975.84392534</v>
      </c>
      <c r="G3882" s="3">
        <f t="shared" si="622"/>
        <v>7035893.5454911133</v>
      </c>
      <c r="H3882" s="3">
        <f t="shared" si="620"/>
        <v>1026358.1320327112</v>
      </c>
      <c r="I3882" s="3">
        <f t="shared" si="621"/>
        <v>6009535.4134584023</v>
      </c>
      <c r="J3882" s="3">
        <f t="shared" si="617"/>
        <v>117153440.43046694</v>
      </c>
    </row>
    <row r="3883" spans="2:12" x14ac:dyDescent="0.35">
      <c r="B3883" s="1">
        <f t="shared" si="624"/>
        <v>31</v>
      </c>
      <c r="C3883" s="22">
        <f>+C3882+31</f>
        <v>46054</v>
      </c>
      <c r="D3883" s="22">
        <f>+D3882+28</f>
        <v>46081</v>
      </c>
      <c r="E3883" s="23">
        <f t="shared" si="618"/>
        <v>28</v>
      </c>
      <c r="F3883" s="3">
        <f t="shared" si="619"/>
        <v>117153440.43046694</v>
      </c>
      <c r="G3883" s="3">
        <f t="shared" si="622"/>
        <v>7035893.5454911133</v>
      </c>
      <c r="H3883" s="3">
        <f t="shared" si="620"/>
        <v>976278.67025389115</v>
      </c>
      <c r="I3883" s="3">
        <f t="shared" si="621"/>
        <v>6059614.8752372218</v>
      </c>
      <c r="J3883" s="3">
        <f t="shared" si="617"/>
        <v>111093825.55522971</v>
      </c>
    </row>
    <row r="3884" spans="2:12" x14ac:dyDescent="0.35">
      <c r="B3884" s="1">
        <f t="shared" si="624"/>
        <v>32</v>
      </c>
      <c r="C3884" s="22">
        <f>+C3883+28</f>
        <v>46082</v>
      </c>
      <c r="D3884" s="22">
        <f>+D3883+31</f>
        <v>46112</v>
      </c>
      <c r="E3884" s="23">
        <f t="shared" si="618"/>
        <v>31</v>
      </c>
      <c r="F3884" s="3">
        <f t="shared" si="619"/>
        <v>111093825.55522971</v>
      </c>
      <c r="G3884" s="3">
        <f t="shared" si="622"/>
        <v>7035893.5454911133</v>
      </c>
      <c r="H3884" s="3">
        <f t="shared" si="620"/>
        <v>925781.87962691428</v>
      </c>
      <c r="I3884" s="3">
        <f t="shared" si="621"/>
        <v>6110111.6658641994</v>
      </c>
      <c r="J3884" s="3">
        <f t="shared" ref="J3884:J3900" si="625">F3884-I3884</f>
        <v>104983713.88936551</v>
      </c>
    </row>
    <row r="3885" spans="2:12" x14ac:dyDescent="0.35">
      <c r="B3885" s="1">
        <f t="shared" si="624"/>
        <v>33</v>
      </c>
      <c r="C3885" s="22">
        <f>+C3884+31</f>
        <v>46113</v>
      </c>
      <c r="D3885" s="22">
        <f>+D3884+30</f>
        <v>46142</v>
      </c>
      <c r="E3885" s="23">
        <f t="shared" si="618"/>
        <v>30</v>
      </c>
      <c r="F3885" s="3">
        <f t="shared" si="619"/>
        <v>104983713.88936551</v>
      </c>
      <c r="G3885" s="3">
        <f t="shared" si="622"/>
        <v>7035893.5454911133</v>
      </c>
      <c r="H3885" s="3">
        <f t="shared" si="620"/>
        <v>874864.28241137927</v>
      </c>
      <c r="I3885" s="3">
        <f t="shared" si="621"/>
        <v>6161029.2630797345</v>
      </c>
      <c r="J3885" s="3">
        <f t="shared" si="625"/>
        <v>98822684.626285776</v>
      </c>
    </row>
    <row r="3886" spans="2:12" x14ac:dyDescent="0.35">
      <c r="B3886" s="1">
        <f t="shared" si="624"/>
        <v>34</v>
      </c>
      <c r="C3886" s="22">
        <f>+C3885+30</f>
        <v>46143</v>
      </c>
      <c r="D3886" s="22">
        <f>+D3885+31</f>
        <v>46173</v>
      </c>
      <c r="E3886" s="23">
        <f t="shared" si="618"/>
        <v>31</v>
      </c>
      <c r="F3886" s="3">
        <f t="shared" si="619"/>
        <v>98822684.626285776</v>
      </c>
      <c r="G3886" s="3">
        <f t="shared" si="622"/>
        <v>7035893.5454911133</v>
      </c>
      <c r="H3886" s="3">
        <f t="shared" si="620"/>
        <v>823522.37188571482</v>
      </c>
      <c r="I3886" s="3">
        <f t="shared" si="621"/>
        <v>6212371.1736053983</v>
      </c>
      <c r="J3886" s="3">
        <f t="shared" si="625"/>
        <v>92610313.452680379</v>
      </c>
    </row>
    <row r="3887" spans="2:12" x14ac:dyDescent="0.35">
      <c r="B3887" s="1">
        <f t="shared" si="624"/>
        <v>35</v>
      </c>
      <c r="C3887" s="22">
        <f>+C3886+31</f>
        <v>46174</v>
      </c>
      <c r="D3887" s="22">
        <f>+D3886+30</f>
        <v>46203</v>
      </c>
      <c r="E3887" s="23">
        <f t="shared" si="618"/>
        <v>30</v>
      </c>
      <c r="F3887" s="3">
        <f t="shared" si="619"/>
        <v>92610313.452680379</v>
      </c>
      <c r="G3887" s="3">
        <f t="shared" si="622"/>
        <v>7035893.5454911133</v>
      </c>
      <c r="H3887" s="3">
        <f t="shared" si="620"/>
        <v>771752.6121056698</v>
      </c>
      <c r="I3887" s="3">
        <f t="shared" si="621"/>
        <v>6264140.9333854439</v>
      </c>
      <c r="J3887" s="3">
        <f t="shared" si="625"/>
        <v>86346172.519294932</v>
      </c>
    </row>
    <row r="3888" spans="2:12" x14ac:dyDescent="0.35">
      <c r="B3888" s="1">
        <f t="shared" si="624"/>
        <v>36</v>
      </c>
      <c r="C3888" s="22">
        <f>+C3887+30</f>
        <v>46204</v>
      </c>
      <c r="D3888" s="22">
        <f>+D3887+31</f>
        <v>46234</v>
      </c>
      <c r="E3888" s="23">
        <f t="shared" si="618"/>
        <v>31</v>
      </c>
      <c r="F3888" s="3">
        <f t="shared" si="619"/>
        <v>86346172.519294932</v>
      </c>
      <c r="G3888" s="3">
        <f t="shared" si="622"/>
        <v>7035893.5454911133</v>
      </c>
      <c r="H3888" s="3">
        <f t="shared" si="620"/>
        <v>719551.4376607911</v>
      </c>
      <c r="I3888" s="3">
        <f t="shared" si="621"/>
        <v>6316342.1078303223</v>
      </c>
      <c r="J3888" s="3">
        <f t="shared" si="625"/>
        <v>80029830.411464617</v>
      </c>
    </row>
    <row r="3889" spans="2:10" x14ac:dyDescent="0.35">
      <c r="B3889" s="1">
        <f t="shared" si="624"/>
        <v>37</v>
      </c>
      <c r="C3889" s="22">
        <f>+C3888+31</f>
        <v>46235</v>
      </c>
      <c r="D3889" s="22">
        <f>+D3888+31</f>
        <v>46265</v>
      </c>
      <c r="E3889" s="23">
        <f t="shared" si="618"/>
        <v>31</v>
      </c>
      <c r="F3889" s="3">
        <f t="shared" si="619"/>
        <v>80029830.411464617</v>
      </c>
      <c r="G3889" s="3">
        <f t="shared" si="622"/>
        <v>7035893.5454911133</v>
      </c>
      <c r="H3889" s="3">
        <f t="shared" si="620"/>
        <v>666915.25342887174</v>
      </c>
      <c r="I3889" s="3">
        <f t="shared" si="621"/>
        <v>6368978.2920622416</v>
      </c>
      <c r="J3889" s="3">
        <f t="shared" si="625"/>
        <v>73660852.119402379</v>
      </c>
    </row>
    <row r="3890" spans="2:10" x14ac:dyDescent="0.35">
      <c r="B3890" s="1">
        <f t="shared" si="624"/>
        <v>38</v>
      </c>
      <c r="C3890" s="22">
        <f>+C3889+31</f>
        <v>46266</v>
      </c>
      <c r="D3890" s="22">
        <f>+D3889+30</f>
        <v>46295</v>
      </c>
      <c r="E3890" s="23">
        <f t="shared" si="618"/>
        <v>30</v>
      </c>
      <c r="F3890" s="3">
        <f t="shared" si="619"/>
        <v>73660852.119402379</v>
      </c>
      <c r="G3890" s="3">
        <f t="shared" si="622"/>
        <v>7035893.5454911133</v>
      </c>
      <c r="H3890" s="3">
        <f t="shared" si="620"/>
        <v>613840.43432835315</v>
      </c>
      <c r="I3890" s="3">
        <f t="shared" si="621"/>
        <v>6422053.1111627603</v>
      </c>
      <c r="J3890" s="3">
        <f t="shared" si="625"/>
        <v>67238799.008239612</v>
      </c>
    </row>
    <row r="3891" spans="2:10" x14ac:dyDescent="0.35">
      <c r="B3891" s="1">
        <f t="shared" si="624"/>
        <v>39</v>
      </c>
      <c r="C3891" s="22">
        <f>+C3890+30</f>
        <v>46296</v>
      </c>
      <c r="D3891" s="22">
        <f>+D3890+31</f>
        <v>46326</v>
      </c>
      <c r="E3891" s="23">
        <f t="shared" si="618"/>
        <v>31</v>
      </c>
      <c r="F3891" s="3">
        <f t="shared" si="619"/>
        <v>67238799.008239612</v>
      </c>
      <c r="G3891" s="3">
        <f t="shared" si="622"/>
        <v>7035893.5454911133</v>
      </c>
      <c r="H3891" s="3">
        <f t="shared" si="620"/>
        <v>560323.32506866346</v>
      </c>
      <c r="I3891" s="3">
        <f t="shared" si="621"/>
        <v>6475570.2204224495</v>
      </c>
      <c r="J3891" s="3">
        <f t="shared" si="625"/>
        <v>60763228.787817165</v>
      </c>
    </row>
    <row r="3892" spans="2:10" x14ac:dyDescent="0.35">
      <c r="B3892" s="1">
        <f t="shared" si="624"/>
        <v>40</v>
      </c>
      <c r="C3892" s="22">
        <f>+C3891+31</f>
        <v>46327</v>
      </c>
      <c r="D3892" s="22">
        <f>+D3891+30</f>
        <v>46356</v>
      </c>
      <c r="E3892" s="23">
        <f t="shared" si="618"/>
        <v>30</v>
      </c>
      <c r="F3892" s="3">
        <f t="shared" si="619"/>
        <v>60763228.787817165</v>
      </c>
      <c r="G3892" s="3">
        <f t="shared" si="622"/>
        <v>7035893.5454911133</v>
      </c>
      <c r="H3892" s="3">
        <f t="shared" si="620"/>
        <v>506360.23989847634</v>
      </c>
      <c r="I3892" s="3">
        <f t="shared" si="621"/>
        <v>6529533.3055926366</v>
      </c>
      <c r="J3892" s="3">
        <f t="shared" si="625"/>
        <v>54233695.482224531</v>
      </c>
    </row>
    <row r="3893" spans="2:10" x14ac:dyDescent="0.35">
      <c r="B3893" s="1">
        <f t="shared" si="624"/>
        <v>41</v>
      </c>
      <c r="C3893" s="22">
        <f>+C3892+30</f>
        <v>46357</v>
      </c>
      <c r="D3893" s="22">
        <f>+D3892+31</f>
        <v>46387</v>
      </c>
      <c r="E3893" s="23">
        <f t="shared" si="618"/>
        <v>31</v>
      </c>
      <c r="F3893" s="3">
        <f t="shared" si="619"/>
        <v>54233695.482224531</v>
      </c>
      <c r="G3893" s="3">
        <f t="shared" si="622"/>
        <v>7035893.5454911133</v>
      </c>
      <c r="H3893" s="3">
        <f t="shared" si="620"/>
        <v>451947.46235187107</v>
      </c>
      <c r="I3893" s="3">
        <f t="shared" si="621"/>
        <v>6583946.0831392426</v>
      </c>
      <c r="J3893" s="3">
        <f t="shared" si="625"/>
        <v>47649749.399085291</v>
      </c>
    </row>
    <row r="3894" spans="2:10" x14ac:dyDescent="0.35">
      <c r="B3894" s="1">
        <f t="shared" si="624"/>
        <v>42</v>
      </c>
      <c r="C3894" s="22">
        <f>+C3893+31</f>
        <v>46388</v>
      </c>
      <c r="D3894" s="22">
        <f>+D3893+31</f>
        <v>46418</v>
      </c>
      <c r="E3894" s="23">
        <f t="shared" si="618"/>
        <v>31</v>
      </c>
      <c r="F3894" s="3">
        <f t="shared" si="619"/>
        <v>47649749.399085291</v>
      </c>
      <c r="G3894" s="3">
        <f t="shared" si="622"/>
        <v>7035893.5454911133</v>
      </c>
      <c r="H3894" s="3">
        <f t="shared" si="620"/>
        <v>397081.24499237741</v>
      </c>
      <c r="I3894" s="3">
        <f t="shared" si="621"/>
        <v>6638812.3004987361</v>
      </c>
      <c r="J3894" s="3">
        <f t="shared" si="625"/>
        <v>41010937.098586552</v>
      </c>
    </row>
    <row r="3895" spans="2:10" x14ac:dyDescent="0.35">
      <c r="B3895" s="1">
        <f t="shared" si="624"/>
        <v>43</v>
      </c>
      <c r="C3895" s="22">
        <f>+C3894+31</f>
        <v>46419</v>
      </c>
      <c r="D3895" s="22">
        <f>+D3894+28</f>
        <v>46446</v>
      </c>
      <c r="E3895" s="23">
        <f t="shared" si="618"/>
        <v>28</v>
      </c>
      <c r="F3895" s="3">
        <f t="shared" si="619"/>
        <v>41010937.098586552</v>
      </c>
      <c r="G3895" s="3">
        <f t="shared" si="622"/>
        <v>7035893.5454911133</v>
      </c>
      <c r="H3895" s="3">
        <f t="shared" si="620"/>
        <v>341757.80915488792</v>
      </c>
      <c r="I3895" s="3">
        <f t="shared" si="621"/>
        <v>6694135.7363362256</v>
      </c>
      <c r="J3895" s="3">
        <f t="shared" si="625"/>
        <v>34316801.362250328</v>
      </c>
    </row>
    <row r="3896" spans="2:10" x14ac:dyDescent="0.35">
      <c r="B3896" s="1">
        <f t="shared" si="624"/>
        <v>44</v>
      </c>
      <c r="C3896" s="22">
        <f>+C3895+28</f>
        <v>46447</v>
      </c>
      <c r="D3896" s="22">
        <f>+D3895+31</f>
        <v>46477</v>
      </c>
      <c r="E3896" s="23">
        <f t="shared" si="618"/>
        <v>31</v>
      </c>
      <c r="F3896" s="3">
        <f t="shared" si="619"/>
        <v>34316801.362250328</v>
      </c>
      <c r="G3896" s="3">
        <f t="shared" si="622"/>
        <v>7035893.5454911133</v>
      </c>
      <c r="H3896" s="3">
        <f t="shared" si="620"/>
        <v>285973.3446854194</v>
      </c>
      <c r="I3896" s="3">
        <f t="shared" si="621"/>
        <v>6749920.2008056939</v>
      </c>
      <c r="J3896" s="3">
        <f t="shared" si="625"/>
        <v>27566881.161444634</v>
      </c>
    </row>
    <row r="3897" spans="2:10" x14ac:dyDescent="0.35">
      <c r="B3897" s="1">
        <f t="shared" si="624"/>
        <v>45</v>
      </c>
      <c r="C3897" s="22">
        <f>+C3896+31</f>
        <v>46478</v>
      </c>
      <c r="D3897" s="22">
        <f>+D3896+30</f>
        <v>46507</v>
      </c>
      <c r="E3897" s="23">
        <f t="shared" si="618"/>
        <v>30</v>
      </c>
      <c r="F3897" s="3">
        <f t="shared" si="619"/>
        <v>27566881.161444634</v>
      </c>
      <c r="G3897" s="3">
        <f t="shared" si="622"/>
        <v>7035893.5454911133</v>
      </c>
      <c r="H3897" s="3">
        <f t="shared" si="620"/>
        <v>229724.00967870528</v>
      </c>
      <c r="I3897" s="3">
        <f t="shared" si="621"/>
        <v>6806169.5358124077</v>
      </c>
      <c r="J3897" s="3">
        <f t="shared" si="625"/>
        <v>20760711.625632226</v>
      </c>
    </row>
    <row r="3898" spans="2:10" x14ac:dyDescent="0.35">
      <c r="B3898" s="1">
        <f t="shared" si="624"/>
        <v>46</v>
      </c>
      <c r="C3898" s="22">
        <f>+C3897+30</f>
        <v>46508</v>
      </c>
      <c r="D3898" s="22">
        <f>+D3897+31</f>
        <v>46538</v>
      </c>
      <c r="E3898" s="23">
        <f t="shared" si="618"/>
        <v>31</v>
      </c>
      <c r="F3898" s="3">
        <f t="shared" si="619"/>
        <v>20760711.625632226</v>
      </c>
      <c r="G3898" s="3">
        <f t="shared" si="622"/>
        <v>7035893.5454911133</v>
      </c>
      <c r="H3898" s="3">
        <f t="shared" si="620"/>
        <v>173005.93021360188</v>
      </c>
      <c r="I3898" s="3">
        <f t="shared" si="621"/>
        <v>6862887.6152775111</v>
      </c>
      <c r="J3898" s="3">
        <f t="shared" si="625"/>
        <v>13897824.010354716</v>
      </c>
    </row>
    <row r="3899" spans="2:10" x14ac:dyDescent="0.35">
      <c r="B3899" s="1">
        <f t="shared" si="624"/>
        <v>47</v>
      </c>
      <c r="C3899" s="22">
        <f>+C3898+31</f>
        <v>46539</v>
      </c>
      <c r="D3899" s="22">
        <f>+D3898+30</f>
        <v>46568</v>
      </c>
      <c r="E3899" s="23">
        <f t="shared" si="618"/>
        <v>30</v>
      </c>
      <c r="F3899" s="3">
        <f t="shared" si="619"/>
        <v>13897824.010354716</v>
      </c>
      <c r="G3899" s="3">
        <f t="shared" si="622"/>
        <v>7035893.5454911133</v>
      </c>
      <c r="H3899" s="3">
        <f t="shared" si="620"/>
        <v>115815.2000862893</v>
      </c>
      <c r="I3899" s="3">
        <f t="shared" si="621"/>
        <v>6920078.3454048242</v>
      </c>
      <c r="J3899" s="3">
        <f t="shared" si="625"/>
        <v>6977745.6649498921</v>
      </c>
    </row>
    <row r="3900" spans="2:10" x14ac:dyDescent="0.35">
      <c r="B3900" s="1">
        <f t="shared" si="624"/>
        <v>48</v>
      </c>
      <c r="C3900" s="22">
        <f>+C3899+30</f>
        <v>46569</v>
      </c>
      <c r="D3900" s="22">
        <f>+D3899+31</f>
        <v>46599</v>
      </c>
      <c r="E3900" s="23">
        <f t="shared" si="618"/>
        <v>31</v>
      </c>
      <c r="F3900" s="3">
        <f t="shared" si="619"/>
        <v>6977745.6649498921</v>
      </c>
      <c r="G3900" s="3">
        <f t="shared" si="622"/>
        <v>7035893.5454911133</v>
      </c>
      <c r="H3900" s="3">
        <f t="shared" si="620"/>
        <v>58147.880541249098</v>
      </c>
      <c r="I3900" s="3">
        <f t="shared" si="621"/>
        <v>6977745.6649498641</v>
      </c>
      <c r="J3900" s="3">
        <f t="shared" si="625"/>
        <v>2.7939677238464355E-8</v>
      </c>
    </row>
    <row r="3903" spans="2:10" x14ac:dyDescent="0.35">
      <c r="E3903" s="6">
        <f>SUM(E3852:E3902)</f>
        <v>1459</v>
      </c>
    </row>
    <row r="3907" spans="2:19" x14ac:dyDescent="0.35">
      <c r="B3907" s="1"/>
      <c r="C3907" s="8" t="s">
        <v>620</v>
      </c>
      <c r="D3907" s="3"/>
      <c r="E3907" s="3"/>
      <c r="F3907" s="3"/>
      <c r="G3907" s="3"/>
      <c r="H3907" s="3"/>
      <c r="I3907" s="3"/>
      <c r="J3907" s="3"/>
      <c r="K3907" s="3"/>
      <c r="L3907" s="3"/>
      <c r="R3907" s="438" t="s">
        <v>832</v>
      </c>
      <c r="S3907" s="432" t="str">
        <f>IFERROR(INDEX(Blocks!$I$2:$I$101,MATCH(71,Blocks!$A$2:$A$101,0)),"")</f>
        <v>000104450000072</v>
      </c>
    </row>
    <row r="3908" spans="2:19" x14ac:dyDescent="0.35">
      <c r="B3908" s="1"/>
      <c r="C3908" s="1"/>
      <c r="D3908" s="3"/>
      <c r="E3908" s="3"/>
      <c r="F3908" s="3"/>
      <c r="G3908" s="3"/>
      <c r="H3908" s="3"/>
      <c r="I3908" s="3"/>
      <c r="J3908" s="3"/>
      <c r="K3908" s="3"/>
      <c r="L3908" s="3"/>
      <c r="R3908" s="438" t="s">
        <v>834</v>
      </c>
      <c r="S3908" s="432" t="str">
        <f>IFERROR(INDEX(Blocks!$H$2:$H$101,MATCH(71,Blocks!$A$2:$A$101,0)),"")</f>
        <v>Jescal Enterprise</v>
      </c>
    </row>
    <row r="3909" spans="2:19" x14ac:dyDescent="0.35">
      <c r="B3909" s="1"/>
      <c r="C3909" s="9" t="s">
        <v>835</v>
      </c>
      <c r="D3909" s="10">
        <v>15000000</v>
      </c>
      <c r="E3909" s="3"/>
      <c r="F3909" s="3"/>
      <c r="G3909" s="3"/>
      <c r="H3909" s="3"/>
      <c r="I3909" s="3"/>
      <c r="J3909" s="3"/>
      <c r="K3909" s="3"/>
      <c r="L3909" s="3"/>
      <c r="R3909" s="438" t="s">
        <v>223</v>
      </c>
      <c r="S3909" s="433">
        <f>IFERROR(INDEX('E-Banker master'!$N$2:$N$186,MATCH(S3907,'E-Banker master'!$A$2:$A$186,0)),"")</f>
        <v>15000000</v>
      </c>
    </row>
    <row r="3910" spans="2:19" x14ac:dyDescent="0.35">
      <c r="B3910" s="1"/>
      <c r="C3910" s="11" t="s">
        <v>837</v>
      </c>
      <c r="D3910" s="12">
        <v>0.1</v>
      </c>
      <c r="E3910" s="13"/>
      <c r="F3910" s="3"/>
      <c r="G3910" s="3"/>
      <c r="H3910" s="3"/>
      <c r="I3910" s="3"/>
      <c r="J3910" s="3"/>
      <c r="K3910" s="3"/>
      <c r="L3910" s="3"/>
      <c r="R3910" s="438" t="s">
        <v>52</v>
      </c>
      <c r="S3910" s="433">
        <f>IFERROR(INDEX('E-Banker master'!$P$2:$P$186,MATCH(S3907,'E-Banker master'!$A$2:$A$186,0)),"")</f>
        <v>6964564.7699999996</v>
      </c>
    </row>
    <row r="3911" spans="2:19" x14ac:dyDescent="0.35">
      <c r="B3911" s="1"/>
      <c r="C3911" s="11" t="s">
        <v>838</v>
      </c>
      <c r="D3911" s="14">
        <v>2</v>
      </c>
      <c r="E3911" s="1"/>
      <c r="F3911" s="3"/>
      <c r="G3911" s="3"/>
      <c r="H3911" s="3"/>
      <c r="I3911" s="3"/>
      <c r="J3911" s="3"/>
      <c r="K3911" s="1"/>
      <c r="L3911" s="1"/>
    </row>
    <row r="3912" spans="2:19" x14ac:dyDescent="0.35">
      <c r="B3912" s="1"/>
      <c r="C3912" s="11" t="s">
        <v>839</v>
      </c>
      <c r="D3912" s="14">
        <v>12</v>
      </c>
      <c r="E3912" s="1"/>
      <c r="F3912" s="3"/>
      <c r="G3912" s="3"/>
      <c r="H3912" s="3"/>
      <c r="I3912" s="3"/>
      <c r="J3912" s="3"/>
      <c r="K3912" s="1"/>
      <c r="L3912" s="1"/>
    </row>
    <row r="3913" spans="2:19" x14ac:dyDescent="0.35">
      <c r="B3913" s="1"/>
      <c r="C3913" s="11" t="s">
        <v>843</v>
      </c>
      <c r="D3913" s="15">
        <f>D3911*D3912</f>
        <v>24</v>
      </c>
      <c r="E3913" s="1"/>
      <c r="F3913" s="3"/>
      <c r="G3913" s="3"/>
      <c r="H3913" s="3"/>
      <c r="I3913" s="3"/>
      <c r="J3913" s="3"/>
      <c r="K3913" s="1"/>
      <c r="L3913" s="1"/>
    </row>
    <row r="3914" spans="2:19" x14ac:dyDescent="0.35">
      <c r="B3914" s="1"/>
      <c r="C3914" s="11" t="s">
        <v>844</v>
      </c>
      <c r="D3914" s="16">
        <v>365</v>
      </c>
      <c r="E3914" s="1"/>
      <c r="F3914" s="3"/>
      <c r="G3914" s="3"/>
      <c r="H3914" s="3"/>
      <c r="I3914" s="3"/>
      <c r="J3914" s="3"/>
      <c r="K3914" s="1"/>
      <c r="L3914" s="1"/>
    </row>
    <row r="3915" spans="2:19" x14ac:dyDescent="0.35">
      <c r="B3915" s="1"/>
      <c r="C3915" s="17" t="s">
        <v>845</v>
      </c>
      <c r="D3915" s="18">
        <f>-PMT(D3910/D3912,D3913,D3909,0,0)</f>
        <v>692173.89506274764</v>
      </c>
      <c r="E3915" s="3"/>
      <c r="F3915" s="3"/>
      <c r="G3915" s="3"/>
      <c r="H3915" s="3"/>
      <c r="I3915" s="3"/>
      <c r="J3915" s="3"/>
      <c r="K3915" s="1"/>
      <c r="L3915" s="1"/>
    </row>
    <row r="3916" spans="2:19" x14ac:dyDescent="0.35">
      <c r="B3916" s="1"/>
      <c r="C3916" s="1"/>
      <c r="D3916" s="3"/>
      <c r="E3916" s="3"/>
      <c r="F3916" s="3"/>
      <c r="G3916" s="3"/>
      <c r="H3916" s="3"/>
      <c r="I3916" s="3"/>
      <c r="J3916" s="3"/>
      <c r="K3916" s="1"/>
      <c r="L3916" s="1"/>
    </row>
    <row r="3917" spans="2:19" x14ac:dyDescent="0.35">
      <c r="B3917" s="1"/>
      <c r="C3917" s="19" t="s">
        <v>846</v>
      </c>
      <c r="D3917" s="20" t="s">
        <v>847</v>
      </c>
      <c r="E3917" s="20" t="s">
        <v>764</v>
      </c>
      <c r="F3917" s="270" t="s">
        <v>848</v>
      </c>
      <c r="G3917" s="270" t="s">
        <v>849</v>
      </c>
      <c r="H3917" s="270" t="s">
        <v>742</v>
      </c>
      <c r="I3917" s="270" t="s">
        <v>740</v>
      </c>
      <c r="J3917" s="270" t="s">
        <v>850</v>
      </c>
      <c r="K3917" s="21" t="s">
        <v>851</v>
      </c>
      <c r="L3917" s="21" t="s">
        <v>852</v>
      </c>
    </row>
    <row r="3918" spans="2:19" x14ac:dyDescent="0.35">
      <c r="B3918" s="1">
        <v>0</v>
      </c>
      <c r="C3918" s="22">
        <v>45138</v>
      </c>
      <c r="D3918" s="22">
        <v>45138</v>
      </c>
      <c r="E3918" s="23">
        <v>0</v>
      </c>
      <c r="F3918" s="3">
        <f>D3909</f>
        <v>15000000</v>
      </c>
      <c r="G3918" s="3"/>
      <c r="H3918" s="3">
        <f>($D$3629/$D$3631*F3918)*E3918</f>
        <v>0</v>
      </c>
      <c r="I3918" s="3">
        <f>-H3918</f>
        <v>0</v>
      </c>
      <c r="J3918" s="3">
        <f>F3918-I3918</f>
        <v>15000000</v>
      </c>
      <c r="K3918" s="24"/>
      <c r="L3918" s="24"/>
    </row>
    <row r="3919" spans="2:19" x14ac:dyDescent="0.35">
      <c r="B3919" s="1">
        <v>1</v>
      </c>
      <c r="C3919" s="22">
        <v>45139</v>
      </c>
      <c r="D3919" s="22">
        <v>45169</v>
      </c>
      <c r="E3919" s="23">
        <f t="shared" ref="E3919:E3942" si="626">D3919-C3919+1</f>
        <v>31</v>
      </c>
      <c r="F3919" s="3">
        <f t="shared" ref="F3919:F3942" si="627">J3918</f>
        <v>15000000</v>
      </c>
      <c r="G3919" s="3"/>
      <c r="H3919" s="3">
        <f t="shared" ref="H3919:H3942" si="628">($D$3910/$D$3912*F3919)</f>
        <v>125000</v>
      </c>
      <c r="I3919" s="3">
        <f>-H3919</f>
        <v>-125000</v>
      </c>
      <c r="J3919" s="3">
        <f>F3919-I3919</f>
        <v>15125000</v>
      </c>
    </row>
    <row r="3920" spans="2:19" x14ac:dyDescent="0.35">
      <c r="B3920" s="1">
        <v>2</v>
      </c>
      <c r="C3920" s="22">
        <f>+C3919+31</f>
        <v>45170</v>
      </c>
      <c r="D3920" s="22">
        <f>+C3920+29</f>
        <v>45199</v>
      </c>
      <c r="E3920" s="23">
        <f t="shared" si="626"/>
        <v>30</v>
      </c>
      <c r="F3920" s="3">
        <f t="shared" si="627"/>
        <v>15125000</v>
      </c>
      <c r="G3920" s="3"/>
      <c r="H3920" s="3">
        <f t="shared" si="628"/>
        <v>126041.66666666667</v>
      </c>
      <c r="I3920" s="3">
        <f>-H3920</f>
        <v>-126041.66666666667</v>
      </c>
      <c r="J3920" s="3">
        <f>F3920-I3920</f>
        <v>15251041.666666666</v>
      </c>
      <c r="K3920" s="24"/>
      <c r="L3920" s="24"/>
    </row>
    <row r="3921" spans="2:12" x14ac:dyDescent="0.35">
      <c r="B3921" s="1">
        <v>3</v>
      </c>
      <c r="C3921" s="22">
        <f>+C3920+30</f>
        <v>45200</v>
      </c>
      <c r="D3921" s="22">
        <v>45230</v>
      </c>
      <c r="E3921" s="23">
        <f t="shared" si="626"/>
        <v>31</v>
      </c>
      <c r="F3921" s="3">
        <f t="shared" si="627"/>
        <v>15251041.666666666</v>
      </c>
      <c r="G3921" s="3"/>
      <c r="H3921" s="3">
        <f t="shared" si="628"/>
        <v>127092.01388888888</v>
      </c>
      <c r="I3921" s="3">
        <f t="shared" ref="I3921:I3942" si="629">G3921-H3921</f>
        <v>-127092.01388888888</v>
      </c>
      <c r="J3921" s="3">
        <f>F3921-I3921-K3921</f>
        <v>13578133.680555554</v>
      </c>
      <c r="K3921" s="24">
        <v>1800000</v>
      </c>
      <c r="L3921" s="3">
        <f t="shared" ref="L3921:L3933" si="630">L3920+G3921-K3921</f>
        <v>-1800000</v>
      </c>
    </row>
    <row r="3922" spans="2:12" x14ac:dyDescent="0.35">
      <c r="B3922" s="1">
        <v>4</v>
      </c>
      <c r="C3922" s="22">
        <f>+C3921+31</f>
        <v>45231</v>
      </c>
      <c r="D3922" s="22">
        <v>45260</v>
      </c>
      <c r="E3922" s="23">
        <f t="shared" si="626"/>
        <v>30</v>
      </c>
      <c r="F3922" s="3">
        <f t="shared" si="627"/>
        <v>13578133.680555554</v>
      </c>
      <c r="G3922" s="3">
        <f t="shared" ref="G3922:G3942" si="631">-PMT($D$3910/$D$3912,21,$F$3922,,0)</f>
        <v>707486.1508464088</v>
      </c>
      <c r="H3922" s="3">
        <f t="shared" si="628"/>
        <v>113151.11400462962</v>
      </c>
      <c r="I3922" s="3">
        <f t="shared" si="629"/>
        <v>594335.03684177913</v>
      </c>
      <c r="J3922" s="3">
        <f t="shared" ref="J3922:J3942" si="632">F3922-I3922</f>
        <v>12983798.643713774</v>
      </c>
      <c r="K3922" s="24"/>
      <c r="L3922" s="3">
        <f t="shared" si="630"/>
        <v>-1092513.8491535913</v>
      </c>
    </row>
    <row r="3923" spans="2:12" x14ac:dyDescent="0.35">
      <c r="B3923" s="1">
        <v>5</v>
      </c>
      <c r="C3923" s="22">
        <f>+C3922+30</f>
        <v>45261</v>
      </c>
      <c r="D3923" s="22">
        <v>45291</v>
      </c>
      <c r="E3923" s="23">
        <f t="shared" si="626"/>
        <v>31</v>
      </c>
      <c r="F3923" s="3">
        <f t="shared" si="627"/>
        <v>12983798.643713774</v>
      </c>
      <c r="G3923" s="3">
        <f t="shared" si="631"/>
        <v>707486.1508464088</v>
      </c>
      <c r="H3923" s="3">
        <f t="shared" si="628"/>
        <v>108198.32203094811</v>
      </c>
      <c r="I3923" s="3">
        <f t="shared" si="629"/>
        <v>599287.82881546067</v>
      </c>
      <c r="J3923" s="3">
        <f t="shared" si="632"/>
        <v>12384510.814898314</v>
      </c>
      <c r="K3923" s="24">
        <v>850000</v>
      </c>
      <c r="L3923" s="3">
        <f t="shared" si="630"/>
        <v>-1235027.6983071826</v>
      </c>
    </row>
    <row r="3924" spans="2:12" x14ac:dyDescent="0.35">
      <c r="B3924" s="1">
        <v>6</v>
      </c>
      <c r="C3924" s="22">
        <f>+C3923+31</f>
        <v>45292</v>
      </c>
      <c r="D3924" s="22">
        <f>+C3924+30</f>
        <v>45322</v>
      </c>
      <c r="E3924" s="23">
        <f t="shared" si="626"/>
        <v>31</v>
      </c>
      <c r="F3924" s="3">
        <f t="shared" si="627"/>
        <v>12384510.814898314</v>
      </c>
      <c r="G3924" s="3">
        <f t="shared" si="631"/>
        <v>707486.1508464088</v>
      </c>
      <c r="H3924" s="3">
        <f t="shared" si="628"/>
        <v>103204.25679081929</v>
      </c>
      <c r="I3924" s="3">
        <f t="shared" si="629"/>
        <v>604281.89405558957</v>
      </c>
      <c r="J3924" s="3">
        <f t="shared" si="632"/>
        <v>11780228.920842724</v>
      </c>
      <c r="K3924" s="24">
        <v>800000</v>
      </c>
      <c r="L3924" s="3">
        <f t="shared" si="630"/>
        <v>-1327541.547460774</v>
      </c>
    </row>
    <row r="3925" spans="2:12" x14ac:dyDescent="0.35">
      <c r="B3925" s="1">
        <v>7</v>
      </c>
      <c r="C3925" s="22">
        <f>+C3924+31</f>
        <v>45323</v>
      </c>
      <c r="D3925" s="22">
        <f>+C3925+28</f>
        <v>45351</v>
      </c>
      <c r="E3925" s="23">
        <f t="shared" si="626"/>
        <v>29</v>
      </c>
      <c r="F3925" s="3">
        <f t="shared" si="627"/>
        <v>11780228.920842724</v>
      </c>
      <c r="G3925" s="3">
        <f t="shared" si="631"/>
        <v>707486.1508464088</v>
      </c>
      <c r="H3925" s="3">
        <f t="shared" si="628"/>
        <v>98168.574340356034</v>
      </c>
      <c r="I3925" s="3">
        <f t="shared" si="629"/>
        <v>609317.57650605275</v>
      </c>
      <c r="J3925" s="3">
        <f t="shared" si="632"/>
        <v>11170911.344336672</v>
      </c>
      <c r="K3925" s="24">
        <v>1000000</v>
      </c>
      <c r="L3925" s="3">
        <f t="shared" si="630"/>
        <v>-1620055.3966143653</v>
      </c>
    </row>
    <row r="3926" spans="2:12" x14ac:dyDescent="0.35">
      <c r="B3926" s="1">
        <v>8</v>
      </c>
      <c r="C3926" s="22">
        <f>+C3925+29</f>
        <v>45352</v>
      </c>
      <c r="D3926" s="22">
        <f>+C3926+30</f>
        <v>45382</v>
      </c>
      <c r="E3926" s="23">
        <f t="shared" si="626"/>
        <v>31</v>
      </c>
      <c r="F3926" s="3">
        <f t="shared" si="627"/>
        <v>11170911.344336672</v>
      </c>
      <c r="G3926" s="3">
        <f t="shared" si="631"/>
        <v>707486.1508464088</v>
      </c>
      <c r="H3926" s="3">
        <f t="shared" si="628"/>
        <v>93090.92786947226</v>
      </c>
      <c r="I3926" s="3">
        <f t="shared" si="629"/>
        <v>614395.22297693649</v>
      </c>
      <c r="J3926" s="3">
        <f t="shared" si="632"/>
        <v>10556516.121359736</v>
      </c>
      <c r="K3926" s="24">
        <v>1000000</v>
      </c>
      <c r="L3926" s="3">
        <f t="shared" si="630"/>
        <v>-1912569.2457679566</v>
      </c>
    </row>
    <row r="3927" spans="2:12" x14ac:dyDescent="0.35">
      <c r="B3927" s="1">
        <v>9</v>
      </c>
      <c r="C3927" s="22">
        <f>+C3926+31</f>
        <v>45383</v>
      </c>
      <c r="D3927" s="22">
        <f>+C3927+29</f>
        <v>45412</v>
      </c>
      <c r="E3927" s="23">
        <f t="shared" si="626"/>
        <v>30</v>
      </c>
      <c r="F3927" s="3">
        <f t="shared" si="627"/>
        <v>10556516.121359736</v>
      </c>
      <c r="G3927" s="3">
        <f t="shared" si="631"/>
        <v>707486.1508464088</v>
      </c>
      <c r="H3927" s="3">
        <f t="shared" si="628"/>
        <v>87970.967677997804</v>
      </c>
      <c r="I3927" s="3">
        <f t="shared" si="629"/>
        <v>619515.18316841102</v>
      </c>
      <c r="J3927" s="3">
        <f t="shared" si="632"/>
        <v>9937000.9381913245</v>
      </c>
      <c r="K3927" s="24">
        <v>1000000</v>
      </c>
      <c r="L3927" s="3">
        <f t="shared" si="630"/>
        <v>-2205083.0949215479</v>
      </c>
    </row>
    <row r="3928" spans="2:12" x14ac:dyDescent="0.35">
      <c r="B3928" s="1">
        <v>10</v>
      </c>
      <c r="C3928" s="22">
        <f>+C3927+30</f>
        <v>45413</v>
      </c>
      <c r="D3928" s="22">
        <f>+C3928+30</f>
        <v>45443</v>
      </c>
      <c r="E3928" s="23">
        <f t="shared" si="626"/>
        <v>31</v>
      </c>
      <c r="F3928" s="3">
        <f t="shared" si="627"/>
        <v>9937000.9381913245</v>
      </c>
      <c r="G3928" s="3">
        <f t="shared" si="631"/>
        <v>707486.1508464088</v>
      </c>
      <c r="H3928" s="3">
        <f t="shared" si="628"/>
        <v>82808.341151594374</v>
      </c>
      <c r="I3928" s="3">
        <f t="shared" si="629"/>
        <v>624677.80969481438</v>
      </c>
      <c r="J3928" s="3">
        <f t="shared" si="632"/>
        <v>9312323.1284965109</v>
      </c>
      <c r="K3928" s="24"/>
      <c r="L3928" s="3">
        <f t="shared" si="630"/>
        <v>-1497596.9440751392</v>
      </c>
    </row>
    <row r="3929" spans="2:12" x14ac:dyDescent="0.35">
      <c r="B3929" s="1">
        <v>11</v>
      </c>
      <c r="C3929" s="22">
        <f>+C3928+31</f>
        <v>45444</v>
      </c>
      <c r="D3929" s="22">
        <f>+C3929+29</f>
        <v>45473</v>
      </c>
      <c r="E3929" s="23">
        <f t="shared" si="626"/>
        <v>30</v>
      </c>
      <c r="F3929" s="3">
        <f t="shared" si="627"/>
        <v>9312323.1284965109</v>
      </c>
      <c r="G3929" s="3">
        <f t="shared" si="631"/>
        <v>707486.1508464088</v>
      </c>
      <c r="H3929" s="3">
        <f t="shared" si="628"/>
        <v>77602.692737470919</v>
      </c>
      <c r="I3929" s="3">
        <f t="shared" si="629"/>
        <v>629883.45810893783</v>
      </c>
      <c r="J3929" s="3">
        <f t="shared" si="632"/>
        <v>8682439.6703875735</v>
      </c>
      <c r="K3929" s="24">
        <v>1000000</v>
      </c>
      <c r="L3929" s="3">
        <f t="shared" si="630"/>
        <v>-1790110.7932287306</v>
      </c>
    </row>
    <row r="3930" spans="2:12" x14ac:dyDescent="0.35">
      <c r="B3930" s="1">
        <v>12</v>
      </c>
      <c r="C3930" s="22">
        <f>+C3929+30</f>
        <v>45474</v>
      </c>
      <c r="D3930" s="22">
        <f>+C3930+30</f>
        <v>45504</v>
      </c>
      <c r="E3930" s="23">
        <f t="shared" si="626"/>
        <v>31</v>
      </c>
      <c r="F3930" s="3">
        <f t="shared" si="627"/>
        <v>8682439.6703875735</v>
      </c>
      <c r="G3930" s="3">
        <f t="shared" si="631"/>
        <v>707486.1508464088</v>
      </c>
      <c r="H3930" s="3">
        <f t="shared" si="628"/>
        <v>72353.66391989644</v>
      </c>
      <c r="I3930" s="3">
        <f t="shared" si="629"/>
        <v>635132.48692651233</v>
      </c>
      <c r="J3930" s="3">
        <f t="shared" si="632"/>
        <v>8047307.1834610607</v>
      </c>
      <c r="K3930" s="24">
        <v>0</v>
      </c>
      <c r="L3930" s="3">
        <f t="shared" si="630"/>
        <v>-1082624.6423823219</v>
      </c>
    </row>
    <row r="3931" spans="2:12" x14ac:dyDescent="0.35">
      <c r="B3931" s="1">
        <v>13</v>
      </c>
      <c r="C3931" s="22">
        <f>+C3930+31</f>
        <v>45505</v>
      </c>
      <c r="D3931" s="22">
        <f>+C3931+30</f>
        <v>45535</v>
      </c>
      <c r="E3931" s="23">
        <f t="shared" si="626"/>
        <v>31</v>
      </c>
      <c r="F3931" s="3">
        <f t="shared" si="627"/>
        <v>8047307.1834610607</v>
      </c>
      <c r="G3931" s="3">
        <f t="shared" si="631"/>
        <v>707486.1508464088</v>
      </c>
      <c r="H3931" s="3">
        <f t="shared" si="628"/>
        <v>67060.893195508834</v>
      </c>
      <c r="I3931" s="3">
        <f t="shared" si="629"/>
        <v>640425.25765089993</v>
      </c>
      <c r="J3931" s="3">
        <f t="shared" si="632"/>
        <v>7406881.925810161</v>
      </c>
      <c r="K3931" s="24">
        <v>1000000</v>
      </c>
      <c r="L3931" s="3">
        <f t="shared" si="630"/>
        <v>-1375138.4915359132</v>
      </c>
    </row>
    <row r="3932" spans="2:12" x14ac:dyDescent="0.35">
      <c r="B3932" s="1">
        <v>14</v>
      </c>
      <c r="C3932" s="22">
        <f>+C3931+31</f>
        <v>45536</v>
      </c>
      <c r="D3932" s="22">
        <f>+C3932+29</f>
        <v>45565</v>
      </c>
      <c r="E3932" s="23">
        <f t="shared" si="626"/>
        <v>30</v>
      </c>
      <c r="F3932" s="3">
        <f t="shared" si="627"/>
        <v>7406881.925810161</v>
      </c>
      <c r="G3932" s="3">
        <f t="shared" si="631"/>
        <v>707486.1508464088</v>
      </c>
      <c r="H3932" s="3">
        <f t="shared" si="628"/>
        <v>61724.016048418009</v>
      </c>
      <c r="I3932" s="3">
        <f t="shared" si="629"/>
        <v>645762.13479799079</v>
      </c>
      <c r="J3932" s="3">
        <f t="shared" si="632"/>
        <v>6761119.7910121698</v>
      </c>
      <c r="K3932" s="24"/>
      <c r="L3932" s="3">
        <f t="shared" si="630"/>
        <v>-667652.3406895044</v>
      </c>
    </row>
    <row r="3933" spans="2:12" x14ac:dyDescent="0.35">
      <c r="B3933" s="1">
        <v>15</v>
      </c>
      <c r="C3933" s="22">
        <f>+C3932+30</f>
        <v>45566</v>
      </c>
      <c r="D3933" s="22">
        <f>+C3933+30</f>
        <v>45596</v>
      </c>
      <c r="E3933" s="23">
        <f t="shared" si="626"/>
        <v>31</v>
      </c>
      <c r="F3933" s="3">
        <f t="shared" si="627"/>
        <v>6761119.7910121698</v>
      </c>
      <c r="G3933" s="3">
        <f t="shared" si="631"/>
        <v>707486.1508464088</v>
      </c>
      <c r="H3933" s="3">
        <f t="shared" si="628"/>
        <v>56342.664925101417</v>
      </c>
      <c r="I3933" s="3">
        <f t="shared" si="629"/>
        <v>651143.48592130735</v>
      </c>
      <c r="J3933" s="3">
        <f t="shared" si="632"/>
        <v>6109976.3050908623</v>
      </c>
      <c r="K3933" s="24">
        <v>1000000</v>
      </c>
      <c r="L3933" s="272">
        <f t="shared" si="630"/>
        <v>-960166.18984309561</v>
      </c>
    </row>
    <row r="3934" spans="2:12" x14ac:dyDescent="0.35">
      <c r="B3934" s="1">
        <v>16</v>
      </c>
      <c r="C3934" s="22">
        <f>+C3933+31</f>
        <v>45597</v>
      </c>
      <c r="D3934" s="22">
        <f>+C3934+29</f>
        <v>45626</v>
      </c>
      <c r="E3934" s="23">
        <f t="shared" si="626"/>
        <v>30</v>
      </c>
      <c r="F3934" s="3">
        <f t="shared" si="627"/>
        <v>6109976.3050908623</v>
      </c>
      <c r="G3934" s="3">
        <f t="shared" si="631"/>
        <v>707486.1508464088</v>
      </c>
      <c r="H3934" s="3">
        <f t="shared" si="628"/>
        <v>50916.469209090516</v>
      </c>
      <c r="I3934" s="3">
        <f t="shared" si="629"/>
        <v>656569.68163731834</v>
      </c>
      <c r="J3934" s="3">
        <f t="shared" si="632"/>
        <v>5453406.6234535445</v>
      </c>
      <c r="K3934" s="24"/>
      <c r="L3934" s="24"/>
    </row>
    <row r="3935" spans="2:12" x14ac:dyDescent="0.35">
      <c r="B3935" s="1">
        <v>17</v>
      </c>
      <c r="C3935" s="22">
        <f>+C3934+30</f>
        <v>45627</v>
      </c>
      <c r="D3935" s="22">
        <f>+C3935+30</f>
        <v>45657</v>
      </c>
      <c r="E3935" s="23">
        <f t="shared" si="626"/>
        <v>31</v>
      </c>
      <c r="F3935" s="3">
        <f t="shared" si="627"/>
        <v>5453406.6234535445</v>
      </c>
      <c r="G3935" s="3">
        <f t="shared" si="631"/>
        <v>707486.1508464088</v>
      </c>
      <c r="H3935" s="3">
        <f t="shared" si="628"/>
        <v>45445.055195446206</v>
      </c>
      <c r="I3935" s="3">
        <f t="shared" si="629"/>
        <v>662041.09565096255</v>
      </c>
      <c r="J3935" s="3">
        <f t="shared" si="632"/>
        <v>4791365.5278025819</v>
      </c>
      <c r="K3935" s="24"/>
      <c r="L3935" s="24"/>
    </row>
    <row r="3936" spans="2:12" x14ac:dyDescent="0.35">
      <c r="B3936" s="1">
        <v>18</v>
      </c>
      <c r="C3936" s="22">
        <f>+C3935+31</f>
        <v>45658</v>
      </c>
      <c r="D3936" s="22">
        <f>+C3936+30</f>
        <v>45688</v>
      </c>
      <c r="E3936" s="23">
        <f t="shared" si="626"/>
        <v>31</v>
      </c>
      <c r="F3936" s="3">
        <f t="shared" si="627"/>
        <v>4791365.5278025819</v>
      </c>
      <c r="G3936" s="3">
        <f t="shared" si="631"/>
        <v>707486.1508464088</v>
      </c>
      <c r="H3936" s="3">
        <f t="shared" si="628"/>
        <v>39928.046065021517</v>
      </c>
      <c r="I3936" s="3">
        <f t="shared" si="629"/>
        <v>667558.10478138726</v>
      </c>
      <c r="J3936" s="3">
        <f t="shared" si="632"/>
        <v>4123807.4230211945</v>
      </c>
      <c r="K3936" s="24"/>
      <c r="L3936" s="24"/>
    </row>
    <row r="3937" spans="2:19" x14ac:dyDescent="0.35">
      <c r="B3937" s="1">
        <v>19</v>
      </c>
      <c r="C3937" s="22">
        <f>+C3936+31</f>
        <v>45689</v>
      </c>
      <c r="D3937" s="22">
        <f>+C3937+27</f>
        <v>45716</v>
      </c>
      <c r="E3937" s="23">
        <f t="shared" si="626"/>
        <v>28</v>
      </c>
      <c r="F3937" s="3">
        <f t="shared" si="627"/>
        <v>4123807.4230211945</v>
      </c>
      <c r="G3937" s="3">
        <f t="shared" si="631"/>
        <v>707486.1508464088</v>
      </c>
      <c r="H3937" s="3">
        <f t="shared" si="628"/>
        <v>34365.061858509951</v>
      </c>
      <c r="I3937" s="3">
        <f t="shared" si="629"/>
        <v>673121.0889878989</v>
      </c>
      <c r="J3937" s="3">
        <f t="shared" si="632"/>
        <v>3450686.3340332955</v>
      </c>
      <c r="K3937" s="24"/>
      <c r="L3937" s="24"/>
    </row>
    <row r="3938" spans="2:19" x14ac:dyDescent="0.35">
      <c r="B3938" s="1">
        <v>20</v>
      </c>
      <c r="C3938" s="22">
        <f>+C3937+28</f>
        <v>45717</v>
      </c>
      <c r="D3938" s="22">
        <f>+C3938+30</f>
        <v>45747</v>
      </c>
      <c r="E3938" s="23">
        <f t="shared" si="626"/>
        <v>31</v>
      </c>
      <c r="F3938" s="3">
        <f t="shared" si="627"/>
        <v>3450686.3340332955</v>
      </c>
      <c r="G3938" s="3">
        <f t="shared" si="631"/>
        <v>707486.1508464088</v>
      </c>
      <c r="H3938" s="3">
        <f t="shared" si="628"/>
        <v>28755.719450277462</v>
      </c>
      <c r="I3938" s="3">
        <f t="shared" si="629"/>
        <v>678730.43139613129</v>
      </c>
      <c r="J3938" s="3">
        <f t="shared" si="632"/>
        <v>2771955.9026371641</v>
      </c>
      <c r="K3938" s="24"/>
      <c r="L3938" s="24"/>
    </row>
    <row r="3939" spans="2:19" x14ac:dyDescent="0.35">
      <c r="B3939" s="1">
        <v>21</v>
      </c>
      <c r="C3939" s="22">
        <f>+C3938+31</f>
        <v>45748</v>
      </c>
      <c r="D3939" s="22">
        <f>+C3939+29</f>
        <v>45777</v>
      </c>
      <c r="E3939" s="23">
        <f t="shared" si="626"/>
        <v>30</v>
      </c>
      <c r="F3939" s="3">
        <f t="shared" si="627"/>
        <v>2771955.9026371641</v>
      </c>
      <c r="G3939" s="3">
        <f t="shared" si="631"/>
        <v>707486.1508464088</v>
      </c>
      <c r="H3939" s="3">
        <f t="shared" si="628"/>
        <v>23099.632521976368</v>
      </c>
      <c r="I3939" s="3">
        <f t="shared" si="629"/>
        <v>684386.51832443243</v>
      </c>
      <c r="J3939" s="3">
        <f t="shared" si="632"/>
        <v>2087569.3843127317</v>
      </c>
      <c r="K3939" s="24"/>
      <c r="L3939" s="24"/>
    </row>
    <row r="3940" spans="2:19" x14ac:dyDescent="0.35">
      <c r="B3940" s="1">
        <v>22</v>
      </c>
      <c r="C3940" s="22">
        <f>+C3939+30</f>
        <v>45778</v>
      </c>
      <c r="D3940" s="22">
        <f>+C3940+30</f>
        <v>45808</v>
      </c>
      <c r="E3940" s="23">
        <f t="shared" si="626"/>
        <v>31</v>
      </c>
      <c r="F3940" s="3">
        <f t="shared" si="627"/>
        <v>2087569.3843127317</v>
      </c>
      <c r="G3940" s="3">
        <f t="shared" si="631"/>
        <v>707486.1508464088</v>
      </c>
      <c r="H3940" s="3">
        <f t="shared" si="628"/>
        <v>17396.411535939431</v>
      </c>
      <c r="I3940" s="3">
        <f t="shared" si="629"/>
        <v>690089.73931046936</v>
      </c>
      <c r="J3940" s="3">
        <f t="shared" si="632"/>
        <v>1397479.6450022622</v>
      </c>
      <c r="K3940" s="24"/>
      <c r="L3940" s="24"/>
    </row>
    <row r="3941" spans="2:19" x14ac:dyDescent="0.35">
      <c r="B3941" s="1">
        <v>23</v>
      </c>
      <c r="C3941" s="22">
        <f>+C3940+31</f>
        <v>45809</v>
      </c>
      <c r="D3941" s="22">
        <f>+D3940+30</f>
        <v>45838</v>
      </c>
      <c r="E3941" s="23">
        <f t="shared" si="626"/>
        <v>30</v>
      </c>
      <c r="F3941" s="3">
        <f t="shared" si="627"/>
        <v>1397479.6450022622</v>
      </c>
      <c r="G3941" s="3">
        <f t="shared" si="631"/>
        <v>707486.1508464088</v>
      </c>
      <c r="H3941" s="3">
        <f t="shared" si="628"/>
        <v>11645.663708352185</v>
      </c>
      <c r="I3941" s="3">
        <f t="shared" si="629"/>
        <v>695840.48713805666</v>
      </c>
      <c r="J3941" s="3">
        <f t="shared" si="632"/>
        <v>701639.15786420554</v>
      </c>
      <c r="K3941" s="24"/>
      <c r="L3941" s="24"/>
    </row>
    <row r="3942" spans="2:19" x14ac:dyDescent="0.35">
      <c r="B3942" s="1">
        <f>+B3941+1</f>
        <v>24</v>
      </c>
      <c r="C3942" s="22">
        <f>+C3941+30</f>
        <v>45839</v>
      </c>
      <c r="D3942" s="22">
        <f>+D3941+30</f>
        <v>45868</v>
      </c>
      <c r="E3942" s="23">
        <f t="shared" si="626"/>
        <v>30</v>
      </c>
      <c r="F3942" s="3">
        <f t="shared" si="627"/>
        <v>701639.15786420554</v>
      </c>
      <c r="G3942" s="3">
        <f t="shared" si="631"/>
        <v>707486.1508464088</v>
      </c>
      <c r="H3942" s="3">
        <f t="shared" si="628"/>
        <v>5846.9929822017129</v>
      </c>
      <c r="I3942" s="3">
        <f t="shared" si="629"/>
        <v>701639.15786420705</v>
      </c>
      <c r="J3942" s="3">
        <f t="shared" si="632"/>
        <v>-1.5133991837501526E-9</v>
      </c>
    </row>
    <row r="3944" spans="2:19" x14ac:dyDescent="0.35">
      <c r="E3944" s="6">
        <f>SUM(E3918:E3943)</f>
        <v>730</v>
      </c>
    </row>
    <row r="3949" spans="2:19" x14ac:dyDescent="0.35">
      <c r="B3949" s="1"/>
      <c r="C3949" s="8" t="s">
        <v>648</v>
      </c>
      <c r="D3949" s="3"/>
      <c r="E3949" s="3"/>
      <c r="F3949" s="3"/>
      <c r="G3949" s="3"/>
      <c r="H3949" s="3"/>
      <c r="I3949" s="3"/>
      <c r="J3949" s="3"/>
      <c r="K3949" s="3"/>
      <c r="L3949" s="3"/>
      <c r="R3949" s="438" t="s">
        <v>832</v>
      </c>
      <c r="S3949" s="432" t="str">
        <f>IFERROR(INDEX(Blocks!$I$2:$I$101,MATCH(72,Blocks!$A$2:$A$101,0)),"")</f>
        <v>000104460000073</v>
      </c>
    </row>
    <row r="3950" spans="2:19" x14ac:dyDescent="0.35">
      <c r="B3950" s="1"/>
      <c r="C3950" s="1"/>
      <c r="D3950" s="3"/>
      <c r="E3950" s="3"/>
      <c r="F3950" s="3"/>
      <c r="G3950" s="3"/>
      <c r="H3950" s="3"/>
      <c r="I3950" s="3"/>
      <c r="J3950" s="3"/>
      <c r="K3950" s="3"/>
      <c r="L3950" s="3"/>
      <c r="R3950" s="438" t="s">
        <v>834</v>
      </c>
      <c r="S3950" s="432" t="str">
        <f>IFERROR(INDEX(Blocks!$H$2:$H$101,MATCH(72,Blocks!$A$2:$A$101,0)),"")</f>
        <v>Mosa Limited Company</v>
      </c>
    </row>
    <row r="3951" spans="2:19" x14ac:dyDescent="0.35">
      <c r="B3951" s="1"/>
      <c r="C3951" s="9" t="s">
        <v>835</v>
      </c>
      <c r="D3951" s="10">
        <v>21417000</v>
      </c>
      <c r="E3951" s="3"/>
      <c r="F3951" s="3"/>
      <c r="G3951" s="3"/>
      <c r="H3951" s="3"/>
      <c r="I3951" s="3"/>
      <c r="J3951" s="3"/>
      <c r="K3951" s="3"/>
      <c r="L3951" s="3"/>
      <c r="R3951" s="438" t="s">
        <v>223</v>
      </c>
      <c r="S3951" s="433">
        <f>IFERROR(INDEX('E-Banker master'!$N$2:$N$186,MATCH(S3949,'E-Banker master'!$A$2:$A$186,0)),"")</f>
        <v>21417000</v>
      </c>
    </row>
    <row r="3952" spans="2:19" x14ac:dyDescent="0.35">
      <c r="B3952" s="1"/>
      <c r="C3952" s="11" t="s">
        <v>837</v>
      </c>
      <c r="D3952" s="12">
        <v>0.1</v>
      </c>
      <c r="E3952" s="13"/>
      <c r="F3952" s="3"/>
      <c r="G3952" s="3"/>
      <c r="H3952" s="3"/>
      <c r="I3952" s="3"/>
      <c r="J3952" s="3"/>
      <c r="K3952" s="3"/>
      <c r="L3952" s="3"/>
      <c r="R3952" s="438" t="s">
        <v>52</v>
      </c>
      <c r="S3952" s="433">
        <f>IFERROR(INDEX('E-Banker master'!$P$2:$P$186,MATCH(S3949,'E-Banker master'!$A$2:$A$186,0)),"")</f>
        <v>12180308.75</v>
      </c>
    </row>
    <row r="3953" spans="2:12" x14ac:dyDescent="0.35">
      <c r="B3953" s="1"/>
      <c r="C3953" s="11" t="s">
        <v>838</v>
      </c>
      <c r="D3953" s="14">
        <v>2</v>
      </c>
      <c r="E3953" s="1"/>
      <c r="F3953" s="3"/>
      <c r="G3953" s="3"/>
      <c r="H3953" s="3"/>
      <c r="I3953" s="3"/>
      <c r="J3953" s="3"/>
      <c r="K3953" s="1"/>
      <c r="L3953" s="1"/>
    </row>
    <row r="3954" spans="2:12" x14ac:dyDescent="0.35">
      <c r="B3954" s="1"/>
      <c r="C3954" s="11" t="s">
        <v>839</v>
      </c>
      <c r="D3954" s="14">
        <v>12</v>
      </c>
      <c r="E3954" s="1"/>
      <c r="F3954" s="3"/>
      <c r="G3954" s="3"/>
      <c r="H3954" s="3"/>
      <c r="I3954" s="3"/>
      <c r="J3954" s="3"/>
      <c r="K3954" s="1"/>
      <c r="L3954" s="1"/>
    </row>
    <row r="3955" spans="2:12" x14ac:dyDescent="0.35">
      <c r="B3955" s="1"/>
      <c r="C3955" s="11" t="s">
        <v>843</v>
      </c>
      <c r="D3955" s="15">
        <f>D3953*D3954</f>
        <v>24</v>
      </c>
      <c r="E3955" s="1"/>
      <c r="F3955" s="3"/>
      <c r="G3955" s="3"/>
      <c r="H3955" s="3"/>
      <c r="I3955" s="3"/>
      <c r="J3955" s="3"/>
      <c r="K3955" s="1"/>
      <c r="L3955" s="1"/>
    </row>
    <row r="3956" spans="2:12" x14ac:dyDescent="0.35">
      <c r="B3956" s="1"/>
      <c r="C3956" s="11" t="s">
        <v>844</v>
      </c>
      <c r="D3956" s="16">
        <v>365</v>
      </c>
      <c r="E3956" s="1"/>
      <c r="F3956" s="3"/>
      <c r="G3956" s="3"/>
      <c r="H3956" s="3"/>
      <c r="I3956" s="3"/>
      <c r="J3956" s="3"/>
      <c r="K3956" s="1"/>
      <c r="L3956" s="1"/>
    </row>
    <row r="3957" spans="2:12" x14ac:dyDescent="0.35">
      <c r="B3957" s="1"/>
      <c r="C3957" s="17" t="s">
        <v>845</v>
      </c>
      <c r="D3957" s="18">
        <f>-PMT(D3952/D3954,D3955,D3951,0,0)</f>
        <v>988285.88737059094</v>
      </c>
      <c r="E3957" s="3"/>
      <c r="F3957" s="3"/>
      <c r="G3957" s="3"/>
      <c r="H3957" s="3"/>
      <c r="I3957" s="3"/>
      <c r="J3957" s="3"/>
      <c r="K3957" s="1"/>
      <c r="L3957" s="1"/>
    </row>
    <row r="3958" spans="2:12" x14ac:dyDescent="0.35">
      <c r="B3958" s="1"/>
      <c r="C3958" s="1"/>
      <c r="D3958" s="3"/>
      <c r="E3958" s="3"/>
      <c r="F3958" s="3"/>
      <c r="G3958" s="3"/>
      <c r="H3958" s="3"/>
      <c r="I3958" s="3"/>
      <c r="J3958" s="3"/>
      <c r="K3958" s="1"/>
      <c r="L3958" s="1"/>
    </row>
    <row r="3959" spans="2:12" x14ac:dyDescent="0.35">
      <c r="B3959" s="1"/>
      <c r="C3959" s="19" t="s">
        <v>846</v>
      </c>
      <c r="D3959" s="20" t="s">
        <v>847</v>
      </c>
      <c r="E3959" s="20" t="s">
        <v>764</v>
      </c>
      <c r="F3959" s="270" t="s">
        <v>848</v>
      </c>
      <c r="G3959" s="270" t="s">
        <v>849</v>
      </c>
      <c r="H3959" s="270" t="s">
        <v>742</v>
      </c>
      <c r="I3959" s="270" t="s">
        <v>740</v>
      </c>
      <c r="J3959" s="270" t="s">
        <v>850</v>
      </c>
      <c r="K3959" s="21" t="s">
        <v>851</v>
      </c>
      <c r="L3959" s="21" t="s">
        <v>852</v>
      </c>
    </row>
    <row r="3960" spans="2:12" x14ac:dyDescent="0.35">
      <c r="B3960" s="1">
        <v>0</v>
      </c>
      <c r="C3960" s="22">
        <v>45138</v>
      </c>
      <c r="D3960" s="22">
        <v>45138</v>
      </c>
      <c r="E3960" s="23">
        <v>0</v>
      </c>
      <c r="F3960" s="3">
        <f>D3951</f>
        <v>21417000</v>
      </c>
      <c r="G3960" s="3"/>
      <c r="H3960" s="3">
        <f>($D$3629/$D$3631*F3960)*E3960</f>
        <v>0</v>
      </c>
      <c r="I3960" s="3">
        <f>-H3960</f>
        <v>0</v>
      </c>
      <c r="J3960" s="3">
        <f t="shared" ref="J3960:J3984" si="633">F3960-I3960</f>
        <v>21417000</v>
      </c>
      <c r="K3960" s="24"/>
      <c r="L3960" s="24"/>
    </row>
    <row r="3961" spans="2:12" x14ac:dyDescent="0.35">
      <c r="B3961" s="1">
        <v>1</v>
      </c>
      <c r="C3961" s="22">
        <v>45139</v>
      </c>
      <c r="D3961" s="22">
        <v>45169</v>
      </c>
      <c r="E3961" s="23">
        <f t="shared" ref="E3961:E3984" si="634">D3961-C3961+1</f>
        <v>31</v>
      </c>
      <c r="F3961" s="3">
        <f t="shared" ref="F3961:F3984" si="635">J3960</f>
        <v>21417000</v>
      </c>
      <c r="G3961" s="3"/>
      <c r="H3961" s="3">
        <f t="shared" ref="H3961:H3984" si="636">($D$3952/$D$3954*F3961)</f>
        <v>178475</v>
      </c>
      <c r="I3961" s="3">
        <f>-H3961</f>
        <v>-178475</v>
      </c>
      <c r="J3961" s="3">
        <f t="shared" si="633"/>
        <v>21595475</v>
      </c>
    </row>
    <row r="3962" spans="2:12" x14ac:dyDescent="0.35">
      <c r="B3962" s="1">
        <v>2</v>
      </c>
      <c r="C3962" s="22">
        <f>+C3961+31</f>
        <v>45170</v>
      </c>
      <c r="D3962" s="22">
        <f>+C3962+29</f>
        <v>45199</v>
      </c>
      <c r="E3962" s="23">
        <f t="shared" si="634"/>
        <v>30</v>
      </c>
      <c r="F3962" s="3">
        <f t="shared" si="635"/>
        <v>21595475</v>
      </c>
      <c r="G3962" s="3"/>
      <c r="H3962" s="3">
        <f t="shared" si="636"/>
        <v>179962.29166666666</v>
      </c>
      <c r="I3962" s="3">
        <f>-H3962</f>
        <v>-179962.29166666666</v>
      </c>
      <c r="J3962" s="3">
        <f t="shared" si="633"/>
        <v>21775437.291666668</v>
      </c>
      <c r="K3962" s="24"/>
      <c r="L3962" s="24"/>
    </row>
    <row r="3963" spans="2:12" x14ac:dyDescent="0.35">
      <c r="B3963" s="1">
        <v>3</v>
      </c>
      <c r="C3963" s="22">
        <f>+C3962+30</f>
        <v>45200</v>
      </c>
      <c r="D3963" s="22">
        <v>45230</v>
      </c>
      <c r="E3963" s="23">
        <f t="shared" si="634"/>
        <v>31</v>
      </c>
      <c r="F3963" s="3">
        <f t="shared" si="635"/>
        <v>21775437.291666668</v>
      </c>
      <c r="G3963" s="3"/>
      <c r="H3963" s="3">
        <f t="shared" si="636"/>
        <v>181461.97743055556</v>
      </c>
      <c r="I3963" s="3">
        <f t="shared" ref="I3963:I3984" si="637">G3963-H3963</f>
        <v>-181461.97743055556</v>
      </c>
      <c r="J3963" s="3">
        <f t="shared" si="633"/>
        <v>21956899.269097224</v>
      </c>
      <c r="K3963" s="24"/>
      <c r="L3963" s="24"/>
    </row>
    <row r="3964" spans="2:12" x14ac:dyDescent="0.35">
      <c r="B3964" s="1">
        <v>4</v>
      </c>
      <c r="C3964" s="22">
        <f>+C3963+31</f>
        <v>45231</v>
      </c>
      <c r="D3964" s="22">
        <v>45260</v>
      </c>
      <c r="E3964" s="23">
        <f t="shared" si="634"/>
        <v>30</v>
      </c>
      <c r="F3964" s="3">
        <f t="shared" si="635"/>
        <v>21956899.269097224</v>
      </c>
      <c r="G3964" s="3">
        <f t="shared" ref="G3964:G3984" si="638">-PMT($D$3952/$D$3954,21,$F$3964,,0)</f>
        <v>1144060.1863171768</v>
      </c>
      <c r="H3964" s="3">
        <f t="shared" si="636"/>
        <v>182974.16057581021</v>
      </c>
      <c r="I3964" s="3">
        <f t="shared" si="637"/>
        <v>961086.02574136655</v>
      </c>
      <c r="J3964" s="3">
        <f t="shared" si="633"/>
        <v>20995813.243355859</v>
      </c>
      <c r="K3964" s="24"/>
      <c r="L3964" s="24">
        <f>G3964-K3964</f>
        <v>1144060.1863171768</v>
      </c>
    </row>
    <row r="3965" spans="2:12" x14ac:dyDescent="0.35">
      <c r="B3965" s="1">
        <v>5</v>
      </c>
      <c r="C3965" s="22">
        <f>+C3964+30</f>
        <v>45261</v>
      </c>
      <c r="D3965" s="22">
        <v>45291</v>
      </c>
      <c r="E3965" s="23">
        <f t="shared" si="634"/>
        <v>31</v>
      </c>
      <c r="F3965" s="3">
        <f t="shared" si="635"/>
        <v>20995813.243355859</v>
      </c>
      <c r="G3965" s="3">
        <f t="shared" si="638"/>
        <v>1144060.1863171768</v>
      </c>
      <c r="H3965" s="3">
        <f t="shared" si="636"/>
        <v>174965.11036129884</v>
      </c>
      <c r="I3965" s="3">
        <f t="shared" si="637"/>
        <v>969095.07595587801</v>
      </c>
      <c r="J3965" s="3">
        <f t="shared" si="633"/>
        <v>20026718.16739998</v>
      </c>
      <c r="K3965" s="24"/>
      <c r="L3965" s="24">
        <f t="shared" ref="L3965:L3975" si="639">L3964+G3965-K3965</f>
        <v>2288120.3726343536</v>
      </c>
    </row>
    <row r="3966" spans="2:12" x14ac:dyDescent="0.35">
      <c r="B3966" s="1">
        <v>6</v>
      </c>
      <c r="C3966" s="22">
        <f>+C3965+31</f>
        <v>45292</v>
      </c>
      <c r="D3966" s="22">
        <f>+C3966+30</f>
        <v>45322</v>
      </c>
      <c r="E3966" s="23">
        <f t="shared" si="634"/>
        <v>31</v>
      </c>
      <c r="F3966" s="3">
        <f t="shared" si="635"/>
        <v>20026718.16739998</v>
      </c>
      <c r="G3966" s="3">
        <f t="shared" si="638"/>
        <v>1144060.1863171768</v>
      </c>
      <c r="H3966" s="3">
        <f t="shared" si="636"/>
        <v>166889.3180616665</v>
      </c>
      <c r="I3966" s="3">
        <f t="shared" si="637"/>
        <v>977170.86825551023</v>
      </c>
      <c r="J3966" s="3">
        <f t="shared" si="633"/>
        <v>19049547.299144469</v>
      </c>
      <c r="K3966" s="24"/>
      <c r="L3966" s="24">
        <f t="shared" si="639"/>
        <v>3432180.5589515306</v>
      </c>
    </row>
    <row r="3967" spans="2:12" x14ac:dyDescent="0.35">
      <c r="B3967" s="1">
        <v>7</v>
      </c>
      <c r="C3967" s="22">
        <f>+C3966+31</f>
        <v>45323</v>
      </c>
      <c r="D3967" s="22">
        <f>+C3967+28</f>
        <v>45351</v>
      </c>
      <c r="E3967" s="23">
        <f t="shared" si="634"/>
        <v>29</v>
      </c>
      <c r="F3967" s="3">
        <f t="shared" si="635"/>
        <v>19049547.299144469</v>
      </c>
      <c r="G3967" s="3">
        <f t="shared" si="638"/>
        <v>1144060.1863171768</v>
      </c>
      <c r="H3967" s="3">
        <f t="shared" si="636"/>
        <v>158746.22749287059</v>
      </c>
      <c r="I3967" s="3">
        <f t="shared" si="637"/>
        <v>985313.95882430626</v>
      </c>
      <c r="J3967" s="3">
        <f t="shared" si="633"/>
        <v>18064233.340320162</v>
      </c>
      <c r="K3967" s="24"/>
      <c r="L3967" s="24">
        <f t="shared" si="639"/>
        <v>4576240.7452687072</v>
      </c>
    </row>
    <row r="3968" spans="2:12" x14ac:dyDescent="0.35">
      <c r="B3968" s="1">
        <v>8</v>
      </c>
      <c r="C3968" s="22">
        <f>+C3967+29</f>
        <v>45352</v>
      </c>
      <c r="D3968" s="22">
        <f>+C3968+30</f>
        <v>45382</v>
      </c>
      <c r="E3968" s="23">
        <f t="shared" si="634"/>
        <v>31</v>
      </c>
      <c r="F3968" s="3">
        <f t="shared" si="635"/>
        <v>18064233.340320162</v>
      </c>
      <c r="G3968" s="3">
        <f t="shared" si="638"/>
        <v>1144060.1863171768</v>
      </c>
      <c r="H3968" s="3">
        <f t="shared" si="636"/>
        <v>150535.27783600136</v>
      </c>
      <c r="I3968" s="3">
        <f t="shared" si="637"/>
        <v>993524.90848117543</v>
      </c>
      <c r="J3968" s="3">
        <f t="shared" si="633"/>
        <v>17070708.431838986</v>
      </c>
      <c r="K3968" s="24"/>
      <c r="L3968" s="24">
        <f t="shared" si="639"/>
        <v>5720300.9315858837</v>
      </c>
    </row>
    <row r="3969" spans="2:12" x14ac:dyDescent="0.35">
      <c r="B3969" s="1">
        <v>9</v>
      </c>
      <c r="C3969" s="22">
        <f>+C3968+31</f>
        <v>45383</v>
      </c>
      <c r="D3969" s="22">
        <f>+C3969+29</f>
        <v>45412</v>
      </c>
      <c r="E3969" s="23">
        <f t="shared" si="634"/>
        <v>30</v>
      </c>
      <c r="F3969" s="3">
        <f t="shared" si="635"/>
        <v>17070708.431838986</v>
      </c>
      <c r="G3969" s="3">
        <f t="shared" si="638"/>
        <v>1144060.1863171768</v>
      </c>
      <c r="H3969" s="3">
        <f t="shared" si="636"/>
        <v>142255.90359865822</v>
      </c>
      <c r="I3969" s="3">
        <f t="shared" si="637"/>
        <v>1001804.2827185185</v>
      </c>
      <c r="J3969" s="3">
        <f t="shared" si="633"/>
        <v>16068904.149120467</v>
      </c>
      <c r="K3969" s="24"/>
      <c r="L3969" s="24">
        <f t="shared" si="639"/>
        <v>6864361.1179030603</v>
      </c>
    </row>
    <row r="3970" spans="2:12" x14ac:dyDescent="0.35">
      <c r="B3970" s="1">
        <v>10</v>
      </c>
      <c r="C3970" s="22">
        <f>+C3969+30</f>
        <v>45413</v>
      </c>
      <c r="D3970" s="22">
        <f>+C3970+30</f>
        <v>45443</v>
      </c>
      <c r="E3970" s="23">
        <f t="shared" si="634"/>
        <v>31</v>
      </c>
      <c r="F3970" s="3">
        <f t="shared" si="635"/>
        <v>16068904.149120467</v>
      </c>
      <c r="G3970" s="3">
        <f t="shared" si="638"/>
        <v>1144060.1863171768</v>
      </c>
      <c r="H3970" s="3">
        <f t="shared" si="636"/>
        <v>133907.53457600388</v>
      </c>
      <c r="I3970" s="3">
        <f t="shared" si="637"/>
        <v>1010152.6517411729</v>
      </c>
      <c r="J3970" s="3">
        <f t="shared" si="633"/>
        <v>15058751.497379294</v>
      </c>
      <c r="K3970" s="24">
        <v>8008421.3042202368</v>
      </c>
      <c r="L3970" s="24">
        <f t="shared" si="639"/>
        <v>0</v>
      </c>
    </row>
    <row r="3971" spans="2:12" x14ac:dyDescent="0.35">
      <c r="B3971" s="1">
        <v>11</v>
      </c>
      <c r="C3971" s="22">
        <f>+C3970+31</f>
        <v>45444</v>
      </c>
      <c r="D3971" s="22">
        <f>+C3971+29</f>
        <v>45473</v>
      </c>
      <c r="E3971" s="23">
        <f t="shared" si="634"/>
        <v>30</v>
      </c>
      <c r="F3971" s="3">
        <f t="shared" si="635"/>
        <v>15058751.497379294</v>
      </c>
      <c r="G3971" s="3">
        <f t="shared" si="638"/>
        <v>1144060.1863171768</v>
      </c>
      <c r="H3971" s="3">
        <f t="shared" si="636"/>
        <v>125489.59581149412</v>
      </c>
      <c r="I3971" s="3">
        <f t="shared" si="637"/>
        <v>1018570.5905056826</v>
      </c>
      <c r="J3971" s="3">
        <f t="shared" si="633"/>
        <v>14040180.906873612</v>
      </c>
      <c r="K3971" s="24">
        <v>1144060.19</v>
      </c>
      <c r="L3971" s="3">
        <f t="shared" si="639"/>
        <v>-3.6828231532126665E-3</v>
      </c>
    </row>
    <row r="3972" spans="2:12" x14ac:dyDescent="0.35">
      <c r="B3972" s="1">
        <v>12</v>
      </c>
      <c r="C3972" s="22">
        <f>+C3971+30</f>
        <v>45474</v>
      </c>
      <c r="D3972" s="22">
        <f>+C3972+30</f>
        <v>45504</v>
      </c>
      <c r="E3972" s="23">
        <f t="shared" si="634"/>
        <v>31</v>
      </c>
      <c r="F3972" s="3">
        <f t="shared" si="635"/>
        <v>14040180.906873612</v>
      </c>
      <c r="G3972" s="3">
        <f t="shared" si="638"/>
        <v>1144060.1863171768</v>
      </c>
      <c r="H3972" s="3">
        <f t="shared" si="636"/>
        <v>117001.5075572801</v>
      </c>
      <c r="I3972" s="3">
        <f t="shared" si="637"/>
        <v>1027058.6787598967</v>
      </c>
      <c r="J3972" s="3">
        <f t="shared" si="633"/>
        <v>13013122.228113715</v>
      </c>
      <c r="K3972" s="24">
        <v>1144060.19</v>
      </c>
      <c r="L3972" s="3">
        <f t="shared" si="639"/>
        <v>-7.365646306425333E-3</v>
      </c>
    </row>
    <row r="3973" spans="2:12" x14ac:dyDescent="0.35">
      <c r="B3973" s="1">
        <v>13</v>
      </c>
      <c r="C3973" s="22">
        <f>+C3972+31</f>
        <v>45505</v>
      </c>
      <c r="D3973" s="22">
        <f>+C3973+30</f>
        <v>45535</v>
      </c>
      <c r="E3973" s="23">
        <f t="shared" si="634"/>
        <v>31</v>
      </c>
      <c r="F3973" s="3">
        <f t="shared" si="635"/>
        <v>13013122.228113715</v>
      </c>
      <c r="G3973" s="3">
        <f t="shared" si="638"/>
        <v>1144060.1863171768</v>
      </c>
      <c r="H3973" s="3">
        <f t="shared" si="636"/>
        <v>108442.68523428096</v>
      </c>
      <c r="I3973" s="3">
        <f t="shared" si="637"/>
        <v>1035617.5010828958</v>
      </c>
      <c r="J3973" s="3">
        <f t="shared" si="633"/>
        <v>11977504.727030819</v>
      </c>
      <c r="K3973" s="24">
        <v>1144060.19</v>
      </c>
      <c r="L3973" s="3">
        <f t="shared" si="639"/>
        <v>-1.1048469459638E-2</v>
      </c>
    </row>
    <row r="3974" spans="2:12" x14ac:dyDescent="0.35">
      <c r="B3974" s="1">
        <v>14</v>
      </c>
      <c r="C3974" s="22">
        <f>+C3973+31</f>
        <v>45536</v>
      </c>
      <c r="D3974" s="22">
        <f>+C3974+29</f>
        <v>45565</v>
      </c>
      <c r="E3974" s="23">
        <f t="shared" si="634"/>
        <v>30</v>
      </c>
      <c r="F3974" s="3">
        <f t="shared" si="635"/>
        <v>11977504.727030819</v>
      </c>
      <c r="G3974" s="3">
        <f t="shared" si="638"/>
        <v>1144060.1863171768</v>
      </c>
      <c r="H3974" s="3">
        <f t="shared" si="636"/>
        <v>99812.539391923492</v>
      </c>
      <c r="I3974" s="3">
        <f t="shared" si="637"/>
        <v>1044247.6469252533</v>
      </c>
      <c r="J3974" s="3">
        <f t="shared" si="633"/>
        <v>10933257.080105565</v>
      </c>
      <c r="K3974" s="24"/>
      <c r="L3974" s="3">
        <f t="shared" si="639"/>
        <v>1144060.1752687073</v>
      </c>
    </row>
    <row r="3975" spans="2:12" x14ac:dyDescent="0.35">
      <c r="B3975" s="1">
        <v>15</v>
      </c>
      <c r="C3975" s="22">
        <f>+C3974+30</f>
        <v>45566</v>
      </c>
      <c r="D3975" s="22">
        <f>+C3975+30</f>
        <v>45596</v>
      </c>
      <c r="E3975" s="23">
        <f t="shared" si="634"/>
        <v>31</v>
      </c>
      <c r="F3975" s="3">
        <f t="shared" si="635"/>
        <v>10933257.080105565</v>
      </c>
      <c r="G3975" s="3">
        <f t="shared" si="638"/>
        <v>1144060.1863171768</v>
      </c>
      <c r="H3975" s="3">
        <f t="shared" si="636"/>
        <v>91110.475667546372</v>
      </c>
      <c r="I3975" s="3">
        <f t="shared" si="637"/>
        <v>1052949.7106496305</v>
      </c>
      <c r="J3975" s="3">
        <f t="shared" si="633"/>
        <v>9880307.3694559354</v>
      </c>
      <c r="K3975" s="24"/>
      <c r="L3975" s="290">
        <f t="shared" si="639"/>
        <v>2288120.3615858844</v>
      </c>
    </row>
    <row r="3976" spans="2:12" x14ac:dyDescent="0.35">
      <c r="B3976" s="1">
        <v>16</v>
      </c>
      <c r="C3976" s="22">
        <f>+C3975+31</f>
        <v>45597</v>
      </c>
      <c r="D3976" s="22">
        <f>+C3976+29</f>
        <v>45626</v>
      </c>
      <c r="E3976" s="23">
        <f t="shared" si="634"/>
        <v>30</v>
      </c>
      <c r="F3976" s="3">
        <f t="shared" si="635"/>
        <v>9880307.3694559354</v>
      </c>
      <c r="G3976" s="3">
        <f t="shared" si="638"/>
        <v>1144060.1863171768</v>
      </c>
      <c r="H3976" s="3">
        <f t="shared" si="636"/>
        <v>82335.894745466125</v>
      </c>
      <c r="I3976" s="3">
        <f t="shared" si="637"/>
        <v>1061724.2915717107</v>
      </c>
      <c r="J3976" s="3">
        <f t="shared" si="633"/>
        <v>8818583.0778842252</v>
      </c>
      <c r="K3976" s="24"/>
      <c r="L3976" s="24"/>
    </row>
    <row r="3977" spans="2:12" x14ac:dyDescent="0.35">
      <c r="B3977" s="1">
        <v>17</v>
      </c>
      <c r="C3977" s="22">
        <f>+C3976+30</f>
        <v>45627</v>
      </c>
      <c r="D3977" s="22">
        <f>+C3977+30</f>
        <v>45657</v>
      </c>
      <c r="E3977" s="23">
        <f t="shared" si="634"/>
        <v>31</v>
      </c>
      <c r="F3977" s="3">
        <f t="shared" si="635"/>
        <v>8818583.0778842252</v>
      </c>
      <c r="G3977" s="3">
        <f t="shared" si="638"/>
        <v>1144060.1863171768</v>
      </c>
      <c r="H3977" s="3">
        <f t="shared" si="636"/>
        <v>73488.192315701875</v>
      </c>
      <c r="I3977" s="3">
        <f t="shared" si="637"/>
        <v>1070571.9940014749</v>
      </c>
      <c r="J3977" s="3">
        <f t="shared" si="633"/>
        <v>7748011.08388275</v>
      </c>
      <c r="K3977" s="24"/>
      <c r="L3977" s="24"/>
    </row>
    <row r="3978" spans="2:12" x14ac:dyDescent="0.35">
      <c r="B3978" s="1">
        <v>18</v>
      </c>
      <c r="C3978" s="22">
        <f>+C3977+31</f>
        <v>45658</v>
      </c>
      <c r="D3978" s="22">
        <f>+C3978+30</f>
        <v>45688</v>
      </c>
      <c r="E3978" s="23">
        <f t="shared" si="634"/>
        <v>31</v>
      </c>
      <c r="F3978" s="3">
        <f t="shared" si="635"/>
        <v>7748011.08388275</v>
      </c>
      <c r="G3978" s="3">
        <f t="shared" si="638"/>
        <v>1144060.1863171768</v>
      </c>
      <c r="H3978" s="3">
        <f t="shared" si="636"/>
        <v>64566.759032356247</v>
      </c>
      <c r="I3978" s="3">
        <f t="shared" si="637"/>
        <v>1079493.4272848205</v>
      </c>
      <c r="J3978" s="3">
        <f t="shared" si="633"/>
        <v>6668517.6565979291</v>
      </c>
      <c r="K3978" s="24"/>
      <c r="L3978" s="24"/>
    </row>
    <row r="3979" spans="2:12" x14ac:dyDescent="0.35">
      <c r="B3979" s="1">
        <v>19</v>
      </c>
      <c r="C3979" s="22">
        <f>+C3978+31</f>
        <v>45689</v>
      </c>
      <c r="D3979" s="22">
        <f>+C3979+27</f>
        <v>45716</v>
      </c>
      <c r="E3979" s="23">
        <f t="shared" si="634"/>
        <v>28</v>
      </c>
      <c r="F3979" s="3">
        <f t="shared" si="635"/>
        <v>6668517.6565979291</v>
      </c>
      <c r="G3979" s="3">
        <f t="shared" si="638"/>
        <v>1144060.1863171768</v>
      </c>
      <c r="H3979" s="3">
        <f t="shared" si="636"/>
        <v>55570.980471649411</v>
      </c>
      <c r="I3979" s="3">
        <f t="shared" si="637"/>
        <v>1088489.2058455274</v>
      </c>
      <c r="J3979" s="3">
        <f t="shared" si="633"/>
        <v>5580028.4507524017</v>
      </c>
      <c r="K3979" s="24"/>
      <c r="L3979" s="24"/>
    </row>
    <row r="3980" spans="2:12" x14ac:dyDescent="0.35">
      <c r="B3980" s="1">
        <v>20</v>
      </c>
      <c r="C3980" s="22">
        <f>+C3979+28</f>
        <v>45717</v>
      </c>
      <c r="D3980" s="22">
        <f>+C3980+30</f>
        <v>45747</v>
      </c>
      <c r="E3980" s="23">
        <f t="shared" si="634"/>
        <v>31</v>
      </c>
      <c r="F3980" s="3">
        <f t="shared" si="635"/>
        <v>5580028.4507524017</v>
      </c>
      <c r="G3980" s="3">
        <f t="shared" si="638"/>
        <v>1144060.1863171768</v>
      </c>
      <c r="H3980" s="3">
        <f t="shared" si="636"/>
        <v>46500.237089603346</v>
      </c>
      <c r="I3980" s="3">
        <f t="shared" si="637"/>
        <v>1097559.9492275734</v>
      </c>
      <c r="J3980" s="3">
        <f t="shared" si="633"/>
        <v>4482468.5015248284</v>
      </c>
      <c r="K3980" s="24"/>
      <c r="L3980" s="24"/>
    </row>
    <row r="3981" spans="2:12" x14ac:dyDescent="0.35">
      <c r="B3981" s="1">
        <v>21</v>
      </c>
      <c r="C3981" s="22">
        <f>+C3980+31</f>
        <v>45748</v>
      </c>
      <c r="D3981" s="22">
        <f>+C3981+29</f>
        <v>45777</v>
      </c>
      <c r="E3981" s="23">
        <f t="shared" si="634"/>
        <v>30</v>
      </c>
      <c r="F3981" s="3">
        <f t="shared" si="635"/>
        <v>4482468.5015248284</v>
      </c>
      <c r="G3981" s="3">
        <f t="shared" si="638"/>
        <v>1144060.1863171768</v>
      </c>
      <c r="H3981" s="3">
        <f t="shared" si="636"/>
        <v>37353.904179373567</v>
      </c>
      <c r="I3981" s="3">
        <f t="shared" si="637"/>
        <v>1106706.2821378033</v>
      </c>
      <c r="J3981" s="3">
        <f t="shared" si="633"/>
        <v>3375762.2193870251</v>
      </c>
      <c r="K3981" s="24"/>
      <c r="L3981" s="24"/>
    </row>
    <row r="3982" spans="2:12" x14ac:dyDescent="0.35">
      <c r="B3982" s="1">
        <v>22</v>
      </c>
      <c r="C3982" s="22">
        <f>+C3981+30</f>
        <v>45778</v>
      </c>
      <c r="D3982" s="22">
        <f>+C3982+30</f>
        <v>45808</v>
      </c>
      <c r="E3982" s="23">
        <f t="shared" si="634"/>
        <v>31</v>
      </c>
      <c r="F3982" s="3">
        <f t="shared" si="635"/>
        <v>3375762.2193870251</v>
      </c>
      <c r="G3982" s="3">
        <f t="shared" si="638"/>
        <v>1144060.1863171768</v>
      </c>
      <c r="H3982" s="3">
        <f t="shared" si="636"/>
        <v>28131.351828225208</v>
      </c>
      <c r="I3982" s="3">
        <f t="shared" si="637"/>
        <v>1115928.8344889516</v>
      </c>
      <c r="J3982" s="3">
        <f t="shared" si="633"/>
        <v>2259833.3848980735</v>
      </c>
      <c r="K3982" s="24"/>
      <c r="L3982" s="24"/>
    </row>
    <row r="3983" spans="2:12" x14ac:dyDescent="0.35">
      <c r="B3983" s="1">
        <v>23</v>
      </c>
      <c r="C3983" s="22">
        <f>+C3982+31</f>
        <v>45809</v>
      </c>
      <c r="D3983" s="22">
        <f>+D3982+30</f>
        <v>45838</v>
      </c>
      <c r="E3983" s="23">
        <f t="shared" si="634"/>
        <v>30</v>
      </c>
      <c r="F3983" s="3">
        <f t="shared" si="635"/>
        <v>2259833.3848980735</v>
      </c>
      <c r="G3983" s="3">
        <f t="shared" si="638"/>
        <v>1144060.1863171768</v>
      </c>
      <c r="H3983" s="3">
        <f t="shared" si="636"/>
        <v>18831.944874150613</v>
      </c>
      <c r="I3983" s="3">
        <f t="shared" si="637"/>
        <v>1125228.2414430261</v>
      </c>
      <c r="J3983" s="3">
        <f t="shared" si="633"/>
        <v>1134605.1434550474</v>
      </c>
      <c r="K3983" s="24"/>
      <c r="L3983" s="24"/>
    </row>
    <row r="3984" spans="2:12" x14ac:dyDescent="0.35">
      <c r="B3984" s="1">
        <f>+B3983+1</f>
        <v>24</v>
      </c>
      <c r="C3984" s="22">
        <f>+C3983+30</f>
        <v>45839</v>
      </c>
      <c r="D3984" s="22">
        <f>+D3983+30</f>
        <v>45868</v>
      </c>
      <c r="E3984" s="23">
        <f t="shared" si="634"/>
        <v>30</v>
      </c>
      <c r="F3984" s="3">
        <f t="shared" si="635"/>
        <v>1134605.1434550474</v>
      </c>
      <c r="G3984" s="3">
        <f t="shared" si="638"/>
        <v>1144060.1863171768</v>
      </c>
      <c r="H3984" s="3">
        <f t="shared" si="636"/>
        <v>9455.0428621253941</v>
      </c>
      <c r="I3984" s="3">
        <f t="shared" si="637"/>
        <v>1134605.1434550514</v>
      </c>
      <c r="J3984" s="3">
        <f t="shared" si="633"/>
        <v>-3.9581209421157837E-9</v>
      </c>
    </row>
    <row r="3986" spans="2:19" x14ac:dyDescent="0.35">
      <c r="E3986" s="6">
        <f>SUM(E3960:E3985)</f>
        <v>730</v>
      </c>
    </row>
    <row r="3991" spans="2:19" x14ac:dyDescent="0.35">
      <c r="B3991" s="1"/>
      <c r="C3991" s="8" t="s">
        <v>941</v>
      </c>
      <c r="D3991" s="3"/>
      <c r="E3991" s="3"/>
      <c r="F3991" s="3"/>
      <c r="G3991" s="3"/>
      <c r="H3991" s="3"/>
      <c r="I3991" s="3"/>
      <c r="J3991" s="3"/>
      <c r="K3991" s="3"/>
      <c r="L3991" s="3"/>
      <c r="R3991" s="438" t="s">
        <v>832</v>
      </c>
      <c r="S3991" s="432" t="str">
        <f>IFERROR(INDEX(Blocks!$I$2:$I$101,MATCH(73,Blocks!$A$2:$A$101,0)),"")</f>
        <v>000104460000075</v>
      </c>
    </row>
    <row r="3992" spans="2:19" x14ac:dyDescent="0.35">
      <c r="B3992" s="1"/>
      <c r="C3992" s="1"/>
      <c r="D3992" s="3"/>
      <c r="E3992" s="3"/>
      <c r="F3992" s="3"/>
      <c r="G3992" s="3"/>
      <c r="H3992" s="3"/>
      <c r="I3992" s="3"/>
      <c r="J3992" s="3"/>
      <c r="K3992" s="3"/>
      <c r="L3992" s="3"/>
      <c r="R3992" s="438" t="s">
        <v>834</v>
      </c>
      <c r="S3992" s="432" t="str">
        <f>IFERROR(INDEX(Blocks!$H$2:$H$101,MATCH(73,Blocks!$A$2:$A$101,0)),"")</f>
        <v>Global Seeds Limited FInES</v>
      </c>
    </row>
    <row r="3993" spans="2:19" x14ac:dyDescent="0.35">
      <c r="B3993" s="1"/>
      <c r="C3993" s="9" t="s">
        <v>835</v>
      </c>
      <c r="D3993" s="10">
        <v>250000000</v>
      </c>
      <c r="E3993" s="3"/>
      <c r="F3993" s="3"/>
      <c r="G3993" s="3"/>
      <c r="H3993" s="3"/>
      <c r="I3993" s="3"/>
      <c r="J3993" s="3"/>
      <c r="K3993" s="3"/>
      <c r="L3993" s="3"/>
      <c r="R3993" s="438" t="s">
        <v>223</v>
      </c>
      <c r="S3993" s="433">
        <f>IFERROR(INDEX('E-Banker master'!$N$2:$N$186,MATCH(S3991,'E-Banker master'!$A$2:$A$186,0)),"")</f>
        <v>250000000</v>
      </c>
    </row>
    <row r="3994" spans="2:19" x14ac:dyDescent="0.35">
      <c r="B3994" s="1"/>
      <c r="C3994" s="11" t="s">
        <v>837</v>
      </c>
      <c r="D3994" s="12">
        <v>0.1</v>
      </c>
      <c r="E3994" s="13"/>
      <c r="F3994" s="3"/>
      <c r="G3994" s="3"/>
      <c r="H3994" s="3"/>
      <c r="I3994" s="3"/>
      <c r="J3994" s="3"/>
      <c r="K3994" s="3"/>
      <c r="L3994" s="3"/>
      <c r="R3994" s="438" t="s">
        <v>52</v>
      </c>
      <c r="S3994" s="433">
        <f>IFERROR(INDEX('E-Banker master'!$P$2:$P$186,MATCH(S3991,'E-Banker master'!$A$2:$A$186,0)),"")</f>
        <v>201762903.68000001</v>
      </c>
    </row>
    <row r="3995" spans="2:19" x14ac:dyDescent="0.35">
      <c r="B3995" s="1"/>
      <c r="C3995" s="11" t="s">
        <v>838</v>
      </c>
      <c r="D3995" s="14">
        <v>4</v>
      </c>
      <c r="E3995" s="1"/>
      <c r="F3995" s="3"/>
      <c r="G3995" s="3"/>
      <c r="H3995" s="3"/>
      <c r="I3995" s="3"/>
      <c r="J3995" s="3"/>
      <c r="K3995" s="1"/>
      <c r="L3995" s="1"/>
    </row>
    <row r="3996" spans="2:19" x14ac:dyDescent="0.35">
      <c r="B3996" s="1"/>
      <c r="C3996" s="11" t="s">
        <v>839</v>
      </c>
      <c r="D3996" s="14">
        <v>12</v>
      </c>
      <c r="E3996" s="1"/>
      <c r="F3996" s="3"/>
      <c r="G3996" s="3"/>
      <c r="H3996" s="3"/>
      <c r="I3996" s="3"/>
      <c r="J3996" s="3"/>
      <c r="K3996" s="1"/>
      <c r="L3996" s="1"/>
    </row>
    <row r="3997" spans="2:19" x14ac:dyDescent="0.35">
      <c r="B3997" s="1"/>
      <c r="C3997" s="11" t="s">
        <v>843</v>
      </c>
      <c r="D3997" s="15">
        <f>D3995*D3996</f>
        <v>48</v>
      </c>
      <c r="E3997" s="1"/>
      <c r="F3997" s="3"/>
      <c r="G3997" s="3"/>
      <c r="H3997" s="3"/>
      <c r="I3997" s="3"/>
      <c r="J3997" s="3"/>
      <c r="K3997" s="1"/>
      <c r="L3997" s="1"/>
    </row>
    <row r="3998" spans="2:19" x14ac:dyDescent="0.35">
      <c r="B3998" s="1"/>
      <c r="C3998" s="11" t="s">
        <v>844</v>
      </c>
      <c r="D3998" s="16">
        <v>365</v>
      </c>
      <c r="E3998" s="1"/>
      <c r="F3998" s="3"/>
      <c r="G3998" s="3"/>
      <c r="H3998" s="3"/>
      <c r="I3998" s="3"/>
      <c r="J3998" s="3"/>
      <c r="K3998" s="1"/>
      <c r="L3998" s="1"/>
    </row>
    <row r="3999" spans="2:19" x14ac:dyDescent="0.35">
      <c r="B3999" s="1"/>
      <c r="C3999" s="17" t="s">
        <v>845</v>
      </c>
      <c r="D3999" s="18">
        <f>-PMT(D3994/D3996,D3997,D3993,0,0)</f>
        <v>6340645.8586867964</v>
      </c>
      <c r="E3999" s="3"/>
      <c r="F3999" s="3"/>
      <c r="G3999" s="3"/>
      <c r="H3999" s="3"/>
      <c r="I3999" s="3"/>
      <c r="J3999" s="3"/>
      <c r="K3999" s="1"/>
      <c r="L3999" s="1"/>
    </row>
    <row r="4000" spans="2:19" x14ac:dyDescent="0.35">
      <c r="B4000" s="1"/>
      <c r="C4000" s="1"/>
      <c r="D4000" s="3"/>
      <c r="E4000" s="3"/>
      <c r="F4000" s="3"/>
      <c r="G4000" s="3"/>
      <c r="H4000" s="3"/>
      <c r="I4000" s="3"/>
      <c r="J4000" s="3"/>
      <c r="K4000" s="1"/>
      <c r="L4000" s="1"/>
    </row>
    <row r="4001" spans="2:12" x14ac:dyDescent="0.35">
      <c r="B4001" s="1"/>
      <c r="C4001" s="19" t="s">
        <v>846</v>
      </c>
      <c r="D4001" s="20" t="s">
        <v>847</v>
      </c>
      <c r="E4001" s="20" t="s">
        <v>764</v>
      </c>
      <c r="F4001" s="270" t="s">
        <v>848</v>
      </c>
      <c r="G4001" s="270" t="s">
        <v>849</v>
      </c>
      <c r="H4001" s="270" t="s">
        <v>742</v>
      </c>
      <c r="I4001" s="270" t="s">
        <v>740</v>
      </c>
      <c r="J4001" s="270" t="s">
        <v>850</v>
      </c>
      <c r="K4001" s="21" t="s">
        <v>851</v>
      </c>
      <c r="L4001" s="21" t="s">
        <v>852</v>
      </c>
    </row>
    <row r="4002" spans="2:12" x14ac:dyDescent="0.35">
      <c r="B4002" s="1">
        <v>0</v>
      </c>
      <c r="C4002" s="22">
        <v>45145</v>
      </c>
      <c r="D4002" s="22">
        <v>45169</v>
      </c>
      <c r="E4002" s="23">
        <f>D4002-C4002+1</f>
        <v>25</v>
      </c>
      <c r="F4002" s="3">
        <f>D3993</f>
        <v>250000000</v>
      </c>
      <c r="G4002" s="3"/>
      <c r="H4002" s="3">
        <f>($D$3994/$D$3996*F4002*E4002/31)</f>
        <v>1680107.5268817202</v>
      </c>
      <c r="I4002" s="3">
        <f t="shared" ref="I4002:I4033" si="640">G4002-H4002</f>
        <v>-1680107.5268817202</v>
      </c>
      <c r="J4002" s="3">
        <f t="shared" ref="J4002:J4033" si="641">F4002-I4002</f>
        <v>251680107.52688172</v>
      </c>
    </row>
    <row r="4003" spans="2:12" x14ac:dyDescent="0.35">
      <c r="B4003" s="1">
        <v>1</v>
      </c>
      <c r="C4003" s="22">
        <v>45170</v>
      </c>
      <c r="D4003" s="22">
        <v>45199</v>
      </c>
      <c r="E4003" s="23">
        <v>30</v>
      </c>
      <c r="F4003" s="3">
        <f t="shared" ref="F4003:F4050" si="642">J4002</f>
        <v>251680107.52688172</v>
      </c>
      <c r="G4003" s="3">
        <f t="shared" ref="G4003:G4050" si="643">-PMT($D$3994/$D$3996,48,$F$4003,,0)</f>
        <v>6383257.7260166816</v>
      </c>
      <c r="H4003" s="3">
        <f t="shared" ref="H4003:H4050" si="644">($D$3994/$D$3996*F4003)</f>
        <v>2097334.2293906808</v>
      </c>
      <c r="I4003" s="3">
        <f t="shared" si="640"/>
        <v>4285923.4966260009</v>
      </c>
      <c r="J4003" s="3">
        <f t="shared" si="641"/>
        <v>247394184.03025573</v>
      </c>
      <c r="K4003" s="24"/>
      <c r="L4003" s="24"/>
    </row>
    <row r="4004" spans="2:12" x14ac:dyDescent="0.35">
      <c r="B4004" s="1">
        <v>2</v>
      </c>
      <c r="C4004" s="22">
        <v>45200</v>
      </c>
      <c r="D4004" s="22">
        <v>45230</v>
      </c>
      <c r="E4004" s="23">
        <v>31</v>
      </c>
      <c r="F4004" s="3">
        <f t="shared" si="642"/>
        <v>247394184.03025573</v>
      </c>
      <c r="G4004" s="3">
        <f t="shared" si="643"/>
        <v>6383257.7260166816</v>
      </c>
      <c r="H4004" s="3">
        <f t="shared" si="644"/>
        <v>2061618.2002521311</v>
      </c>
      <c r="I4004" s="3">
        <f t="shared" si="640"/>
        <v>4321639.525764551</v>
      </c>
      <c r="J4004" s="3">
        <f t="shared" si="641"/>
        <v>243072544.50449118</v>
      </c>
      <c r="K4004" s="24"/>
      <c r="L4004" s="24"/>
    </row>
    <row r="4005" spans="2:12" x14ac:dyDescent="0.35">
      <c r="B4005" s="1">
        <f t="shared" ref="B4005:B4050" si="645">+B4004+1</f>
        <v>3</v>
      </c>
      <c r="C4005" s="22">
        <v>45231</v>
      </c>
      <c r="D4005" s="22">
        <v>45260</v>
      </c>
      <c r="E4005" s="23">
        <v>30</v>
      </c>
      <c r="F4005" s="3">
        <f t="shared" si="642"/>
        <v>243072544.50449118</v>
      </c>
      <c r="G4005" s="3">
        <f t="shared" si="643"/>
        <v>6383257.7260166816</v>
      </c>
      <c r="H4005" s="3">
        <f t="shared" si="644"/>
        <v>2025604.5375374265</v>
      </c>
      <c r="I4005" s="3">
        <f t="shared" si="640"/>
        <v>4357653.188479255</v>
      </c>
      <c r="J4005" s="3">
        <f t="shared" si="641"/>
        <v>238714891.31601194</v>
      </c>
      <c r="K4005" s="24"/>
      <c r="L4005" s="24"/>
    </row>
    <row r="4006" spans="2:12" x14ac:dyDescent="0.35">
      <c r="B4006" s="1">
        <f t="shared" si="645"/>
        <v>4</v>
      </c>
      <c r="C4006" s="22">
        <v>45261</v>
      </c>
      <c r="D4006" s="22">
        <v>45291</v>
      </c>
      <c r="E4006" s="23">
        <v>31</v>
      </c>
      <c r="F4006" s="3">
        <f t="shared" si="642"/>
        <v>238714891.31601194</v>
      </c>
      <c r="G4006" s="3">
        <f t="shared" si="643"/>
        <v>6383257.7260166816</v>
      </c>
      <c r="H4006" s="3">
        <f t="shared" si="644"/>
        <v>1989290.7609667662</v>
      </c>
      <c r="I4006" s="3">
        <f t="shared" si="640"/>
        <v>4393966.965049915</v>
      </c>
      <c r="J4006" s="3">
        <f t="shared" si="641"/>
        <v>234320924.35096201</v>
      </c>
      <c r="K4006" s="24"/>
      <c r="L4006" s="24"/>
    </row>
    <row r="4007" spans="2:12" x14ac:dyDescent="0.35">
      <c r="B4007" s="1">
        <f t="shared" si="645"/>
        <v>5</v>
      </c>
      <c r="C4007" s="22">
        <v>45292</v>
      </c>
      <c r="D4007" s="22">
        <v>45322</v>
      </c>
      <c r="E4007" s="23">
        <v>31</v>
      </c>
      <c r="F4007" s="3">
        <f t="shared" si="642"/>
        <v>234320924.35096201</v>
      </c>
      <c r="G4007" s="3">
        <f t="shared" si="643"/>
        <v>6383257.7260166816</v>
      </c>
      <c r="H4007" s="3">
        <f t="shared" si="644"/>
        <v>1952674.36959135</v>
      </c>
      <c r="I4007" s="3">
        <f t="shared" si="640"/>
        <v>4430583.3564253319</v>
      </c>
      <c r="J4007" s="3">
        <f t="shared" si="641"/>
        <v>229890340.99453667</v>
      </c>
      <c r="K4007" s="24"/>
      <c r="L4007" s="24"/>
    </row>
    <row r="4008" spans="2:12" x14ac:dyDescent="0.35">
      <c r="B4008" s="1">
        <f t="shared" si="645"/>
        <v>6</v>
      </c>
      <c r="C4008" s="22">
        <v>45323</v>
      </c>
      <c r="D4008" s="22">
        <v>45351</v>
      </c>
      <c r="E4008" s="23">
        <v>29</v>
      </c>
      <c r="F4008" s="3">
        <f t="shared" si="642"/>
        <v>229890340.99453667</v>
      </c>
      <c r="G4008" s="3">
        <f t="shared" si="643"/>
        <v>6383257.7260166816</v>
      </c>
      <c r="H4008" s="3">
        <f t="shared" si="644"/>
        <v>1915752.8416211389</v>
      </c>
      <c r="I4008" s="3">
        <f t="shared" si="640"/>
        <v>4467504.8843955426</v>
      </c>
      <c r="J4008" s="3">
        <f t="shared" si="641"/>
        <v>225422836.11014113</v>
      </c>
      <c r="K4008" s="24"/>
      <c r="L4008" s="24"/>
    </row>
    <row r="4009" spans="2:12" x14ac:dyDescent="0.35">
      <c r="B4009" s="1">
        <f t="shared" si="645"/>
        <v>7</v>
      </c>
      <c r="C4009" s="22">
        <v>45352</v>
      </c>
      <c r="D4009" s="22">
        <v>45382</v>
      </c>
      <c r="E4009" s="23">
        <v>31</v>
      </c>
      <c r="F4009" s="3">
        <f t="shared" si="642"/>
        <v>225422836.11014113</v>
      </c>
      <c r="G4009" s="3">
        <f t="shared" si="643"/>
        <v>6383257.7260166816</v>
      </c>
      <c r="H4009" s="3">
        <f t="shared" si="644"/>
        <v>1878523.6342511761</v>
      </c>
      <c r="I4009" s="3">
        <f t="shared" si="640"/>
        <v>4504734.0917655053</v>
      </c>
      <c r="J4009" s="3">
        <f t="shared" si="641"/>
        <v>220918102.01837564</v>
      </c>
      <c r="K4009" s="24"/>
      <c r="L4009" s="26"/>
    </row>
    <row r="4010" spans="2:12" x14ac:dyDescent="0.35">
      <c r="B4010" s="1">
        <f t="shared" si="645"/>
        <v>8</v>
      </c>
      <c r="C4010" s="22">
        <v>45383</v>
      </c>
      <c r="D4010" s="22">
        <v>45412</v>
      </c>
      <c r="E4010" s="23">
        <v>30</v>
      </c>
      <c r="F4010" s="3">
        <f t="shared" si="642"/>
        <v>220918102.01837564</v>
      </c>
      <c r="G4010" s="3">
        <f t="shared" si="643"/>
        <v>6383257.7260166816</v>
      </c>
      <c r="H4010" s="3">
        <f t="shared" si="644"/>
        <v>1840984.1834864635</v>
      </c>
      <c r="I4010" s="3">
        <f t="shared" si="640"/>
        <v>4542273.5425302181</v>
      </c>
      <c r="J4010" s="3">
        <f t="shared" si="641"/>
        <v>216375828.47584543</v>
      </c>
      <c r="K4010" s="24"/>
      <c r="L4010" s="24"/>
    </row>
    <row r="4011" spans="2:12" x14ac:dyDescent="0.35">
      <c r="B4011" s="1">
        <f t="shared" si="645"/>
        <v>9</v>
      </c>
      <c r="C4011" s="22">
        <v>45413</v>
      </c>
      <c r="D4011" s="22">
        <v>45443</v>
      </c>
      <c r="E4011" s="23">
        <v>31</v>
      </c>
      <c r="F4011" s="3">
        <f t="shared" si="642"/>
        <v>216375828.47584543</v>
      </c>
      <c r="G4011" s="3">
        <f t="shared" si="643"/>
        <v>6383257.7260166816</v>
      </c>
      <c r="H4011" s="3">
        <f t="shared" si="644"/>
        <v>1803131.9039653784</v>
      </c>
      <c r="I4011" s="3">
        <f t="shared" si="640"/>
        <v>4580125.8220513035</v>
      </c>
      <c r="J4011" s="3">
        <f t="shared" si="641"/>
        <v>211795702.65379411</v>
      </c>
      <c r="K4011" s="24"/>
      <c r="L4011" s="24"/>
    </row>
    <row r="4012" spans="2:12" x14ac:dyDescent="0.35">
      <c r="B4012" s="1">
        <f t="shared" si="645"/>
        <v>10</v>
      </c>
      <c r="C4012" s="22">
        <v>45444</v>
      </c>
      <c r="D4012" s="22">
        <v>45473</v>
      </c>
      <c r="E4012" s="23">
        <v>30</v>
      </c>
      <c r="F4012" s="3">
        <f t="shared" si="642"/>
        <v>211795702.65379411</v>
      </c>
      <c r="G4012" s="3">
        <f t="shared" si="643"/>
        <v>6383257.7260166816</v>
      </c>
      <c r="H4012" s="3">
        <f t="shared" si="644"/>
        <v>1764964.1887816174</v>
      </c>
      <c r="I4012" s="3">
        <f t="shared" si="640"/>
        <v>4618293.5372350644</v>
      </c>
      <c r="J4012" s="3">
        <f t="shared" si="641"/>
        <v>207177409.11655906</v>
      </c>
      <c r="K4012" s="24"/>
      <c r="L4012" s="24"/>
    </row>
    <row r="4013" spans="2:12" x14ac:dyDescent="0.35">
      <c r="B4013" s="1">
        <f t="shared" si="645"/>
        <v>11</v>
      </c>
      <c r="C4013" s="22">
        <v>45474</v>
      </c>
      <c r="D4013" s="22">
        <v>45504</v>
      </c>
      <c r="E4013" s="23">
        <v>31</v>
      </c>
      <c r="F4013" s="3">
        <f t="shared" si="642"/>
        <v>207177409.11655906</v>
      </c>
      <c r="G4013" s="3">
        <f t="shared" si="643"/>
        <v>6383257.7260166816</v>
      </c>
      <c r="H4013" s="3">
        <f t="shared" si="644"/>
        <v>1726478.4093046589</v>
      </c>
      <c r="I4013" s="3">
        <f t="shared" si="640"/>
        <v>4656779.3167120228</v>
      </c>
      <c r="J4013" s="3">
        <f t="shared" si="641"/>
        <v>202520629.79984704</v>
      </c>
      <c r="K4013" s="24"/>
      <c r="L4013" s="24"/>
    </row>
    <row r="4014" spans="2:12" x14ac:dyDescent="0.35">
      <c r="B4014" s="1">
        <f t="shared" si="645"/>
        <v>12</v>
      </c>
      <c r="C4014" s="22">
        <v>45505</v>
      </c>
      <c r="D4014" s="22">
        <v>45535</v>
      </c>
      <c r="E4014" s="23">
        <v>31</v>
      </c>
      <c r="F4014" s="3">
        <f t="shared" si="642"/>
        <v>202520629.79984704</v>
      </c>
      <c r="G4014" s="3">
        <f t="shared" si="643"/>
        <v>6383257.7260166816</v>
      </c>
      <c r="H4014" s="3">
        <f t="shared" si="644"/>
        <v>1687671.9149987253</v>
      </c>
      <c r="I4014" s="3">
        <f t="shared" si="640"/>
        <v>4695585.8110179566</v>
      </c>
      <c r="J4014" s="3">
        <f t="shared" si="641"/>
        <v>197825043.98882908</v>
      </c>
      <c r="K4014" s="307">
        <v>76599092.709999993</v>
      </c>
      <c r="L4014" s="307">
        <f>+K4014-SUM(G4003:G4014)</f>
        <v>-2.200201153755188E-3</v>
      </c>
    </row>
    <row r="4015" spans="2:12" x14ac:dyDescent="0.35">
      <c r="B4015" s="1">
        <f t="shared" si="645"/>
        <v>13</v>
      </c>
      <c r="C4015" s="22">
        <v>45536</v>
      </c>
      <c r="D4015" s="22">
        <v>45565</v>
      </c>
      <c r="E4015" s="23">
        <v>30</v>
      </c>
      <c r="F4015" s="3">
        <f t="shared" si="642"/>
        <v>197825043.98882908</v>
      </c>
      <c r="G4015" s="3">
        <f t="shared" si="643"/>
        <v>6383257.7260166816</v>
      </c>
      <c r="H4015" s="3">
        <f t="shared" si="644"/>
        <v>1648542.0332402424</v>
      </c>
      <c r="I4015" s="3">
        <f t="shared" si="640"/>
        <v>4734715.6927764397</v>
      </c>
      <c r="J4015" s="3">
        <f t="shared" si="641"/>
        <v>193090328.29605263</v>
      </c>
      <c r="K4015" s="24"/>
      <c r="L4015" s="24"/>
    </row>
    <row r="4016" spans="2:12" x14ac:dyDescent="0.35">
      <c r="B4016" s="1">
        <f t="shared" si="645"/>
        <v>14</v>
      </c>
      <c r="C4016" s="22">
        <v>45566</v>
      </c>
      <c r="D4016" s="22">
        <v>45596</v>
      </c>
      <c r="E4016" s="23">
        <v>31</v>
      </c>
      <c r="F4016" s="3">
        <f t="shared" si="642"/>
        <v>193090328.29605263</v>
      </c>
      <c r="G4016" s="3">
        <f t="shared" si="643"/>
        <v>6383257.7260166816</v>
      </c>
      <c r="H4016" s="3">
        <f t="shared" si="644"/>
        <v>1609086.069133772</v>
      </c>
      <c r="I4016" s="3">
        <f t="shared" si="640"/>
        <v>4774171.6568829101</v>
      </c>
      <c r="J4016" s="3">
        <f t="shared" si="641"/>
        <v>188316156.63916972</v>
      </c>
      <c r="K4016" s="24"/>
      <c r="L4016" s="24"/>
    </row>
    <row r="4017" spans="2:12" x14ac:dyDescent="0.35">
      <c r="B4017" s="1">
        <f t="shared" si="645"/>
        <v>15</v>
      </c>
      <c r="C4017" s="22">
        <v>45597</v>
      </c>
      <c r="D4017" s="22">
        <v>45626</v>
      </c>
      <c r="E4017" s="23">
        <v>30</v>
      </c>
      <c r="F4017" s="3">
        <f t="shared" si="642"/>
        <v>188316156.63916972</v>
      </c>
      <c r="G4017" s="3">
        <f t="shared" si="643"/>
        <v>6383257.7260166816</v>
      </c>
      <c r="H4017" s="3">
        <f t="shared" si="644"/>
        <v>1569301.3053264143</v>
      </c>
      <c r="I4017" s="3">
        <f t="shared" si="640"/>
        <v>4813956.4206902673</v>
      </c>
      <c r="J4017" s="3">
        <f t="shared" si="641"/>
        <v>183502200.21847945</v>
      </c>
      <c r="K4017" s="24"/>
      <c r="L4017" s="24"/>
    </row>
    <row r="4018" spans="2:12" x14ac:dyDescent="0.35">
      <c r="B4018" s="1">
        <f t="shared" si="645"/>
        <v>16</v>
      </c>
      <c r="C4018" s="22">
        <v>45627</v>
      </c>
      <c r="D4018" s="22">
        <v>45657</v>
      </c>
      <c r="E4018" s="23">
        <v>31</v>
      </c>
      <c r="F4018" s="3">
        <f t="shared" si="642"/>
        <v>183502200.21847945</v>
      </c>
      <c r="G4018" s="3">
        <f t="shared" si="643"/>
        <v>6383257.7260166816</v>
      </c>
      <c r="H4018" s="3">
        <f t="shared" si="644"/>
        <v>1529185.0018206621</v>
      </c>
      <c r="I4018" s="3">
        <f t="shared" si="640"/>
        <v>4854072.7241960196</v>
      </c>
      <c r="J4018" s="3">
        <f t="shared" si="641"/>
        <v>178648127.49428344</v>
      </c>
      <c r="K4018" s="24"/>
      <c r="L4018" s="24"/>
    </row>
    <row r="4019" spans="2:12" x14ac:dyDescent="0.35">
      <c r="B4019" s="1">
        <f t="shared" si="645"/>
        <v>17</v>
      </c>
      <c r="C4019" s="22">
        <v>45658</v>
      </c>
      <c r="D4019" s="22">
        <v>45688</v>
      </c>
      <c r="E4019" s="23">
        <v>31</v>
      </c>
      <c r="F4019" s="3">
        <f t="shared" si="642"/>
        <v>178648127.49428344</v>
      </c>
      <c r="G4019" s="3">
        <f t="shared" si="643"/>
        <v>6383257.7260166816</v>
      </c>
      <c r="H4019" s="3">
        <f t="shared" si="644"/>
        <v>1488734.3957856954</v>
      </c>
      <c r="I4019" s="3">
        <f t="shared" si="640"/>
        <v>4894523.3302309867</v>
      </c>
      <c r="J4019" s="3">
        <f t="shared" si="641"/>
        <v>173753604.16405246</v>
      </c>
      <c r="K4019" s="24"/>
      <c r="L4019" s="24"/>
    </row>
    <row r="4020" spans="2:12" x14ac:dyDescent="0.35">
      <c r="B4020" s="1">
        <f t="shared" si="645"/>
        <v>18</v>
      </c>
      <c r="C4020" s="22">
        <v>45689</v>
      </c>
      <c r="D4020" s="22">
        <v>45716</v>
      </c>
      <c r="E4020" s="23">
        <v>28</v>
      </c>
      <c r="F4020" s="3">
        <f t="shared" si="642"/>
        <v>173753604.16405246</v>
      </c>
      <c r="G4020" s="3">
        <f t="shared" si="643"/>
        <v>6383257.7260166816</v>
      </c>
      <c r="H4020" s="3">
        <f t="shared" si="644"/>
        <v>1447946.7013671037</v>
      </c>
      <c r="I4020" s="3">
        <f t="shared" si="640"/>
        <v>4935311.0246495781</v>
      </c>
      <c r="J4020" s="3">
        <f t="shared" si="641"/>
        <v>168818293.13940287</v>
      </c>
      <c r="K4020" s="24"/>
      <c r="L4020" s="24"/>
    </row>
    <row r="4021" spans="2:12" x14ac:dyDescent="0.35">
      <c r="B4021" s="1">
        <f t="shared" si="645"/>
        <v>19</v>
      </c>
      <c r="C4021" s="22">
        <v>45717</v>
      </c>
      <c r="D4021" s="22">
        <v>45747</v>
      </c>
      <c r="E4021" s="23">
        <v>31</v>
      </c>
      <c r="F4021" s="3">
        <f t="shared" si="642"/>
        <v>168818293.13940287</v>
      </c>
      <c r="G4021" s="3">
        <f t="shared" si="643"/>
        <v>6383257.7260166816</v>
      </c>
      <c r="H4021" s="3">
        <f t="shared" si="644"/>
        <v>1406819.109495024</v>
      </c>
      <c r="I4021" s="3">
        <f t="shared" si="640"/>
        <v>4976438.6165216574</v>
      </c>
      <c r="J4021" s="3">
        <f t="shared" si="641"/>
        <v>163841854.52288121</v>
      </c>
      <c r="K4021" s="24"/>
      <c r="L4021" s="24"/>
    </row>
    <row r="4022" spans="2:12" x14ac:dyDescent="0.35">
      <c r="B4022" s="1">
        <f t="shared" si="645"/>
        <v>20</v>
      </c>
      <c r="C4022" s="22">
        <v>45748</v>
      </c>
      <c r="D4022" s="22">
        <v>45777</v>
      </c>
      <c r="E4022" s="23">
        <v>30</v>
      </c>
      <c r="F4022" s="3">
        <f t="shared" si="642"/>
        <v>163841854.52288121</v>
      </c>
      <c r="G4022" s="3">
        <f t="shared" si="643"/>
        <v>6383257.7260166816</v>
      </c>
      <c r="H4022" s="3">
        <f t="shared" si="644"/>
        <v>1365348.7876906767</v>
      </c>
      <c r="I4022" s="3">
        <f t="shared" si="640"/>
        <v>5017908.9383260049</v>
      </c>
      <c r="J4022" s="3">
        <f t="shared" si="641"/>
        <v>158823945.58455521</v>
      </c>
      <c r="K4022" s="24"/>
      <c r="L4022" s="24"/>
    </row>
    <row r="4023" spans="2:12" x14ac:dyDescent="0.35">
      <c r="B4023" s="1">
        <f t="shared" si="645"/>
        <v>21</v>
      </c>
      <c r="C4023" s="22">
        <v>45778</v>
      </c>
      <c r="D4023" s="22">
        <v>45808</v>
      </c>
      <c r="E4023" s="23">
        <v>31</v>
      </c>
      <c r="F4023" s="3">
        <f t="shared" si="642"/>
        <v>158823945.58455521</v>
      </c>
      <c r="G4023" s="3">
        <f t="shared" si="643"/>
        <v>6383257.7260166816</v>
      </c>
      <c r="H4023" s="3">
        <f t="shared" si="644"/>
        <v>1323532.8798712934</v>
      </c>
      <c r="I4023" s="3">
        <f t="shared" si="640"/>
        <v>5059724.8461453877</v>
      </c>
      <c r="J4023" s="3">
        <f t="shared" si="641"/>
        <v>153764220.73840982</v>
      </c>
      <c r="K4023" s="24"/>
      <c r="L4023" s="24"/>
    </row>
    <row r="4024" spans="2:12" x14ac:dyDescent="0.35">
      <c r="B4024" s="1">
        <f t="shared" si="645"/>
        <v>22</v>
      </c>
      <c r="C4024" s="22">
        <v>45809</v>
      </c>
      <c r="D4024" s="22">
        <v>45838</v>
      </c>
      <c r="E4024" s="23">
        <v>30</v>
      </c>
      <c r="F4024" s="3">
        <f t="shared" si="642"/>
        <v>153764220.73840982</v>
      </c>
      <c r="G4024" s="3">
        <f t="shared" si="643"/>
        <v>6383257.7260166816</v>
      </c>
      <c r="H4024" s="3">
        <f t="shared" si="644"/>
        <v>1281368.5061534152</v>
      </c>
      <c r="I4024" s="3">
        <f t="shared" si="640"/>
        <v>5101889.2198632667</v>
      </c>
      <c r="J4024" s="3">
        <f t="shared" si="641"/>
        <v>148662331.51854655</v>
      </c>
      <c r="K4024" s="24"/>
      <c r="L4024" s="24"/>
    </row>
    <row r="4025" spans="2:12" x14ac:dyDescent="0.35">
      <c r="B4025" s="1">
        <f t="shared" si="645"/>
        <v>23</v>
      </c>
      <c r="C4025" s="22">
        <v>45839</v>
      </c>
      <c r="D4025" s="22">
        <v>45868</v>
      </c>
      <c r="E4025" s="23">
        <v>30</v>
      </c>
      <c r="F4025" s="3">
        <f t="shared" si="642"/>
        <v>148662331.51854655</v>
      </c>
      <c r="G4025" s="3">
        <f t="shared" si="643"/>
        <v>6383257.7260166816</v>
      </c>
      <c r="H4025" s="3">
        <f t="shared" si="644"/>
        <v>1238852.7626545546</v>
      </c>
      <c r="I4025" s="3">
        <f t="shared" si="640"/>
        <v>5144404.9633621275</v>
      </c>
      <c r="J4025" s="3">
        <f t="shared" si="641"/>
        <v>143517926.55518442</v>
      </c>
    </row>
    <row r="4026" spans="2:12" x14ac:dyDescent="0.35">
      <c r="B4026" s="1">
        <f t="shared" si="645"/>
        <v>24</v>
      </c>
      <c r="C4026" s="22">
        <v>45870</v>
      </c>
      <c r="D4026" s="22">
        <v>45899</v>
      </c>
      <c r="E4026" s="23">
        <v>30</v>
      </c>
      <c r="F4026" s="3">
        <f t="shared" si="642"/>
        <v>143517926.55518442</v>
      </c>
      <c r="G4026" s="288">
        <f t="shared" si="643"/>
        <v>6383257.7260166816</v>
      </c>
      <c r="H4026" s="3">
        <f t="shared" si="644"/>
        <v>1195982.7212932035</v>
      </c>
      <c r="I4026" s="3">
        <f t="shared" si="640"/>
        <v>5187275.0047234781</v>
      </c>
      <c r="J4026" s="3">
        <f t="shared" si="641"/>
        <v>138330651.55046093</v>
      </c>
      <c r="K4026" s="404" t="s">
        <v>921</v>
      </c>
      <c r="L4026" s="404"/>
    </row>
    <row r="4027" spans="2:12" x14ac:dyDescent="0.35">
      <c r="B4027" s="1">
        <f t="shared" si="645"/>
        <v>25</v>
      </c>
      <c r="C4027" s="22">
        <v>45901</v>
      </c>
      <c r="D4027" s="22">
        <v>45930</v>
      </c>
      <c r="E4027" s="23">
        <v>30</v>
      </c>
      <c r="F4027" s="3">
        <f t="shared" si="642"/>
        <v>138330651.55046093</v>
      </c>
      <c r="G4027" s="3">
        <f t="shared" si="643"/>
        <v>6383257.7260166816</v>
      </c>
      <c r="H4027" s="3">
        <f t="shared" si="644"/>
        <v>1152755.4295871744</v>
      </c>
      <c r="I4027" s="3">
        <f t="shared" si="640"/>
        <v>5230502.2964295074</v>
      </c>
      <c r="J4027" s="3">
        <f t="shared" si="641"/>
        <v>133100149.25403142</v>
      </c>
    </row>
    <row r="4028" spans="2:12" x14ac:dyDescent="0.35">
      <c r="B4028" s="1">
        <f t="shared" si="645"/>
        <v>26</v>
      </c>
      <c r="C4028" s="22">
        <v>45931</v>
      </c>
      <c r="D4028" s="22">
        <v>45961</v>
      </c>
      <c r="E4028" s="23">
        <v>31</v>
      </c>
      <c r="F4028" s="3">
        <f t="shared" si="642"/>
        <v>133100149.25403142</v>
      </c>
      <c r="G4028" s="3">
        <f t="shared" si="643"/>
        <v>6383257.7260166816</v>
      </c>
      <c r="H4028" s="3">
        <f t="shared" si="644"/>
        <v>1109167.9104502618</v>
      </c>
      <c r="I4028" s="3">
        <f t="shared" si="640"/>
        <v>5274089.8155664196</v>
      </c>
      <c r="J4028" s="3">
        <f t="shared" si="641"/>
        <v>127826059.438465</v>
      </c>
    </row>
    <row r="4029" spans="2:12" x14ac:dyDescent="0.35">
      <c r="B4029" s="1">
        <f t="shared" si="645"/>
        <v>27</v>
      </c>
      <c r="C4029" s="22">
        <v>45962</v>
      </c>
      <c r="D4029" s="22">
        <v>45991</v>
      </c>
      <c r="E4029" s="23">
        <v>30</v>
      </c>
      <c r="F4029" s="3">
        <f t="shared" si="642"/>
        <v>127826059.438465</v>
      </c>
      <c r="G4029" s="3">
        <f t="shared" si="643"/>
        <v>6383257.7260166816</v>
      </c>
      <c r="H4029" s="3">
        <f t="shared" si="644"/>
        <v>1065217.1619872083</v>
      </c>
      <c r="I4029" s="3">
        <f t="shared" si="640"/>
        <v>5318040.5640294738</v>
      </c>
      <c r="J4029" s="3">
        <f t="shared" si="641"/>
        <v>122508018.87443553</v>
      </c>
    </row>
    <row r="4030" spans="2:12" x14ac:dyDescent="0.35">
      <c r="B4030" s="1">
        <f t="shared" si="645"/>
        <v>28</v>
      </c>
      <c r="C4030" s="22">
        <v>45992</v>
      </c>
      <c r="D4030" s="22">
        <v>46022</v>
      </c>
      <c r="E4030" s="23">
        <v>31</v>
      </c>
      <c r="F4030" s="3">
        <f t="shared" si="642"/>
        <v>122508018.87443553</v>
      </c>
      <c r="G4030" s="3">
        <f t="shared" si="643"/>
        <v>6383257.7260166816</v>
      </c>
      <c r="H4030" s="3">
        <f t="shared" si="644"/>
        <v>1020900.1572869627</v>
      </c>
      <c r="I4030" s="3">
        <f t="shared" si="640"/>
        <v>5362357.5687297191</v>
      </c>
      <c r="J4030" s="3">
        <f t="shared" si="641"/>
        <v>117145661.30570582</v>
      </c>
    </row>
    <row r="4031" spans="2:12" x14ac:dyDescent="0.35">
      <c r="B4031" s="1">
        <f t="shared" si="645"/>
        <v>29</v>
      </c>
      <c r="C4031" s="22">
        <v>46023</v>
      </c>
      <c r="D4031" s="22">
        <v>46053</v>
      </c>
      <c r="E4031" s="23">
        <v>31</v>
      </c>
      <c r="F4031" s="3">
        <f t="shared" si="642"/>
        <v>117145661.30570582</v>
      </c>
      <c r="G4031" s="3">
        <f t="shared" si="643"/>
        <v>6383257.7260166816</v>
      </c>
      <c r="H4031" s="3">
        <f t="shared" si="644"/>
        <v>976213.84421421506</v>
      </c>
      <c r="I4031" s="3">
        <f t="shared" si="640"/>
        <v>5407043.8818024667</v>
      </c>
      <c r="J4031" s="3">
        <f t="shared" si="641"/>
        <v>111738617.42390335</v>
      </c>
    </row>
    <row r="4032" spans="2:12" x14ac:dyDescent="0.35">
      <c r="B4032" s="1">
        <f t="shared" si="645"/>
        <v>30</v>
      </c>
      <c r="C4032" s="22">
        <v>46054</v>
      </c>
      <c r="D4032" s="22">
        <v>46081</v>
      </c>
      <c r="E4032" s="23">
        <v>28</v>
      </c>
      <c r="F4032" s="3">
        <f t="shared" si="642"/>
        <v>111738617.42390335</v>
      </c>
      <c r="G4032" s="3">
        <f t="shared" si="643"/>
        <v>6383257.7260166816</v>
      </c>
      <c r="H4032" s="3">
        <f t="shared" si="644"/>
        <v>931155.14519919455</v>
      </c>
      <c r="I4032" s="3">
        <f t="shared" si="640"/>
        <v>5452102.5808174871</v>
      </c>
      <c r="J4032" s="3">
        <f t="shared" si="641"/>
        <v>106286514.84308586</v>
      </c>
    </row>
    <row r="4033" spans="2:10" x14ac:dyDescent="0.35">
      <c r="B4033" s="1">
        <f t="shared" si="645"/>
        <v>31</v>
      </c>
      <c r="C4033" s="22">
        <v>46082</v>
      </c>
      <c r="D4033" s="22">
        <v>46112</v>
      </c>
      <c r="E4033" s="23">
        <v>31</v>
      </c>
      <c r="F4033" s="3">
        <f t="shared" si="642"/>
        <v>106286514.84308586</v>
      </c>
      <c r="G4033" s="3">
        <f t="shared" si="643"/>
        <v>6383257.7260166816</v>
      </c>
      <c r="H4033" s="3">
        <f t="shared" si="644"/>
        <v>885720.9570257155</v>
      </c>
      <c r="I4033" s="3">
        <f t="shared" si="640"/>
        <v>5497536.7689909665</v>
      </c>
      <c r="J4033" s="3">
        <f t="shared" si="641"/>
        <v>100788978.07409489</v>
      </c>
    </row>
    <row r="4034" spans="2:10" x14ac:dyDescent="0.35">
      <c r="B4034" s="1">
        <f t="shared" si="645"/>
        <v>32</v>
      </c>
      <c r="C4034" s="22">
        <v>46113</v>
      </c>
      <c r="D4034" s="22">
        <v>46142</v>
      </c>
      <c r="E4034" s="23">
        <v>30</v>
      </c>
      <c r="F4034" s="3">
        <f t="shared" si="642"/>
        <v>100788978.07409489</v>
      </c>
      <c r="G4034" s="3">
        <f t="shared" si="643"/>
        <v>6383257.7260166816</v>
      </c>
      <c r="H4034" s="3">
        <f t="shared" si="644"/>
        <v>839908.15061745746</v>
      </c>
      <c r="I4034" s="3">
        <f t="shared" ref="I4034:I4050" si="646">G4034-H4034</f>
        <v>5543349.5753992237</v>
      </c>
      <c r="J4034" s="3">
        <f t="shared" ref="J4034:J4050" si="647">F4034-I4034</f>
        <v>95245628.498695672</v>
      </c>
    </row>
    <row r="4035" spans="2:10" x14ac:dyDescent="0.35">
      <c r="B4035" s="1">
        <f t="shared" si="645"/>
        <v>33</v>
      </c>
      <c r="C4035" s="22">
        <v>46143</v>
      </c>
      <c r="D4035" s="22">
        <v>46173</v>
      </c>
      <c r="E4035" s="23">
        <v>31</v>
      </c>
      <c r="F4035" s="3">
        <f t="shared" si="642"/>
        <v>95245628.498695672</v>
      </c>
      <c r="G4035" s="3">
        <f t="shared" si="643"/>
        <v>6383257.7260166816</v>
      </c>
      <c r="H4035" s="3">
        <f t="shared" si="644"/>
        <v>793713.57082246395</v>
      </c>
      <c r="I4035" s="3">
        <f t="shared" si="646"/>
        <v>5589544.1551942173</v>
      </c>
      <c r="J4035" s="3">
        <f t="shared" si="647"/>
        <v>89656084.343501449</v>
      </c>
    </row>
    <row r="4036" spans="2:10" x14ac:dyDescent="0.35">
      <c r="B4036" s="1">
        <f t="shared" si="645"/>
        <v>34</v>
      </c>
      <c r="C4036" s="22">
        <v>46174</v>
      </c>
      <c r="D4036" s="22">
        <v>46203</v>
      </c>
      <c r="E4036" s="23">
        <v>30</v>
      </c>
      <c r="F4036" s="3">
        <f t="shared" si="642"/>
        <v>89656084.343501449</v>
      </c>
      <c r="G4036" s="3">
        <f t="shared" si="643"/>
        <v>6383257.7260166816</v>
      </c>
      <c r="H4036" s="3">
        <f t="shared" si="644"/>
        <v>747134.03619584534</v>
      </c>
      <c r="I4036" s="3">
        <f t="shared" si="646"/>
        <v>5636123.6898208363</v>
      </c>
      <c r="J4036" s="3">
        <f t="shared" si="647"/>
        <v>84019960.653680608</v>
      </c>
    </row>
    <row r="4037" spans="2:10" x14ac:dyDescent="0.35">
      <c r="B4037" s="1">
        <f t="shared" si="645"/>
        <v>35</v>
      </c>
      <c r="C4037" s="22">
        <v>46204</v>
      </c>
      <c r="D4037" s="22">
        <v>46234</v>
      </c>
      <c r="E4037" s="23">
        <v>31</v>
      </c>
      <c r="F4037" s="3">
        <f t="shared" si="642"/>
        <v>84019960.653680608</v>
      </c>
      <c r="G4037" s="3">
        <f t="shared" si="643"/>
        <v>6383257.7260166816</v>
      </c>
      <c r="H4037" s="3">
        <f t="shared" si="644"/>
        <v>700166.33878067171</v>
      </c>
      <c r="I4037" s="3">
        <f t="shared" si="646"/>
        <v>5683091.3872360103</v>
      </c>
      <c r="J4037" s="3">
        <f t="shared" si="647"/>
        <v>78336869.266444594</v>
      </c>
    </row>
    <row r="4038" spans="2:10" x14ac:dyDescent="0.35">
      <c r="B4038" s="1">
        <f t="shared" si="645"/>
        <v>36</v>
      </c>
      <c r="C4038" s="22">
        <v>46235</v>
      </c>
      <c r="D4038" s="22">
        <v>46265</v>
      </c>
      <c r="E4038" s="23">
        <v>31</v>
      </c>
      <c r="F4038" s="3">
        <f t="shared" si="642"/>
        <v>78336869.266444594</v>
      </c>
      <c r="G4038" s="3">
        <f t="shared" si="643"/>
        <v>6383257.7260166816</v>
      </c>
      <c r="H4038" s="3">
        <f t="shared" si="644"/>
        <v>652807.24388703832</v>
      </c>
      <c r="I4038" s="3">
        <f t="shared" si="646"/>
        <v>5730450.4821296437</v>
      </c>
      <c r="J4038" s="3">
        <f t="shared" si="647"/>
        <v>72606418.784314945</v>
      </c>
    </row>
    <row r="4039" spans="2:10" x14ac:dyDescent="0.35">
      <c r="B4039" s="1">
        <f t="shared" si="645"/>
        <v>37</v>
      </c>
      <c r="C4039" s="22">
        <v>46266</v>
      </c>
      <c r="D4039" s="22">
        <v>46295</v>
      </c>
      <c r="E4039" s="23">
        <v>30</v>
      </c>
      <c r="F4039" s="3">
        <f t="shared" si="642"/>
        <v>72606418.784314945</v>
      </c>
      <c r="G4039" s="3">
        <f t="shared" si="643"/>
        <v>6383257.7260166816</v>
      </c>
      <c r="H4039" s="3">
        <f t="shared" si="644"/>
        <v>605053.4898692912</v>
      </c>
      <c r="I4039" s="3">
        <f t="shared" si="646"/>
        <v>5778204.2361473907</v>
      </c>
      <c r="J4039" s="3">
        <f t="shared" si="647"/>
        <v>66828214.548167557</v>
      </c>
    </row>
    <row r="4040" spans="2:10" x14ac:dyDescent="0.35">
      <c r="B4040" s="1">
        <f t="shared" si="645"/>
        <v>38</v>
      </c>
      <c r="C4040" s="22">
        <v>46296</v>
      </c>
      <c r="D4040" s="22">
        <v>46326</v>
      </c>
      <c r="E4040" s="23">
        <v>31</v>
      </c>
      <c r="F4040" s="3">
        <f t="shared" si="642"/>
        <v>66828214.548167557</v>
      </c>
      <c r="G4040" s="3">
        <f t="shared" si="643"/>
        <v>6383257.7260166816</v>
      </c>
      <c r="H4040" s="3">
        <f t="shared" si="644"/>
        <v>556901.78790139628</v>
      </c>
      <c r="I4040" s="3">
        <f t="shared" si="646"/>
        <v>5826355.9381152857</v>
      </c>
      <c r="J4040" s="3">
        <f t="shared" si="647"/>
        <v>61001858.610052273</v>
      </c>
    </row>
    <row r="4041" spans="2:10" x14ac:dyDescent="0.35">
      <c r="B4041" s="1">
        <f t="shared" si="645"/>
        <v>39</v>
      </c>
      <c r="C4041" s="22">
        <v>46327</v>
      </c>
      <c r="D4041" s="22">
        <v>46356</v>
      </c>
      <c r="E4041" s="23">
        <v>30</v>
      </c>
      <c r="F4041" s="3">
        <f t="shared" si="642"/>
        <v>61001858.610052273</v>
      </c>
      <c r="G4041" s="3">
        <f t="shared" si="643"/>
        <v>6383257.7260166816</v>
      </c>
      <c r="H4041" s="3">
        <f t="shared" si="644"/>
        <v>508348.82175043557</v>
      </c>
      <c r="I4041" s="3">
        <f t="shared" si="646"/>
        <v>5874908.9042662457</v>
      </c>
      <c r="J4041" s="3">
        <f t="shared" si="647"/>
        <v>55126949.705786027</v>
      </c>
    </row>
    <row r="4042" spans="2:10" x14ac:dyDescent="0.35">
      <c r="B4042" s="1">
        <f t="shared" si="645"/>
        <v>40</v>
      </c>
      <c r="C4042" s="22">
        <v>46357</v>
      </c>
      <c r="D4042" s="22">
        <v>46387</v>
      </c>
      <c r="E4042" s="23">
        <v>31</v>
      </c>
      <c r="F4042" s="3">
        <f t="shared" si="642"/>
        <v>55126949.705786027</v>
      </c>
      <c r="G4042" s="3">
        <f t="shared" si="643"/>
        <v>6383257.7260166816</v>
      </c>
      <c r="H4042" s="3">
        <f t="shared" si="644"/>
        <v>459391.2475482169</v>
      </c>
      <c r="I4042" s="3">
        <f t="shared" si="646"/>
        <v>5923866.4784684647</v>
      </c>
      <c r="J4042" s="3">
        <f t="shared" si="647"/>
        <v>49203083.227317564</v>
      </c>
    </row>
    <row r="4043" spans="2:10" x14ac:dyDescent="0.35">
      <c r="B4043" s="1">
        <f t="shared" si="645"/>
        <v>41</v>
      </c>
      <c r="C4043" s="22">
        <v>46388</v>
      </c>
      <c r="D4043" s="22">
        <v>46418</v>
      </c>
      <c r="E4043" s="23">
        <v>31</v>
      </c>
      <c r="F4043" s="3">
        <f t="shared" si="642"/>
        <v>49203083.227317564</v>
      </c>
      <c r="G4043" s="3">
        <f t="shared" si="643"/>
        <v>6383257.7260166816</v>
      </c>
      <c r="H4043" s="3">
        <f t="shared" si="644"/>
        <v>410025.69356097968</v>
      </c>
      <c r="I4043" s="3">
        <f t="shared" si="646"/>
        <v>5973232.0324557023</v>
      </c>
      <c r="J4043" s="3">
        <f t="shared" si="647"/>
        <v>43229851.194861859</v>
      </c>
    </row>
    <row r="4044" spans="2:10" x14ac:dyDescent="0.35">
      <c r="B4044" s="1">
        <f t="shared" si="645"/>
        <v>42</v>
      </c>
      <c r="C4044" s="22">
        <v>46419</v>
      </c>
      <c r="D4044" s="22">
        <v>46446</v>
      </c>
      <c r="E4044" s="23">
        <v>28</v>
      </c>
      <c r="F4044" s="3">
        <f t="shared" si="642"/>
        <v>43229851.194861859</v>
      </c>
      <c r="G4044" s="3">
        <f t="shared" si="643"/>
        <v>6383257.7260166816</v>
      </c>
      <c r="H4044" s="3">
        <f t="shared" si="644"/>
        <v>360248.75995718216</v>
      </c>
      <c r="I4044" s="3">
        <f t="shared" si="646"/>
        <v>6023008.9660594994</v>
      </c>
      <c r="J4044" s="3">
        <f t="shared" si="647"/>
        <v>37206842.228802361</v>
      </c>
    </row>
    <row r="4045" spans="2:10" x14ac:dyDescent="0.35">
      <c r="B4045" s="1">
        <f t="shared" si="645"/>
        <v>43</v>
      </c>
      <c r="C4045" s="22">
        <v>46447</v>
      </c>
      <c r="D4045" s="22">
        <v>46477</v>
      </c>
      <c r="E4045" s="23">
        <v>31</v>
      </c>
      <c r="F4045" s="3">
        <f t="shared" si="642"/>
        <v>37206842.228802361</v>
      </c>
      <c r="G4045" s="3">
        <f t="shared" si="643"/>
        <v>6383257.7260166816</v>
      </c>
      <c r="H4045" s="3">
        <f t="shared" si="644"/>
        <v>310057.01857335301</v>
      </c>
      <c r="I4045" s="3">
        <f t="shared" si="646"/>
        <v>6073200.7074433286</v>
      </c>
      <c r="J4045" s="3">
        <f t="shared" si="647"/>
        <v>31133641.521359034</v>
      </c>
    </row>
    <row r="4046" spans="2:10" x14ac:dyDescent="0.35">
      <c r="B4046" s="1">
        <f t="shared" si="645"/>
        <v>44</v>
      </c>
      <c r="C4046" s="22">
        <v>46478</v>
      </c>
      <c r="D4046" s="22">
        <v>46507</v>
      </c>
      <c r="E4046" s="23">
        <v>30</v>
      </c>
      <c r="F4046" s="3">
        <f t="shared" si="642"/>
        <v>31133641.521359034</v>
      </c>
      <c r="G4046" s="3">
        <f t="shared" si="643"/>
        <v>6383257.7260166816</v>
      </c>
      <c r="H4046" s="3">
        <f t="shared" si="644"/>
        <v>259447.01267799194</v>
      </c>
      <c r="I4046" s="3">
        <f t="shared" si="646"/>
        <v>6123810.7133386899</v>
      </c>
      <c r="J4046" s="3">
        <f t="shared" si="647"/>
        <v>25009830.808020346</v>
      </c>
    </row>
    <row r="4047" spans="2:10" x14ac:dyDescent="0.35">
      <c r="B4047" s="1">
        <f t="shared" si="645"/>
        <v>45</v>
      </c>
      <c r="C4047" s="22">
        <v>46508</v>
      </c>
      <c r="D4047" s="22">
        <v>46538</v>
      </c>
      <c r="E4047" s="23">
        <v>31</v>
      </c>
      <c r="F4047" s="3">
        <f t="shared" si="642"/>
        <v>25009830.808020346</v>
      </c>
      <c r="G4047" s="3">
        <f t="shared" si="643"/>
        <v>6383257.7260166816</v>
      </c>
      <c r="H4047" s="3">
        <f t="shared" si="644"/>
        <v>208415.25673350287</v>
      </c>
      <c r="I4047" s="3">
        <f t="shared" si="646"/>
        <v>6174842.4692831784</v>
      </c>
      <c r="J4047" s="3">
        <f t="shared" si="647"/>
        <v>18834988.338737167</v>
      </c>
    </row>
    <row r="4048" spans="2:10" x14ac:dyDescent="0.35">
      <c r="B4048" s="1">
        <f t="shared" si="645"/>
        <v>46</v>
      </c>
      <c r="C4048" s="22">
        <v>46539</v>
      </c>
      <c r="D4048" s="22">
        <v>46568</v>
      </c>
      <c r="E4048" s="23">
        <v>30</v>
      </c>
      <c r="F4048" s="3">
        <f t="shared" si="642"/>
        <v>18834988.338737167</v>
      </c>
      <c r="G4048" s="3">
        <f t="shared" si="643"/>
        <v>6383257.7260166816</v>
      </c>
      <c r="H4048" s="3">
        <f t="shared" si="644"/>
        <v>156958.23615614307</v>
      </c>
      <c r="I4048" s="3">
        <f t="shared" si="646"/>
        <v>6226299.4898605384</v>
      </c>
      <c r="J4048" s="3">
        <f t="shared" si="647"/>
        <v>12608688.848876629</v>
      </c>
    </row>
    <row r="4049" spans="2:19" x14ac:dyDescent="0.35">
      <c r="B4049" s="1">
        <f t="shared" si="645"/>
        <v>47</v>
      </c>
      <c r="C4049" s="22">
        <v>46569</v>
      </c>
      <c r="D4049" s="22">
        <v>46599</v>
      </c>
      <c r="E4049" s="23">
        <v>31</v>
      </c>
      <c r="F4049" s="3">
        <f t="shared" si="642"/>
        <v>12608688.848876629</v>
      </c>
      <c r="G4049" s="3">
        <f t="shared" si="643"/>
        <v>6383257.7260166816</v>
      </c>
      <c r="H4049" s="3">
        <f t="shared" si="644"/>
        <v>105072.4070739719</v>
      </c>
      <c r="I4049" s="3">
        <f t="shared" si="646"/>
        <v>6278185.3189427098</v>
      </c>
      <c r="J4049" s="3">
        <f t="shared" si="647"/>
        <v>6330503.5299339192</v>
      </c>
    </row>
    <row r="4050" spans="2:19" x14ac:dyDescent="0.35">
      <c r="B4050" s="1">
        <f t="shared" si="645"/>
        <v>48</v>
      </c>
      <c r="C4050" s="22">
        <v>46600</v>
      </c>
      <c r="D4050" s="22">
        <v>46630</v>
      </c>
      <c r="E4050" s="23">
        <v>31</v>
      </c>
      <c r="F4050" s="3">
        <f t="shared" si="642"/>
        <v>6330503.5299339192</v>
      </c>
      <c r="G4050" s="3">
        <f t="shared" si="643"/>
        <v>6383257.7260166816</v>
      </c>
      <c r="H4050" s="3">
        <f t="shared" si="644"/>
        <v>52754.196082782662</v>
      </c>
      <c r="I4050" s="3">
        <f t="shared" si="646"/>
        <v>6330503.5299338987</v>
      </c>
      <c r="J4050" s="3">
        <f t="shared" si="647"/>
        <v>2.0489096641540527E-8</v>
      </c>
    </row>
    <row r="4056" spans="2:19" x14ac:dyDescent="0.35">
      <c r="B4056" s="1"/>
      <c r="C4056" s="8" t="s">
        <v>782</v>
      </c>
      <c r="D4056" s="3"/>
      <c r="E4056" s="3"/>
      <c r="F4056" s="3"/>
      <c r="G4056" s="3"/>
      <c r="H4056" s="3"/>
      <c r="I4056" s="3"/>
      <c r="J4056" s="3"/>
      <c r="K4056" s="3"/>
      <c r="L4056" s="3"/>
      <c r="R4056" s="438" t="s">
        <v>832</v>
      </c>
      <c r="S4056" s="432" t="str">
        <f>IFERROR(INDEX(Blocks!$I$2:$I$101,MATCH(74,Blocks!$A$2:$A$101,0)),"")</f>
        <v>000104450000076</v>
      </c>
    </row>
    <row r="4057" spans="2:19" x14ac:dyDescent="0.35">
      <c r="B4057" s="1"/>
      <c r="C4057" s="1"/>
      <c r="D4057" s="3"/>
      <c r="E4057" s="3"/>
      <c r="F4057" s="3"/>
      <c r="G4057" s="3"/>
      <c r="H4057" s="3"/>
      <c r="I4057" s="3"/>
      <c r="J4057" s="3"/>
      <c r="K4057" s="3"/>
      <c r="L4057" s="3"/>
      <c r="R4057" s="438" t="s">
        <v>834</v>
      </c>
      <c r="S4057" s="432" t="str">
        <f>IFERROR(INDEX(Blocks!$H$2:$H$101,MATCH(74,Blocks!$A$2:$A$101,0)),"")</f>
        <v>Beaulaland Food Processors</v>
      </c>
    </row>
    <row r="4058" spans="2:19" x14ac:dyDescent="0.35">
      <c r="B4058" s="1"/>
      <c r="C4058" s="9" t="s">
        <v>835</v>
      </c>
      <c r="D4058" s="10">
        <v>30000000</v>
      </c>
      <c r="E4058" s="3"/>
      <c r="F4058" s="3"/>
      <c r="G4058" s="3"/>
      <c r="H4058" s="3"/>
      <c r="I4058" s="3"/>
      <c r="J4058" s="3"/>
      <c r="K4058" s="3"/>
      <c r="L4058" s="3"/>
      <c r="R4058" s="438" t="s">
        <v>223</v>
      </c>
      <c r="S4058" s="433">
        <f>IFERROR(INDEX('E-Banker master'!$N$2:$N$186,MATCH(S4056,'E-Banker master'!$A$2:$A$186,0)),"")</f>
        <v>30000000</v>
      </c>
    </row>
    <row r="4059" spans="2:19" x14ac:dyDescent="0.35">
      <c r="B4059" s="1"/>
      <c r="C4059" s="11" t="s">
        <v>837</v>
      </c>
      <c r="D4059" s="12">
        <v>0.1</v>
      </c>
      <c r="E4059" s="13"/>
      <c r="F4059" s="3"/>
      <c r="G4059" s="3"/>
      <c r="H4059" s="3"/>
      <c r="I4059" s="3"/>
      <c r="J4059" s="3"/>
      <c r="K4059" s="3"/>
      <c r="L4059" s="3"/>
      <c r="R4059" s="438" t="s">
        <v>52</v>
      </c>
      <c r="S4059" s="433">
        <f>IFERROR(INDEX('E-Banker master'!$P$2:$P$186,MATCH(S4056,'E-Banker master'!$A$2:$A$186,0)),"")</f>
        <v>21032811.59</v>
      </c>
    </row>
    <row r="4060" spans="2:19" x14ac:dyDescent="0.35">
      <c r="B4060" s="1"/>
      <c r="C4060" s="11" t="s">
        <v>838</v>
      </c>
      <c r="D4060" s="14">
        <v>2</v>
      </c>
      <c r="E4060" s="1"/>
      <c r="F4060" s="3"/>
      <c r="G4060" s="3"/>
      <c r="H4060" s="3"/>
      <c r="I4060" s="3"/>
      <c r="J4060" s="3"/>
      <c r="K4060" s="1"/>
      <c r="L4060" s="1"/>
    </row>
    <row r="4061" spans="2:19" x14ac:dyDescent="0.35">
      <c r="B4061" s="1"/>
      <c r="C4061" s="11" t="s">
        <v>839</v>
      </c>
      <c r="D4061" s="14">
        <v>12</v>
      </c>
      <c r="E4061" s="1"/>
      <c r="F4061" s="3"/>
      <c r="G4061" s="3"/>
      <c r="H4061" s="3"/>
      <c r="I4061" s="3"/>
      <c r="J4061" s="3"/>
      <c r="K4061" s="1"/>
      <c r="L4061" s="1"/>
    </row>
    <row r="4062" spans="2:19" x14ac:dyDescent="0.35">
      <c r="B4062" s="1"/>
      <c r="C4062" s="11" t="s">
        <v>843</v>
      </c>
      <c r="D4062" s="15">
        <f>D4060*D4061</f>
        <v>24</v>
      </c>
      <c r="E4062" s="1"/>
      <c r="F4062" s="3"/>
      <c r="G4062" s="3"/>
      <c r="H4062" s="3"/>
      <c r="I4062" s="3"/>
      <c r="J4062" s="3"/>
      <c r="K4062" s="1"/>
      <c r="L4062" s="1"/>
    </row>
    <row r="4063" spans="2:19" x14ac:dyDescent="0.35">
      <c r="B4063" s="1"/>
      <c r="C4063" s="11" t="s">
        <v>844</v>
      </c>
      <c r="D4063" s="16">
        <v>365</v>
      </c>
      <c r="E4063" s="1"/>
      <c r="F4063" s="3"/>
      <c r="G4063" s="3"/>
      <c r="H4063" s="3"/>
      <c r="I4063" s="3"/>
      <c r="J4063" s="3"/>
      <c r="K4063" s="1"/>
      <c r="L4063" s="1"/>
    </row>
    <row r="4064" spans="2:19" x14ac:dyDescent="0.35">
      <c r="B4064" s="1"/>
      <c r="C4064" s="17" t="s">
        <v>845</v>
      </c>
      <c r="D4064" s="18">
        <f>-PMT(D4059/D4061,D4062,D4058,0,0)</f>
        <v>1384347.7901254953</v>
      </c>
      <c r="E4064" s="3"/>
      <c r="F4064" s="3"/>
      <c r="G4064" s="3"/>
      <c r="H4064" s="3"/>
      <c r="I4064" s="3"/>
      <c r="J4064" s="3"/>
      <c r="K4064" s="1"/>
      <c r="L4064" s="1"/>
    </row>
    <row r="4065" spans="2:12" x14ac:dyDescent="0.35">
      <c r="B4065" s="1"/>
      <c r="C4065" s="1"/>
      <c r="D4065" s="3"/>
      <c r="E4065" s="3"/>
      <c r="F4065" s="3"/>
      <c r="G4065" s="3"/>
      <c r="H4065" s="3"/>
      <c r="I4065" s="3"/>
      <c r="J4065" s="3"/>
      <c r="K4065" s="1"/>
      <c r="L4065" s="1"/>
    </row>
    <row r="4066" spans="2:12" x14ac:dyDescent="0.35">
      <c r="B4066" s="1"/>
      <c r="C4066" s="19" t="s">
        <v>846</v>
      </c>
      <c r="D4066" s="20" t="s">
        <v>847</v>
      </c>
      <c r="E4066" s="20" t="s">
        <v>764</v>
      </c>
      <c r="F4066" s="270" t="s">
        <v>848</v>
      </c>
      <c r="G4066" s="270" t="s">
        <v>849</v>
      </c>
      <c r="H4066" s="270" t="s">
        <v>742</v>
      </c>
      <c r="I4066" s="270" t="s">
        <v>740</v>
      </c>
      <c r="J4066" s="270" t="s">
        <v>850</v>
      </c>
      <c r="K4066" s="21" t="s">
        <v>851</v>
      </c>
      <c r="L4066" s="21" t="s">
        <v>852</v>
      </c>
    </row>
    <row r="4067" spans="2:12" x14ac:dyDescent="0.35">
      <c r="B4067" s="1">
        <v>0</v>
      </c>
      <c r="C4067" s="22">
        <v>45153</v>
      </c>
      <c r="D4067" s="22">
        <v>45169</v>
      </c>
      <c r="E4067" s="23">
        <f>D4067-C4067+1</f>
        <v>17</v>
      </c>
      <c r="F4067" s="3">
        <f>D4058</f>
        <v>30000000</v>
      </c>
      <c r="G4067" s="3"/>
      <c r="H4067" s="3">
        <f>($D$4059/$D$4061*F4067*E4067/31)</f>
        <v>137096.77419354839</v>
      </c>
      <c r="I4067" s="3">
        <f>-H4067</f>
        <v>-137096.77419354839</v>
      </c>
      <c r="J4067" s="3">
        <f t="shared" ref="J4067:J4103" si="648">F4067-I4067</f>
        <v>30137096.774193548</v>
      </c>
    </row>
    <row r="4068" spans="2:12" x14ac:dyDescent="0.35">
      <c r="B4068" s="1">
        <v>1</v>
      </c>
      <c r="C4068" s="22">
        <v>45170</v>
      </c>
      <c r="D4068" s="22">
        <v>45199</v>
      </c>
      <c r="E4068" s="23">
        <v>30</v>
      </c>
      <c r="F4068" s="3">
        <f t="shared" ref="F4068:F4103" si="649">J4067</f>
        <v>30137096.774193548</v>
      </c>
      <c r="G4068" s="3"/>
      <c r="H4068" s="3">
        <f>($D$3952/$D$3954*F4068)</f>
        <v>251142.47311827957</v>
      </c>
      <c r="I4068" s="3">
        <f>-H4068</f>
        <v>-251142.47311827957</v>
      </c>
      <c r="J4068" s="3">
        <f t="shared" si="648"/>
        <v>30388239.247311827</v>
      </c>
      <c r="K4068" s="24"/>
      <c r="L4068" s="24"/>
    </row>
    <row r="4069" spans="2:12" x14ac:dyDescent="0.35">
      <c r="B4069" s="1">
        <f t="shared" ref="B4069:B4103" si="650">+B4068+1</f>
        <v>2</v>
      </c>
      <c r="C4069" s="22">
        <v>45200</v>
      </c>
      <c r="D4069" s="22">
        <v>45230</v>
      </c>
      <c r="E4069" s="23">
        <v>31</v>
      </c>
      <c r="F4069" s="3">
        <f t="shared" si="649"/>
        <v>30388239.247311827</v>
      </c>
      <c r="G4069" s="3"/>
      <c r="H4069" s="3">
        <f>($D$3952/$D$3954*F4069)</f>
        <v>253235.32706093189</v>
      </c>
      <c r="I4069" s="3">
        <f t="shared" ref="I4069:I4103" si="651">G4069-H4069</f>
        <v>-253235.32706093189</v>
      </c>
      <c r="J4069" s="3">
        <f t="shared" si="648"/>
        <v>30641474.574372757</v>
      </c>
      <c r="K4069" s="24"/>
      <c r="L4069" s="24"/>
    </row>
    <row r="4070" spans="2:12" x14ac:dyDescent="0.35">
      <c r="B4070" s="1">
        <f t="shared" si="650"/>
        <v>3</v>
      </c>
      <c r="C4070" s="22">
        <v>45231</v>
      </c>
      <c r="D4070" s="22">
        <v>45260</v>
      </c>
      <c r="E4070" s="23">
        <v>30</v>
      </c>
      <c r="F4070" s="3">
        <f t="shared" si="649"/>
        <v>30641474.574372757</v>
      </c>
      <c r="G4070" s="3">
        <f t="shared" ref="G4070:G4103" si="652">-PMT($D$4059/$D$4061,34,$F$4070,,0)</f>
        <v>1038638.6001291483</v>
      </c>
      <c r="H4070" s="3">
        <f t="shared" ref="H4070:H4103" si="653">($D$4059/$D$4061*F4070)</f>
        <v>255345.62145310632</v>
      </c>
      <c r="I4070" s="3">
        <f t="shared" si="651"/>
        <v>783292.97867604205</v>
      </c>
      <c r="J4070" s="3">
        <f t="shared" si="648"/>
        <v>29858181.595696714</v>
      </c>
      <c r="K4070" s="24"/>
      <c r="L4070" s="24">
        <f>G4070</f>
        <v>1038638.6001291483</v>
      </c>
    </row>
    <row r="4071" spans="2:12" x14ac:dyDescent="0.35">
      <c r="B4071" s="1">
        <f t="shared" si="650"/>
        <v>4</v>
      </c>
      <c r="C4071" s="22">
        <v>45261</v>
      </c>
      <c r="D4071" s="22">
        <v>45291</v>
      </c>
      <c r="E4071" s="23">
        <v>31</v>
      </c>
      <c r="F4071" s="3">
        <f t="shared" si="649"/>
        <v>29858181.595696714</v>
      </c>
      <c r="G4071" s="3">
        <f t="shared" si="652"/>
        <v>1038638.6001291483</v>
      </c>
      <c r="H4071" s="3">
        <f t="shared" si="653"/>
        <v>248818.17996413927</v>
      </c>
      <c r="I4071" s="3">
        <f t="shared" si="651"/>
        <v>789820.4201650091</v>
      </c>
      <c r="J4071" s="3">
        <f t="shared" si="648"/>
        <v>29068361.175531704</v>
      </c>
      <c r="K4071" s="24">
        <v>1100000</v>
      </c>
      <c r="L4071" s="24">
        <f t="shared" ref="L4071:L4081" si="654">L4070+G4071-K4071</f>
        <v>977277.20025829668</v>
      </c>
    </row>
    <row r="4072" spans="2:12" x14ac:dyDescent="0.35">
      <c r="B4072" s="1">
        <f t="shared" si="650"/>
        <v>5</v>
      </c>
      <c r="C4072" s="22">
        <v>45292</v>
      </c>
      <c r="D4072" s="22">
        <v>45322</v>
      </c>
      <c r="E4072" s="23">
        <v>31</v>
      </c>
      <c r="F4072" s="3">
        <f t="shared" si="649"/>
        <v>29068361.175531704</v>
      </c>
      <c r="G4072" s="3">
        <f t="shared" si="652"/>
        <v>1038638.6001291483</v>
      </c>
      <c r="H4072" s="3">
        <f t="shared" si="653"/>
        <v>242236.34312943087</v>
      </c>
      <c r="I4072" s="3">
        <f t="shared" si="651"/>
        <v>796402.25699971744</v>
      </c>
      <c r="J4072" s="3">
        <f t="shared" si="648"/>
        <v>28271958.918531988</v>
      </c>
      <c r="K4072" s="24">
        <v>1100000</v>
      </c>
      <c r="L4072" s="24">
        <f t="shared" si="654"/>
        <v>915915.80038744491</v>
      </c>
    </row>
    <row r="4073" spans="2:12" x14ac:dyDescent="0.35">
      <c r="B4073" s="1">
        <f t="shared" si="650"/>
        <v>6</v>
      </c>
      <c r="C4073" s="22">
        <v>45323</v>
      </c>
      <c r="D4073" s="22">
        <v>45351</v>
      </c>
      <c r="E4073" s="23">
        <v>29</v>
      </c>
      <c r="F4073" s="3">
        <f t="shared" si="649"/>
        <v>28271958.918531988</v>
      </c>
      <c r="G4073" s="3">
        <f t="shared" si="652"/>
        <v>1038638.6001291483</v>
      </c>
      <c r="H4073" s="3">
        <f t="shared" si="653"/>
        <v>235599.65765443322</v>
      </c>
      <c r="I4073" s="3">
        <f t="shared" si="651"/>
        <v>803038.94247471518</v>
      </c>
      <c r="J4073" s="3">
        <f t="shared" si="648"/>
        <v>27468919.976057272</v>
      </c>
      <c r="K4073" s="24">
        <v>1100000</v>
      </c>
      <c r="L4073" s="24">
        <f t="shared" si="654"/>
        <v>854554.40051659336</v>
      </c>
    </row>
    <row r="4074" spans="2:12" x14ac:dyDescent="0.35">
      <c r="B4074" s="1">
        <f t="shared" si="650"/>
        <v>7</v>
      </c>
      <c r="C4074" s="22">
        <v>45352</v>
      </c>
      <c r="D4074" s="22">
        <v>45382</v>
      </c>
      <c r="E4074" s="23">
        <v>31</v>
      </c>
      <c r="F4074" s="3">
        <f t="shared" si="649"/>
        <v>27468919.976057272</v>
      </c>
      <c r="G4074" s="3">
        <f t="shared" si="652"/>
        <v>1038638.6001291483</v>
      </c>
      <c r="H4074" s="3">
        <f t="shared" si="653"/>
        <v>228907.66646714392</v>
      </c>
      <c r="I4074" s="3">
        <f t="shared" si="651"/>
        <v>809730.93366200442</v>
      </c>
      <c r="J4074" s="3">
        <f t="shared" si="648"/>
        <v>26659189.042395268</v>
      </c>
      <c r="K4074" s="24">
        <v>1100000</v>
      </c>
      <c r="L4074" s="24">
        <f t="shared" si="654"/>
        <v>793193.00064574182</v>
      </c>
    </row>
    <row r="4075" spans="2:12" x14ac:dyDescent="0.35">
      <c r="B4075" s="1">
        <f t="shared" si="650"/>
        <v>8</v>
      </c>
      <c r="C4075" s="22">
        <v>45383</v>
      </c>
      <c r="D4075" s="22">
        <v>45412</v>
      </c>
      <c r="E4075" s="23">
        <v>30</v>
      </c>
      <c r="F4075" s="3">
        <f t="shared" si="649"/>
        <v>26659189.042395268</v>
      </c>
      <c r="G4075" s="3">
        <f t="shared" si="652"/>
        <v>1038638.6001291483</v>
      </c>
      <c r="H4075" s="3">
        <f t="shared" si="653"/>
        <v>222159.90868662723</v>
      </c>
      <c r="I4075" s="3">
        <f t="shared" si="651"/>
        <v>816478.69144252106</v>
      </c>
      <c r="J4075" s="3">
        <f t="shared" si="648"/>
        <v>25842710.350952748</v>
      </c>
      <c r="K4075" s="24">
        <v>1100000</v>
      </c>
      <c r="L4075" s="24">
        <f t="shared" si="654"/>
        <v>731831.60077489028</v>
      </c>
    </row>
    <row r="4076" spans="2:12" x14ac:dyDescent="0.35">
      <c r="B4076" s="1">
        <f t="shared" si="650"/>
        <v>9</v>
      </c>
      <c r="C4076" s="22">
        <v>45413</v>
      </c>
      <c r="D4076" s="22">
        <v>45443</v>
      </c>
      <c r="E4076" s="23">
        <v>31</v>
      </c>
      <c r="F4076" s="3">
        <f t="shared" si="649"/>
        <v>25842710.350952748</v>
      </c>
      <c r="G4076" s="3">
        <f t="shared" si="652"/>
        <v>1038638.6001291483</v>
      </c>
      <c r="H4076" s="3">
        <f t="shared" si="653"/>
        <v>215355.91959127289</v>
      </c>
      <c r="I4076" s="3">
        <f t="shared" si="651"/>
        <v>823282.68053787551</v>
      </c>
      <c r="J4076" s="3">
        <f t="shared" si="648"/>
        <v>25019427.670414872</v>
      </c>
      <c r="K4076" s="24">
        <v>1100000</v>
      </c>
      <c r="L4076" s="24">
        <f t="shared" si="654"/>
        <v>670470.20090403873</v>
      </c>
    </row>
    <row r="4077" spans="2:12" x14ac:dyDescent="0.35">
      <c r="B4077" s="1">
        <f t="shared" si="650"/>
        <v>10</v>
      </c>
      <c r="C4077" s="22">
        <v>45444</v>
      </c>
      <c r="D4077" s="22">
        <v>45473</v>
      </c>
      <c r="E4077" s="23">
        <v>30</v>
      </c>
      <c r="F4077" s="3">
        <f t="shared" si="649"/>
        <v>25019427.670414872</v>
      </c>
      <c r="G4077" s="3">
        <f t="shared" si="652"/>
        <v>1038638.6001291483</v>
      </c>
      <c r="H4077" s="3">
        <f t="shared" si="653"/>
        <v>208495.2305867906</v>
      </c>
      <c r="I4077" s="3">
        <f t="shared" si="651"/>
        <v>830143.36954235774</v>
      </c>
      <c r="J4077" s="3">
        <f t="shared" si="648"/>
        <v>24189284.300872516</v>
      </c>
      <c r="K4077" s="24">
        <v>0</v>
      </c>
      <c r="L4077" s="24">
        <f t="shared" si="654"/>
        <v>1709108.8010331872</v>
      </c>
    </row>
    <row r="4078" spans="2:12" x14ac:dyDescent="0.35">
      <c r="B4078" s="1">
        <f t="shared" si="650"/>
        <v>11</v>
      </c>
      <c r="C4078" s="22">
        <v>45474</v>
      </c>
      <c r="D4078" s="22">
        <v>45504</v>
      </c>
      <c r="E4078" s="23">
        <v>31</v>
      </c>
      <c r="F4078" s="3">
        <f t="shared" si="649"/>
        <v>24189284.300872516</v>
      </c>
      <c r="G4078" s="3">
        <f t="shared" si="652"/>
        <v>1038638.6001291483</v>
      </c>
      <c r="H4078" s="3">
        <f t="shared" si="653"/>
        <v>201577.36917393762</v>
      </c>
      <c r="I4078" s="3">
        <f t="shared" si="651"/>
        <v>837061.23095521075</v>
      </c>
      <c r="J4078" s="3">
        <f t="shared" si="648"/>
        <v>23352223.069917306</v>
      </c>
      <c r="K4078" s="24">
        <f>1100000+500000</f>
        <v>1600000</v>
      </c>
      <c r="L4078" s="24">
        <f t="shared" si="654"/>
        <v>1147747.4011623356</v>
      </c>
    </row>
    <row r="4079" spans="2:12" x14ac:dyDescent="0.35">
      <c r="B4079" s="1">
        <f t="shared" si="650"/>
        <v>12</v>
      </c>
      <c r="C4079" s="22">
        <v>45505</v>
      </c>
      <c r="D4079" s="22">
        <v>45535</v>
      </c>
      <c r="E4079" s="23">
        <v>31</v>
      </c>
      <c r="F4079" s="3">
        <f t="shared" si="649"/>
        <v>23352223.069917306</v>
      </c>
      <c r="G4079" s="3">
        <f t="shared" si="652"/>
        <v>1038638.6001291483</v>
      </c>
      <c r="H4079" s="3">
        <f t="shared" si="653"/>
        <v>194601.85891597756</v>
      </c>
      <c r="I4079" s="3">
        <f t="shared" si="651"/>
        <v>844036.74121317081</v>
      </c>
      <c r="J4079" s="3">
        <f t="shared" si="648"/>
        <v>22508186.328704134</v>
      </c>
      <c r="K4079" s="24">
        <v>1500000</v>
      </c>
      <c r="L4079" s="24">
        <f t="shared" si="654"/>
        <v>686386.00129148411</v>
      </c>
    </row>
    <row r="4080" spans="2:12" x14ac:dyDescent="0.35">
      <c r="B4080" s="1">
        <f t="shared" si="650"/>
        <v>13</v>
      </c>
      <c r="C4080" s="22">
        <v>45536</v>
      </c>
      <c r="D4080" s="22">
        <v>45565</v>
      </c>
      <c r="E4080" s="23">
        <v>30</v>
      </c>
      <c r="F4080" s="3">
        <f t="shared" si="649"/>
        <v>22508186.328704134</v>
      </c>
      <c r="G4080" s="3">
        <f t="shared" si="652"/>
        <v>1038638.6001291483</v>
      </c>
      <c r="H4080" s="3">
        <f t="shared" si="653"/>
        <v>187568.21940586777</v>
      </c>
      <c r="I4080" s="3">
        <f t="shared" si="651"/>
        <v>851070.3807232806</v>
      </c>
      <c r="J4080" s="3">
        <f t="shared" si="648"/>
        <v>21657115.947980855</v>
      </c>
      <c r="K4080" s="24">
        <v>1100000</v>
      </c>
      <c r="L4080" s="24">
        <f t="shared" si="654"/>
        <v>625024.60142063256</v>
      </c>
    </row>
    <row r="4081" spans="2:12" x14ac:dyDescent="0.35">
      <c r="B4081" s="1">
        <f t="shared" si="650"/>
        <v>14</v>
      </c>
      <c r="C4081" s="22">
        <v>45566</v>
      </c>
      <c r="D4081" s="22">
        <v>45596</v>
      </c>
      <c r="E4081" s="23">
        <v>31</v>
      </c>
      <c r="F4081" s="3">
        <f t="shared" si="649"/>
        <v>21657115.947980855</v>
      </c>
      <c r="G4081" s="3">
        <f t="shared" si="652"/>
        <v>1038638.6001291483</v>
      </c>
      <c r="H4081" s="3">
        <f t="shared" si="653"/>
        <v>180475.96623317379</v>
      </c>
      <c r="I4081" s="3">
        <f t="shared" si="651"/>
        <v>858162.63389597461</v>
      </c>
      <c r="J4081" s="3">
        <f t="shared" si="648"/>
        <v>20798953.31408488</v>
      </c>
      <c r="K4081" s="24">
        <v>1300000</v>
      </c>
      <c r="L4081" s="205">
        <f t="shared" si="654"/>
        <v>363663.20154978102</v>
      </c>
    </row>
    <row r="4082" spans="2:12" x14ac:dyDescent="0.35">
      <c r="B4082" s="1">
        <f t="shared" si="650"/>
        <v>15</v>
      </c>
      <c r="C4082" s="22">
        <v>45597</v>
      </c>
      <c r="D4082" s="22">
        <v>45626</v>
      </c>
      <c r="E4082" s="23">
        <v>30</v>
      </c>
      <c r="F4082" s="3">
        <f t="shared" si="649"/>
        <v>20798953.31408488</v>
      </c>
      <c r="G4082" s="3">
        <f t="shared" si="652"/>
        <v>1038638.6001291483</v>
      </c>
      <c r="H4082" s="3">
        <f t="shared" si="653"/>
        <v>173324.61095070734</v>
      </c>
      <c r="I4082" s="3">
        <f t="shared" si="651"/>
        <v>865313.989178441</v>
      </c>
      <c r="J4082" s="3">
        <f t="shared" si="648"/>
        <v>19933639.324906439</v>
      </c>
      <c r="K4082" s="24"/>
      <c r="L4082" s="24"/>
    </row>
    <row r="4083" spans="2:12" x14ac:dyDescent="0.35">
      <c r="B4083" s="1">
        <f t="shared" si="650"/>
        <v>16</v>
      </c>
      <c r="C4083" s="22">
        <v>45627</v>
      </c>
      <c r="D4083" s="22">
        <v>45657</v>
      </c>
      <c r="E4083" s="23">
        <v>31</v>
      </c>
      <c r="F4083" s="3">
        <f t="shared" si="649"/>
        <v>19933639.324906439</v>
      </c>
      <c r="G4083" s="3">
        <f t="shared" si="652"/>
        <v>1038638.6001291483</v>
      </c>
      <c r="H4083" s="3">
        <f t="shared" si="653"/>
        <v>166113.66104088697</v>
      </c>
      <c r="I4083" s="3">
        <f t="shared" si="651"/>
        <v>872524.93908826134</v>
      </c>
      <c r="J4083" s="3">
        <f t="shared" si="648"/>
        <v>19061114.385818176</v>
      </c>
      <c r="K4083" s="24"/>
      <c r="L4083" s="24"/>
    </row>
    <row r="4084" spans="2:12" x14ac:dyDescent="0.35">
      <c r="B4084" s="1">
        <f t="shared" si="650"/>
        <v>17</v>
      </c>
      <c r="C4084" s="22">
        <v>45658</v>
      </c>
      <c r="D4084" s="22">
        <v>45688</v>
      </c>
      <c r="E4084" s="23">
        <v>31</v>
      </c>
      <c r="F4084" s="3">
        <f t="shared" si="649"/>
        <v>19061114.385818176</v>
      </c>
      <c r="G4084" s="3">
        <f t="shared" si="652"/>
        <v>1038638.6001291483</v>
      </c>
      <c r="H4084" s="3">
        <f t="shared" si="653"/>
        <v>158842.61988181813</v>
      </c>
      <c r="I4084" s="3">
        <f t="shared" si="651"/>
        <v>879795.98024733015</v>
      </c>
      <c r="J4084" s="3">
        <f t="shared" si="648"/>
        <v>18181318.405570846</v>
      </c>
      <c r="K4084" s="24"/>
      <c r="L4084" s="24"/>
    </row>
    <row r="4085" spans="2:12" x14ac:dyDescent="0.35">
      <c r="B4085" s="1">
        <f t="shared" si="650"/>
        <v>18</v>
      </c>
      <c r="C4085" s="22">
        <v>45689</v>
      </c>
      <c r="D4085" s="22">
        <v>45716</v>
      </c>
      <c r="E4085" s="23">
        <v>28</v>
      </c>
      <c r="F4085" s="3">
        <f t="shared" si="649"/>
        <v>18181318.405570846</v>
      </c>
      <c r="G4085" s="3">
        <f t="shared" si="652"/>
        <v>1038638.6001291483</v>
      </c>
      <c r="H4085" s="3">
        <f t="shared" si="653"/>
        <v>151510.98671309039</v>
      </c>
      <c r="I4085" s="3">
        <f t="shared" si="651"/>
        <v>887127.61341605801</v>
      </c>
      <c r="J4085" s="3">
        <f t="shared" si="648"/>
        <v>17294190.792154789</v>
      </c>
      <c r="K4085" s="24"/>
      <c r="L4085" s="24"/>
    </row>
    <row r="4086" spans="2:12" x14ac:dyDescent="0.35">
      <c r="B4086" s="1">
        <f t="shared" si="650"/>
        <v>19</v>
      </c>
      <c r="C4086" s="22">
        <v>45717</v>
      </c>
      <c r="D4086" s="22">
        <v>45747</v>
      </c>
      <c r="E4086" s="23">
        <v>31</v>
      </c>
      <c r="F4086" s="3">
        <f t="shared" si="649"/>
        <v>17294190.792154789</v>
      </c>
      <c r="G4086" s="3">
        <f t="shared" si="652"/>
        <v>1038638.6001291483</v>
      </c>
      <c r="H4086" s="3">
        <f t="shared" si="653"/>
        <v>144118.2566012899</v>
      </c>
      <c r="I4086" s="3">
        <f t="shared" si="651"/>
        <v>894520.34352785838</v>
      </c>
      <c r="J4086" s="3">
        <f t="shared" si="648"/>
        <v>16399670.44862693</v>
      </c>
      <c r="K4086" s="24"/>
      <c r="L4086" s="24"/>
    </row>
    <row r="4087" spans="2:12" x14ac:dyDescent="0.35">
      <c r="B4087" s="1">
        <f t="shared" si="650"/>
        <v>20</v>
      </c>
      <c r="C4087" s="22">
        <v>45748</v>
      </c>
      <c r="D4087" s="22">
        <v>45777</v>
      </c>
      <c r="E4087" s="23">
        <v>30</v>
      </c>
      <c r="F4087" s="3">
        <f t="shared" si="649"/>
        <v>16399670.44862693</v>
      </c>
      <c r="G4087" s="3">
        <f t="shared" si="652"/>
        <v>1038638.6001291483</v>
      </c>
      <c r="H4087" s="3">
        <f t="shared" si="653"/>
        <v>136663.9204052244</v>
      </c>
      <c r="I4087" s="3">
        <f t="shared" si="651"/>
        <v>901974.67972392391</v>
      </c>
      <c r="J4087" s="3">
        <f t="shared" si="648"/>
        <v>15497695.768903006</v>
      </c>
      <c r="K4087" s="24"/>
      <c r="L4087" s="24"/>
    </row>
    <row r="4088" spans="2:12" x14ac:dyDescent="0.35">
      <c r="B4088" s="1">
        <f t="shared" si="650"/>
        <v>21</v>
      </c>
      <c r="C4088" s="22">
        <v>45778</v>
      </c>
      <c r="D4088" s="22">
        <v>45808</v>
      </c>
      <c r="E4088" s="23">
        <v>31</v>
      </c>
      <c r="F4088" s="3">
        <f t="shared" si="649"/>
        <v>15497695.768903006</v>
      </c>
      <c r="G4088" s="3">
        <f t="shared" si="652"/>
        <v>1038638.6001291483</v>
      </c>
      <c r="H4088" s="3">
        <f t="shared" si="653"/>
        <v>129147.46474085838</v>
      </c>
      <c r="I4088" s="3">
        <f t="shared" si="651"/>
        <v>909491.13538828993</v>
      </c>
      <c r="J4088" s="3">
        <f t="shared" si="648"/>
        <v>14588204.633514715</v>
      </c>
      <c r="K4088" s="24"/>
      <c r="L4088" s="24"/>
    </row>
    <row r="4089" spans="2:12" x14ac:dyDescent="0.35">
      <c r="B4089" s="1">
        <f t="shared" si="650"/>
        <v>22</v>
      </c>
      <c r="C4089" s="22">
        <v>45809</v>
      </c>
      <c r="D4089" s="22">
        <v>45838</v>
      </c>
      <c r="E4089" s="23">
        <v>30</v>
      </c>
      <c r="F4089" s="3">
        <f t="shared" si="649"/>
        <v>14588204.633514715</v>
      </c>
      <c r="G4089" s="3">
        <f t="shared" si="652"/>
        <v>1038638.6001291483</v>
      </c>
      <c r="H4089" s="3">
        <f t="shared" si="653"/>
        <v>121568.37194595597</v>
      </c>
      <c r="I4089" s="3">
        <f t="shared" si="651"/>
        <v>917070.22818319243</v>
      </c>
      <c r="J4089" s="3">
        <f t="shared" si="648"/>
        <v>13671134.405331522</v>
      </c>
      <c r="K4089" s="24"/>
      <c r="L4089" s="24"/>
    </row>
    <row r="4090" spans="2:12" x14ac:dyDescent="0.35">
      <c r="B4090" s="1">
        <f t="shared" si="650"/>
        <v>23</v>
      </c>
      <c r="C4090" s="22">
        <f>+C4089+30</f>
        <v>45839</v>
      </c>
      <c r="D4090" s="22">
        <f>+D4089+30</f>
        <v>45868</v>
      </c>
      <c r="E4090" s="23">
        <f>D4090-C4090+1</f>
        <v>30</v>
      </c>
      <c r="F4090" s="3">
        <f t="shared" si="649"/>
        <v>13671134.405331522</v>
      </c>
      <c r="G4090" s="3">
        <f t="shared" si="652"/>
        <v>1038638.6001291483</v>
      </c>
      <c r="H4090" s="3">
        <f t="shared" si="653"/>
        <v>113926.12004442935</v>
      </c>
      <c r="I4090" s="3">
        <f t="shared" si="651"/>
        <v>924712.48008471902</v>
      </c>
      <c r="J4090" s="3">
        <f t="shared" si="648"/>
        <v>12746421.925246803</v>
      </c>
    </row>
    <row r="4091" spans="2:12" x14ac:dyDescent="0.35">
      <c r="B4091" s="1">
        <f t="shared" si="650"/>
        <v>24</v>
      </c>
      <c r="C4091" s="22">
        <f>+C4090+31</f>
        <v>45870</v>
      </c>
      <c r="D4091" s="22">
        <f>+D4090+31</f>
        <v>45899</v>
      </c>
      <c r="E4091" s="23">
        <f>D4091-C4091+1</f>
        <v>30</v>
      </c>
      <c r="F4091" s="3">
        <f t="shared" si="649"/>
        <v>12746421.925246803</v>
      </c>
      <c r="G4091" s="3">
        <f t="shared" si="652"/>
        <v>1038638.6001291483</v>
      </c>
      <c r="H4091" s="3">
        <f t="shared" si="653"/>
        <v>106220.18271039003</v>
      </c>
      <c r="I4091" s="3">
        <f t="shared" si="651"/>
        <v>932418.41741875827</v>
      </c>
      <c r="J4091" s="3">
        <f t="shared" si="648"/>
        <v>11814003.507828046</v>
      </c>
    </row>
    <row r="4092" spans="2:12" x14ac:dyDescent="0.35">
      <c r="B4092" s="1">
        <f t="shared" si="650"/>
        <v>25</v>
      </c>
      <c r="C4092" s="22">
        <v>45839</v>
      </c>
      <c r="D4092" s="22">
        <v>45869</v>
      </c>
      <c r="E4092" s="23">
        <v>29</v>
      </c>
      <c r="F4092" s="3">
        <f t="shared" si="649"/>
        <v>11814003.507828046</v>
      </c>
      <c r="G4092" s="3">
        <f t="shared" si="652"/>
        <v>1038638.6001291483</v>
      </c>
      <c r="H4092" s="3">
        <f t="shared" si="653"/>
        <v>98450.029231900378</v>
      </c>
      <c r="I4092" s="3">
        <f t="shared" si="651"/>
        <v>940188.57089724799</v>
      </c>
      <c r="J4092" s="3">
        <f t="shared" si="648"/>
        <v>10873814.936930798</v>
      </c>
    </row>
    <row r="4093" spans="2:12" x14ac:dyDescent="0.35">
      <c r="B4093" s="1">
        <f t="shared" si="650"/>
        <v>26</v>
      </c>
      <c r="C4093" s="22">
        <v>45870</v>
      </c>
      <c r="D4093" s="22">
        <v>45900</v>
      </c>
      <c r="E4093" s="23">
        <v>28</v>
      </c>
      <c r="F4093" s="3">
        <f t="shared" si="649"/>
        <v>10873814.936930798</v>
      </c>
      <c r="G4093" s="3">
        <f t="shared" si="652"/>
        <v>1038638.6001291483</v>
      </c>
      <c r="H4093" s="3">
        <f t="shared" si="653"/>
        <v>90615.124474423312</v>
      </c>
      <c r="I4093" s="3">
        <f t="shared" si="651"/>
        <v>948023.47565472499</v>
      </c>
      <c r="J4093" s="3">
        <f t="shared" si="648"/>
        <v>9925791.461276073</v>
      </c>
    </row>
    <row r="4094" spans="2:12" x14ac:dyDescent="0.35">
      <c r="B4094" s="1">
        <f t="shared" si="650"/>
        <v>27</v>
      </c>
      <c r="C4094" s="22">
        <f>+C4093+30</f>
        <v>45900</v>
      </c>
      <c r="D4094" s="22">
        <f>+D4093+30</f>
        <v>45930</v>
      </c>
      <c r="E4094" s="23">
        <f>D4094-C4094+1</f>
        <v>31</v>
      </c>
      <c r="F4094" s="3">
        <f t="shared" si="649"/>
        <v>9925791.461276073</v>
      </c>
      <c r="G4094" s="3">
        <f t="shared" si="652"/>
        <v>1038638.6001291483</v>
      </c>
      <c r="H4094" s="3">
        <f t="shared" si="653"/>
        <v>82714.928843967267</v>
      </c>
      <c r="I4094" s="3">
        <f t="shared" si="651"/>
        <v>955923.67128518107</v>
      </c>
      <c r="J4094" s="3">
        <f t="shared" si="648"/>
        <v>8969867.7899908926</v>
      </c>
    </row>
    <row r="4095" spans="2:12" x14ac:dyDescent="0.35">
      <c r="B4095" s="1">
        <f t="shared" si="650"/>
        <v>28</v>
      </c>
      <c r="C4095" s="22">
        <f>+C4094+31</f>
        <v>45931</v>
      </c>
      <c r="D4095" s="22">
        <f>+D4094+31</f>
        <v>45961</v>
      </c>
      <c r="E4095" s="23">
        <f>D4095-C4095+1</f>
        <v>31</v>
      </c>
      <c r="F4095" s="3">
        <f t="shared" si="649"/>
        <v>8969867.7899908926</v>
      </c>
      <c r="G4095" s="3">
        <f t="shared" si="652"/>
        <v>1038638.6001291483</v>
      </c>
      <c r="H4095" s="3">
        <f t="shared" si="653"/>
        <v>74748.89824992411</v>
      </c>
      <c r="I4095" s="3">
        <f t="shared" si="651"/>
        <v>963889.70187922427</v>
      </c>
      <c r="J4095" s="3">
        <f t="shared" si="648"/>
        <v>8005978.0881116688</v>
      </c>
    </row>
    <row r="4096" spans="2:12" x14ac:dyDescent="0.35">
      <c r="B4096" s="1">
        <f t="shared" si="650"/>
        <v>29</v>
      </c>
      <c r="C4096" s="22">
        <v>45901</v>
      </c>
      <c r="D4096" s="22">
        <v>45930</v>
      </c>
      <c r="E4096" s="23">
        <v>27</v>
      </c>
      <c r="F4096" s="3">
        <f t="shared" si="649"/>
        <v>8005978.0881116688</v>
      </c>
      <c r="G4096" s="3">
        <f t="shared" si="652"/>
        <v>1038638.6001291483</v>
      </c>
      <c r="H4096" s="3">
        <f t="shared" si="653"/>
        <v>66716.484067597237</v>
      </c>
      <c r="I4096" s="3">
        <f t="shared" si="651"/>
        <v>971922.11606155115</v>
      </c>
      <c r="J4096" s="3">
        <f t="shared" si="648"/>
        <v>7034055.9720501173</v>
      </c>
    </row>
    <row r="4097" spans="2:19" x14ac:dyDescent="0.35">
      <c r="B4097" s="1">
        <f t="shared" si="650"/>
        <v>30</v>
      </c>
      <c r="C4097" s="22">
        <v>45931</v>
      </c>
      <c r="D4097" s="22">
        <v>45961</v>
      </c>
      <c r="E4097" s="23">
        <v>26</v>
      </c>
      <c r="F4097" s="3">
        <f t="shared" si="649"/>
        <v>7034055.9720501173</v>
      </c>
      <c r="G4097" s="3">
        <f t="shared" si="652"/>
        <v>1038638.6001291483</v>
      </c>
      <c r="H4097" s="3">
        <f t="shared" si="653"/>
        <v>58617.133100417646</v>
      </c>
      <c r="I4097" s="3">
        <f t="shared" si="651"/>
        <v>980021.46702873067</v>
      </c>
      <c r="J4097" s="3">
        <f t="shared" si="648"/>
        <v>6054034.5050213868</v>
      </c>
    </row>
    <row r="4098" spans="2:19" x14ac:dyDescent="0.35">
      <c r="B4098" s="1">
        <f t="shared" si="650"/>
        <v>31</v>
      </c>
      <c r="C4098" s="22">
        <f>+C4097+30</f>
        <v>45961</v>
      </c>
      <c r="D4098" s="22">
        <f>+D4097+30</f>
        <v>45991</v>
      </c>
      <c r="E4098" s="23">
        <f>D4098-C4098+1</f>
        <v>31</v>
      </c>
      <c r="F4098" s="3">
        <f t="shared" si="649"/>
        <v>6054034.5050213868</v>
      </c>
      <c r="G4098" s="3">
        <f t="shared" si="652"/>
        <v>1038638.6001291483</v>
      </c>
      <c r="H4098" s="3">
        <f t="shared" si="653"/>
        <v>50450.287541844889</v>
      </c>
      <c r="I4098" s="3">
        <f t="shared" si="651"/>
        <v>988188.31258730346</v>
      </c>
      <c r="J4098" s="3">
        <f t="shared" si="648"/>
        <v>5065846.1924340837</v>
      </c>
    </row>
    <row r="4099" spans="2:19" x14ac:dyDescent="0.35">
      <c r="B4099" s="1">
        <f t="shared" si="650"/>
        <v>32</v>
      </c>
      <c r="C4099" s="22">
        <f>+C4098+31</f>
        <v>45992</v>
      </c>
      <c r="D4099" s="22">
        <f>+D4098+31</f>
        <v>46022</v>
      </c>
      <c r="E4099" s="23">
        <f>D4099-C4099+1</f>
        <v>31</v>
      </c>
      <c r="F4099" s="3">
        <f t="shared" si="649"/>
        <v>5065846.1924340837</v>
      </c>
      <c r="G4099" s="3">
        <f t="shared" si="652"/>
        <v>1038638.6001291483</v>
      </c>
      <c r="H4099" s="3">
        <f t="shared" si="653"/>
        <v>42215.384936950693</v>
      </c>
      <c r="I4099" s="3">
        <f t="shared" si="651"/>
        <v>996423.21519219759</v>
      </c>
      <c r="J4099" s="3">
        <f t="shared" si="648"/>
        <v>4069422.9772418858</v>
      </c>
    </row>
    <row r="4100" spans="2:19" x14ac:dyDescent="0.35">
      <c r="B4100" s="1">
        <f t="shared" si="650"/>
        <v>33</v>
      </c>
      <c r="C4100" s="22">
        <v>45962</v>
      </c>
      <c r="D4100" s="22">
        <v>45991</v>
      </c>
      <c r="E4100" s="23">
        <v>25</v>
      </c>
      <c r="F4100" s="3">
        <f t="shared" si="649"/>
        <v>4069422.9772418858</v>
      </c>
      <c r="G4100" s="3">
        <f t="shared" si="652"/>
        <v>1038638.6001291483</v>
      </c>
      <c r="H4100" s="3">
        <f t="shared" si="653"/>
        <v>33911.858143682381</v>
      </c>
      <c r="I4100" s="3">
        <f t="shared" si="651"/>
        <v>1004726.741985466</v>
      </c>
      <c r="J4100" s="3">
        <f t="shared" si="648"/>
        <v>3064696.23525642</v>
      </c>
    </row>
    <row r="4101" spans="2:19" x14ac:dyDescent="0.35">
      <c r="B4101" s="1">
        <f t="shared" si="650"/>
        <v>34</v>
      </c>
      <c r="C4101" s="22">
        <v>45992</v>
      </c>
      <c r="D4101" s="22">
        <v>46022</v>
      </c>
      <c r="E4101" s="23">
        <v>24</v>
      </c>
      <c r="F4101" s="3">
        <f t="shared" si="649"/>
        <v>3064696.23525642</v>
      </c>
      <c r="G4101" s="3">
        <f t="shared" si="652"/>
        <v>1038638.6001291483</v>
      </c>
      <c r="H4101" s="3">
        <f t="shared" si="653"/>
        <v>25539.135293803498</v>
      </c>
      <c r="I4101" s="3">
        <f t="shared" si="651"/>
        <v>1013099.4648353448</v>
      </c>
      <c r="J4101" s="3">
        <f t="shared" si="648"/>
        <v>2051596.7704210752</v>
      </c>
    </row>
    <row r="4102" spans="2:19" x14ac:dyDescent="0.35">
      <c r="B4102" s="1">
        <f t="shared" si="650"/>
        <v>35</v>
      </c>
      <c r="C4102" s="22">
        <f>+C4101+30</f>
        <v>46022</v>
      </c>
      <c r="D4102" s="22">
        <f>+D4101+30</f>
        <v>46052</v>
      </c>
      <c r="E4102" s="23">
        <f>D4102-C4102+1</f>
        <v>31</v>
      </c>
      <c r="F4102" s="3">
        <f t="shared" si="649"/>
        <v>2051596.7704210752</v>
      </c>
      <c r="G4102" s="3">
        <f t="shared" si="652"/>
        <v>1038638.6001291483</v>
      </c>
      <c r="H4102" s="3">
        <f t="shared" si="653"/>
        <v>17096.63975350896</v>
      </c>
      <c r="I4102" s="3">
        <f t="shared" si="651"/>
        <v>1021541.9603756394</v>
      </c>
      <c r="J4102" s="3">
        <f t="shared" si="648"/>
        <v>1030054.8100454358</v>
      </c>
    </row>
    <row r="4103" spans="2:19" x14ac:dyDescent="0.35">
      <c r="B4103" s="1">
        <f t="shared" si="650"/>
        <v>36</v>
      </c>
      <c r="C4103" s="22">
        <f>+C4102+31</f>
        <v>46053</v>
      </c>
      <c r="D4103" s="22">
        <f>+D4102+31</f>
        <v>46083</v>
      </c>
      <c r="E4103" s="23">
        <f>D4103-C4103+1</f>
        <v>31</v>
      </c>
      <c r="F4103" s="3">
        <f t="shared" si="649"/>
        <v>1030054.8100454358</v>
      </c>
      <c r="G4103" s="3">
        <f t="shared" si="652"/>
        <v>1038638.6001291483</v>
      </c>
      <c r="H4103" s="3">
        <f t="shared" si="653"/>
        <v>8583.7900837119651</v>
      </c>
      <c r="I4103" s="3">
        <f t="shared" si="651"/>
        <v>1030054.8100454364</v>
      </c>
      <c r="J4103" s="3">
        <f t="shared" si="648"/>
        <v>0</v>
      </c>
    </row>
    <row r="4109" spans="2:19" x14ac:dyDescent="0.35">
      <c r="B4109" s="1"/>
      <c r="C4109" s="8" t="s">
        <v>622</v>
      </c>
      <c r="D4109" s="3"/>
      <c r="E4109" s="3"/>
      <c r="F4109" s="3"/>
      <c r="G4109" s="3"/>
      <c r="H4109" s="3"/>
      <c r="I4109" s="3"/>
      <c r="J4109" s="3"/>
      <c r="K4109" s="3"/>
      <c r="L4109" s="3"/>
      <c r="R4109" s="438" t="s">
        <v>832</v>
      </c>
      <c r="S4109" s="432" t="str">
        <f>IFERROR(INDEX(Blocks!$I$2:$I$101,MATCH(75,Blocks!$A$2:$A$101,0)),"")</f>
        <v>000104450000077</v>
      </c>
    </row>
    <row r="4110" spans="2:19" x14ac:dyDescent="0.35">
      <c r="B4110" s="1"/>
      <c r="C4110" s="1"/>
      <c r="D4110" s="3"/>
      <c r="E4110" s="3"/>
      <c r="F4110" s="3"/>
      <c r="G4110" s="3"/>
      <c r="H4110" s="3"/>
      <c r="I4110" s="3"/>
      <c r="J4110" s="3"/>
      <c r="K4110" s="3"/>
      <c r="L4110" s="3"/>
      <c r="R4110" s="438" t="s">
        <v>834</v>
      </c>
      <c r="S4110" s="432" t="str">
        <f>IFERROR(INDEX(Blocks!$H$2:$H$101,MATCH(75,Blocks!$A$2:$A$101,0)),"")</f>
        <v>Kwithu Producers and Marketing Co 2</v>
      </c>
    </row>
    <row r="4111" spans="2:19" x14ac:dyDescent="0.35">
      <c r="B4111" s="1"/>
      <c r="C4111" s="9" t="s">
        <v>835</v>
      </c>
      <c r="D4111" s="10">
        <v>164000000</v>
      </c>
      <c r="E4111" s="3"/>
      <c r="F4111" s="3"/>
      <c r="G4111" s="3"/>
      <c r="H4111" s="3"/>
      <c r="I4111" s="3"/>
      <c r="J4111" s="3"/>
      <c r="K4111" s="3"/>
      <c r="L4111" s="3"/>
      <c r="R4111" s="438" t="s">
        <v>223</v>
      </c>
      <c r="S4111" s="433">
        <f>IFERROR(INDEX('E-Banker master'!$N$2:$N$186,MATCH(S4109,'E-Banker master'!$A$2:$A$186,0)),"")</f>
        <v>164000000</v>
      </c>
    </row>
    <row r="4112" spans="2:19" x14ac:dyDescent="0.35">
      <c r="B4112" s="1"/>
      <c r="C4112" s="11" t="s">
        <v>837</v>
      </c>
      <c r="D4112" s="12">
        <v>0.1</v>
      </c>
      <c r="E4112" s="13"/>
      <c r="F4112" s="3"/>
      <c r="G4112" s="3"/>
      <c r="H4112" s="3"/>
      <c r="I4112" s="3"/>
      <c r="J4112" s="3"/>
      <c r="K4112" s="3"/>
      <c r="L4112" s="3"/>
      <c r="R4112" s="438" t="s">
        <v>52</v>
      </c>
      <c r="S4112" s="433">
        <f>IFERROR(INDEX('E-Banker master'!$P$2:$P$186,MATCH(S4109,'E-Banker master'!$A$2:$A$186,0)),"")</f>
        <v>134900520.88999999</v>
      </c>
    </row>
    <row r="4113" spans="2:12" x14ac:dyDescent="0.35">
      <c r="B4113" s="1"/>
      <c r="C4113" s="11" t="s">
        <v>838</v>
      </c>
      <c r="D4113" s="14">
        <v>4</v>
      </c>
      <c r="E4113" s="1"/>
      <c r="F4113" s="3"/>
      <c r="G4113" s="3"/>
      <c r="H4113" s="3"/>
      <c r="I4113" s="3"/>
      <c r="J4113" s="3"/>
      <c r="K4113" s="1"/>
      <c r="L4113" s="1"/>
    </row>
    <row r="4114" spans="2:12" x14ac:dyDescent="0.35">
      <c r="B4114" s="1"/>
      <c r="C4114" s="11" t="s">
        <v>839</v>
      </c>
      <c r="D4114" s="14">
        <v>12</v>
      </c>
      <c r="E4114" s="1"/>
      <c r="F4114" s="3"/>
      <c r="G4114" s="3"/>
      <c r="H4114" s="3"/>
      <c r="I4114" s="3"/>
      <c r="J4114" s="3"/>
      <c r="K4114" s="1"/>
      <c r="L4114" s="1"/>
    </row>
    <row r="4115" spans="2:12" x14ac:dyDescent="0.35">
      <c r="B4115" s="1"/>
      <c r="C4115" s="11" t="s">
        <v>843</v>
      </c>
      <c r="D4115" s="15">
        <f>D4113*D4114</f>
        <v>48</v>
      </c>
      <c r="E4115" s="1"/>
      <c r="F4115" s="3"/>
      <c r="G4115" s="3"/>
      <c r="H4115" s="3"/>
      <c r="I4115" s="3"/>
      <c r="J4115" s="3"/>
      <c r="K4115" s="1"/>
      <c r="L4115" s="1"/>
    </row>
    <row r="4116" spans="2:12" x14ac:dyDescent="0.35">
      <c r="B4116" s="1"/>
      <c r="C4116" s="11" t="s">
        <v>844</v>
      </c>
      <c r="D4116" s="16">
        <v>365</v>
      </c>
      <c r="E4116" s="1"/>
      <c r="F4116" s="3"/>
      <c r="G4116" s="3"/>
      <c r="H4116" s="3"/>
      <c r="I4116" s="3"/>
      <c r="J4116" s="3"/>
      <c r="K4116" s="1"/>
      <c r="L4116" s="1"/>
    </row>
    <row r="4117" spans="2:12" x14ac:dyDescent="0.35">
      <c r="B4117" s="1"/>
      <c r="C4117" s="17" t="s">
        <v>845</v>
      </c>
      <c r="D4117" s="18">
        <f>-PMT(D4112/D4114,D4115,D4111,0,0)</f>
        <v>4159463.6832985389</v>
      </c>
      <c r="E4117" s="3"/>
      <c r="F4117" s="3"/>
      <c r="G4117" s="3"/>
      <c r="H4117" s="3"/>
      <c r="I4117" s="3"/>
      <c r="J4117" s="3"/>
      <c r="K4117" s="1"/>
      <c r="L4117" s="1"/>
    </row>
    <row r="4118" spans="2:12" x14ac:dyDescent="0.35">
      <c r="B4118" s="1"/>
      <c r="C4118" s="1"/>
      <c r="D4118" s="3"/>
      <c r="E4118" s="3"/>
      <c r="F4118" s="3"/>
      <c r="G4118" s="3"/>
      <c r="H4118" s="3"/>
      <c r="I4118" s="3"/>
      <c r="J4118" s="3"/>
      <c r="K4118" s="1"/>
      <c r="L4118" s="1"/>
    </row>
    <row r="4119" spans="2:12" x14ac:dyDescent="0.35">
      <c r="B4119" s="1"/>
      <c r="C4119" s="19" t="s">
        <v>846</v>
      </c>
      <c r="D4119" s="20" t="s">
        <v>847</v>
      </c>
      <c r="E4119" s="20" t="s">
        <v>764</v>
      </c>
      <c r="F4119" s="270" t="s">
        <v>848</v>
      </c>
      <c r="G4119" s="270" t="s">
        <v>849</v>
      </c>
      <c r="H4119" s="270" t="s">
        <v>742</v>
      </c>
      <c r="I4119" s="270" t="s">
        <v>740</v>
      </c>
      <c r="J4119" s="270" t="s">
        <v>850</v>
      </c>
      <c r="K4119" s="21" t="s">
        <v>851</v>
      </c>
      <c r="L4119" s="21" t="s">
        <v>852</v>
      </c>
    </row>
    <row r="4120" spans="2:12" x14ac:dyDescent="0.35">
      <c r="B4120" s="1">
        <v>0</v>
      </c>
      <c r="C4120" s="22">
        <v>45216</v>
      </c>
      <c r="D4120" s="22">
        <v>45230</v>
      </c>
      <c r="E4120" s="291">
        <f>+D4120-C4120</f>
        <v>14</v>
      </c>
      <c r="F4120" s="3">
        <f>D4111</f>
        <v>164000000</v>
      </c>
      <c r="G4120" s="3">
        <v>617204.30107526889</v>
      </c>
      <c r="H4120" s="3">
        <f>($D$4112/$D$4114*F4120*E4120/31)</f>
        <v>617204.30107526889</v>
      </c>
      <c r="I4120" s="3">
        <f t="shared" ref="I4120:I4151" si="655">G4120-H4120</f>
        <v>0</v>
      </c>
      <c r="J4120" s="3">
        <f t="shared" ref="J4120:J4151" si="656">F4120-I4120</f>
        <v>164000000</v>
      </c>
      <c r="K4120" s="3">
        <v>617204.30000000005</v>
      </c>
    </row>
    <row r="4121" spans="2:12" x14ac:dyDescent="0.35">
      <c r="B4121" s="1">
        <v>1</v>
      </c>
      <c r="C4121" s="22">
        <v>45231</v>
      </c>
      <c r="D4121" s="22">
        <v>45260</v>
      </c>
      <c r="E4121" s="23">
        <v>30</v>
      </c>
      <c r="F4121" s="3">
        <f t="shared" ref="F4121:F4168" si="657">J4120</f>
        <v>164000000</v>
      </c>
      <c r="G4121" s="3">
        <v>1366666.666666667</v>
      </c>
      <c r="H4121" s="3">
        <f>($D$4112/$D$4114*F4120)</f>
        <v>1366666.6666666667</v>
      </c>
      <c r="I4121" s="3">
        <f t="shared" si="655"/>
        <v>0</v>
      </c>
      <c r="J4121" s="3">
        <f t="shared" si="656"/>
        <v>164000000</v>
      </c>
      <c r="K4121" s="24">
        <v>1378056</v>
      </c>
      <c r="L4121" s="24">
        <f>G4121-K4121</f>
        <v>-11389.333333333023</v>
      </c>
    </row>
    <row r="4122" spans="2:12" x14ac:dyDescent="0.35">
      <c r="B4122" s="1">
        <v>2</v>
      </c>
      <c r="C4122" s="22">
        <v>45261</v>
      </c>
      <c r="D4122" s="22">
        <v>45291</v>
      </c>
      <c r="E4122" s="23">
        <v>31</v>
      </c>
      <c r="F4122" s="3">
        <f t="shared" si="657"/>
        <v>164000000</v>
      </c>
      <c r="G4122" s="3">
        <v>1366666.666666667</v>
      </c>
      <c r="H4122" s="3">
        <f>($D$4112/$D$4114*F4121)</f>
        <v>1366666.6666666667</v>
      </c>
      <c r="I4122" s="3">
        <f t="shared" si="655"/>
        <v>0</v>
      </c>
      <c r="J4122" s="3">
        <f t="shared" si="656"/>
        <v>164000000</v>
      </c>
      <c r="K4122" s="24">
        <v>1389539</v>
      </c>
      <c r="L4122" s="24">
        <f t="shared" ref="L4122:L4132" si="658">L4121+G4122-K4122</f>
        <v>-34261.666666666046</v>
      </c>
    </row>
    <row r="4123" spans="2:12" x14ac:dyDescent="0.35">
      <c r="B4123" s="1">
        <f t="shared" ref="B4123:B4168" si="659">+B4122+1</f>
        <v>3</v>
      </c>
      <c r="C4123" s="22">
        <v>45292</v>
      </c>
      <c r="D4123" s="22">
        <v>45322</v>
      </c>
      <c r="E4123" s="23">
        <v>31</v>
      </c>
      <c r="F4123" s="3">
        <f t="shared" si="657"/>
        <v>164000000</v>
      </c>
      <c r="G4123" s="3">
        <v>1366666.666666667</v>
      </c>
      <c r="H4123" s="3">
        <f>($D$4112/$D$4114*F4122)</f>
        <v>1366666.6666666667</v>
      </c>
      <c r="I4123" s="3">
        <f t="shared" si="655"/>
        <v>0</v>
      </c>
      <c r="J4123" s="3">
        <f t="shared" si="656"/>
        <v>164000000</v>
      </c>
      <c r="K4123" s="24">
        <v>1389539</v>
      </c>
      <c r="L4123" s="24">
        <f t="shared" si="658"/>
        <v>-57133.999999999069</v>
      </c>
    </row>
    <row r="4124" spans="2:12" x14ac:dyDescent="0.35">
      <c r="B4124" s="1">
        <f t="shared" si="659"/>
        <v>4</v>
      </c>
      <c r="C4124" s="22">
        <v>45323</v>
      </c>
      <c r="D4124" s="22">
        <v>45351</v>
      </c>
      <c r="E4124" s="23">
        <v>29</v>
      </c>
      <c r="F4124" s="3">
        <f t="shared" si="657"/>
        <v>164000000</v>
      </c>
      <c r="G4124" s="3">
        <f t="shared" ref="G4124:G4168" si="660">-PMT($D$4112/$D$4114,45,$F$4124,,0)</f>
        <v>4385374.7928984677</v>
      </c>
      <c r="H4124" s="3">
        <f t="shared" ref="H4124:H4168" si="661">($D$4112/$D$4114*F4124)</f>
        <v>1366666.6666666667</v>
      </c>
      <c r="I4124" s="3">
        <f t="shared" si="655"/>
        <v>3018708.1262318008</v>
      </c>
      <c r="J4124" s="3">
        <f t="shared" si="656"/>
        <v>160981291.87376821</v>
      </c>
      <c r="K4124" s="24">
        <v>4495925</v>
      </c>
      <c r="L4124" s="24">
        <f t="shared" si="658"/>
        <v>-167684.20710153133</v>
      </c>
    </row>
    <row r="4125" spans="2:12" x14ac:dyDescent="0.35">
      <c r="B4125" s="1">
        <f t="shared" si="659"/>
        <v>5</v>
      </c>
      <c r="C4125" s="22">
        <v>45352</v>
      </c>
      <c r="D4125" s="22">
        <v>45382</v>
      </c>
      <c r="E4125" s="23">
        <v>31</v>
      </c>
      <c r="F4125" s="3">
        <f t="shared" si="657"/>
        <v>160981291.87376821</v>
      </c>
      <c r="G4125" s="3">
        <f t="shared" si="660"/>
        <v>4385374.7928984677</v>
      </c>
      <c r="H4125" s="3">
        <f t="shared" si="661"/>
        <v>1341510.765614735</v>
      </c>
      <c r="I4125" s="3">
        <f t="shared" si="655"/>
        <v>3043864.0272837328</v>
      </c>
      <c r="J4125" s="3">
        <f t="shared" si="656"/>
        <v>157937427.84648448</v>
      </c>
      <c r="K4125" s="24">
        <v>4495925</v>
      </c>
      <c r="L4125" s="24">
        <f t="shared" si="658"/>
        <v>-278234.41420306358</v>
      </c>
    </row>
    <row r="4126" spans="2:12" x14ac:dyDescent="0.35">
      <c r="B4126" s="1">
        <f t="shared" si="659"/>
        <v>6</v>
      </c>
      <c r="C4126" s="22">
        <v>45383</v>
      </c>
      <c r="D4126" s="22">
        <v>45412</v>
      </c>
      <c r="E4126" s="23">
        <v>30</v>
      </c>
      <c r="F4126" s="3">
        <f t="shared" si="657"/>
        <v>157937427.84648448</v>
      </c>
      <c r="G4126" s="3">
        <f t="shared" si="660"/>
        <v>4385374.7928984677</v>
      </c>
      <c r="H4126" s="3">
        <f t="shared" si="661"/>
        <v>1316145.2320540373</v>
      </c>
      <c r="I4126" s="3">
        <f t="shared" si="655"/>
        <v>3069229.5608444307</v>
      </c>
      <c r="J4126" s="3">
        <f t="shared" si="656"/>
        <v>154868198.28564006</v>
      </c>
      <c r="K4126" s="24">
        <v>4495925</v>
      </c>
      <c r="L4126" s="24">
        <f t="shared" si="658"/>
        <v>-388784.62130459584</v>
      </c>
    </row>
    <row r="4127" spans="2:12" x14ac:dyDescent="0.35">
      <c r="B4127" s="1">
        <f t="shared" si="659"/>
        <v>7</v>
      </c>
      <c r="C4127" s="22">
        <v>45413</v>
      </c>
      <c r="D4127" s="22">
        <v>45443</v>
      </c>
      <c r="E4127" s="23">
        <v>31</v>
      </c>
      <c r="F4127" s="3">
        <f t="shared" si="657"/>
        <v>154868198.28564006</v>
      </c>
      <c r="G4127" s="3">
        <f t="shared" si="660"/>
        <v>4385374.7928984677</v>
      </c>
      <c r="H4127" s="3">
        <f t="shared" si="661"/>
        <v>1290568.3190470005</v>
      </c>
      <c r="I4127" s="3">
        <f t="shared" si="655"/>
        <v>3094806.4738514675</v>
      </c>
      <c r="J4127" s="3">
        <f t="shared" si="656"/>
        <v>151773391.81178859</v>
      </c>
      <c r="K4127" s="24"/>
      <c r="L4127" s="24">
        <f t="shared" si="658"/>
        <v>3996590.1715938719</v>
      </c>
    </row>
    <row r="4128" spans="2:12" x14ac:dyDescent="0.35">
      <c r="B4128" s="1">
        <f t="shared" si="659"/>
        <v>8</v>
      </c>
      <c r="C4128" s="22">
        <v>45444</v>
      </c>
      <c r="D4128" s="22">
        <v>45473</v>
      </c>
      <c r="E4128" s="23">
        <v>30</v>
      </c>
      <c r="F4128" s="3">
        <f t="shared" si="657"/>
        <v>151773391.81178859</v>
      </c>
      <c r="G4128" s="3">
        <f t="shared" si="660"/>
        <v>4385374.7928984677</v>
      </c>
      <c r="H4128" s="3">
        <f t="shared" si="661"/>
        <v>1264778.2650982381</v>
      </c>
      <c r="I4128" s="3">
        <f t="shared" si="655"/>
        <v>3120596.5278002294</v>
      </c>
      <c r="J4128" s="3">
        <f t="shared" si="656"/>
        <v>148652795.28398836</v>
      </c>
      <c r="K4128" s="24">
        <f>4495925+4495925</f>
        <v>8991850</v>
      </c>
      <c r="L4128" s="24">
        <f t="shared" si="658"/>
        <v>-609885.03550766036</v>
      </c>
    </row>
    <row r="4129" spans="2:12" x14ac:dyDescent="0.35">
      <c r="B4129" s="1">
        <f t="shared" si="659"/>
        <v>9</v>
      </c>
      <c r="C4129" s="22">
        <v>45474</v>
      </c>
      <c r="D4129" s="22">
        <v>45504</v>
      </c>
      <c r="E4129" s="23">
        <v>31</v>
      </c>
      <c r="F4129" s="3">
        <f t="shared" si="657"/>
        <v>148652795.28398836</v>
      </c>
      <c r="G4129" s="3">
        <f t="shared" si="660"/>
        <v>4385374.7928984677</v>
      </c>
      <c r="H4129" s="3">
        <f t="shared" si="661"/>
        <v>1238773.2940332363</v>
      </c>
      <c r="I4129" s="3">
        <f t="shared" si="655"/>
        <v>3146601.4988652314</v>
      </c>
      <c r="J4129" s="3">
        <f t="shared" si="656"/>
        <v>145506193.78512314</v>
      </c>
      <c r="K4129" s="24">
        <v>4495925</v>
      </c>
      <c r="L4129" s="24">
        <f t="shared" si="658"/>
        <v>-720435.24260919262</v>
      </c>
    </row>
    <row r="4130" spans="2:12" x14ac:dyDescent="0.35">
      <c r="B4130" s="1">
        <f t="shared" si="659"/>
        <v>10</v>
      </c>
      <c r="C4130" s="22">
        <v>45505</v>
      </c>
      <c r="D4130" s="22">
        <v>45535</v>
      </c>
      <c r="E4130" s="23">
        <v>31</v>
      </c>
      <c r="F4130" s="3">
        <f t="shared" si="657"/>
        <v>145506193.78512314</v>
      </c>
      <c r="G4130" s="3">
        <f t="shared" si="660"/>
        <v>4385374.7928984677</v>
      </c>
      <c r="H4130" s="3">
        <f t="shared" si="661"/>
        <v>1212551.6148760261</v>
      </c>
      <c r="I4130" s="3">
        <f t="shared" si="655"/>
        <v>3172823.1780224415</v>
      </c>
      <c r="J4130" s="3">
        <f t="shared" si="656"/>
        <v>142333370.6071007</v>
      </c>
      <c r="K4130" s="24"/>
      <c r="L4130" s="24">
        <f t="shared" si="658"/>
        <v>3664939.5502892751</v>
      </c>
    </row>
    <row r="4131" spans="2:12" x14ac:dyDescent="0.35">
      <c r="B4131" s="1">
        <f t="shared" si="659"/>
        <v>11</v>
      </c>
      <c r="C4131" s="22">
        <v>45536</v>
      </c>
      <c r="D4131" s="22">
        <v>45565</v>
      </c>
      <c r="E4131" s="23">
        <v>30</v>
      </c>
      <c r="F4131" s="3">
        <f t="shared" si="657"/>
        <v>142333370.6071007</v>
      </c>
      <c r="G4131" s="3">
        <f t="shared" si="660"/>
        <v>4385374.7928984677</v>
      </c>
      <c r="H4131" s="3">
        <f t="shared" si="661"/>
        <v>1186111.4217258391</v>
      </c>
      <c r="I4131" s="3">
        <f t="shared" si="655"/>
        <v>3199263.3711726284</v>
      </c>
      <c r="J4131" s="3">
        <f t="shared" si="656"/>
        <v>139134107.23592806</v>
      </c>
      <c r="K4131" s="24">
        <f>4495925+4495925</f>
        <v>8991850</v>
      </c>
      <c r="L4131" s="24">
        <f t="shared" si="658"/>
        <v>-941535.65681225713</v>
      </c>
    </row>
    <row r="4132" spans="2:12" x14ac:dyDescent="0.35">
      <c r="B4132" s="1">
        <f t="shared" si="659"/>
        <v>12</v>
      </c>
      <c r="C4132" s="22">
        <v>45566</v>
      </c>
      <c r="D4132" s="22">
        <v>45596</v>
      </c>
      <c r="E4132" s="23">
        <v>31</v>
      </c>
      <c r="F4132" s="3">
        <f t="shared" si="657"/>
        <v>139134107.23592806</v>
      </c>
      <c r="G4132" s="3">
        <f t="shared" si="660"/>
        <v>4385374.7928984677</v>
      </c>
      <c r="H4132" s="3">
        <f t="shared" si="661"/>
        <v>1159450.8936327337</v>
      </c>
      <c r="I4132" s="3">
        <f t="shared" si="655"/>
        <v>3225923.899265734</v>
      </c>
      <c r="J4132" s="3">
        <f t="shared" si="656"/>
        <v>135908183.33666232</v>
      </c>
      <c r="K4132" s="24">
        <v>4495925</v>
      </c>
      <c r="L4132" s="205">
        <f t="shared" si="658"/>
        <v>-1052085.8639137894</v>
      </c>
    </row>
    <row r="4133" spans="2:12" x14ac:dyDescent="0.35">
      <c r="B4133" s="1">
        <f t="shared" si="659"/>
        <v>13</v>
      </c>
      <c r="C4133" s="22">
        <v>45597</v>
      </c>
      <c r="D4133" s="22">
        <v>45626</v>
      </c>
      <c r="E4133" s="23">
        <v>30</v>
      </c>
      <c r="F4133" s="3">
        <f t="shared" si="657"/>
        <v>135908183.33666232</v>
      </c>
      <c r="G4133" s="3">
        <f t="shared" si="660"/>
        <v>4385374.7928984677</v>
      </c>
      <c r="H4133" s="3">
        <f t="shared" si="661"/>
        <v>1132568.194472186</v>
      </c>
      <c r="I4133" s="3">
        <f t="shared" si="655"/>
        <v>3252806.5984262815</v>
      </c>
      <c r="J4133" s="3">
        <f t="shared" si="656"/>
        <v>132655376.73823604</v>
      </c>
      <c r="K4133" s="24"/>
      <c r="L4133" s="24"/>
    </row>
    <row r="4134" spans="2:12" x14ac:dyDescent="0.35">
      <c r="B4134" s="1">
        <f t="shared" si="659"/>
        <v>14</v>
      </c>
      <c r="C4134" s="22">
        <v>45627</v>
      </c>
      <c r="D4134" s="22">
        <v>45657</v>
      </c>
      <c r="E4134" s="23">
        <v>31</v>
      </c>
      <c r="F4134" s="3">
        <f t="shared" si="657"/>
        <v>132655376.73823604</v>
      </c>
      <c r="G4134" s="3">
        <f t="shared" si="660"/>
        <v>4385374.7928984677</v>
      </c>
      <c r="H4134" s="3">
        <f t="shared" si="661"/>
        <v>1105461.4728186335</v>
      </c>
      <c r="I4134" s="3">
        <f t="shared" si="655"/>
        <v>3279913.3200798342</v>
      </c>
      <c r="J4134" s="3">
        <f t="shared" si="656"/>
        <v>129375463.41815621</v>
      </c>
      <c r="K4134" s="24"/>
      <c r="L4134" s="24"/>
    </row>
    <row r="4135" spans="2:12" x14ac:dyDescent="0.35">
      <c r="B4135" s="1">
        <f t="shared" si="659"/>
        <v>15</v>
      </c>
      <c r="C4135" s="22">
        <v>45658</v>
      </c>
      <c r="D4135" s="22">
        <v>45688</v>
      </c>
      <c r="E4135" s="23">
        <v>31</v>
      </c>
      <c r="F4135" s="3">
        <f t="shared" si="657"/>
        <v>129375463.41815621</v>
      </c>
      <c r="G4135" s="3">
        <f t="shared" si="660"/>
        <v>4385374.7928984677</v>
      </c>
      <c r="H4135" s="3">
        <f t="shared" si="661"/>
        <v>1078128.8618179683</v>
      </c>
      <c r="I4135" s="3">
        <f t="shared" si="655"/>
        <v>3307245.9310804997</v>
      </c>
      <c r="J4135" s="3">
        <f t="shared" si="656"/>
        <v>126068217.4870757</v>
      </c>
      <c r="K4135" s="24"/>
      <c r="L4135" s="24"/>
    </row>
    <row r="4136" spans="2:12" x14ac:dyDescent="0.35">
      <c r="B4136" s="1">
        <f t="shared" si="659"/>
        <v>16</v>
      </c>
      <c r="C4136" s="22">
        <v>45689</v>
      </c>
      <c r="D4136" s="22">
        <v>45716</v>
      </c>
      <c r="E4136" s="23">
        <v>28</v>
      </c>
      <c r="F4136" s="3">
        <f t="shared" si="657"/>
        <v>126068217.4870757</v>
      </c>
      <c r="G4136" s="3">
        <f t="shared" si="660"/>
        <v>4385374.7928984677</v>
      </c>
      <c r="H4136" s="3">
        <f t="shared" si="661"/>
        <v>1050568.4790589642</v>
      </c>
      <c r="I4136" s="3">
        <f t="shared" si="655"/>
        <v>3334806.3138395036</v>
      </c>
      <c r="J4136" s="3">
        <f t="shared" si="656"/>
        <v>122733411.17323619</v>
      </c>
      <c r="K4136" s="24"/>
      <c r="L4136" s="24"/>
    </row>
    <row r="4137" spans="2:12" x14ac:dyDescent="0.35">
      <c r="B4137" s="1">
        <f t="shared" si="659"/>
        <v>17</v>
      </c>
      <c r="C4137" s="22">
        <v>45717</v>
      </c>
      <c r="D4137" s="22">
        <v>45747</v>
      </c>
      <c r="E4137" s="23">
        <v>31</v>
      </c>
      <c r="F4137" s="3">
        <f t="shared" si="657"/>
        <v>122733411.17323619</v>
      </c>
      <c r="G4137" s="3">
        <f t="shared" si="660"/>
        <v>4385374.7928984677</v>
      </c>
      <c r="H4137" s="3">
        <f t="shared" si="661"/>
        <v>1022778.4264436349</v>
      </c>
      <c r="I4137" s="3">
        <f t="shared" si="655"/>
        <v>3362596.3664548327</v>
      </c>
      <c r="J4137" s="3">
        <f t="shared" si="656"/>
        <v>119370814.80678135</v>
      </c>
      <c r="K4137" s="24"/>
      <c r="L4137" s="24"/>
    </row>
    <row r="4138" spans="2:12" x14ac:dyDescent="0.35">
      <c r="B4138" s="1">
        <f t="shared" si="659"/>
        <v>18</v>
      </c>
      <c r="C4138" s="22">
        <v>45748</v>
      </c>
      <c r="D4138" s="22">
        <v>45777</v>
      </c>
      <c r="E4138" s="23">
        <v>30</v>
      </c>
      <c r="F4138" s="3">
        <f t="shared" si="657"/>
        <v>119370814.80678135</v>
      </c>
      <c r="G4138" s="3">
        <f t="shared" si="660"/>
        <v>4385374.7928984677</v>
      </c>
      <c r="H4138" s="3">
        <f t="shared" si="661"/>
        <v>994756.79005651129</v>
      </c>
      <c r="I4138" s="3">
        <f t="shared" si="655"/>
        <v>3390618.0028419564</v>
      </c>
      <c r="J4138" s="3">
        <f t="shared" si="656"/>
        <v>115980196.8039394</v>
      </c>
      <c r="K4138" s="24"/>
      <c r="L4138" s="24"/>
    </row>
    <row r="4139" spans="2:12" x14ac:dyDescent="0.35">
      <c r="B4139" s="1">
        <f t="shared" si="659"/>
        <v>19</v>
      </c>
      <c r="C4139" s="22">
        <v>45778</v>
      </c>
      <c r="D4139" s="22">
        <v>45808</v>
      </c>
      <c r="E4139" s="23">
        <v>31</v>
      </c>
      <c r="F4139" s="3">
        <f t="shared" si="657"/>
        <v>115980196.8039394</v>
      </c>
      <c r="G4139" s="3">
        <f t="shared" si="660"/>
        <v>4385374.7928984677</v>
      </c>
      <c r="H4139" s="3">
        <f t="shared" si="661"/>
        <v>966501.64003282832</v>
      </c>
      <c r="I4139" s="3">
        <f t="shared" si="655"/>
        <v>3418873.1528656394</v>
      </c>
      <c r="J4139" s="3">
        <f t="shared" si="656"/>
        <v>112561323.65107377</v>
      </c>
      <c r="K4139" s="24"/>
      <c r="L4139" s="24"/>
    </row>
    <row r="4140" spans="2:12" x14ac:dyDescent="0.35">
      <c r="B4140" s="1">
        <f t="shared" si="659"/>
        <v>20</v>
      </c>
      <c r="C4140" s="22">
        <v>45809</v>
      </c>
      <c r="D4140" s="22">
        <v>45838</v>
      </c>
      <c r="E4140" s="23">
        <v>30</v>
      </c>
      <c r="F4140" s="3">
        <f t="shared" si="657"/>
        <v>112561323.65107377</v>
      </c>
      <c r="G4140" s="3">
        <f t="shared" si="660"/>
        <v>4385374.7928984677</v>
      </c>
      <c r="H4140" s="3">
        <f t="shared" si="661"/>
        <v>938011.03042561468</v>
      </c>
      <c r="I4140" s="3">
        <f t="shared" si="655"/>
        <v>3447363.7624728531</v>
      </c>
      <c r="J4140" s="3">
        <f t="shared" si="656"/>
        <v>109113959.88860092</v>
      </c>
      <c r="K4140" s="24"/>
      <c r="L4140" s="24"/>
    </row>
    <row r="4141" spans="2:12" x14ac:dyDescent="0.35">
      <c r="B4141" s="1">
        <f t="shared" si="659"/>
        <v>21</v>
      </c>
      <c r="C4141" s="22">
        <v>45839</v>
      </c>
      <c r="D4141" s="22">
        <v>45868</v>
      </c>
      <c r="E4141" s="23">
        <v>30</v>
      </c>
      <c r="F4141" s="3">
        <f t="shared" si="657"/>
        <v>109113959.88860092</v>
      </c>
      <c r="G4141" s="3">
        <f t="shared" si="660"/>
        <v>4385374.7928984677</v>
      </c>
      <c r="H4141" s="3">
        <f t="shared" si="661"/>
        <v>909282.99907167431</v>
      </c>
      <c r="I4141" s="3">
        <f t="shared" si="655"/>
        <v>3476091.7938267933</v>
      </c>
      <c r="J4141" s="3">
        <f t="shared" si="656"/>
        <v>105637868.09477413</v>
      </c>
      <c r="K4141" s="24"/>
      <c r="L4141" s="24"/>
    </row>
    <row r="4142" spans="2:12" x14ac:dyDescent="0.35">
      <c r="B4142" s="1">
        <f t="shared" si="659"/>
        <v>22</v>
      </c>
      <c r="C4142" s="22">
        <v>45870</v>
      </c>
      <c r="D4142" s="22">
        <v>45899</v>
      </c>
      <c r="E4142" s="23">
        <v>30</v>
      </c>
      <c r="F4142" s="3">
        <f t="shared" si="657"/>
        <v>105637868.09477413</v>
      </c>
      <c r="G4142" s="3">
        <f t="shared" si="660"/>
        <v>4385374.7928984677</v>
      </c>
      <c r="H4142" s="3">
        <f t="shared" si="661"/>
        <v>880315.56745645101</v>
      </c>
      <c r="I4142" s="3">
        <f t="shared" si="655"/>
        <v>3505059.2254420165</v>
      </c>
      <c r="J4142" s="3">
        <f t="shared" si="656"/>
        <v>102132808.8693321</v>
      </c>
      <c r="K4142" s="24"/>
      <c r="L4142" s="24"/>
    </row>
    <row r="4143" spans="2:12" x14ac:dyDescent="0.35">
      <c r="B4143" s="1">
        <f t="shared" si="659"/>
        <v>23</v>
      </c>
      <c r="C4143" s="22">
        <v>45901</v>
      </c>
      <c r="D4143" s="22">
        <v>45930</v>
      </c>
      <c r="E4143" s="23">
        <v>30</v>
      </c>
      <c r="F4143" s="3">
        <f t="shared" si="657"/>
        <v>102132808.8693321</v>
      </c>
      <c r="G4143" s="3">
        <f t="shared" si="660"/>
        <v>4385374.7928984677</v>
      </c>
      <c r="H4143" s="3">
        <f t="shared" si="661"/>
        <v>851106.74057776749</v>
      </c>
      <c r="I4143" s="3">
        <f t="shared" si="655"/>
        <v>3534268.0523207001</v>
      </c>
      <c r="J4143" s="3">
        <f t="shared" si="656"/>
        <v>98598540.817011401</v>
      </c>
    </row>
    <row r="4144" spans="2:12" x14ac:dyDescent="0.35">
      <c r="B4144" s="1">
        <f t="shared" si="659"/>
        <v>24</v>
      </c>
      <c r="C4144" s="22">
        <v>45931</v>
      </c>
      <c r="D4144" s="22">
        <v>45961</v>
      </c>
      <c r="E4144" s="23">
        <v>31</v>
      </c>
      <c r="F4144" s="3">
        <f t="shared" si="657"/>
        <v>98598540.817011401</v>
      </c>
      <c r="G4144" s="3">
        <f t="shared" si="660"/>
        <v>4385374.7928984677</v>
      </c>
      <c r="H4144" s="3">
        <f t="shared" si="661"/>
        <v>821654.50680842833</v>
      </c>
      <c r="I4144" s="3">
        <f t="shared" si="655"/>
        <v>3563720.2860900396</v>
      </c>
      <c r="J4144" s="3">
        <f t="shared" si="656"/>
        <v>95034820.530921355</v>
      </c>
    </row>
    <row r="4145" spans="2:10" x14ac:dyDescent="0.35">
      <c r="B4145" s="1">
        <f t="shared" si="659"/>
        <v>25</v>
      </c>
      <c r="C4145" s="22">
        <v>45962</v>
      </c>
      <c r="D4145" s="22">
        <v>45991</v>
      </c>
      <c r="E4145" s="23">
        <v>30</v>
      </c>
      <c r="F4145" s="3">
        <f t="shared" si="657"/>
        <v>95034820.530921355</v>
      </c>
      <c r="G4145" s="3">
        <f t="shared" si="660"/>
        <v>4385374.7928984677</v>
      </c>
      <c r="H4145" s="3">
        <f t="shared" si="661"/>
        <v>791956.837757678</v>
      </c>
      <c r="I4145" s="3">
        <f t="shared" si="655"/>
        <v>3593417.95514079</v>
      </c>
      <c r="J4145" s="3">
        <f t="shared" si="656"/>
        <v>91441402.575780571</v>
      </c>
    </row>
    <row r="4146" spans="2:10" x14ac:dyDescent="0.35">
      <c r="B4146" s="1">
        <f t="shared" si="659"/>
        <v>26</v>
      </c>
      <c r="C4146" s="22">
        <v>45992</v>
      </c>
      <c r="D4146" s="22">
        <v>46022</v>
      </c>
      <c r="E4146" s="23">
        <v>31</v>
      </c>
      <c r="F4146" s="3">
        <f t="shared" si="657"/>
        <v>91441402.575780571</v>
      </c>
      <c r="G4146" s="3">
        <f t="shared" si="660"/>
        <v>4385374.7928984677</v>
      </c>
      <c r="H4146" s="3">
        <f t="shared" si="661"/>
        <v>762011.68813150469</v>
      </c>
      <c r="I4146" s="3">
        <f t="shared" si="655"/>
        <v>3623363.104766963</v>
      </c>
      <c r="J4146" s="3">
        <f t="shared" si="656"/>
        <v>87818039.471013606</v>
      </c>
    </row>
    <row r="4147" spans="2:10" x14ac:dyDescent="0.35">
      <c r="B4147" s="1">
        <f t="shared" si="659"/>
        <v>27</v>
      </c>
      <c r="C4147" s="22">
        <v>46023</v>
      </c>
      <c r="D4147" s="22">
        <v>46053</v>
      </c>
      <c r="E4147" s="23">
        <v>31</v>
      </c>
      <c r="F4147" s="3">
        <f t="shared" si="657"/>
        <v>87818039.471013606</v>
      </c>
      <c r="G4147" s="3">
        <f t="shared" si="660"/>
        <v>4385374.7928984677</v>
      </c>
      <c r="H4147" s="3">
        <f t="shared" si="661"/>
        <v>731816.99559178005</v>
      </c>
      <c r="I4147" s="3">
        <f t="shared" si="655"/>
        <v>3653557.7973066876</v>
      </c>
      <c r="J4147" s="3">
        <f t="shared" si="656"/>
        <v>84164481.673706919</v>
      </c>
    </row>
    <row r="4148" spans="2:10" x14ac:dyDescent="0.35">
      <c r="B4148" s="1">
        <f t="shared" si="659"/>
        <v>28</v>
      </c>
      <c r="C4148" s="22">
        <v>46054</v>
      </c>
      <c r="D4148" s="22">
        <v>46081</v>
      </c>
      <c r="E4148" s="23">
        <v>28</v>
      </c>
      <c r="F4148" s="3">
        <f t="shared" si="657"/>
        <v>84164481.673706919</v>
      </c>
      <c r="G4148" s="3">
        <f t="shared" si="660"/>
        <v>4385374.7928984677</v>
      </c>
      <c r="H4148" s="3">
        <f t="shared" si="661"/>
        <v>701370.68061422429</v>
      </c>
      <c r="I4148" s="3">
        <f t="shared" si="655"/>
        <v>3684004.1122842436</v>
      </c>
      <c r="J4148" s="3">
        <f t="shared" si="656"/>
        <v>80480477.561422676</v>
      </c>
    </row>
    <row r="4149" spans="2:10" x14ac:dyDescent="0.35">
      <c r="B4149" s="1">
        <f t="shared" si="659"/>
        <v>29</v>
      </c>
      <c r="C4149" s="22">
        <v>46082</v>
      </c>
      <c r="D4149" s="22">
        <v>46112</v>
      </c>
      <c r="E4149" s="23">
        <v>31</v>
      </c>
      <c r="F4149" s="3">
        <f t="shared" si="657"/>
        <v>80480477.561422676</v>
      </c>
      <c r="G4149" s="3">
        <f t="shared" si="660"/>
        <v>4385374.7928984677</v>
      </c>
      <c r="H4149" s="3">
        <f t="shared" si="661"/>
        <v>670670.64634518896</v>
      </c>
      <c r="I4149" s="3">
        <f t="shared" si="655"/>
        <v>3714704.1465532789</v>
      </c>
      <c r="J4149" s="3">
        <f t="shared" si="656"/>
        <v>76765773.414869398</v>
      </c>
    </row>
    <row r="4150" spans="2:10" x14ac:dyDescent="0.35">
      <c r="B4150" s="1">
        <f t="shared" si="659"/>
        <v>30</v>
      </c>
      <c r="C4150" s="22">
        <v>46113</v>
      </c>
      <c r="D4150" s="22">
        <v>46142</v>
      </c>
      <c r="E4150" s="23">
        <v>30</v>
      </c>
      <c r="F4150" s="3">
        <f t="shared" si="657"/>
        <v>76765773.414869398</v>
      </c>
      <c r="G4150" s="3">
        <f t="shared" si="660"/>
        <v>4385374.7928984677</v>
      </c>
      <c r="H4150" s="3">
        <f t="shared" si="661"/>
        <v>639714.77845724497</v>
      </c>
      <c r="I4150" s="3">
        <f t="shared" si="655"/>
        <v>3745660.0144412229</v>
      </c>
      <c r="J4150" s="3">
        <f t="shared" si="656"/>
        <v>73020113.400428176</v>
      </c>
    </row>
    <row r="4151" spans="2:10" x14ac:dyDescent="0.35">
      <c r="B4151" s="1">
        <f t="shared" si="659"/>
        <v>31</v>
      </c>
      <c r="C4151" s="22">
        <v>46143</v>
      </c>
      <c r="D4151" s="22">
        <v>46173</v>
      </c>
      <c r="E4151" s="23">
        <v>31</v>
      </c>
      <c r="F4151" s="3">
        <f t="shared" si="657"/>
        <v>73020113.400428176</v>
      </c>
      <c r="G4151" s="3">
        <f t="shared" si="660"/>
        <v>4385374.7928984677</v>
      </c>
      <c r="H4151" s="3">
        <f t="shared" si="661"/>
        <v>608500.94500356808</v>
      </c>
      <c r="I4151" s="3">
        <f t="shared" si="655"/>
        <v>3776873.8478948995</v>
      </c>
      <c r="J4151" s="3">
        <f t="shared" si="656"/>
        <v>69243239.552533269</v>
      </c>
    </row>
    <row r="4152" spans="2:10" x14ac:dyDescent="0.35">
      <c r="B4152" s="1">
        <f t="shared" si="659"/>
        <v>32</v>
      </c>
      <c r="C4152" s="22">
        <v>46174</v>
      </c>
      <c r="D4152" s="22">
        <v>46203</v>
      </c>
      <c r="E4152" s="23">
        <v>30</v>
      </c>
      <c r="F4152" s="3">
        <f t="shared" si="657"/>
        <v>69243239.552533269</v>
      </c>
      <c r="G4152" s="3">
        <f t="shared" si="660"/>
        <v>4385374.7928984677</v>
      </c>
      <c r="H4152" s="3">
        <f t="shared" si="661"/>
        <v>577026.99627111061</v>
      </c>
      <c r="I4152" s="3">
        <f t="shared" ref="I4152:I4168" si="662">G4152-H4152</f>
        <v>3808347.7966273571</v>
      </c>
      <c r="J4152" s="3">
        <f t="shared" ref="J4152:J4168" si="663">F4152-I4152</f>
        <v>65434891.755905911</v>
      </c>
    </row>
    <row r="4153" spans="2:10" x14ac:dyDescent="0.35">
      <c r="B4153" s="1">
        <f t="shared" si="659"/>
        <v>33</v>
      </c>
      <c r="C4153" s="22">
        <v>46204</v>
      </c>
      <c r="D4153" s="22">
        <v>46234</v>
      </c>
      <c r="E4153" s="23">
        <v>31</v>
      </c>
      <c r="F4153" s="3">
        <f t="shared" si="657"/>
        <v>65434891.755905911</v>
      </c>
      <c r="G4153" s="3">
        <f t="shared" si="660"/>
        <v>4385374.7928984677</v>
      </c>
      <c r="H4153" s="3">
        <f t="shared" si="661"/>
        <v>545290.76463254925</v>
      </c>
      <c r="I4153" s="3">
        <f t="shared" si="662"/>
        <v>3840084.0282659186</v>
      </c>
      <c r="J4153" s="3">
        <f t="shared" si="663"/>
        <v>61594807.727639996</v>
      </c>
    </row>
    <row r="4154" spans="2:10" x14ac:dyDescent="0.35">
      <c r="B4154" s="1">
        <f t="shared" si="659"/>
        <v>34</v>
      </c>
      <c r="C4154" s="22">
        <v>46235</v>
      </c>
      <c r="D4154" s="22">
        <v>46265</v>
      </c>
      <c r="E4154" s="23">
        <v>31</v>
      </c>
      <c r="F4154" s="3">
        <f t="shared" si="657"/>
        <v>61594807.727639996</v>
      </c>
      <c r="G4154" s="3">
        <f t="shared" si="660"/>
        <v>4385374.7928984677</v>
      </c>
      <c r="H4154" s="3">
        <f t="shared" si="661"/>
        <v>513290.06439699995</v>
      </c>
      <c r="I4154" s="3">
        <f t="shared" si="662"/>
        <v>3872084.728501468</v>
      </c>
      <c r="J4154" s="3">
        <f t="shared" si="663"/>
        <v>57722722.999138527</v>
      </c>
    </row>
    <row r="4155" spans="2:10" x14ac:dyDescent="0.35">
      <c r="B4155" s="1">
        <f t="shared" si="659"/>
        <v>35</v>
      </c>
      <c r="C4155" s="22">
        <v>46266</v>
      </c>
      <c r="D4155" s="22">
        <v>46295</v>
      </c>
      <c r="E4155" s="23">
        <v>30</v>
      </c>
      <c r="F4155" s="3">
        <f t="shared" si="657"/>
        <v>57722722.999138527</v>
      </c>
      <c r="G4155" s="3">
        <f t="shared" si="660"/>
        <v>4385374.7928984677</v>
      </c>
      <c r="H4155" s="3">
        <f t="shared" si="661"/>
        <v>481022.69165948773</v>
      </c>
      <c r="I4155" s="3">
        <f t="shared" si="662"/>
        <v>3904352.10123898</v>
      </c>
      <c r="J4155" s="3">
        <f t="shared" si="663"/>
        <v>53818370.897899546</v>
      </c>
    </row>
    <row r="4156" spans="2:10" x14ac:dyDescent="0.35">
      <c r="B4156" s="1">
        <f t="shared" si="659"/>
        <v>36</v>
      </c>
      <c r="C4156" s="22">
        <v>46296</v>
      </c>
      <c r="D4156" s="22">
        <v>46326</v>
      </c>
      <c r="E4156" s="23">
        <v>31</v>
      </c>
      <c r="F4156" s="3">
        <f t="shared" si="657"/>
        <v>53818370.897899546</v>
      </c>
      <c r="G4156" s="3">
        <f t="shared" si="660"/>
        <v>4385374.7928984677</v>
      </c>
      <c r="H4156" s="3">
        <f t="shared" si="661"/>
        <v>448486.42414916289</v>
      </c>
      <c r="I4156" s="3">
        <f t="shared" si="662"/>
        <v>3936888.3687493047</v>
      </c>
      <c r="J4156" s="3">
        <f t="shared" si="663"/>
        <v>49881482.52915024</v>
      </c>
    </row>
    <row r="4157" spans="2:10" x14ac:dyDescent="0.35">
      <c r="B4157" s="1">
        <f t="shared" si="659"/>
        <v>37</v>
      </c>
      <c r="C4157" s="22">
        <v>46327</v>
      </c>
      <c r="D4157" s="22">
        <v>46356</v>
      </c>
      <c r="E4157" s="23">
        <v>30</v>
      </c>
      <c r="F4157" s="3">
        <f t="shared" si="657"/>
        <v>49881482.52915024</v>
      </c>
      <c r="G4157" s="3">
        <f t="shared" si="660"/>
        <v>4385374.7928984677</v>
      </c>
      <c r="H4157" s="3">
        <f t="shared" si="661"/>
        <v>415679.02107625199</v>
      </c>
      <c r="I4157" s="3">
        <f t="shared" si="662"/>
        <v>3969695.771822216</v>
      </c>
      <c r="J4157" s="3">
        <f t="shared" si="663"/>
        <v>45911786.757328026</v>
      </c>
    </row>
    <row r="4158" spans="2:10" x14ac:dyDescent="0.35">
      <c r="B4158" s="1">
        <f t="shared" si="659"/>
        <v>38</v>
      </c>
      <c r="C4158" s="22">
        <v>46357</v>
      </c>
      <c r="D4158" s="22">
        <v>46387</v>
      </c>
      <c r="E4158" s="23">
        <v>31</v>
      </c>
      <c r="F4158" s="3">
        <f t="shared" si="657"/>
        <v>45911786.757328026</v>
      </c>
      <c r="G4158" s="3">
        <f t="shared" si="660"/>
        <v>4385374.7928984677</v>
      </c>
      <c r="H4158" s="3">
        <f t="shared" si="661"/>
        <v>382598.22297773353</v>
      </c>
      <c r="I4158" s="3">
        <f t="shared" si="662"/>
        <v>4002776.569920734</v>
      </c>
      <c r="J4158" s="3">
        <f t="shared" si="663"/>
        <v>41909010.187407292</v>
      </c>
    </row>
    <row r="4159" spans="2:10" x14ac:dyDescent="0.35">
      <c r="B4159" s="1">
        <f t="shared" si="659"/>
        <v>39</v>
      </c>
      <c r="C4159" s="22">
        <v>46388</v>
      </c>
      <c r="D4159" s="22">
        <v>46418</v>
      </c>
      <c r="E4159" s="23">
        <v>31</v>
      </c>
      <c r="F4159" s="3">
        <f t="shared" si="657"/>
        <v>41909010.187407292</v>
      </c>
      <c r="G4159" s="3">
        <f t="shared" si="660"/>
        <v>4385374.7928984677</v>
      </c>
      <c r="H4159" s="3">
        <f t="shared" si="661"/>
        <v>349241.75156172743</v>
      </c>
      <c r="I4159" s="3">
        <f t="shared" si="662"/>
        <v>4036133.0413367404</v>
      </c>
      <c r="J4159" s="3">
        <f t="shared" si="663"/>
        <v>37872877.146070555</v>
      </c>
    </row>
    <row r="4160" spans="2:10" x14ac:dyDescent="0.35">
      <c r="B4160" s="1">
        <f t="shared" si="659"/>
        <v>40</v>
      </c>
      <c r="C4160" s="22">
        <v>46419</v>
      </c>
      <c r="D4160" s="22">
        <v>46446</v>
      </c>
      <c r="E4160" s="23">
        <v>28</v>
      </c>
      <c r="F4160" s="3">
        <f t="shared" si="657"/>
        <v>37872877.146070555</v>
      </c>
      <c r="G4160" s="3">
        <f t="shared" si="660"/>
        <v>4385374.7928984677</v>
      </c>
      <c r="H4160" s="3">
        <f t="shared" si="661"/>
        <v>315607.30955058796</v>
      </c>
      <c r="I4160" s="3">
        <f t="shared" si="662"/>
        <v>4069767.4833478797</v>
      </c>
      <c r="J4160" s="3">
        <f t="shared" si="663"/>
        <v>33803109.662722677</v>
      </c>
    </row>
    <row r="4161" spans="2:19" x14ac:dyDescent="0.35">
      <c r="B4161" s="1">
        <f t="shared" si="659"/>
        <v>41</v>
      </c>
      <c r="C4161" s="22">
        <v>46447</v>
      </c>
      <c r="D4161" s="22">
        <v>46477</v>
      </c>
      <c r="E4161" s="23">
        <v>31</v>
      </c>
      <c r="F4161" s="3">
        <f t="shared" si="657"/>
        <v>33803109.662722677</v>
      </c>
      <c r="G4161" s="3">
        <f t="shared" si="660"/>
        <v>4385374.7928984677</v>
      </c>
      <c r="H4161" s="3">
        <f t="shared" si="661"/>
        <v>281692.58052268898</v>
      </c>
      <c r="I4161" s="3">
        <f t="shared" si="662"/>
        <v>4103682.2123757787</v>
      </c>
      <c r="J4161" s="3">
        <f t="shared" si="663"/>
        <v>29699427.450346898</v>
      </c>
    </row>
    <row r="4162" spans="2:19" x14ac:dyDescent="0.35">
      <c r="B4162" s="1">
        <f t="shared" si="659"/>
        <v>42</v>
      </c>
      <c r="C4162" s="22">
        <v>46478</v>
      </c>
      <c r="D4162" s="22">
        <v>46507</v>
      </c>
      <c r="E4162" s="23">
        <v>30</v>
      </c>
      <c r="F4162" s="3">
        <f t="shared" si="657"/>
        <v>29699427.450346898</v>
      </c>
      <c r="G4162" s="3">
        <f t="shared" si="660"/>
        <v>4385374.7928984677</v>
      </c>
      <c r="H4162" s="3">
        <f t="shared" si="661"/>
        <v>247495.22875289081</v>
      </c>
      <c r="I4162" s="3">
        <f t="shared" si="662"/>
        <v>4137879.5641455771</v>
      </c>
      <c r="J4162" s="3">
        <f t="shared" si="663"/>
        <v>25561547.886201322</v>
      </c>
    </row>
    <row r="4163" spans="2:19" x14ac:dyDescent="0.35">
      <c r="B4163" s="1">
        <f t="shared" si="659"/>
        <v>43</v>
      </c>
      <c r="C4163" s="22">
        <v>46508</v>
      </c>
      <c r="D4163" s="22">
        <v>46538</v>
      </c>
      <c r="E4163" s="23">
        <v>31</v>
      </c>
      <c r="F4163" s="3">
        <f t="shared" si="657"/>
        <v>25561547.886201322</v>
      </c>
      <c r="G4163" s="3">
        <f t="shared" si="660"/>
        <v>4385374.7928984677</v>
      </c>
      <c r="H4163" s="3">
        <f t="shared" si="661"/>
        <v>213012.89905167767</v>
      </c>
      <c r="I4163" s="3">
        <f t="shared" si="662"/>
        <v>4172361.8938467903</v>
      </c>
      <c r="J4163" s="3">
        <f t="shared" si="663"/>
        <v>21389185.992354531</v>
      </c>
    </row>
    <row r="4164" spans="2:19" x14ac:dyDescent="0.35">
      <c r="B4164" s="1">
        <f t="shared" si="659"/>
        <v>44</v>
      </c>
      <c r="C4164" s="22">
        <v>46539</v>
      </c>
      <c r="D4164" s="22">
        <v>46568</v>
      </c>
      <c r="E4164" s="23">
        <v>30</v>
      </c>
      <c r="F4164" s="3">
        <f t="shared" si="657"/>
        <v>21389185.992354531</v>
      </c>
      <c r="G4164" s="3">
        <f t="shared" si="660"/>
        <v>4385374.7928984677</v>
      </c>
      <c r="H4164" s="3">
        <f t="shared" si="661"/>
        <v>178243.21660295443</v>
      </c>
      <c r="I4164" s="3">
        <f t="shared" si="662"/>
        <v>4207131.5762955137</v>
      </c>
      <c r="J4164" s="3">
        <f t="shared" si="663"/>
        <v>17182054.416059017</v>
      </c>
    </row>
    <row r="4165" spans="2:19" x14ac:dyDescent="0.35">
      <c r="B4165" s="1">
        <f t="shared" si="659"/>
        <v>45</v>
      </c>
      <c r="C4165" s="22">
        <v>46569</v>
      </c>
      <c r="D4165" s="22">
        <v>46599</v>
      </c>
      <c r="E4165" s="23">
        <v>31</v>
      </c>
      <c r="F4165" s="3">
        <f t="shared" si="657"/>
        <v>17182054.416059017</v>
      </c>
      <c r="G4165" s="3">
        <f t="shared" si="660"/>
        <v>4385374.7928984677</v>
      </c>
      <c r="H4165" s="3">
        <f t="shared" si="661"/>
        <v>143183.7868004918</v>
      </c>
      <c r="I4165" s="3">
        <f t="shared" si="662"/>
        <v>4242191.0060979761</v>
      </c>
      <c r="J4165" s="3">
        <f t="shared" si="663"/>
        <v>12939863.409961041</v>
      </c>
    </row>
    <row r="4166" spans="2:19" x14ac:dyDescent="0.35">
      <c r="B4166" s="1">
        <f t="shared" si="659"/>
        <v>46</v>
      </c>
      <c r="C4166" s="22">
        <v>46600</v>
      </c>
      <c r="D4166" s="22">
        <v>46630</v>
      </c>
      <c r="E4166" s="23">
        <v>31</v>
      </c>
      <c r="F4166" s="3">
        <f t="shared" si="657"/>
        <v>12939863.409961041</v>
      </c>
      <c r="G4166" s="3">
        <f t="shared" si="660"/>
        <v>4385374.7928984677</v>
      </c>
      <c r="H4166" s="3">
        <f t="shared" si="661"/>
        <v>107832.19508300867</v>
      </c>
      <c r="I4166" s="3">
        <f t="shared" si="662"/>
        <v>4277542.5978154587</v>
      </c>
      <c r="J4166" s="3">
        <f t="shared" si="663"/>
        <v>8662320.8121455833</v>
      </c>
    </row>
    <row r="4167" spans="2:19" x14ac:dyDescent="0.35">
      <c r="B4167" s="1">
        <f t="shared" si="659"/>
        <v>47</v>
      </c>
      <c r="C4167" s="22">
        <f>+D4166+1</f>
        <v>46631</v>
      </c>
      <c r="D4167" s="22">
        <f>+C4167+29</f>
        <v>46660</v>
      </c>
      <c r="E4167" s="23">
        <v>30</v>
      </c>
      <c r="F4167" s="3">
        <f t="shared" si="657"/>
        <v>8662320.8121455833</v>
      </c>
      <c r="G4167" s="3">
        <f t="shared" si="660"/>
        <v>4385374.7928984677</v>
      </c>
      <c r="H4167" s="3">
        <f t="shared" si="661"/>
        <v>72186.006767879866</v>
      </c>
      <c r="I4167" s="3">
        <f t="shared" si="662"/>
        <v>4313188.7861305876</v>
      </c>
      <c r="J4167" s="3">
        <f t="shared" si="663"/>
        <v>4349132.0260149958</v>
      </c>
    </row>
    <row r="4168" spans="2:19" x14ac:dyDescent="0.35">
      <c r="B4168" s="1">
        <f t="shared" si="659"/>
        <v>48</v>
      </c>
      <c r="C4168" s="22">
        <f>+D4167+1</f>
        <v>46661</v>
      </c>
      <c r="D4168" s="22">
        <f>+C4168+30</f>
        <v>46691</v>
      </c>
      <c r="E4168" s="23">
        <v>31</v>
      </c>
      <c r="F4168" s="3">
        <f t="shared" si="657"/>
        <v>4349132.0260149958</v>
      </c>
      <c r="G4168" s="3">
        <f t="shared" si="660"/>
        <v>4385374.7928984677</v>
      </c>
      <c r="H4168" s="3">
        <f t="shared" si="661"/>
        <v>36242.766883458295</v>
      </c>
      <c r="I4168" s="3">
        <f t="shared" si="662"/>
        <v>4349132.0260150097</v>
      </c>
      <c r="J4168" s="3">
        <f t="shared" si="663"/>
        <v>-1.3969838619232178E-8</v>
      </c>
    </row>
    <row r="4173" spans="2:19" x14ac:dyDescent="0.35">
      <c r="B4173" s="1"/>
      <c r="C4173" s="8" t="s">
        <v>649</v>
      </c>
      <c r="D4173" s="3"/>
      <c r="E4173" s="3"/>
      <c r="F4173" s="3"/>
      <c r="G4173" s="3"/>
      <c r="H4173" s="3"/>
      <c r="I4173" s="3"/>
      <c r="J4173" s="3"/>
      <c r="K4173" s="3"/>
      <c r="L4173" s="3"/>
      <c r="R4173" s="438" t="s">
        <v>832</v>
      </c>
      <c r="S4173" s="432" t="str">
        <f>IFERROR(INDEX(Blocks!$I$2:$I$101,MATCH(76,Blocks!$A$2:$A$101,0)),"")</f>
        <v>000104460000078</v>
      </c>
    </row>
    <row r="4174" spans="2:19" x14ac:dyDescent="0.35">
      <c r="B4174" s="1"/>
      <c r="C4174" s="1"/>
      <c r="D4174" s="3"/>
      <c r="E4174" s="3"/>
      <c r="F4174" s="3"/>
      <c r="G4174" s="3"/>
      <c r="H4174" s="3"/>
      <c r="I4174" s="3"/>
      <c r="J4174" s="3"/>
      <c r="K4174" s="3"/>
      <c r="L4174" s="3"/>
      <c r="R4174" s="438" t="s">
        <v>834</v>
      </c>
      <c r="S4174" s="432" t="str">
        <f>IFERROR(INDEX(Blocks!$H$2:$H$101,MATCH(76,Blocks!$A$2:$A$101,0)),"")</f>
        <v>Green Pharmacy</v>
      </c>
    </row>
    <row r="4175" spans="2:19" x14ac:dyDescent="0.35">
      <c r="B4175" s="1"/>
      <c r="C4175" s="9" t="s">
        <v>835</v>
      </c>
      <c r="D4175" s="10">
        <f>'[6]Amortization- GREEN P.'!$D$4</f>
        <v>22000000</v>
      </c>
      <c r="E4175" s="3"/>
      <c r="F4175" s="3"/>
      <c r="G4175" s="3"/>
      <c r="H4175" s="3"/>
      <c r="I4175" s="3"/>
      <c r="J4175" s="3"/>
      <c r="K4175" s="3"/>
      <c r="L4175" s="3"/>
      <c r="R4175" s="438" t="s">
        <v>223</v>
      </c>
      <c r="S4175" s="433">
        <f>IFERROR(INDEX('E-Banker master'!$N$2:$N$186,MATCH(S4173,'E-Banker master'!$A$2:$A$186,0)),"")</f>
        <v>22000000</v>
      </c>
    </row>
    <row r="4176" spans="2:19" x14ac:dyDescent="0.35">
      <c r="B4176" s="1"/>
      <c r="C4176" s="11" t="s">
        <v>837</v>
      </c>
      <c r="D4176" s="12">
        <v>0.1</v>
      </c>
      <c r="E4176" s="13"/>
      <c r="F4176" s="3"/>
      <c r="G4176" s="3"/>
      <c r="H4176" s="3"/>
      <c r="I4176" s="3"/>
      <c r="J4176" s="3"/>
      <c r="K4176" s="3"/>
      <c r="L4176" s="3"/>
      <c r="R4176" s="438" t="s">
        <v>52</v>
      </c>
      <c r="S4176" s="433">
        <f>IFERROR(INDEX('E-Banker master'!$P$2:$P$186,MATCH(S4173,'E-Banker master'!$A$2:$A$186,0)),"")</f>
        <v>24338392.329999998</v>
      </c>
    </row>
    <row r="4177" spans="2:12" x14ac:dyDescent="0.35">
      <c r="B4177" s="1"/>
      <c r="C4177" s="11" t="s">
        <v>838</v>
      </c>
      <c r="D4177" s="14">
        <v>3</v>
      </c>
      <c r="E4177" s="1"/>
      <c r="F4177" s="3"/>
      <c r="G4177" s="3"/>
      <c r="H4177" s="3"/>
      <c r="I4177" s="3"/>
      <c r="J4177" s="3"/>
      <c r="K4177" s="1"/>
      <c r="L4177" s="1"/>
    </row>
    <row r="4178" spans="2:12" x14ac:dyDescent="0.35">
      <c r="B4178" s="1"/>
      <c r="C4178" s="11" t="s">
        <v>839</v>
      </c>
      <c r="D4178" s="14">
        <v>12</v>
      </c>
      <c r="E4178" s="1"/>
      <c r="F4178" s="3"/>
      <c r="G4178" s="3"/>
      <c r="H4178" s="3"/>
      <c r="I4178" s="3"/>
      <c r="J4178" s="3"/>
      <c r="K4178" s="1"/>
      <c r="L4178" s="1"/>
    </row>
    <row r="4179" spans="2:12" x14ac:dyDescent="0.35">
      <c r="B4179" s="1"/>
      <c r="C4179" s="11" t="s">
        <v>843</v>
      </c>
      <c r="D4179" s="15">
        <f>D4177*D4178</f>
        <v>36</v>
      </c>
      <c r="E4179" s="1"/>
      <c r="F4179" s="3"/>
      <c r="G4179" s="3"/>
      <c r="H4179" s="3"/>
      <c r="I4179" s="3"/>
      <c r="J4179" s="3"/>
      <c r="K4179" s="1"/>
      <c r="L4179" s="1"/>
    </row>
    <row r="4180" spans="2:12" x14ac:dyDescent="0.35">
      <c r="B4180" s="1"/>
      <c r="C4180" s="11" t="s">
        <v>844</v>
      </c>
      <c r="D4180" s="16">
        <v>365</v>
      </c>
      <c r="E4180" s="1"/>
      <c r="F4180" s="3"/>
      <c r="G4180" s="3"/>
      <c r="H4180" s="3"/>
      <c r="I4180" s="3"/>
      <c r="J4180" s="3"/>
      <c r="K4180" s="1"/>
      <c r="L4180" s="1"/>
    </row>
    <row r="4181" spans="2:12" x14ac:dyDescent="0.35">
      <c r="B4181" s="1"/>
      <c r="C4181" s="17" t="s">
        <v>845</v>
      </c>
      <c r="D4181" s="18">
        <f>-PMT(D4176/D4178,D4179,D4175,0,0)</f>
        <v>709878.11826442461</v>
      </c>
      <c r="E4181" s="3"/>
      <c r="F4181" s="3"/>
      <c r="G4181" s="3"/>
      <c r="H4181" s="3"/>
      <c r="I4181" s="3"/>
      <c r="J4181" s="3"/>
      <c r="K4181" s="1"/>
      <c r="L4181" s="1"/>
    </row>
    <row r="4182" spans="2:12" x14ac:dyDescent="0.35">
      <c r="B4182" s="1"/>
      <c r="C4182" s="1"/>
      <c r="D4182" s="3"/>
      <c r="E4182" s="3"/>
      <c r="F4182" s="3"/>
      <c r="G4182" s="3"/>
      <c r="H4182" s="3"/>
      <c r="I4182" s="3"/>
      <c r="J4182" s="3"/>
      <c r="K4182" s="1"/>
      <c r="L4182" s="1"/>
    </row>
    <row r="4183" spans="2:12" x14ac:dyDescent="0.35">
      <c r="B4183" s="1"/>
      <c r="C4183" s="19" t="s">
        <v>846</v>
      </c>
      <c r="D4183" s="20" t="s">
        <v>847</v>
      </c>
      <c r="E4183" s="20" t="s">
        <v>764</v>
      </c>
      <c r="F4183" s="270" t="s">
        <v>848</v>
      </c>
      <c r="G4183" s="270" t="s">
        <v>849</v>
      </c>
      <c r="H4183" s="270" t="s">
        <v>742</v>
      </c>
      <c r="I4183" s="270" t="s">
        <v>740</v>
      </c>
      <c r="J4183" s="270" t="s">
        <v>850</v>
      </c>
      <c r="K4183" s="21" t="s">
        <v>851</v>
      </c>
      <c r="L4183" s="21" t="s">
        <v>852</v>
      </c>
    </row>
    <row r="4184" spans="2:12" x14ac:dyDescent="0.35">
      <c r="B4184" s="1">
        <v>0</v>
      </c>
      <c r="C4184" s="22">
        <v>45222</v>
      </c>
      <c r="D4184" s="22">
        <v>45230</v>
      </c>
      <c r="E4184" s="291">
        <f>+D4184-C4184</f>
        <v>8</v>
      </c>
      <c r="F4184" s="3">
        <f>D4175</f>
        <v>22000000</v>
      </c>
      <c r="G4184" s="3">
        <v>0</v>
      </c>
      <c r="H4184" s="3">
        <f>($D$4176/$D$4178*F4184*E4184/31)</f>
        <v>47311.827956989247</v>
      </c>
      <c r="I4184" s="3">
        <f t="shared" ref="I4184:I4220" si="664">G4184-H4184</f>
        <v>-47311.827956989247</v>
      </c>
      <c r="J4184" s="3">
        <f t="shared" ref="J4184:J4220" si="665">F4184-I4184</f>
        <v>22047311.827956989</v>
      </c>
    </row>
    <row r="4185" spans="2:12" x14ac:dyDescent="0.35">
      <c r="B4185" s="1">
        <v>1</v>
      </c>
      <c r="C4185" s="22">
        <v>45231</v>
      </c>
      <c r="D4185" s="22">
        <v>45260</v>
      </c>
      <c r="E4185" s="23">
        <v>30</v>
      </c>
      <c r="F4185" s="3">
        <f t="shared" ref="F4185:F4220" si="666">J4184</f>
        <v>22047311.827956989</v>
      </c>
      <c r="G4185" s="3"/>
      <c r="H4185" s="3">
        <f t="shared" ref="H4185:H4220" si="667">($D$4176/$D$4178*F4185)</f>
        <v>183727.59856630824</v>
      </c>
      <c r="I4185" s="3">
        <f t="shared" si="664"/>
        <v>-183727.59856630824</v>
      </c>
      <c r="J4185" s="3">
        <f t="shared" si="665"/>
        <v>22231039.426523298</v>
      </c>
      <c r="K4185" s="24"/>
      <c r="L4185" s="24"/>
    </row>
    <row r="4186" spans="2:12" x14ac:dyDescent="0.35">
      <c r="B4186" s="1">
        <v>2</v>
      </c>
      <c r="C4186" s="22">
        <v>45261</v>
      </c>
      <c r="D4186" s="22">
        <v>45291</v>
      </c>
      <c r="E4186" s="23">
        <v>31</v>
      </c>
      <c r="F4186" s="3">
        <f t="shared" si="666"/>
        <v>22231039.426523298</v>
      </c>
      <c r="G4186" s="3"/>
      <c r="H4186" s="3">
        <f t="shared" si="667"/>
        <v>185258.66188769415</v>
      </c>
      <c r="I4186" s="3">
        <f t="shared" si="664"/>
        <v>-185258.66188769415</v>
      </c>
      <c r="J4186" s="3">
        <f t="shared" si="665"/>
        <v>22416298.088410992</v>
      </c>
      <c r="K4186" s="24"/>
      <c r="L4186" s="24"/>
    </row>
    <row r="4187" spans="2:12" x14ac:dyDescent="0.35">
      <c r="B4187" s="1">
        <f t="shared" ref="B4187:B4220" si="668">+B4186+1</f>
        <v>3</v>
      </c>
      <c r="C4187" s="22">
        <v>45292</v>
      </c>
      <c r="D4187" s="22">
        <v>45322</v>
      </c>
      <c r="E4187" s="23">
        <v>31</v>
      </c>
      <c r="F4187" s="3">
        <f t="shared" si="666"/>
        <v>22416298.088410992</v>
      </c>
      <c r="G4187" s="3"/>
      <c r="H4187" s="3">
        <f t="shared" si="667"/>
        <v>186802.4840700916</v>
      </c>
      <c r="I4187" s="3">
        <f t="shared" si="664"/>
        <v>-186802.4840700916</v>
      </c>
      <c r="J4187" s="3">
        <f t="shared" si="665"/>
        <v>22603100.572481085</v>
      </c>
      <c r="K4187" s="24"/>
      <c r="L4187" s="24"/>
    </row>
    <row r="4188" spans="2:12" x14ac:dyDescent="0.35">
      <c r="B4188" s="1">
        <f t="shared" si="668"/>
        <v>4</v>
      </c>
      <c r="C4188" s="22">
        <v>45323</v>
      </c>
      <c r="D4188" s="22">
        <v>45351</v>
      </c>
      <c r="E4188" s="23">
        <v>29</v>
      </c>
      <c r="F4188" s="3">
        <f t="shared" si="666"/>
        <v>22603100.572481085</v>
      </c>
      <c r="G4188" s="3"/>
      <c r="H4188" s="3">
        <f t="shared" si="667"/>
        <v>188359.17143734236</v>
      </c>
      <c r="I4188" s="3">
        <f t="shared" si="664"/>
        <v>-188359.17143734236</v>
      </c>
      <c r="J4188" s="3">
        <f t="shared" si="665"/>
        <v>22791459.743918426</v>
      </c>
      <c r="K4188" s="24"/>
      <c r="L4188" s="26"/>
    </row>
    <row r="4189" spans="2:12" x14ac:dyDescent="0.35">
      <c r="B4189" s="1">
        <f t="shared" si="668"/>
        <v>5</v>
      </c>
      <c r="C4189" s="22">
        <v>45352</v>
      </c>
      <c r="D4189" s="22">
        <v>45382</v>
      </c>
      <c r="E4189" s="23">
        <v>31</v>
      </c>
      <c r="F4189" s="3">
        <f t="shared" si="666"/>
        <v>22791459.743918426</v>
      </c>
      <c r="G4189" s="3"/>
      <c r="H4189" s="3">
        <f t="shared" si="667"/>
        <v>189928.83119932021</v>
      </c>
      <c r="I4189" s="3">
        <f t="shared" si="664"/>
        <v>-189928.83119932021</v>
      </c>
      <c r="J4189" s="3">
        <f t="shared" si="665"/>
        <v>22981388.575117748</v>
      </c>
      <c r="K4189" s="24"/>
      <c r="L4189" s="24"/>
    </row>
    <row r="4190" spans="2:12" x14ac:dyDescent="0.35">
      <c r="B4190" s="1">
        <f t="shared" si="668"/>
        <v>6</v>
      </c>
      <c r="C4190" s="22">
        <v>45383</v>
      </c>
      <c r="D4190" s="22">
        <v>45412</v>
      </c>
      <c r="E4190" s="23">
        <v>30</v>
      </c>
      <c r="F4190" s="3">
        <f t="shared" si="666"/>
        <v>22981388.575117748</v>
      </c>
      <c r="G4190" s="3"/>
      <c r="H4190" s="3">
        <f t="shared" si="667"/>
        <v>191511.57145931455</v>
      </c>
      <c r="I4190" s="3">
        <f t="shared" si="664"/>
        <v>-191511.57145931455</v>
      </c>
      <c r="J4190" s="3">
        <f t="shared" si="665"/>
        <v>23172900.146577064</v>
      </c>
      <c r="K4190" s="24"/>
      <c r="L4190" s="24"/>
    </row>
    <row r="4191" spans="2:12" x14ac:dyDescent="0.35">
      <c r="B4191" s="1">
        <f t="shared" si="668"/>
        <v>7</v>
      </c>
      <c r="C4191" s="22">
        <v>45413</v>
      </c>
      <c r="D4191" s="22">
        <v>45443</v>
      </c>
      <c r="E4191" s="23">
        <v>31</v>
      </c>
      <c r="F4191" s="3">
        <f t="shared" si="666"/>
        <v>23172900.146577064</v>
      </c>
      <c r="G4191" s="3">
        <f t="shared" ref="G4191:G4220" si="669">-PMT($D$4112/$D$4114,30,$F$4191,,0)</f>
        <v>876200.03226016741</v>
      </c>
      <c r="H4191" s="3">
        <f t="shared" si="667"/>
        <v>193107.50122147554</v>
      </c>
      <c r="I4191" s="3">
        <f t="shared" si="664"/>
        <v>683092.53103869187</v>
      </c>
      <c r="J4191" s="3">
        <f t="shared" si="665"/>
        <v>22489807.615538374</v>
      </c>
      <c r="K4191" s="24"/>
      <c r="L4191" s="24">
        <f t="shared" ref="L4191:L4196" si="670">+G4191+L4190-K4191</f>
        <v>876200.03226016741</v>
      </c>
    </row>
    <row r="4192" spans="2:12" x14ac:dyDescent="0.35">
      <c r="B4192" s="1">
        <f t="shared" si="668"/>
        <v>8</v>
      </c>
      <c r="C4192" s="22">
        <v>45444</v>
      </c>
      <c r="D4192" s="22">
        <v>45473</v>
      </c>
      <c r="E4192" s="23">
        <v>30</v>
      </c>
      <c r="F4192" s="3">
        <f t="shared" si="666"/>
        <v>22489807.615538374</v>
      </c>
      <c r="G4192" s="3">
        <f t="shared" si="669"/>
        <v>876200.03226016741</v>
      </c>
      <c r="H4192" s="3">
        <f t="shared" si="667"/>
        <v>187415.06346281979</v>
      </c>
      <c r="I4192" s="3">
        <f t="shared" si="664"/>
        <v>688784.96879734762</v>
      </c>
      <c r="J4192" s="3">
        <f t="shared" si="665"/>
        <v>21801022.646741025</v>
      </c>
      <c r="K4192" s="24"/>
      <c r="L4192" s="24">
        <f t="shared" si="670"/>
        <v>1752400.0645203348</v>
      </c>
    </row>
    <row r="4193" spans="2:12" x14ac:dyDescent="0.35">
      <c r="B4193" s="1">
        <f t="shared" si="668"/>
        <v>9</v>
      </c>
      <c r="C4193" s="22">
        <v>45474</v>
      </c>
      <c r="D4193" s="22">
        <v>45504</v>
      </c>
      <c r="E4193" s="23">
        <v>31</v>
      </c>
      <c r="F4193" s="3">
        <f t="shared" si="666"/>
        <v>21801022.646741025</v>
      </c>
      <c r="G4193" s="3">
        <f t="shared" si="669"/>
        <v>876200.03226016741</v>
      </c>
      <c r="H4193" s="3">
        <f t="shared" si="667"/>
        <v>181675.18872284188</v>
      </c>
      <c r="I4193" s="3">
        <f t="shared" si="664"/>
        <v>694524.84353732551</v>
      </c>
      <c r="J4193" s="3">
        <f t="shared" si="665"/>
        <v>21106497.803203698</v>
      </c>
      <c r="K4193" s="24"/>
      <c r="L4193" s="24">
        <f t="shared" si="670"/>
        <v>2628600.0967805022</v>
      </c>
    </row>
    <row r="4194" spans="2:12" x14ac:dyDescent="0.35">
      <c r="B4194" s="1">
        <f t="shared" si="668"/>
        <v>10</v>
      </c>
      <c r="C4194" s="22">
        <v>45505</v>
      </c>
      <c r="D4194" s="22">
        <v>45535</v>
      </c>
      <c r="E4194" s="23">
        <v>31</v>
      </c>
      <c r="F4194" s="3">
        <f t="shared" si="666"/>
        <v>21106497.803203698</v>
      </c>
      <c r="G4194" s="3">
        <f t="shared" si="669"/>
        <v>876200.03226016741</v>
      </c>
      <c r="H4194" s="3">
        <f t="shared" si="667"/>
        <v>175887.48169336416</v>
      </c>
      <c r="I4194" s="3">
        <f t="shared" si="664"/>
        <v>700312.5505668032</v>
      </c>
      <c r="J4194" s="3">
        <f t="shared" si="665"/>
        <v>20406185.252636895</v>
      </c>
      <c r="K4194" s="24"/>
      <c r="L4194" s="24">
        <f t="shared" si="670"/>
        <v>3504800.1290406696</v>
      </c>
    </row>
    <row r="4195" spans="2:12" x14ac:dyDescent="0.35">
      <c r="B4195" s="1">
        <f t="shared" si="668"/>
        <v>11</v>
      </c>
      <c r="C4195" s="22">
        <v>45536</v>
      </c>
      <c r="D4195" s="22">
        <v>45565</v>
      </c>
      <c r="E4195" s="23">
        <v>30</v>
      </c>
      <c r="F4195" s="3">
        <f t="shared" si="666"/>
        <v>20406185.252636895</v>
      </c>
      <c r="G4195" s="3">
        <f t="shared" si="669"/>
        <v>876200.03226016741</v>
      </c>
      <c r="H4195" s="3">
        <f t="shared" si="667"/>
        <v>170051.54377197413</v>
      </c>
      <c r="I4195" s="3">
        <f t="shared" si="664"/>
        <v>706148.48848819325</v>
      </c>
      <c r="J4195" s="3">
        <f t="shared" si="665"/>
        <v>19700036.764148701</v>
      </c>
      <c r="K4195" s="24"/>
      <c r="L4195" s="24">
        <f t="shared" si="670"/>
        <v>4381000.1613008371</v>
      </c>
    </row>
    <row r="4196" spans="2:12" x14ac:dyDescent="0.35">
      <c r="B4196" s="1">
        <f t="shared" si="668"/>
        <v>12</v>
      </c>
      <c r="C4196" s="22">
        <v>45566</v>
      </c>
      <c r="D4196" s="22">
        <v>45596</v>
      </c>
      <c r="E4196" s="23">
        <v>31</v>
      </c>
      <c r="F4196" s="3">
        <f t="shared" si="666"/>
        <v>19700036.764148701</v>
      </c>
      <c r="G4196" s="3">
        <f t="shared" si="669"/>
        <v>876200.03226016741</v>
      </c>
      <c r="H4196" s="3">
        <f t="shared" si="667"/>
        <v>164166.9730345725</v>
      </c>
      <c r="I4196" s="3">
        <f t="shared" si="664"/>
        <v>712033.05922559486</v>
      </c>
      <c r="J4196" s="3">
        <f t="shared" si="665"/>
        <v>18988003.704923104</v>
      </c>
      <c r="K4196" s="24"/>
      <c r="L4196" s="204">
        <f t="shared" si="670"/>
        <v>5257200.1935610045</v>
      </c>
    </row>
    <row r="4197" spans="2:12" x14ac:dyDescent="0.35">
      <c r="B4197" s="1">
        <f t="shared" si="668"/>
        <v>13</v>
      </c>
      <c r="C4197" s="22">
        <v>45597</v>
      </c>
      <c r="D4197" s="22">
        <v>45626</v>
      </c>
      <c r="E4197" s="23">
        <v>30</v>
      </c>
      <c r="F4197" s="3">
        <f t="shared" si="666"/>
        <v>18988003.704923104</v>
      </c>
      <c r="G4197" s="3">
        <f t="shared" si="669"/>
        <v>876200.03226016741</v>
      </c>
      <c r="H4197" s="3">
        <f t="shared" si="667"/>
        <v>158233.36420769253</v>
      </c>
      <c r="I4197" s="3">
        <f t="shared" si="664"/>
        <v>717966.66805247485</v>
      </c>
      <c r="J4197" s="3">
        <f t="shared" si="665"/>
        <v>18270037.036870629</v>
      </c>
      <c r="K4197" s="24"/>
      <c r="L4197" s="24"/>
    </row>
    <row r="4198" spans="2:12" x14ac:dyDescent="0.35">
      <c r="B4198" s="1">
        <f t="shared" si="668"/>
        <v>14</v>
      </c>
      <c r="C4198" s="22">
        <v>45627</v>
      </c>
      <c r="D4198" s="22">
        <v>45657</v>
      </c>
      <c r="E4198" s="23">
        <v>31</v>
      </c>
      <c r="F4198" s="3">
        <f t="shared" si="666"/>
        <v>18270037.036870629</v>
      </c>
      <c r="G4198" s="3">
        <f t="shared" si="669"/>
        <v>876200.03226016741</v>
      </c>
      <c r="H4198" s="3">
        <f t="shared" si="667"/>
        <v>152250.30864058857</v>
      </c>
      <c r="I4198" s="3">
        <f t="shared" si="664"/>
        <v>723949.72361957887</v>
      </c>
      <c r="J4198" s="3">
        <f t="shared" si="665"/>
        <v>17546087.313251048</v>
      </c>
      <c r="K4198" s="24"/>
      <c r="L4198" s="24"/>
    </row>
    <row r="4199" spans="2:12" x14ac:dyDescent="0.35">
      <c r="B4199" s="1">
        <f t="shared" si="668"/>
        <v>15</v>
      </c>
      <c r="C4199" s="22">
        <v>45658</v>
      </c>
      <c r="D4199" s="22">
        <v>45688</v>
      </c>
      <c r="E4199" s="23">
        <v>31</v>
      </c>
      <c r="F4199" s="3">
        <f t="shared" si="666"/>
        <v>17546087.313251048</v>
      </c>
      <c r="G4199" s="3">
        <f t="shared" si="669"/>
        <v>876200.03226016741</v>
      </c>
      <c r="H4199" s="3">
        <f t="shared" si="667"/>
        <v>146217.39427709207</v>
      </c>
      <c r="I4199" s="3">
        <f t="shared" si="664"/>
        <v>729982.63798307534</v>
      </c>
      <c r="J4199" s="3">
        <f t="shared" si="665"/>
        <v>16816104.675267972</v>
      </c>
      <c r="K4199" s="24"/>
      <c r="L4199" s="24"/>
    </row>
    <row r="4200" spans="2:12" x14ac:dyDescent="0.35">
      <c r="B4200" s="1">
        <f t="shared" si="668"/>
        <v>16</v>
      </c>
      <c r="C4200" s="22">
        <v>45689</v>
      </c>
      <c r="D4200" s="22">
        <v>45716</v>
      </c>
      <c r="E4200" s="23">
        <v>28</v>
      </c>
      <c r="F4200" s="3">
        <f t="shared" si="666"/>
        <v>16816104.675267972</v>
      </c>
      <c r="G4200" s="3">
        <f t="shared" si="669"/>
        <v>876200.03226016741</v>
      </c>
      <c r="H4200" s="3">
        <f t="shared" si="667"/>
        <v>140134.20562723311</v>
      </c>
      <c r="I4200" s="3">
        <f t="shared" si="664"/>
        <v>736065.82663293427</v>
      </c>
      <c r="J4200" s="3">
        <f t="shared" si="665"/>
        <v>16080038.848635038</v>
      </c>
      <c r="K4200" s="24"/>
      <c r="L4200" s="24"/>
    </row>
    <row r="4201" spans="2:12" x14ac:dyDescent="0.35">
      <c r="B4201" s="1">
        <f t="shared" si="668"/>
        <v>17</v>
      </c>
      <c r="C4201" s="22">
        <v>45717</v>
      </c>
      <c r="D4201" s="22">
        <v>45747</v>
      </c>
      <c r="E4201" s="23">
        <v>31</v>
      </c>
      <c r="F4201" s="3">
        <f t="shared" si="666"/>
        <v>16080038.848635038</v>
      </c>
      <c r="G4201" s="3">
        <f t="shared" si="669"/>
        <v>876200.03226016741</v>
      </c>
      <c r="H4201" s="3">
        <f t="shared" si="667"/>
        <v>134000.32373862533</v>
      </c>
      <c r="I4201" s="3">
        <f t="shared" si="664"/>
        <v>742199.70852154214</v>
      </c>
      <c r="J4201" s="3">
        <f t="shared" si="665"/>
        <v>15337839.140113495</v>
      </c>
      <c r="K4201" s="24"/>
      <c r="L4201" s="24"/>
    </row>
    <row r="4202" spans="2:12" x14ac:dyDescent="0.35">
      <c r="B4202" s="1">
        <f t="shared" si="668"/>
        <v>18</v>
      </c>
      <c r="C4202" s="22">
        <v>45748</v>
      </c>
      <c r="D4202" s="22">
        <v>45777</v>
      </c>
      <c r="E4202" s="23">
        <v>30</v>
      </c>
      <c r="F4202" s="3">
        <f t="shared" si="666"/>
        <v>15337839.140113495</v>
      </c>
      <c r="G4202" s="3">
        <f t="shared" si="669"/>
        <v>876200.03226016741</v>
      </c>
      <c r="H4202" s="3">
        <f t="shared" si="667"/>
        <v>127815.32616761245</v>
      </c>
      <c r="I4202" s="3">
        <f t="shared" si="664"/>
        <v>748384.70609255496</v>
      </c>
      <c r="J4202" s="3">
        <f t="shared" si="665"/>
        <v>14589454.43402094</v>
      </c>
      <c r="K4202" s="24"/>
      <c r="L4202" s="24"/>
    </row>
    <row r="4203" spans="2:12" x14ac:dyDescent="0.35">
      <c r="B4203" s="1">
        <f t="shared" si="668"/>
        <v>19</v>
      </c>
      <c r="C4203" s="22">
        <v>45778</v>
      </c>
      <c r="D4203" s="22">
        <v>45808</v>
      </c>
      <c r="E4203" s="23">
        <v>31</v>
      </c>
      <c r="F4203" s="3">
        <f t="shared" si="666"/>
        <v>14589454.43402094</v>
      </c>
      <c r="G4203" s="3">
        <f t="shared" si="669"/>
        <v>876200.03226016741</v>
      </c>
      <c r="H4203" s="3">
        <f t="shared" si="667"/>
        <v>121578.7869501745</v>
      </c>
      <c r="I4203" s="3">
        <f t="shared" si="664"/>
        <v>754621.24530999293</v>
      </c>
      <c r="J4203" s="3">
        <f t="shared" si="665"/>
        <v>13834833.188710947</v>
      </c>
      <c r="K4203" s="24"/>
      <c r="L4203" s="24"/>
    </row>
    <row r="4204" spans="2:12" x14ac:dyDescent="0.35">
      <c r="B4204" s="1">
        <f t="shared" si="668"/>
        <v>20</v>
      </c>
      <c r="C4204" s="22">
        <v>45809</v>
      </c>
      <c r="D4204" s="22">
        <v>45838</v>
      </c>
      <c r="E4204" s="23">
        <v>30</v>
      </c>
      <c r="F4204" s="3">
        <f t="shared" si="666"/>
        <v>13834833.188710947</v>
      </c>
      <c r="G4204" s="3">
        <f t="shared" si="669"/>
        <v>876200.03226016741</v>
      </c>
      <c r="H4204" s="3">
        <f t="shared" si="667"/>
        <v>115290.27657259122</v>
      </c>
      <c r="I4204" s="3">
        <f t="shared" si="664"/>
        <v>760909.75568757625</v>
      </c>
      <c r="J4204" s="3">
        <f t="shared" si="665"/>
        <v>13073923.433023371</v>
      </c>
      <c r="K4204" s="24"/>
      <c r="L4204" s="24"/>
    </row>
    <row r="4205" spans="2:12" x14ac:dyDescent="0.35">
      <c r="B4205" s="1">
        <f t="shared" si="668"/>
        <v>21</v>
      </c>
      <c r="C4205" s="22">
        <v>45839</v>
      </c>
      <c r="D4205" s="22">
        <v>45868</v>
      </c>
      <c r="E4205" s="23">
        <v>30</v>
      </c>
      <c r="F4205" s="3">
        <f t="shared" si="666"/>
        <v>13073923.433023371</v>
      </c>
      <c r="G4205" s="3">
        <f t="shared" si="669"/>
        <v>876200.03226016741</v>
      </c>
      <c r="H4205" s="3">
        <f t="shared" si="667"/>
        <v>108949.36194186143</v>
      </c>
      <c r="I4205" s="3">
        <f t="shared" si="664"/>
        <v>767250.67031830596</v>
      </c>
      <c r="J4205" s="3">
        <f t="shared" si="665"/>
        <v>12306672.762705065</v>
      </c>
      <c r="K4205" s="24"/>
      <c r="L4205" s="24"/>
    </row>
    <row r="4206" spans="2:12" x14ac:dyDescent="0.35">
      <c r="B4206" s="1">
        <f t="shared" si="668"/>
        <v>22</v>
      </c>
      <c r="C4206" s="22">
        <v>45870</v>
      </c>
      <c r="D4206" s="22">
        <v>45899</v>
      </c>
      <c r="E4206" s="23">
        <v>30</v>
      </c>
      <c r="F4206" s="3">
        <f t="shared" si="666"/>
        <v>12306672.762705065</v>
      </c>
      <c r="G4206" s="3">
        <f t="shared" si="669"/>
        <v>876200.03226016741</v>
      </c>
      <c r="H4206" s="3">
        <f t="shared" si="667"/>
        <v>102555.60635587554</v>
      </c>
      <c r="I4206" s="3">
        <f t="shared" si="664"/>
        <v>773644.42590429191</v>
      </c>
      <c r="J4206" s="3">
        <f t="shared" si="665"/>
        <v>11533028.336800773</v>
      </c>
      <c r="K4206" s="24"/>
      <c r="L4206" s="24"/>
    </row>
    <row r="4207" spans="2:12" x14ac:dyDescent="0.35">
      <c r="B4207" s="1">
        <f t="shared" si="668"/>
        <v>23</v>
      </c>
      <c r="C4207" s="22">
        <v>45901</v>
      </c>
      <c r="D4207" s="22">
        <v>45930</v>
      </c>
      <c r="E4207" s="23">
        <v>30</v>
      </c>
      <c r="F4207" s="3">
        <f t="shared" si="666"/>
        <v>11533028.336800773</v>
      </c>
      <c r="G4207" s="3">
        <f t="shared" si="669"/>
        <v>876200.03226016741</v>
      </c>
      <c r="H4207" s="3">
        <f t="shared" si="667"/>
        <v>96108.569473339769</v>
      </c>
      <c r="I4207" s="3">
        <f t="shared" si="664"/>
        <v>780091.4627868277</v>
      </c>
      <c r="J4207" s="3">
        <f t="shared" si="665"/>
        <v>10752936.874013945</v>
      </c>
    </row>
    <row r="4208" spans="2:12" x14ac:dyDescent="0.35">
      <c r="B4208" s="1">
        <f t="shared" si="668"/>
        <v>24</v>
      </c>
      <c r="C4208" s="22">
        <v>45931</v>
      </c>
      <c r="D4208" s="22">
        <v>45961</v>
      </c>
      <c r="E4208" s="23">
        <v>31</v>
      </c>
      <c r="F4208" s="3">
        <f t="shared" si="666"/>
        <v>10752936.874013945</v>
      </c>
      <c r="G4208" s="3">
        <f t="shared" si="669"/>
        <v>876200.03226016741</v>
      </c>
      <c r="H4208" s="3">
        <f t="shared" si="667"/>
        <v>89607.80728344954</v>
      </c>
      <c r="I4208" s="3">
        <f t="shared" si="664"/>
        <v>786592.22497671784</v>
      </c>
      <c r="J4208" s="3">
        <f t="shared" si="665"/>
        <v>9966344.649037227</v>
      </c>
    </row>
    <row r="4209" spans="2:19" x14ac:dyDescent="0.35">
      <c r="B4209" s="1">
        <f t="shared" si="668"/>
        <v>25</v>
      </c>
      <c r="C4209" s="22">
        <v>45962</v>
      </c>
      <c r="D4209" s="22">
        <v>45991</v>
      </c>
      <c r="E4209" s="23">
        <v>30</v>
      </c>
      <c r="F4209" s="3">
        <f t="shared" si="666"/>
        <v>9966344.649037227</v>
      </c>
      <c r="G4209" s="3">
        <f t="shared" si="669"/>
        <v>876200.03226016741</v>
      </c>
      <c r="H4209" s="3">
        <f t="shared" si="667"/>
        <v>83052.872075310224</v>
      </c>
      <c r="I4209" s="3">
        <f t="shared" si="664"/>
        <v>793147.1601848572</v>
      </c>
      <c r="J4209" s="3">
        <f t="shared" si="665"/>
        <v>9173197.4888523705</v>
      </c>
    </row>
    <row r="4210" spans="2:19" x14ac:dyDescent="0.35">
      <c r="B4210" s="1">
        <f t="shared" si="668"/>
        <v>26</v>
      </c>
      <c r="C4210" s="22">
        <v>45992</v>
      </c>
      <c r="D4210" s="22">
        <v>46022</v>
      </c>
      <c r="E4210" s="23">
        <v>31</v>
      </c>
      <c r="F4210" s="3">
        <f t="shared" si="666"/>
        <v>9173197.4888523705</v>
      </c>
      <c r="G4210" s="3">
        <f t="shared" si="669"/>
        <v>876200.03226016741</v>
      </c>
      <c r="H4210" s="3">
        <f t="shared" si="667"/>
        <v>76443.312407103091</v>
      </c>
      <c r="I4210" s="3">
        <f t="shared" si="664"/>
        <v>799756.71985306428</v>
      </c>
      <c r="J4210" s="3">
        <f t="shared" si="665"/>
        <v>8373440.7689993065</v>
      </c>
    </row>
    <row r="4211" spans="2:19" x14ac:dyDescent="0.35">
      <c r="B4211" s="1">
        <f t="shared" si="668"/>
        <v>27</v>
      </c>
      <c r="C4211" s="22">
        <v>46023</v>
      </c>
      <c r="D4211" s="22">
        <v>46053</v>
      </c>
      <c r="E4211" s="23">
        <v>31</v>
      </c>
      <c r="F4211" s="3">
        <f t="shared" si="666"/>
        <v>8373440.7689993065</v>
      </c>
      <c r="G4211" s="3">
        <f t="shared" si="669"/>
        <v>876200.03226016741</v>
      </c>
      <c r="H4211" s="3">
        <f t="shared" si="667"/>
        <v>69778.673074994222</v>
      </c>
      <c r="I4211" s="3">
        <f t="shared" si="664"/>
        <v>806421.35918517318</v>
      </c>
      <c r="J4211" s="3">
        <f t="shared" si="665"/>
        <v>7567019.4098141333</v>
      </c>
    </row>
    <row r="4212" spans="2:19" x14ac:dyDescent="0.35">
      <c r="B4212" s="1">
        <f t="shared" si="668"/>
        <v>28</v>
      </c>
      <c r="C4212" s="22">
        <v>46054</v>
      </c>
      <c r="D4212" s="22">
        <v>46081</v>
      </c>
      <c r="E4212" s="23">
        <v>28</v>
      </c>
      <c r="F4212" s="3">
        <f t="shared" si="666"/>
        <v>7567019.4098141333</v>
      </c>
      <c r="G4212" s="3">
        <f t="shared" si="669"/>
        <v>876200.03226016741</v>
      </c>
      <c r="H4212" s="3">
        <f t="shared" si="667"/>
        <v>63058.495081784444</v>
      </c>
      <c r="I4212" s="3">
        <f t="shared" si="664"/>
        <v>813141.53717838298</v>
      </c>
      <c r="J4212" s="3">
        <f t="shared" si="665"/>
        <v>6753877.8726357501</v>
      </c>
    </row>
    <row r="4213" spans="2:19" x14ac:dyDescent="0.35">
      <c r="B4213" s="1">
        <f t="shared" si="668"/>
        <v>29</v>
      </c>
      <c r="C4213" s="22">
        <v>46082</v>
      </c>
      <c r="D4213" s="22">
        <v>46112</v>
      </c>
      <c r="E4213" s="23">
        <v>31</v>
      </c>
      <c r="F4213" s="3">
        <f t="shared" si="666"/>
        <v>6753877.8726357501</v>
      </c>
      <c r="G4213" s="3">
        <f t="shared" si="669"/>
        <v>876200.03226016741</v>
      </c>
      <c r="H4213" s="3">
        <f t="shared" si="667"/>
        <v>56282.315605297918</v>
      </c>
      <c r="I4213" s="3">
        <f t="shared" si="664"/>
        <v>819917.71665486949</v>
      </c>
      <c r="J4213" s="3">
        <f t="shared" si="665"/>
        <v>5933960.1559808804</v>
      </c>
    </row>
    <row r="4214" spans="2:19" x14ac:dyDescent="0.35">
      <c r="B4214" s="1">
        <f t="shared" si="668"/>
        <v>30</v>
      </c>
      <c r="C4214" s="22">
        <v>46113</v>
      </c>
      <c r="D4214" s="22">
        <v>46142</v>
      </c>
      <c r="E4214" s="23">
        <v>30</v>
      </c>
      <c r="F4214" s="3">
        <f t="shared" si="666"/>
        <v>5933960.1559808804</v>
      </c>
      <c r="G4214" s="3">
        <f t="shared" si="669"/>
        <v>876200.03226016741</v>
      </c>
      <c r="H4214" s="3">
        <f t="shared" si="667"/>
        <v>49449.667966507339</v>
      </c>
      <c r="I4214" s="3">
        <f t="shared" si="664"/>
        <v>826750.36429366004</v>
      </c>
      <c r="J4214" s="3">
        <f t="shared" si="665"/>
        <v>5107209.7916872203</v>
      </c>
    </row>
    <row r="4215" spans="2:19" x14ac:dyDescent="0.35">
      <c r="B4215" s="1">
        <f t="shared" si="668"/>
        <v>31</v>
      </c>
      <c r="C4215" s="22">
        <v>46143</v>
      </c>
      <c r="D4215" s="22">
        <v>46173</v>
      </c>
      <c r="E4215" s="23">
        <v>31</v>
      </c>
      <c r="F4215" s="3">
        <f t="shared" si="666"/>
        <v>5107209.7916872203</v>
      </c>
      <c r="G4215" s="3">
        <f t="shared" si="669"/>
        <v>876200.03226016741</v>
      </c>
      <c r="H4215" s="3">
        <f t="shared" si="667"/>
        <v>42560.081597393502</v>
      </c>
      <c r="I4215" s="3">
        <f t="shared" si="664"/>
        <v>833639.95066277392</v>
      </c>
      <c r="J4215" s="3">
        <f t="shared" si="665"/>
        <v>4273569.8410244463</v>
      </c>
    </row>
    <row r="4216" spans="2:19" x14ac:dyDescent="0.35">
      <c r="B4216" s="1">
        <f t="shared" si="668"/>
        <v>32</v>
      </c>
      <c r="C4216" s="22">
        <v>46174</v>
      </c>
      <c r="D4216" s="22">
        <v>46203</v>
      </c>
      <c r="E4216" s="23">
        <v>30</v>
      </c>
      <c r="F4216" s="3">
        <f t="shared" si="666"/>
        <v>4273569.8410244463</v>
      </c>
      <c r="G4216" s="3">
        <f t="shared" si="669"/>
        <v>876200.03226016741</v>
      </c>
      <c r="H4216" s="3">
        <f t="shared" si="667"/>
        <v>35613.082008537051</v>
      </c>
      <c r="I4216" s="3">
        <f t="shared" si="664"/>
        <v>840586.95025163039</v>
      </c>
      <c r="J4216" s="3">
        <f t="shared" si="665"/>
        <v>3432982.8907728158</v>
      </c>
    </row>
    <row r="4217" spans="2:19" x14ac:dyDescent="0.35">
      <c r="B4217" s="1">
        <f t="shared" si="668"/>
        <v>33</v>
      </c>
      <c r="C4217" s="22">
        <v>46204</v>
      </c>
      <c r="D4217" s="22">
        <v>46234</v>
      </c>
      <c r="E4217" s="23">
        <v>31</v>
      </c>
      <c r="F4217" s="3">
        <f t="shared" si="666"/>
        <v>3432982.8907728158</v>
      </c>
      <c r="G4217" s="3">
        <f t="shared" si="669"/>
        <v>876200.03226016741</v>
      </c>
      <c r="H4217" s="3">
        <f t="shared" si="667"/>
        <v>28608.19075644013</v>
      </c>
      <c r="I4217" s="3">
        <f t="shared" si="664"/>
        <v>847591.84150372725</v>
      </c>
      <c r="J4217" s="3">
        <f t="shared" si="665"/>
        <v>2585391.0492690885</v>
      </c>
    </row>
    <row r="4218" spans="2:19" x14ac:dyDescent="0.35">
      <c r="B4218" s="1">
        <f t="shared" si="668"/>
        <v>34</v>
      </c>
      <c r="C4218" s="22">
        <v>46235</v>
      </c>
      <c r="D4218" s="22">
        <v>46265</v>
      </c>
      <c r="E4218" s="23">
        <v>31</v>
      </c>
      <c r="F4218" s="3">
        <f t="shared" si="666"/>
        <v>2585391.0492690885</v>
      </c>
      <c r="G4218" s="3">
        <f t="shared" si="669"/>
        <v>876200.03226016741</v>
      </c>
      <c r="H4218" s="3">
        <f t="shared" si="667"/>
        <v>21544.925410575739</v>
      </c>
      <c r="I4218" s="3">
        <f t="shared" si="664"/>
        <v>854655.10684959171</v>
      </c>
      <c r="J4218" s="3">
        <f t="shared" si="665"/>
        <v>1730735.9424194968</v>
      </c>
    </row>
    <row r="4219" spans="2:19" x14ac:dyDescent="0.35">
      <c r="B4219" s="1">
        <f t="shared" si="668"/>
        <v>35</v>
      </c>
      <c r="C4219" s="22">
        <v>46266</v>
      </c>
      <c r="D4219" s="22">
        <v>46295</v>
      </c>
      <c r="E4219" s="23">
        <v>30</v>
      </c>
      <c r="F4219" s="3">
        <f t="shared" si="666"/>
        <v>1730735.9424194968</v>
      </c>
      <c r="G4219" s="3">
        <f t="shared" si="669"/>
        <v>876200.03226016741</v>
      </c>
      <c r="H4219" s="3">
        <f t="shared" si="667"/>
        <v>14422.799520162473</v>
      </c>
      <c r="I4219" s="3">
        <f t="shared" si="664"/>
        <v>861777.2327400049</v>
      </c>
      <c r="J4219" s="3">
        <f t="shared" si="665"/>
        <v>868958.70967949193</v>
      </c>
    </row>
    <row r="4220" spans="2:19" x14ac:dyDescent="0.35">
      <c r="B4220" s="1">
        <f t="shared" si="668"/>
        <v>36</v>
      </c>
      <c r="C4220" s="22">
        <v>46296</v>
      </c>
      <c r="D4220" s="22">
        <v>46326</v>
      </c>
      <c r="E4220" s="23">
        <v>31</v>
      </c>
      <c r="F4220" s="3">
        <f t="shared" si="666"/>
        <v>868958.70967949193</v>
      </c>
      <c r="G4220" s="3">
        <f t="shared" si="669"/>
        <v>876200.03226016741</v>
      </c>
      <c r="H4220" s="3">
        <f t="shared" si="667"/>
        <v>7241.3225806624323</v>
      </c>
      <c r="I4220" s="3">
        <f t="shared" si="664"/>
        <v>868958.70967950497</v>
      </c>
      <c r="J4220" s="3">
        <f t="shared" si="665"/>
        <v>-1.3038516044616699E-8</v>
      </c>
    </row>
    <row r="4221" spans="2:19" x14ac:dyDescent="0.35">
      <c r="B4221" s="1"/>
      <c r="C4221" s="22"/>
      <c r="D4221" s="22"/>
      <c r="E4221" s="23"/>
      <c r="F4221" s="3"/>
      <c r="G4221" s="3"/>
      <c r="H4221" s="3"/>
      <c r="I4221" s="3"/>
      <c r="J4221" s="3"/>
    </row>
    <row r="4222" spans="2:19" x14ac:dyDescent="0.35">
      <c r="B4222" s="1"/>
      <c r="C4222" s="22"/>
      <c r="D4222" s="22"/>
      <c r="E4222" s="23"/>
      <c r="F4222" s="3"/>
      <c r="G4222" s="3"/>
      <c r="H4222" s="3"/>
      <c r="I4222" s="3"/>
      <c r="J4222" s="3"/>
    </row>
    <row r="4223" spans="2:19" x14ac:dyDescent="0.35">
      <c r="B4223" s="1"/>
      <c r="C4223" s="22"/>
      <c r="D4223" s="22"/>
      <c r="E4223" s="23"/>
      <c r="F4223" s="3"/>
      <c r="G4223" s="3"/>
      <c r="H4223" s="3"/>
      <c r="I4223" s="3"/>
      <c r="J4223" s="3"/>
    </row>
    <row r="4224" spans="2:19" x14ac:dyDescent="0.35">
      <c r="B4224" s="1"/>
      <c r="C4224" s="8" t="s">
        <v>650</v>
      </c>
      <c r="D4224" s="3"/>
      <c r="E4224" s="3"/>
      <c r="F4224" s="3"/>
      <c r="G4224" s="3"/>
      <c r="H4224" s="3"/>
      <c r="I4224" s="3"/>
      <c r="J4224" s="3"/>
      <c r="K4224" s="3"/>
      <c r="L4224" s="3"/>
      <c r="R4224" s="438" t="s">
        <v>832</v>
      </c>
      <c r="S4224" s="432" t="str">
        <f>IFERROR(INDEX(Blocks!$I$2:$I$101,MATCH(77,Blocks!$A$2:$A$101,0)),"")</f>
        <v>000104460000079</v>
      </c>
    </row>
    <row r="4225" spans="2:19" x14ac:dyDescent="0.35">
      <c r="B4225" s="1"/>
      <c r="C4225" s="1"/>
      <c r="D4225" s="3"/>
      <c r="E4225" s="3"/>
      <c r="F4225" s="3"/>
      <c r="G4225" s="3"/>
      <c r="H4225" s="3"/>
      <c r="I4225" s="3"/>
      <c r="J4225" s="3"/>
      <c r="K4225" s="3"/>
      <c r="L4225" s="3"/>
      <c r="R4225" s="438" t="s">
        <v>834</v>
      </c>
      <c r="S4225" s="432" t="str">
        <f>IFERROR(INDEX(Blocks!$H$2:$H$101,MATCH(77,Blocks!$A$2:$A$101,0)),"")</f>
        <v>Lilongwe Private Clinic</v>
      </c>
    </row>
    <row r="4226" spans="2:19" x14ac:dyDescent="0.35">
      <c r="B4226" s="1"/>
      <c r="C4226" s="9" t="s">
        <v>835</v>
      </c>
      <c r="D4226" s="10">
        <f>'[6]Loan amortisation- LLWPC'!$D$4</f>
        <v>150000000</v>
      </c>
      <c r="E4226" s="3"/>
      <c r="F4226" s="3"/>
      <c r="G4226" s="3"/>
      <c r="H4226" s="3"/>
      <c r="I4226" s="3"/>
      <c r="J4226" s="3"/>
      <c r="K4226" s="3"/>
      <c r="L4226" s="3"/>
      <c r="R4226" s="438" t="s">
        <v>223</v>
      </c>
      <c r="S4226" s="433">
        <f>IFERROR(INDEX('E-Banker master'!$N$2:$N$186,MATCH(S4224,'E-Banker master'!$A$2:$A$186,0)),"")</f>
        <v>150000000</v>
      </c>
    </row>
    <row r="4227" spans="2:19" x14ac:dyDescent="0.35">
      <c r="B4227" s="1"/>
      <c r="C4227" s="11" t="s">
        <v>837</v>
      </c>
      <c r="D4227" s="12">
        <v>0.1</v>
      </c>
      <c r="E4227" s="13"/>
      <c r="F4227" s="3"/>
      <c r="G4227" s="3"/>
      <c r="H4227" s="3"/>
      <c r="I4227" s="3"/>
      <c r="J4227" s="3"/>
      <c r="K4227" s="3"/>
      <c r="L4227" s="3"/>
      <c r="R4227" s="438" t="s">
        <v>52</v>
      </c>
      <c r="S4227" s="433">
        <f>IFERROR(INDEX('E-Banker master'!$P$2:$P$186,MATCH(S4224,'E-Banker master'!$A$2:$A$186,0)),"")</f>
        <v>136451765.05000001</v>
      </c>
    </row>
    <row r="4228" spans="2:19" x14ac:dyDescent="0.35">
      <c r="B4228" s="1"/>
      <c r="C4228" s="11" t="s">
        <v>838</v>
      </c>
      <c r="D4228" s="14">
        <v>4</v>
      </c>
      <c r="E4228" s="1"/>
      <c r="F4228" s="3"/>
      <c r="G4228" s="3"/>
      <c r="H4228" s="3"/>
      <c r="I4228" s="3"/>
      <c r="J4228" s="3"/>
      <c r="K4228" s="1"/>
      <c r="L4228" s="1"/>
    </row>
    <row r="4229" spans="2:19" x14ac:dyDescent="0.35">
      <c r="B4229" s="1"/>
      <c r="C4229" s="11" t="s">
        <v>839</v>
      </c>
      <c r="D4229" s="14">
        <v>12</v>
      </c>
      <c r="E4229" s="1"/>
      <c r="F4229" s="3"/>
      <c r="G4229" s="3"/>
      <c r="H4229" s="3"/>
      <c r="I4229" s="3"/>
      <c r="J4229" s="3"/>
      <c r="K4229" s="1"/>
      <c r="L4229" s="1"/>
    </row>
    <row r="4230" spans="2:19" x14ac:dyDescent="0.35">
      <c r="B4230" s="1"/>
      <c r="C4230" s="11" t="s">
        <v>843</v>
      </c>
      <c r="D4230" s="15">
        <f>D4228*D4229</f>
        <v>48</v>
      </c>
      <c r="E4230" s="1"/>
      <c r="F4230" s="3"/>
      <c r="G4230" s="3"/>
      <c r="H4230" s="3"/>
      <c r="I4230" s="3"/>
      <c r="J4230" s="3"/>
      <c r="K4230" s="1"/>
      <c r="L4230" s="1"/>
    </row>
    <row r="4231" spans="2:19" x14ac:dyDescent="0.35">
      <c r="B4231" s="1"/>
      <c r="C4231" s="11" t="s">
        <v>844</v>
      </c>
      <c r="D4231" s="16">
        <v>365</v>
      </c>
      <c r="E4231" s="1"/>
      <c r="F4231" s="3"/>
      <c r="G4231" s="3"/>
      <c r="H4231" s="3"/>
      <c r="I4231" s="3"/>
      <c r="J4231" s="3"/>
      <c r="K4231" s="1"/>
      <c r="L4231" s="1"/>
    </row>
    <row r="4232" spans="2:19" x14ac:dyDescent="0.35">
      <c r="B4232" s="1"/>
      <c r="C4232" s="17" t="s">
        <v>845</v>
      </c>
      <c r="D4232" s="18">
        <f>-PMT(D4227/D4229,D4230,D4226,0,0)</f>
        <v>3804387.5152120781</v>
      </c>
      <c r="E4232" s="3"/>
      <c r="F4232" s="3"/>
      <c r="G4232" s="3"/>
      <c r="H4232" s="3"/>
      <c r="I4232" s="3"/>
      <c r="J4232" s="3"/>
      <c r="K4232" s="1"/>
      <c r="L4232" s="1"/>
    </row>
    <row r="4233" spans="2:19" x14ac:dyDescent="0.35">
      <c r="B4233" s="1"/>
      <c r="C4233" s="1"/>
      <c r="D4233" s="3"/>
      <c r="E4233" s="3"/>
      <c r="F4233" s="3"/>
      <c r="G4233" s="3"/>
      <c r="H4233" s="3"/>
      <c r="I4233" s="3"/>
      <c r="J4233" s="3"/>
      <c r="K4233" s="1"/>
      <c r="L4233" s="1"/>
    </row>
    <row r="4234" spans="2:19" x14ac:dyDescent="0.35">
      <c r="B4234" s="1"/>
      <c r="C4234" s="19" t="s">
        <v>846</v>
      </c>
      <c r="D4234" s="20" t="s">
        <v>847</v>
      </c>
      <c r="E4234" s="20" t="s">
        <v>764</v>
      </c>
      <c r="F4234" s="270" t="s">
        <v>848</v>
      </c>
      <c r="G4234" s="270" t="s">
        <v>849</v>
      </c>
      <c r="H4234" s="270" t="s">
        <v>742</v>
      </c>
      <c r="I4234" s="270" t="s">
        <v>740</v>
      </c>
      <c r="J4234" s="270" t="s">
        <v>850</v>
      </c>
      <c r="K4234" s="21" t="s">
        <v>851</v>
      </c>
      <c r="L4234" s="21" t="s">
        <v>852</v>
      </c>
    </row>
    <row r="4235" spans="2:19" x14ac:dyDescent="0.35">
      <c r="B4235" s="1">
        <v>0</v>
      </c>
      <c r="C4235" s="22">
        <v>45217</v>
      </c>
      <c r="D4235" s="22">
        <v>45230</v>
      </c>
      <c r="E4235" s="291">
        <f>+D4235-C4235</f>
        <v>13</v>
      </c>
      <c r="F4235" s="3">
        <f>D4226</f>
        <v>150000000</v>
      </c>
      <c r="G4235" s="3">
        <v>524193.55</v>
      </c>
      <c r="H4235" s="3">
        <f>($D$4112/$D$4114*F4235*E4235/31)</f>
        <v>524193.54838709679</v>
      </c>
      <c r="I4235" s="3">
        <f t="shared" ref="I4235:I4266" si="671">G4235-H4235</f>
        <v>1.6129032010212541E-3</v>
      </c>
      <c r="J4235" s="3">
        <f t="shared" ref="J4235:J4266" si="672">F4235-I4235</f>
        <v>149999999.9983871</v>
      </c>
    </row>
    <row r="4236" spans="2:19" x14ac:dyDescent="0.35">
      <c r="B4236" s="1">
        <v>1</v>
      </c>
      <c r="C4236" s="22">
        <v>45231</v>
      </c>
      <c r="D4236" s="22">
        <v>45260</v>
      </c>
      <c r="E4236" s="23">
        <v>30</v>
      </c>
      <c r="F4236" s="3">
        <f t="shared" ref="F4236:F4283" si="673">J4235</f>
        <v>149999999.9983871</v>
      </c>
      <c r="G4236" s="3">
        <v>1250000</v>
      </c>
      <c r="H4236" s="3">
        <f>($D$4227/$D$4229*F4235)</f>
        <v>1250000</v>
      </c>
      <c r="I4236" s="3">
        <f t="shared" si="671"/>
        <v>0</v>
      </c>
      <c r="J4236" s="3">
        <f t="shared" si="672"/>
        <v>149999999.9983871</v>
      </c>
      <c r="K4236" s="24"/>
      <c r="L4236" s="24">
        <f>G4235+G4236</f>
        <v>1774193.55</v>
      </c>
    </row>
    <row r="4237" spans="2:19" x14ac:dyDescent="0.35">
      <c r="B4237" s="1">
        <v>2</v>
      </c>
      <c r="C4237" s="22">
        <v>45261</v>
      </c>
      <c r="D4237" s="22">
        <v>45291</v>
      </c>
      <c r="E4237" s="23">
        <v>31</v>
      </c>
      <c r="F4237" s="3">
        <f t="shared" si="673"/>
        <v>149999999.9983871</v>
      </c>
      <c r="G4237" s="3">
        <v>1250000</v>
      </c>
      <c r="H4237" s="3">
        <f>($D$4227/$D$4229*F4235)</f>
        <v>1250000</v>
      </c>
      <c r="I4237" s="3">
        <f t="shared" si="671"/>
        <v>0</v>
      </c>
      <c r="J4237" s="3">
        <f t="shared" si="672"/>
        <v>149999999.9983871</v>
      </c>
      <c r="K4237" s="24"/>
      <c r="L4237" s="24">
        <f t="shared" ref="L4237:L4247" si="674">L4236+G4237-K4237</f>
        <v>3024193.55</v>
      </c>
    </row>
    <row r="4238" spans="2:19" x14ac:dyDescent="0.35">
      <c r="B4238" s="1">
        <f t="shared" ref="B4238:B4283" si="675">+B4237+1</f>
        <v>3</v>
      </c>
      <c r="C4238" s="22">
        <v>45292</v>
      </c>
      <c r="D4238" s="22">
        <v>45322</v>
      </c>
      <c r="E4238" s="23">
        <v>31</v>
      </c>
      <c r="F4238" s="3">
        <f t="shared" si="673"/>
        <v>149999999.9983871</v>
      </c>
      <c r="G4238" s="3">
        <v>1250000</v>
      </c>
      <c r="H4238" s="3">
        <f>($D$4227/$D$4229*F4235)</f>
        <v>1250000</v>
      </c>
      <c r="I4238" s="3">
        <f t="shared" si="671"/>
        <v>0</v>
      </c>
      <c r="J4238" s="3">
        <f t="shared" si="672"/>
        <v>149999999.9983871</v>
      </c>
      <c r="K4238" s="24">
        <v>2500000</v>
      </c>
      <c r="L4238" s="24">
        <f t="shared" si="674"/>
        <v>1774193.5499999998</v>
      </c>
    </row>
    <row r="4239" spans="2:19" x14ac:dyDescent="0.35">
      <c r="B4239" s="1">
        <f t="shared" si="675"/>
        <v>4</v>
      </c>
      <c r="C4239" s="22">
        <v>45323</v>
      </c>
      <c r="D4239" s="22">
        <v>45351</v>
      </c>
      <c r="E4239" s="23">
        <v>29</v>
      </c>
      <c r="F4239" s="3">
        <f t="shared" si="673"/>
        <v>149999999.9983871</v>
      </c>
      <c r="G4239" s="3">
        <v>1250000</v>
      </c>
      <c r="H4239" s="3">
        <f>($D$4227/$D$4229*F4235)</f>
        <v>1250000</v>
      </c>
      <c r="I4239" s="3">
        <f t="shared" si="671"/>
        <v>0</v>
      </c>
      <c r="J4239" s="3">
        <f t="shared" si="672"/>
        <v>149999999.9983871</v>
      </c>
      <c r="K4239" s="24">
        <v>2500000</v>
      </c>
      <c r="L4239" s="24">
        <f t="shared" si="674"/>
        <v>524193.54999999981</v>
      </c>
    </row>
    <row r="4240" spans="2:19" x14ac:dyDescent="0.35">
      <c r="B4240" s="1">
        <f t="shared" si="675"/>
        <v>5</v>
      </c>
      <c r="C4240" s="22">
        <v>45352</v>
      </c>
      <c r="D4240" s="22">
        <v>45382</v>
      </c>
      <c r="E4240" s="23">
        <v>31</v>
      </c>
      <c r="F4240" s="3">
        <f t="shared" si="673"/>
        <v>149999999.9983871</v>
      </c>
      <c r="G4240" s="3">
        <v>1250000</v>
      </c>
      <c r="H4240" s="3">
        <f>($D$4227/$D$4229*F4235)</f>
        <v>1250000</v>
      </c>
      <c r="I4240" s="3">
        <f t="shared" si="671"/>
        <v>0</v>
      </c>
      <c r="J4240" s="3">
        <f t="shared" si="672"/>
        <v>149999999.9983871</v>
      </c>
      <c r="K4240" s="24">
        <v>1250000</v>
      </c>
      <c r="L4240" s="24">
        <f t="shared" si="674"/>
        <v>524193.54999999981</v>
      </c>
    </row>
    <row r="4241" spans="2:12" x14ac:dyDescent="0.35">
      <c r="B4241" s="1">
        <f t="shared" si="675"/>
        <v>6</v>
      </c>
      <c r="C4241" s="22">
        <v>45383</v>
      </c>
      <c r="D4241" s="22">
        <v>45412</v>
      </c>
      <c r="E4241" s="23">
        <v>30</v>
      </c>
      <c r="F4241" s="3">
        <f t="shared" si="673"/>
        <v>149999999.9983871</v>
      </c>
      <c r="G4241" s="3">
        <v>1250000</v>
      </c>
      <c r="H4241" s="3">
        <f>($D$4227/$D$4229*F4235)</f>
        <v>1250000</v>
      </c>
      <c r="I4241" s="3">
        <f t="shared" si="671"/>
        <v>0</v>
      </c>
      <c r="J4241" s="3">
        <f t="shared" si="672"/>
        <v>149999999.9983871</v>
      </c>
      <c r="K4241" s="24">
        <v>1250000</v>
      </c>
      <c r="L4241" s="24">
        <f t="shared" si="674"/>
        <v>524193.54999999981</v>
      </c>
    </row>
    <row r="4242" spans="2:12" x14ac:dyDescent="0.35">
      <c r="B4242" s="1">
        <f t="shared" si="675"/>
        <v>7</v>
      </c>
      <c r="C4242" s="22">
        <v>45413</v>
      </c>
      <c r="D4242" s="22">
        <v>45443</v>
      </c>
      <c r="E4242" s="23">
        <v>31</v>
      </c>
      <c r="F4242" s="3">
        <f t="shared" si="673"/>
        <v>149999999.9983871</v>
      </c>
      <c r="G4242" s="3">
        <f t="shared" ref="G4242:G4283" si="676">-PMT($D$4227/$D$4229,42,$F$4242,,0)</f>
        <v>4247522.901470283</v>
      </c>
      <c r="H4242" s="3">
        <f t="shared" ref="H4242:H4283" si="677">($D$4227/$D$4229*F4242)</f>
        <v>1249999.9999865592</v>
      </c>
      <c r="I4242" s="3">
        <f t="shared" si="671"/>
        <v>2997522.9014837239</v>
      </c>
      <c r="J4242" s="3">
        <f t="shared" si="672"/>
        <v>147002477.09690338</v>
      </c>
      <c r="K4242" s="24"/>
      <c r="L4242" s="24">
        <f t="shared" si="674"/>
        <v>4771716.4514702829</v>
      </c>
    </row>
    <row r="4243" spans="2:12" x14ac:dyDescent="0.35">
      <c r="B4243" s="1">
        <f t="shared" si="675"/>
        <v>8</v>
      </c>
      <c r="C4243" s="22">
        <v>45444</v>
      </c>
      <c r="D4243" s="22">
        <v>45473</v>
      </c>
      <c r="E4243" s="23">
        <v>30</v>
      </c>
      <c r="F4243" s="3">
        <f t="shared" si="673"/>
        <v>147002477.09690338</v>
      </c>
      <c r="G4243" s="3">
        <f t="shared" si="676"/>
        <v>4247522.901470283</v>
      </c>
      <c r="H4243" s="3">
        <f t="shared" si="677"/>
        <v>1225020.6424741948</v>
      </c>
      <c r="I4243" s="3">
        <f t="shared" si="671"/>
        <v>3022502.2589960881</v>
      </c>
      <c r="J4243" s="3">
        <f t="shared" si="672"/>
        <v>143979974.83790728</v>
      </c>
      <c r="K4243" s="24">
        <v>4247552.9000000004</v>
      </c>
      <c r="L4243" s="24">
        <f t="shared" si="674"/>
        <v>4771686.4529405665</v>
      </c>
    </row>
    <row r="4244" spans="2:12" x14ac:dyDescent="0.35">
      <c r="B4244" s="1">
        <f t="shared" si="675"/>
        <v>9</v>
      </c>
      <c r="C4244" s="22">
        <v>45474</v>
      </c>
      <c r="D4244" s="22">
        <v>45504</v>
      </c>
      <c r="E4244" s="23">
        <v>31</v>
      </c>
      <c r="F4244" s="3">
        <f t="shared" si="673"/>
        <v>143979974.83790728</v>
      </c>
      <c r="G4244" s="3">
        <f t="shared" si="676"/>
        <v>4247522.901470283</v>
      </c>
      <c r="H4244" s="3">
        <f t="shared" si="677"/>
        <v>1199833.1236492274</v>
      </c>
      <c r="I4244" s="3">
        <f t="shared" si="671"/>
        <v>3047689.7778210556</v>
      </c>
      <c r="J4244" s="3">
        <f t="shared" si="672"/>
        <v>140932285.06008622</v>
      </c>
      <c r="K4244" s="24">
        <v>4247552.9000000004</v>
      </c>
      <c r="L4244" s="24">
        <f t="shared" si="674"/>
        <v>4771656.4544108491</v>
      </c>
    </row>
    <row r="4245" spans="2:12" x14ac:dyDescent="0.35">
      <c r="B4245" s="1">
        <f t="shared" si="675"/>
        <v>10</v>
      </c>
      <c r="C4245" s="22">
        <v>45505</v>
      </c>
      <c r="D4245" s="22">
        <v>45535</v>
      </c>
      <c r="E4245" s="23">
        <v>31</v>
      </c>
      <c r="F4245" s="3">
        <f t="shared" si="673"/>
        <v>140932285.06008622</v>
      </c>
      <c r="G4245" s="3">
        <f t="shared" si="676"/>
        <v>4247522.901470283</v>
      </c>
      <c r="H4245" s="3">
        <f t="shared" si="677"/>
        <v>1174435.7088340519</v>
      </c>
      <c r="I4245" s="3">
        <f t="shared" si="671"/>
        <v>3073087.192636231</v>
      </c>
      <c r="J4245" s="3">
        <f t="shared" si="672"/>
        <v>137859197.86745</v>
      </c>
      <c r="K4245" s="24">
        <f>4247552.9+4247552.9</f>
        <v>8495105.8000000007</v>
      </c>
      <c r="L4245" s="24">
        <f t="shared" si="674"/>
        <v>524073.55588113144</v>
      </c>
    </row>
    <row r="4246" spans="2:12" x14ac:dyDescent="0.35">
      <c r="B4246" s="1">
        <f t="shared" si="675"/>
        <v>11</v>
      </c>
      <c r="C4246" s="22">
        <v>45536</v>
      </c>
      <c r="D4246" s="22">
        <v>45565</v>
      </c>
      <c r="E4246" s="23">
        <v>30</v>
      </c>
      <c r="F4246" s="3">
        <f t="shared" si="673"/>
        <v>137859197.86745</v>
      </c>
      <c r="G4246" s="3">
        <f t="shared" si="676"/>
        <v>4247522.901470283</v>
      </c>
      <c r="H4246" s="3">
        <f t="shared" si="677"/>
        <v>1148826.6488954166</v>
      </c>
      <c r="I4246" s="3">
        <f t="shared" si="671"/>
        <v>3098696.2525748666</v>
      </c>
      <c r="J4246" s="3">
        <f t="shared" si="672"/>
        <v>134760501.61487514</v>
      </c>
      <c r="K4246" s="24"/>
      <c r="L4246" s="24">
        <f t="shared" si="674"/>
        <v>4771596.4573514145</v>
      </c>
    </row>
    <row r="4247" spans="2:12" x14ac:dyDescent="0.35">
      <c r="B4247" s="1">
        <f t="shared" si="675"/>
        <v>12</v>
      </c>
      <c r="C4247" s="22">
        <v>45566</v>
      </c>
      <c r="D4247" s="22">
        <v>45596</v>
      </c>
      <c r="E4247" s="23">
        <v>31</v>
      </c>
      <c r="F4247" s="3">
        <f t="shared" si="673"/>
        <v>134760501.61487514</v>
      </c>
      <c r="G4247" s="3">
        <f t="shared" si="676"/>
        <v>4247522.901470283</v>
      </c>
      <c r="H4247" s="3">
        <f t="shared" si="677"/>
        <v>1123004.1801239594</v>
      </c>
      <c r="I4247" s="3">
        <f t="shared" si="671"/>
        <v>3124518.7213463234</v>
      </c>
      <c r="J4247" s="3">
        <f t="shared" si="672"/>
        <v>131635982.89352882</v>
      </c>
      <c r="K4247" s="24">
        <v>4247552.9000000004</v>
      </c>
      <c r="L4247" s="205">
        <f t="shared" si="674"/>
        <v>4771566.4588216972</v>
      </c>
    </row>
    <row r="4248" spans="2:12" x14ac:dyDescent="0.35">
      <c r="B4248" s="1">
        <f t="shared" si="675"/>
        <v>13</v>
      </c>
      <c r="C4248" s="22">
        <v>45597</v>
      </c>
      <c r="D4248" s="22">
        <v>45626</v>
      </c>
      <c r="E4248" s="23">
        <v>30</v>
      </c>
      <c r="F4248" s="3">
        <f t="shared" si="673"/>
        <v>131635982.89352882</v>
      </c>
      <c r="G4248" s="3">
        <f t="shared" si="676"/>
        <v>4247522.901470283</v>
      </c>
      <c r="H4248" s="3">
        <f t="shared" si="677"/>
        <v>1096966.5241127401</v>
      </c>
      <c r="I4248" s="3">
        <f t="shared" si="671"/>
        <v>3150556.377357543</v>
      </c>
      <c r="J4248" s="3">
        <f t="shared" si="672"/>
        <v>128485426.51617128</v>
      </c>
      <c r="K4248" s="24"/>
      <c r="L4248" s="24"/>
    </row>
    <row r="4249" spans="2:12" x14ac:dyDescent="0.35">
      <c r="B4249" s="1">
        <f t="shared" si="675"/>
        <v>14</v>
      </c>
      <c r="C4249" s="22">
        <v>45627</v>
      </c>
      <c r="D4249" s="22">
        <v>45657</v>
      </c>
      <c r="E4249" s="23">
        <v>31</v>
      </c>
      <c r="F4249" s="3">
        <f t="shared" si="673"/>
        <v>128485426.51617128</v>
      </c>
      <c r="G4249" s="3">
        <f t="shared" si="676"/>
        <v>4247522.901470283</v>
      </c>
      <c r="H4249" s="3">
        <f t="shared" si="677"/>
        <v>1070711.8876347607</v>
      </c>
      <c r="I4249" s="3">
        <f t="shared" si="671"/>
        <v>3176811.0138355223</v>
      </c>
      <c r="J4249" s="3">
        <f t="shared" si="672"/>
        <v>125308615.50233576</v>
      </c>
      <c r="K4249" s="24"/>
      <c r="L4249" s="24"/>
    </row>
    <row r="4250" spans="2:12" x14ac:dyDescent="0.35">
      <c r="B4250" s="1">
        <f t="shared" si="675"/>
        <v>15</v>
      </c>
      <c r="C4250" s="22">
        <v>45658</v>
      </c>
      <c r="D4250" s="22">
        <v>45688</v>
      </c>
      <c r="E4250" s="23">
        <v>31</v>
      </c>
      <c r="F4250" s="3">
        <f t="shared" si="673"/>
        <v>125308615.50233576</v>
      </c>
      <c r="G4250" s="3">
        <f t="shared" si="676"/>
        <v>4247522.901470283</v>
      </c>
      <c r="H4250" s="3">
        <f t="shared" si="677"/>
        <v>1044238.4625194647</v>
      </c>
      <c r="I4250" s="3">
        <f t="shared" si="671"/>
        <v>3203284.4389508185</v>
      </c>
      <c r="J4250" s="3">
        <f t="shared" si="672"/>
        <v>122105331.06338494</v>
      </c>
      <c r="K4250" s="24"/>
      <c r="L4250" s="24"/>
    </row>
    <row r="4251" spans="2:12" x14ac:dyDescent="0.35">
      <c r="B4251" s="1">
        <f t="shared" si="675"/>
        <v>16</v>
      </c>
      <c r="C4251" s="22">
        <v>45689</v>
      </c>
      <c r="D4251" s="22">
        <v>45716</v>
      </c>
      <c r="E4251" s="23">
        <v>28</v>
      </c>
      <c r="F4251" s="3">
        <f t="shared" si="673"/>
        <v>122105331.06338494</v>
      </c>
      <c r="G4251" s="3">
        <f t="shared" si="676"/>
        <v>4247522.901470283</v>
      </c>
      <c r="H4251" s="3">
        <f t="shared" si="677"/>
        <v>1017544.4255282078</v>
      </c>
      <c r="I4251" s="3">
        <f t="shared" si="671"/>
        <v>3229978.4759420753</v>
      </c>
      <c r="J4251" s="3">
        <f t="shared" si="672"/>
        <v>118875352.58744286</v>
      </c>
      <c r="K4251" s="24"/>
      <c r="L4251" s="24"/>
    </row>
    <row r="4252" spans="2:12" x14ac:dyDescent="0.35">
      <c r="B4252" s="1">
        <f t="shared" si="675"/>
        <v>17</v>
      </c>
      <c r="C4252" s="22">
        <v>45717</v>
      </c>
      <c r="D4252" s="22">
        <v>45747</v>
      </c>
      <c r="E4252" s="23">
        <v>31</v>
      </c>
      <c r="F4252" s="3">
        <f t="shared" si="673"/>
        <v>118875352.58744286</v>
      </c>
      <c r="G4252" s="3">
        <f t="shared" si="676"/>
        <v>4247522.901470283</v>
      </c>
      <c r="H4252" s="3">
        <f t="shared" si="677"/>
        <v>990627.93822869053</v>
      </c>
      <c r="I4252" s="3">
        <f t="shared" si="671"/>
        <v>3256894.9632415925</v>
      </c>
      <c r="J4252" s="3">
        <f t="shared" si="672"/>
        <v>115618457.62420127</v>
      </c>
      <c r="K4252" s="24"/>
      <c r="L4252" s="24"/>
    </row>
    <row r="4253" spans="2:12" x14ac:dyDescent="0.35">
      <c r="B4253" s="1">
        <f t="shared" si="675"/>
        <v>18</v>
      </c>
      <c r="C4253" s="22">
        <v>45748</v>
      </c>
      <c r="D4253" s="22">
        <v>45777</v>
      </c>
      <c r="E4253" s="23">
        <v>30</v>
      </c>
      <c r="F4253" s="3">
        <f t="shared" si="673"/>
        <v>115618457.62420127</v>
      </c>
      <c r="G4253" s="3">
        <f t="shared" si="676"/>
        <v>4247522.901470283</v>
      </c>
      <c r="H4253" s="3">
        <f t="shared" si="677"/>
        <v>963487.14686834393</v>
      </c>
      <c r="I4253" s="3">
        <f t="shared" si="671"/>
        <v>3284035.7546019391</v>
      </c>
      <c r="J4253" s="3">
        <f t="shared" si="672"/>
        <v>112334421.86959933</v>
      </c>
      <c r="K4253" s="24"/>
      <c r="L4253" s="24"/>
    </row>
    <row r="4254" spans="2:12" x14ac:dyDescent="0.35">
      <c r="B4254" s="1">
        <f t="shared" si="675"/>
        <v>19</v>
      </c>
      <c r="C4254" s="22">
        <v>45778</v>
      </c>
      <c r="D4254" s="22">
        <v>45808</v>
      </c>
      <c r="E4254" s="23">
        <v>31</v>
      </c>
      <c r="F4254" s="3">
        <f t="shared" si="673"/>
        <v>112334421.86959933</v>
      </c>
      <c r="G4254" s="3">
        <f t="shared" si="676"/>
        <v>4247522.901470283</v>
      </c>
      <c r="H4254" s="3">
        <f t="shared" si="677"/>
        <v>936120.18224666105</v>
      </c>
      <c r="I4254" s="3">
        <f t="shared" si="671"/>
        <v>3311402.7192236222</v>
      </c>
      <c r="J4254" s="3">
        <f t="shared" si="672"/>
        <v>109023019.15037571</v>
      </c>
      <c r="K4254" s="24"/>
      <c r="L4254" s="24"/>
    </row>
    <row r="4255" spans="2:12" x14ac:dyDescent="0.35">
      <c r="B4255" s="1">
        <f t="shared" si="675"/>
        <v>20</v>
      </c>
      <c r="C4255" s="22">
        <v>45809</v>
      </c>
      <c r="D4255" s="22">
        <v>45838</v>
      </c>
      <c r="E4255" s="23">
        <v>30</v>
      </c>
      <c r="F4255" s="3">
        <f t="shared" si="673"/>
        <v>109023019.15037571</v>
      </c>
      <c r="G4255" s="3">
        <f t="shared" si="676"/>
        <v>4247522.901470283</v>
      </c>
      <c r="H4255" s="3">
        <f t="shared" si="677"/>
        <v>908525.15958646417</v>
      </c>
      <c r="I4255" s="3">
        <f t="shared" si="671"/>
        <v>3338997.741883819</v>
      </c>
      <c r="J4255" s="3">
        <f t="shared" si="672"/>
        <v>105684021.40849189</v>
      </c>
      <c r="K4255" s="24"/>
      <c r="L4255" s="24"/>
    </row>
    <row r="4256" spans="2:12" x14ac:dyDescent="0.35">
      <c r="B4256" s="1">
        <f t="shared" si="675"/>
        <v>21</v>
      </c>
      <c r="C4256" s="22">
        <v>45839</v>
      </c>
      <c r="D4256" s="22">
        <v>45868</v>
      </c>
      <c r="E4256" s="23">
        <v>30</v>
      </c>
      <c r="F4256" s="3">
        <f t="shared" si="673"/>
        <v>105684021.40849189</v>
      </c>
      <c r="G4256" s="3">
        <f t="shared" si="676"/>
        <v>4247522.901470283</v>
      </c>
      <c r="H4256" s="3">
        <f t="shared" si="677"/>
        <v>880700.17840409908</v>
      </c>
      <c r="I4256" s="3">
        <f t="shared" si="671"/>
        <v>3366822.7230661837</v>
      </c>
      <c r="J4256" s="3">
        <f t="shared" si="672"/>
        <v>102317198.68542571</v>
      </c>
      <c r="K4256" s="24"/>
      <c r="L4256" s="24"/>
    </row>
    <row r="4257" spans="2:12" x14ac:dyDescent="0.35">
      <c r="B4257" s="1">
        <f t="shared" si="675"/>
        <v>22</v>
      </c>
      <c r="C4257" s="22">
        <v>45870</v>
      </c>
      <c r="D4257" s="22">
        <v>45899</v>
      </c>
      <c r="E4257" s="23">
        <v>30</v>
      </c>
      <c r="F4257" s="3">
        <f t="shared" si="673"/>
        <v>102317198.68542571</v>
      </c>
      <c r="G4257" s="3">
        <f t="shared" si="676"/>
        <v>4247522.901470283</v>
      </c>
      <c r="H4257" s="3">
        <f t="shared" si="677"/>
        <v>852643.32237854763</v>
      </c>
      <c r="I4257" s="3">
        <f t="shared" si="671"/>
        <v>3394879.5790917352</v>
      </c>
      <c r="J4257" s="3">
        <f t="shared" si="672"/>
        <v>98922319.106333971</v>
      </c>
      <c r="K4257" s="24"/>
      <c r="L4257" s="24"/>
    </row>
    <row r="4258" spans="2:12" x14ac:dyDescent="0.35">
      <c r="B4258" s="1">
        <f t="shared" si="675"/>
        <v>23</v>
      </c>
      <c r="C4258" s="22">
        <v>45901</v>
      </c>
      <c r="D4258" s="22">
        <v>45930</v>
      </c>
      <c r="E4258" s="23">
        <v>30</v>
      </c>
      <c r="F4258" s="3">
        <f t="shared" si="673"/>
        <v>98922319.106333971</v>
      </c>
      <c r="G4258" s="3">
        <f t="shared" si="676"/>
        <v>4247522.901470283</v>
      </c>
      <c r="H4258" s="3">
        <f t="shared" si="677"/>
        <v>824352.65921944974</v>
      </c>
      <c r="I4258" s="3">
        <f t="shared" si="671"/>
        <v>3423170.2422508332</v>
      </c>
      <c r="J4258" s="3">
        <f t="shared" si="672"/>
        <v>95499148.864083141</v>
      </c>
    </row>
    <row r="4259" spans="2:12" x14ac:dyDescent="0.35">
      <c r="B4259" s="1">
        <f t="shared" si="675"/>
        <v>24</v>
      </c>
      <c r="C4259" s="22">
        <v>45931</v>
      </c>
      <c r="D4259" s="22">
        <v>45961</v>
      </c>
      <c r="E4259" s="23">
        <v>31</v>
      </c>
      <c r="F4259" s="3">
        <f t="shared" si="673"/>
        <v>95499148.864083141</v>
      </c>
      <c r="G4259" s="3">
        <f t="shared" si="676"/>
        <v>4247522.901470283</v>
      </c>
      <c r="H4259" s="3">
        <f t="shared" si="677"/>
        <v>795826.24053402618</v>
      </c>
      <c r="I4259" s="3">
        <f t="shared" si="671"/>
        <v>3451696.6609362569</v>
      </c>
      <c r="J4259" s="3">
        <f t="shared" si="672"/>
        <v>92047452.20314689</v>
      </c>
    </row>
    <row r="4260" spans="2:12" x14ac:dyDescent="0.35">
      <c r="B4260" s="1">
        <f t="shared" si="675"/>
        <v>25</v>
      </c>
      <c r="C4260" s="22">
        <v>45962</v>
      </c>
      <c r="D4260" s="22">
        <v>45991</v>
      </c>
      <c r="E4260" s="23">
        <v>30</v>
      </c>
      <c r="F4260" s="3">
        <f t="shared" si="673"/>
        <v>92047452.20314689</v>
      </c>
      <c r="G4260" s="3">
        <f t="shared" si="676"/>
        <v>4247522.901470283</v>
      </c>
      <c r="H4260" s="3">
        <f t="shared" si="677"/>
        <v>767062.10169289075</v>
      </c>
      <c r="I4260" s="3">
        <f t="shared" si="671"/>
        <v>3480460.7997773923</v>
      </c>
      <c r="J4260" s="3">
        <f t="shared" si="672"/>
        <v>88566991.403369501</v>
      </c>
    </row>
    <row r="4261" spans="2:12" x14ac:dyDescent="0.35">
      <c r="B4261" s="1">
        <f t="shared" si="675"/>
        <v>26</v>
      </c>
      <c r="C4261" s="22">
        <v>45992</v>
      </c>
      <c r="D4261" s="22">
        <v>46022</v>
      </c>
      <c r="E4261" s="23">
        <v>31</v>
      </c>
      <c r="F4261" s="3">
        <f t="shared" si="673"/>
        <v>88566991.403369501</v>
      </c>
      <c r="G4261" s="3">
        <f t="shared" si="676"/>
        <v>4247522.901470283</v>
      </c>
      <c r="H4261" s="3">
        <f t="shared" si="677"/>
        <v>738058.26169474586</v>
      </c>
      <c r="I4261" s="3">
        <f t="shared" si="671"/>
        <v>3509464.639775537</v>
      </c>
      <c r="J4261" s="3">
        <f t="shared" si="672"/>
        <v>85057526.763593972</v>
      </c>
    </row>
    <row r="4262" spans="2:12" x14ac:dyDescent="0.35">
      <c r="B4262" s="1">
        <f t="shared" si="675"/>
        <v>27</v>
      </c>
      <c r="C4262" s="22">
        <v>46023</v>
      </c>
      <c r="D4262" s="22">
        <v>46053</v>
      </c>
      <c r="E4262" s="23">
        <v>31</v>
      </c>
      <c r="F4262" s="3">
        <f t="shared" si="673"/>
        <v>85057526.763593972</v>
      </c>
      <c r="G4262" s="3">
        <f t="shared" si="676"/>
        <v>4247522.901470283</v>
      </c>
      <c r="H4262" s="3">
        <f t="shared" si="677"/>
        <v>708812.7230299497</v>
      </c>
      <c r="I4262" s="3">
        <f t="shared" si="671"/>
        <v>3538710.1784403333</v>
      </c>
      <c r="J4262" s="3">
        <f t="shared" si="672"/>
        <v>81518816.585153639</v>
      </c>
    </row>
    <row r="4263" spans="2:12" x14ac:dyDescent="0.35">
      <c r="B4263" s="1">
        <f t="shared" si="675"/>
        <v>28</v>
      </c>
      <c r="C4263" s="22">
        <v>46054</v>
      </c>
      <c r="D4263" s="22">
        <v>46081</v>
      </c>
      <c r="E4263" s="23">
        <v>28</v>
      </c>
      <c r="F4263" s="3">
        <f t="shared" si="673"/>
        <v>81518816.585153639</v>
      </c>
      <c r="G4263" s="3">
        <f t="shared" si="676"/>
        <v>4247522.901470283</v>
      </c>
      <c r="H4263" s="3">
        <f t="shared" si="677"/>
        <v>679323.47154294699</v>
      </c>
      <c r="I4263" s="3">
        <f t="shared" si="671"/>
        <v>3568199.4299273361</v>
      </c>
      <c r="J4263" s="3">
        <f t="shared" si="672"/>
        <v>77950617.155226305</v>
      </c>
    </row>
    <row r="4264" spans="2:12" x14ac:dyDescent="0.35">
      <c r="B4264" s="1">
        <f t="shared" si="675"/>
        <v>29</v>
      </c>
      <c r="C4264" s="22">
        <v>46082</v>
      </c>
      <c r="D4264" s="22">
        <v>46112</v>
      </c>
      <c r="E4264" s="23">
        <v>31</v>
      </c>
      <c r="F4264" s="3">
        <f t="shared" si="673"/>
        <v>77950617.155226305</v>
      </c>
      <c r="G4264" s="3">
        <f t="shared" si="676"/>
        <v>4247522.901470283</v>
      </c>
      <c r="H4264" s="3">
        <f t="shared" si="677"/>
        <v>649588.47629355255</v>
      </c>
      <c r="I4264" s="3">
        <f t="shared" si="671"/>
        <v>3597934.4251767304</v>
      </c>
      <c r="J4264" s="3">
        <f t="shared" si="672"/>
        <v>74352682.73004958</v>
      </c>
    </row>
    <row r="4265" spans="2:12" x14ac:dyDescent="0.35">
      <c r="B4265" s="1">
        <f t="shared" si="675"/>
        <v>30</v>
      </c>
      <c r="C4265" s="22">
        <v>46113</v>
      </c>
      <c r="D4265" s="22">
        <v>46142</v>
      </c>
      <c r="E4265" s="23">
        <v>30</v>
      </c>
      <c r="F4265" s="3">
        <f t="shared" si="673"/>
        <v>74352682.73004958</v>
      </c>
      <c r="G4265" s="3">
        <f t="shared" si="676"/>
        <v>4247522.901470283</v>
      </c>
      <c r="H4265" s="3">
        <f t="shared" si="677"/>
        <v>619605.68941707979</v>
      </c>
      <c r="I4265" s="3">
        <f t="shared" si="671"/>
        <v>3627917.212053203</v>
      </c>
      <c r="J4265" s="3">
        <f t="shared" si="672"/>
        <v>70724765.517996371</v>
      </c>
    </row>
    <row r="4266" spans="2:12" x14ac:dyDescent="0.35">
      <c r="B4266" s="1">
        <f t="shared" si="675"/>
        <v>31</v>
      </c>
      <c r="C4266" s="22">
        <v>46143</v>
      </c>
      <c r="D4266" s="22">
        <v>46173</v>
      </c>
      <c r="E4266" s="23">
        <v>31</v>
      </c>
      <c r="F4266" s="3">
        <f t="shared" si="673"/>
        <v>70724765.517996371</v>
      </c>
      <c r="G4266" s="3">
        <f t="shared" si="676"/>
        <v>4247522.901470283</v>
      </c>
      <c r="H4266" s="3">
        <f t="shared" si="677"/>
        <v>589373.04598330311</v>
      </c>
      <c r="I4266" s="3">
        <f t="shared" si="671"/>
        <v>3658149.8554869797</v>
      </c>
      <c r="J4266" s="3">
        <f t="shared" si="672"/>
        <v>67066615.662509389</v>
      </c>
    </row>
    <row r="4267" spans="2:12" x14ac:dyDescent="0.35">
      <c r="B4267" s="1">
        <f t="shared" si="675"/>
        <v>32</v>
      </c>
      <c r="C4267" s="22">
        <v>46174</v>
      </c>
      <c r="D4267" s="22">
        <v>46203</v>
      </c>
      <c r="E4267" s="23">
        <v>30</v>
      </c>
      <c r="F4267" s="3">
        <f t="shared" si="673"/>
        <v>67066615.662509389</v>
      </c>
      <c r="G4267" s="3">
        <f t="shared" si="676"/>
        <v>4247522.901470283</v>
      </c>
      <c r="H4267" s="3">
        <f t="shared" si="677"/>
        <v>558888.46385424491</v>
      </c>
      <c r="I4267" s="3">
        <f t="shared" ref="I4267:I4283" si="678">G4267-H4267</f>
        <v>3688634.4376160381</v>
      </c>
      <c r="J4267" s="3">
        <f t="shared" ref="J4267:J4283" si="679">F4267-I4267</f>
        <v>63377981.224893354</v>
      </c>
    </row>
    <row r="4268" spans="2:12" x14ac:dyDescent="0.35">
      <c r="B4268" s="1">
        <f t="shared" si="675"/>
        <v>33</v>
      </c>
      <c r="C4268" s="22">
        <v>46204</v>
      </c>
      <c r="D4268" s="22">
        <v>46234</v>
      </c>
      <c r="E4268" s="23">
        <v>31</v>
      </c>
      <c r="F4268" s="3">
        <f t="shared" si="673"/>
        <v>63377981.224893354</v>
      </c>
      <c r="G4268" s="3">
        <f t="shared" si="676"/>
        <v>4247522.901470283</v>
      </c>
      <c r="H4268" s="3">
        <f t="shared" si="677"/>
        <v>528149.84354077792</v>
      </c>
      <c r="I4268" s="3">
        <f t="shared" si="678"/>
        <v>3719373.0579295051</v>
      </c>
      <c r="J4268" s="3">
        <f t="shared" si="679"/>
        <v>59658608.166963845</v>
      </c>
    </row>
    <row r="4269" spans="2:12" x14ac:dyDescent="0.35">
      <c r="B4269" s="1">
        <f t="shared" si="675"/>
        <v>34</v>
      </c>
      <c r="C4269" s="22">
        <v>46235</v>
      </c>
      <c r="D4269" s="22">
        <v>46265</v>
      </c>
      <c r="E4269" s="23">
        <v>31</v>
      </c>
      <c r="F4269" s="3">
        <f t="shared" si="673"/>
        <v>59658608.166963845</v>
      </c>
      <c r="G4269" s="3">
        <f t="shared" si="676"/>
        <v>4247522.901470283</v>
      </c>
      <c r="H4269" s="3">
        <f t="shared" si="677"/>
        <v>497155.06805803202</v>
      </c>
      <c r="I4269" s="3">
        <f t="shared" si="678"/>
        <v>3750367.833412251</v>
      </c>
      <c r="J4269" s="3">
        <f t="shared" si="679"/>
        <v>55908240.333551593</v>
      </c>
    </row>
    <row r="4270" spans="2:12" x14ac:dyDescent="0.35">
      <c r="B4270" s="1">
        <f t="shared" si="675"/>
        <v>35</v>
      </c>
      <c r="C4270" s="22">
        <v>46266</v>
      </c>
      <c r="D4270" s="22">
        <v>46295</v>
      </c>
      <c r="E4270" s="23">
        <v>30</v>
      </c>
      <c r="F4270" s="3">
        <f t="shared" si="673"/>
        <v>55908240.333551593</v>
      </c>
      <c r="G4270" s="3">
        <f t="shared" si="676"/>
        <v>4247522.901470283</v>
      </c>
      <c r="H4270" s="3">
        <f t="shared" si="677"/>
        <v>465902.0027795966</v>
      </c>
      <c r="I4270" s="3">
        <f t="shared" si="678"/>
        <v>3781620.8986906866</v>
      </c>
      <c r="J4270" s="3">
        <f t="shared" si="679"/>
        <v>52126619.434860907</v>
      </c>
    </row>
    <row r="4271" spans="2:12" x14ac:dyDescent="0.35">
      <c r="B4271" s="1">
        <f t="shared" si="675"/>
        <v>36</v>
      </c>
      <c r="C4271" s="22">
        <v>46296</v>
      </c>
      <c r="D4271" s="22">
        <v>46326</v>
      </c>
      <c r="E4271" s="23">
        <v>31</v>
      </c>
      <c r="F4271" s="3">
        <f t="shared" si="673"/>
        <v>52126619.434860907</v>
      </c>
      <c r="G4271" s="3">
        <f t="shared" si="676"/>
        <v>4247522.901470283</v>
      </c>
      <c r="H4271" s="3">
        <f t="shared" si="677"/>
        <v>434388.49529050756</v>
      </c>
      <c r="I4271" s="3">
        <f t="shared" si="678"/>
        <v>3813134.4061797755</v>
      </c>
      <c r="J4271" s="3">
        <f t="shared" si="679"/>
        <v>48313485.028681129</v>
      </c>
    </row>
    <row r="4272" spans="2:12" x14ac:dyDescent="0.35">
      <c r="B4272" s="1">
        <f t="shared" si="675"/>
        <v>37</v>
      </c>
      <c r="C4272" s="22">
        <v>46327</v>
      </c>
      <c r="D4272" s="22">
        <v>46356</v>
      </c>
      <c r="E4272" s="23">
        <v>30</v>
      </c>
      <c r="F4272" s="3">
        <f t="shared" si="673"/>
        <v>48313485.028681129</v>
      </c>
      <c r="G4272" s="3">
        <f t="shared" si="676"/>
        <v>4247522.901470283</v>
      </c>
      <c r="H4272" s="3">
        <f t="shared" si="677"/>
        <v>402612.37523900939</v>
      </c>
      <c r="I4272" s="3">
        <f t="shared" si="678"/>
        <v>3844910.5262312735</v>
      </c>
      <c r="J4272" s="3">
        <f t="shared" si="679"/>
        <v>44468574.502449855</v>
      </c>
    </row>
    <row r="4273" spans="2:19" x14ac:dyDescent="0.35">
      <c r="B4273" s="1">
        <f t="shared" si="675"/>
        <v>38</v>
      </c>
      <c r="C4273" s="22">
        <v>46357</v>
      </c>
      <c r="D4273" s="22">
        <v>46387</v>
      </c>
      <c r="E4273" s="23">
        <v>31</v>
      </c>
      <c r="F4273" s="3">
        <f t="shared" si="673"/>
        <v>44468574.502449855</v>
      </c>
      <c r="G4273" s="3">
        <f t="shared" si="676"/>
        <v>4247522.901470283</v>
      </c>
      <c r="H4273" s="3">
        <f t="shared" si="677"/>
        <v>370571.45418708213</v>
      </c>
      <c r="I4273" s="3">
        <f t="shared" si="678"/>
        <v>3876951.4472832009</v>
      </c>
      <c r="J4273" s="3">
        <f t="shared" si="679"/>
        <v>40591623.055166654</v>
      </c>
    </row>
    <row r="4274" spans="2:19" x14ac:dyDescent="0.35">
      <c r="B4274" s="1">
        <f t="shared" si="675"/>
        <v>39</v>
      </c>
      <c r="C4274" s="22">
        <v>46388</v>
      </c>
      <c r="D4274" s="22">
        <v>46418</v>
      </c>
      <c r="E4274" s="23">
        <v>31</v>
      </c>
      <c r="F4274" s="3">
        <f t="shared" si="673"/>
        <v>40591623.055166654</v>
      </c>
      <c r="G4274" s="3">
        <f t="shared" si="676"/>
        <v>4247522.901470283</v>
      </c>
      <c r="H4274" s="3">
        <f t="shared" si="677"/>
        <v>338263.52545972209</v>
      </c>
      <c r="I4274" s="3">
        <f t="shared" si="678"/>
        <v>3909259.3760105609</v>
      </c>
      <c r="J4274" s="3">
        <f t="shared" si="679"/>
        <v>36682363.679156095</v>
      </c>
    </row>
    <row r="4275" spans="2:19" x14ac:dyDescent="0.35">
      <c r="B4275" s="1">
        <f t="shared" si="675"/>
        <v>40</v>
      </c>
      <c r="C4275" s="22">
        <v>46419</v>
      </c>
      <c r="D4275" s="22">
        <v>46446</v>
      </c>
      <c r="E4275" s="23">
        <v>28</v>
      </c>
      <c r="F4275" s="3">
        <f t="shared" si="673"/>
        <v>36682363.679156095</v>
      </c>
      <c r="G4275" s="3">
        <f t="shared" si="676"/>
        <v>4247522.901470283</v>
      </c>
      <c r="H4275" s="3">
        <f t="shared" si="677"/>
        <v>305686.36399296747</v>
      </c>
      <c r="I4275" s="3">
        <f t="shared" si="678"/>
        <v>3941836.5374773154</v>
      </c>
      <c r="J4275" s="3">
        <f t="shared" si="679"/>
        <v>32740527.14167878</v>
      </c>
    </row>
    <row r="4276" spans="2:19" x14ac:dyDescent="0.35">
      <c r="B4276" s="1">
        <f t="shared" si="675"/>
        <v>41</v>
      </c>
      <c r="C4276" s="22">
        <v>46447</v>
      </c>
      <c r="D4276" s="22">
        <v>46477</v>
      </c>
      <c r="E4276" s="23">
        <v>31</v>
      </c>
      <c r="F4276" s="3">
        <f t="shared" si="673"/>
        <v>32740527.14167878</v>
      </c>
      <c r="G4276" s="3">
        <f t="shared" si="676"/>
        <v>4247522.901470283</v>
      </c>
      <c r="H4276" s="3">
        <f t="shared" si="677"/>
        <v>272837.72618065652</v>
      </c>
      <c r="I4276" s="3">
        <f t="shared" si="678"/>
        <v>3974685.1752896267</v>
      </c>
      <c r="J4276" s="3">
        <f t="shared" si="679"/>
        <v>28765841.966389153</v>
      </c>
    </row>
    <row r="4277" spans="2:19" x14ac:dyDescent="0.35">
      <c r="B4277" s="1">
        <f t="shared" si="675"/>
        <v>42</v>
      </c>
      <c r="C4277" s="22">
        <v>46478</v>
      </c>
      <c r="D4277" s="22">
        <v>46507</v>
      </c>
      <c r="E4277" s="23">
        <v>30</v>
      </c>
      <c r="F4277" s="3">
        <f t="shared" si="673"/>
        <v>28765841.966389153</v>
      </c>
      <c r="G4277" s="3">
        <f t="shared" si="676"/>
        <v>4247522.901470283</v>
      </c>
      <c r="H4277" s="3">
        <f t="shared" si="677"/>
        <v>239715.3497199096</v>
      </c>
      <c r="I4277" s="3">
        <f t="shared" si="678"/>
        <v>4007807.5517503736</v>
      </c>
      <c r="J4277" s="3">
        <f t="shared" si="679"/>
        <v>24758034.41463878</v>
      </c>
    </row>
    <row r="4278" spans="2:19" x14ac:dyDescent="0.35">
      <c r="B4278" s="1">
        <f t="shared" si="675"/>
        <v>43</v>
      </c>
      <c r="C4278" s="22">
        <v>46508</v>
      </c>
      <c r="D4278" s="22">
        <v>46538</v>
      </c>
      <c r="E4278" s="23">
        <v>31</v>
      </c>
      <c r="F4278" s="3">
        <f t="shared" si="673"/>
        <v>24758034.41463878</v>
      </c>
      <c r="G4278" s="3">
        <f t="shared" si="676"/>
        <v>4247522.901470283</v>
      </c>
      <c r="H4278" s="3">
        <f t="shared" si="677"/>
        <v>206316.95345532318</v>
      </c>
      <c r="I4278" s="3">
        <f t="shared" si="678"/>
        <v>4041205.9480149597</v>
      </c>
      <c r="J4278" s="3">
        <f t="shared" si="679"/>
        <v>20716828.46662382</v>
      </c>
    </row>
    <row r="4279" spans="2:19" x14ac:dyDescent="0.35">
      <c r="B4279" s="1">
        <f t="shared" si="675"/>
        <v>44</v>
      </c>
      <c r="C4279" s="22">
        <v>46539</v>
      </c>
      <c r="D4279" s="22">
        <v>46568</v>
      </c>
      <c r="E4279" s="23">
        <v>30</v>
      </c>
      <c r="F4279" s="3">
        <f t="shared" si="673"/>
        <v>20716828.46662382</v>
      </c>
      <c r="G4279" s="3">
        <f t="shared" si="676"/>
        <v>4247522.901470283</v>
      </c>
      <c r="H4279" s="3">
        <f t="shared" si="677"/>
        <v>172640.23722186516</v>
      </c>
      <c r="I4279" s="3">
        <f t="shared" si="678"/>
        <v>4074882.6642484181</v>
      </c>
      <c r="J4279" s="3">
        <f t="shared" si="679"/>
        <v>16641945.802375402</v>
      </c>
    </row>
    <row r="4280" spans="2:19" x14ac:dyDescent="0.35">
      <c r="B4280" s="1">
        <f t="shared" si="675"/>
        <v>45</v>
      </c>
      <c r="C4280" s="22">
        <v>46569</v>
      </c>
      <c r="D4280" s="22">
        <v>46599</v>
      </c>
      <c r="E4280" s="23">
        <v>31</v>
      </c>
      <c r="F4280" s="3">
        <f t="shared" si="673"/>
        <v>16641945.802375402</v>
      </c>
      <c r="G4280" s="3">
        <f t="shared" si="676"/>
        <v>4247522.901470283</v>
      </c>
      <c r="H4280" s="3">
        <f t="shared" si="677"/>
        <v>138682.88168646168</v>
      </c>
      <c r="I4280" s="3">
        <f t="shared" si="678"/>
        <v>4108840.0197838214</v>
      </c>
      <c r="J4280" s="3">
        <f t="shared" si="679"/>
        <v>12533105.782591581</v>
      </c>
    </row>
    <row r="4281" spans="2:19" x14ac:dyDescent="0.35">
      <c r="B4281" s="1">
        <f t="shared" si="675"/>
        <v>46</v>
      </c>
      <c r="C4281" s="22">
        <v>46600</v>
      </c>
      <c r="D4281" s="22">
        <v>46630</v>
      </c>
      <c r="E4281" s="23">
        <v>31</v>
      </c>
      <c r="F4281" s="3">
        <f t="shared" si="673"/>
        <v>12533105.782591581</v>
      </c>
      <c r="G4281" s="3">
        <f t="shared" si="676"/>
        <v>4247522.901470283</v>
      </c>
      <c r="H4281" s="3">
        <f t="shared" si="677"/>
        <v>104442.54818826317</v>
      </c>
      <c r="I4281" s="3">
        <f t="shared" si="678"/>
        <v>4143080.35328202</v>
      </c>
      <c r="J4281" s="3">
        <f t="shared" si="679"/>
        <v>8390025.4293095618</v>
      </c>
    </row>
    <row r="4282" spans="2:19" x14ac:dyDescent="0.35">
      <c r="B4282" s="1">
        <f t="shared" si="675"/>
        <v>47</v>
      </c>
      <c r="C4282" s="22">
        <f>+D4281+1</f>
        <v>46631</v>
      </c>
      <c r="D4282" s="22">
        <f>+C4282+29</f>
        <v>46660</v>
      </c>
      <c r="E4282" s="23">
        <v>30</v>
      </c>
      <c r="F4282" s="3">
        <f t="shared" si="673"/>
        <v>8390025.4293095618</v>
      </c>
      <c r="G4282" s="3">
        <f t="shared" si="676"/>
        <v>4247522.901470283</v>
      </c>
      <c r="H4282" s="3">
        <f t="shared" si="677"/>
        <v>69916.878577579686</v>
      </c>
      <c r="I4282" s="3">
        <f t="shared" si="678"/>
        <v>4177606.0228927033</v>
      </c>
      <c r="J4282" s="3">
        <f t="shared" si="679"/>
        <v>4212419.4064168585</v>
      </c>
    </row>
    <row r="4283" spans="2:19" x14ac:dyDescent="0.35">
      <c r="B4283" s="1">
        <f t="shared" si="675"/>
        <v>48</v>
      </c>
      <c r="C4283" s="22">
        <f>+D4282+1</f>
        <v>46661</v>
      </c>
      <c r="D4283" s="22">
        <f>+C4283+30</f>
        <v>46691</v>
      </c>
      <c r="E4283" s="23">
        <v>31</v>
      </c>
      <c r="F4283" s="3">
        <f t="shared" si="673"/>
        <v>4212419.4064168585</v>
      </c>
      <c r="G4283" s="3">
        <f t="shared" si="676"/>
        <v>4247522.901470283</v>
      </c>
      <c r="H4283" s="3">
        <f t="shared" si="677"/>
        <v>35103.495053473824</v>
      </c>
      <c r="I4283" s="3">
        <f t="shared" si="678"/>
        <v>4212419.4064168092</v>
      </c>
      <c r="J4283" s="3">
        <f t="shared" si="679"/>
        <v>4.9360096454620361E-8</v>
      </c>
    </row>
    <row r="4286" spans="2:19" x14ac:dyDescent="0.35">
      <c r="B4286" s="1"/>
      <c r="C4286" s="8" t="s">
        <v>942</v>
      </c>
      <c r="D4286" s="3"/>
      <c r="E4286" s="3"/>
      <c r="F4286" s="3"/>
      <c r="G4286" s="3"/>
      <c r="H4286" s="3"/>
      <c r="I4286" s="3"/>
      <c r="J4286" s="3"/>
      <c r="K4286" s="3"/>
      <c r="L4286" s="3"/>
      <c r="R4286" s="438" t="s">
        <v>832</v>
      </c>
      <c r="S4286" s="432" t="str">
        <f>IFERROR(INDEX(Blocks!$I$2:$I$101,MATCH(78,Blocks!$A$2:$A$101,0)),"")</f>
        <v>000104460000080</v>
      </c>
    </row>
    <row r="4287" spans="2:19" x14ac:dyDescent="0.35">
      <c r="B4287" s="1"/>
      <c r="C4287" s="1"/>
      <c r="D4287" s="3"/>
      <c r="E4287" s="3"/>
      <c r="F4287" s="3"/>
      <c r="G4287" s="3"/>
      <c r="H4287" s="3"/>
      <c r="I4287" s="3"/>
      <c r="J4287" s="3"/>
      <c r="K4287" s="3"/>
      <c r="L4287" s="3"/>
      <c r="R4287" s="438" t="s">
        <v>834</v>
      </c>
      <c r="S4287" s="432" t="str">
        <f>IFERROR(INDEX(Blocks!$H$2:$H$101,MATCH(78,Blocks!$A$2:$A$101,0)),"")</f>
        <v>F&amp;K Construction</v>
      </c>
    </row>
    <row r="4288" spans="2:19" x14ac:dyDescent="0.35">
      <c r="B4288" s="1"/>
      <c r="C4288" s="9" t="s">
        <v>835</v>
      </c>
      <c r="D4288" s="10">
        <f>'[6]Loan amortisation- F&amp;K'!$D$4</f>
        <v>120000000</v>
      </c>
      <c r="E4288" s="3"/>
      <c r="F4288" s="3"/>
      <c r="G4288" s="3"/>
      <c r="H4288" s="3"/>
      <c r="I4288" s="3"/>
      <c r="J4288" s="3"/>
      <c r="K4288" s="3"/>
      <c r="L4288" s="3"/>
      <c r="R4288" s="438" t="s">
        <v>223</v>
      </c>
      <c r="S4288" s="433">
        <f>IFERROR(INDEX('E-Banker master'!$N$2:$N$186,MATCH(S4286,'E-Banker master'!$A$2:$A$186,0)),"")</f>
        <v>120000000</v>
      </c>
    </row>
    <row r="4289" spans="2:19" x14ac:dyDescent="0.35">
      <c r="B4289" s="1"/>
      <c r="C4289" s="11" t="s">
        <v>837</v>
      </c>
      <c r="D4289" s="12">
        <v>0.1</v>
      </c>
      <c r="E4289" s="13"/>
      <c r="F4289" s="3"/>
      <c r="G4289" s="3"/>
      <c r="H4289" s="3"/>
      <c r="I4289" s="3"/>
      <c r="J4289" s="3"/>
      <c r="K4289" s="3"/>
      <c r="L4289" s="3"/>
      <c r="R4289" s="438" t="s">
        <v>52</v>
      </c>
      <c r="S4289" s="433">
        <f>IFERROR(INDEX('E-Banker master'!$P$2:$P$186,MATCH(S4286,'E-Banker master'!$A$2:$A$186,0)),"")</f>
        <v>106376318.79000001</v>
      </c>
    </row>
    <row r="4290" spans="2:19" x14ac:dyDescent="0.35">
      <c r="B4290" s="1"/>
      <c r="C4290" s="11" t="s">
        <v>838</v>
      </c>
      <c r="D4290" s="14">
        <v>4</v>
      </c>
      <c r="E4290" s="1"/>
      <c r="F4290" s="3"/>
      <c r="G4290" s="3"/>
      <c r="H4290" s="3"/>
      <c r="I4290" s="3"/>
      <c r="J4290" s="3"/>
      <c r="K4290" s="1"/>
      <c r="L4290" s="1"/>
    </row>
    <row r="4291" spans="2:19" x14ac:dyDescent="0.35">
      <c r="B4291" s="1"/>
      <c r="C4291" s="11" t="s">
        <v>839</v>
      </c>
      <c r="D4291" s="14">
        <v>12</v>
      </c>
      <c r="E4291" s="1"/>
      <c r="F4291" s="3"/>
      <c r="G4291" s="3"/>
      <c r="H4291" s="3"/>
      <c r="I4291" s="3"/>
      <c r="J4291" s="3"/>
      <c r="K4291" s="1"/>
      <c r="L4291" s="1"/>
    </row>
    <row r="4292" spans="2:19" x14ac:dyDescent="0.35">
      <c r="B4292" s="1"/>
      <c r="C4292" s="11" t="s">
        <v>843</v>
      </c>
      <c r="D4292" s="15">
        <f>D4290*D4291</f>
        <v>48</v>
      </c>
      <c r="E4292" s="1"/>
      <c r="F4292" s="3"/>
      <c r="G4292" s="3"/>
      <c r="H4292" s="3"/>
      <c r="I4292" s="3"/>
      <c r="J4292" s="3"/>
      <c r="K4292" s="1"/>
      <c r="L4292" s="1"/>
    </row>
    <row r="4293" spans="2:19" x14ac:dyDescent="0.35">
      <c r="B4293" s="1"/>
      <c r="C4293" s="11" t="s">
        <v>844</v>
      </c>
      <c r="D4293" s="16">
        <v>365</v>
      </c>
      <c r="E4293" s="1"/>
      <c r="F4293" s="3"/>
      <c r="G4293" s="3"/>
      <c r="H4293" s="3"/>
      <c r="I4293" s="3"/>
      <c r="J4293" s="3"/>
      <c r="K4293" s="1"/>
      <c r="L4293" s="1"/>
    </row>
    <row r="4294" spans="2:19" x14ac:dyDescent="0.35">
      <c r="B4294" s="1"/>
      <c r="C4294" s="17" t="s">
        <v>845</v>
      </c>
      <c r="D4294" s="18">
        <f>-PMT(D4289/D4291,D4292,D4288,0,0)</f>
        <v>3043510.0121696624</v>
      </c>
      <c r="E4294" s="3"/>
      <c r="F4294" s="3"/>
      <c r="G4294" s="3"/>
      <c r="H4294" s="3"/>
      <c r="I4294" s="3"/>
      <c r="J4294" s="3"/>
      <c r="K4294" s="1"/>
      <c r="L4294" s="1"/>
    </row>
    <row r="4295" spans="2:19" x14ac:dyDescent="0.35">
      <c r="B4295" s="1"/>
      <c r="C4295" s="1"/>
      <c r="D4295" s="3"/>
      <c r="E4295" s="3"/>
      <c r="F4295" s="3"/>
      <c r="G4295" s="3"/>
      <c r="H4295" s="3"/>
      <c r="I4295" s="3"/>
      <c r="J4295" s="3"/>
      <c r="K4295" s="1"/>
      <c r="L4295" s="1"/>
    </row>
    <row r="4296" spans="2:19" x14ac:dyDescent="0.35">
      <c r="B4296" s="1"/>
      <c r="C4296" s="19" t="s">
        <v>846</v>
      </c>
      <c r="D4296" s="20" t="s">
        <v>847</v>
      </c>
      <c r="E4296" s="20" t="s">
        <v>764</v>
      </c>
      <c r="F4296" s="270" t="s">
        <v>848</v>
      </c>
      <c r="G4296" s="270" t="s">
        <v>849</v>
      </c>
      <c r="H4296" s="270" t="s">
        <v>742</v>
      </c>
      <c r="I4296" s="270" t="s">
        <v>740</v>
      </c>
      <c r="J4296" s="270" t="s">
        <v>850</v>
      </c>
      <c r="K4296" s="21" t="s">
        <v>851</v>
      </c>
      <c r="L4296" s="21" t="s">
        <v>852</v>
      </c>
    </row>
    <row r="4297" spans="2:19" x14ac:dyDescent="0.35">
      <c r="B4297" s="1">
        <v>0</v>
      </c>
      <c r="C4297" s="22">
        <v>45217</v>
      </c>
      <c r="D4297" s="22">
        <v>45230</v>
      </c>
      <c r="E4297" s="291">
        <f>+D4297-C4297</f>
        <v>13</v>
      </c>
      <c r="F4297" s="3">
        <f>D4288</f>
        <v>120000000</v>
      </c>
      <c r="G4297" s="3">
        <v>419354.84</v>
      </c>
      <c r="H4297" s="3">
        <f>($D$4112/$D$4114*F4297*E4297/31)</f>
        <v>419354.83870967739</v>
      </c>
      <c r="I4297" s="3">
        <f t="shared" ref="I4297:I4328" si="680">G4297-H4297</f>
        <v>1.2903226306661963E-3</v>
      </c>
      <c r="J4297" s="3">
        <f t="shared" ref="J4297:J4328" si="681">F4297-I4297</f>
        <v>119999999.99870968</v>
      </c>
    </row>
    <row r="4298" spans="2:19" x14ac:dyDescent="0.35">
      <c r="B4298" s="1">
        <v>1</v>
      </c>
      <c r="C4298" s="22">
        <v>45231</v>
      </c>
      <c r="D4298" s="22">
        <v>45260</v>
      </c>
      <c r="E4298" s="23">
        <v>30</v>
      </c>
      <c r="F4298" s="3">
        <f t="shared" ref="F4298:F4345" si="682">J4297</f>
        <v>119999999.99870968</v>
      </c>
      <c r="G4298" s="3">
        <v>1000000</v>
      </c>
      <c r="H4298" s="3">
        <f t="shared" ref="H4298:H4303" si="683">($D$4289/$D$4291*$F$4297)</f>
        <v>1000000</v>
      </c>
      <c r="I4298" s="3">
        <f t="shared" si="680"/>
        <v>0</v>
      </c>
      <c r="J4298" s="3">
        <f t="shared" si="681"/>
        <v>119999999.99870968</v>
      </c>
      <c r="K4298" s="24">
        <v>1000000</v>
      </c>
      <c r="L4298" s="24">
        <f>G4297+G4298-K4298</f>
        <v>419354.84000000008</v>
      </c>
    </row>
    <row r="4299" spans="2:19" x14ac:dyDescent="0.35">
      <c r="B4299" s="1">
        <v>2</v>
      </c>
      <c r="C4299" s="22">
        <v>45261</v>
      </c>
      <c r="D4299" s="22">
        <v>45291</v>
      </c>
      <c r="E4299" s="23">
        <v>31</v>
      </c>
      <c r="F4299" s="3">
        <f t="shared" si="682"/>
        <v>119999999.99870968</v>
      </c>
      <c r="G4299" s="3">
        <v>1000000</v>
      </c>
      <c r="H4299" s="3">
        <f t="shared" si="683"/>
        <v>1000000</v>
      </c>
      <c r="I4299" s="3">
        <f t="shared" si="680"/>
        <v>0</v>
      </c>
      <c r="J4299" s="3">
        <f t="shared" si="681"/>
        <v>119999999.99870968</v>
      </c>
      <c r="K4299" s="24">
        <v>1000000</v>
      </c>
      <c r="L4299" s="24">
        <f t="shared" ref="L4299:L4309" si="684">L4298+G4299-K4299</f>
        <v>419354.84000000008</v>
      </c>
    </row>
    <row r="4300" spans="2:19" x14ac:dyDescent="0.35">
      <c r="B4300" s="1">
        <f t="shared" ref="B4300:B4345" si="685">+B4299+1</f>
        <v>3</v>
      </c>
      <c r="C4300" s="22">
        <v>45292</v>
      </c>
      <c r="D4300" s="22">
        <v>45322</v>
      </c>
      <c r="E4300" s="23">
        <v>31</v>
      </c>
      <c r="F4300" s="3">
        <f t="shared" si="682"/>
        <v>119999999.99870968</v>
      </c>
      <c r="G4300" s="3">
        <v>1000000</v>
      </c>
      <c r="H4300" s="3">
        <f t="shared" si="683"/>
        <v>1000000</v>
      </c>
      <c r="I4300" s="3">
        <f t="shared" si="680"/>
        <v>0</v>
      </c>
      <c r="J4300" s="3">
        <f t="shared" si="681"/>
        <v>119999999.99870968</v>
      </c>
      <c r="K4300" s="24">
        <v>1000000</v>
      </c>
      <c r="L4300" s="24">
        <f t="shared" si="684"/>
        <v>419354.84000000008</v>
      </c>
    </row>
    <row r="4301" spans="2:19" x14ac:dyDescent="0.35">
      <c r="B4301" s="1">
        <f t="shared" si="685"/>
        <v>4</v>
      </c>
      <c r="C4301" s="22">
        <v>45323</v>
      </c>
      <c r="D4301" s="22">
        <v>45351</v>
      </c>
      <c r="E4301" s="23">
        <v>29</v>
      </c>
      <c r="F4301" s="3">
        <f t="shared" si="682"/>
        <v>119999999.99870968</v>
      </c>
      <c r="G4301" s="3">
        <v>1000000</v>
      </c>
      <c r="H4301" s="3">
        <f t="shared" si="683"/>
        <v>1000000</v>
      </c>
      <c r="I4301" s="3">
        <f t="shared" si="680"/>
        <v>0</v>
      </c>
      <c r="J4301" s="3">
        <f t="shared" si="681"/>
        <v>119999999.99870968</v>
      </c>
      <c r="K4301" s="24">
        <v>0</v>
      </c>
      <c r="L4301" s="24">
        <f t="shared" si="684"/>
        <v>1419354.84</v>
      </c>
    </row>
    <row r="4302" spans="2:19" x14ac:dyDescent="0.35">
      <c r="B4302" s="1">
        <f t="shared" si="685"/>
        <v>5</v>
      </c>
      <c r="C4302" s="22">
        <v>45352</v>
      </c>
      <c r="D4302" s="22">
        <v>45382</v>
      </c>
      <c r="E4302" s="23">
        <v>31</v>
      </c>
      <c r="F4302" s="3">
        <f t="shared" si="682"/>
        <v>119999999.99870968</v>
      </c>
      <c r="G4302" s="3">
        <v>1000000</v>
      </c>
      <c r="H4302" s="3">
        <f t="shared" si="683"/>
        <v>1000000</v>
      </c>
      <c r="I4302" s="3">
        <f t="shared" si="680"/>
        <v>0</v>
      </c>
      <c r="J4302" s="3">
        <f t="shared" si="681"/>
        <v>119999999.99870968</v>
      </c>
      <c r="K4302" s="24"/>
      <c r="L4302" s="24">
        <f t="shared" si="684"/>
        <v>2419354.84</v>
      </c>
    </row>
    <row r="4303" spans="2:19" x14ac:dyDescent="0.35">
      <c r="B4303" s="1">
        <f t="shared" si="685"/>
        <v>6</v>
      </c>
      <c r="C4303" s="22">
        <v>45383</v>
      </c>
      <c r="D4303" s="22">
        <v>45412</v>
      </c>
      <c r="E4303" s="23">
        <v>30</v>
      </c>
      <c r="F4303" s="3">
        <f t="shared" si="682"/>
        <v>119999999.99870968</v>
      </c>
      <c r="G4303" s="3">
        <v>1000000</v>
      </c>
      <c r="H4303" s="3">
        <f t="shared" si="683"/>
        <v>1000000</v>
      </c>
      <c r="I4303" s="3">
        <f t="shared" si="680"/>
        <v>0</v>
      </c>
      <c r="J4303" s="3">
        <f t="shared" si="681"/>
        <v>119999999.99870968</v>
      </c>
      <c r="K4303" s="24">
        <f>1000000+1000000</f>
        <v>2000000</v>
      </c>
      <c r="L4303" s="24">
        <f t="shared" si="684"/>
        <v>1419354.8399999999</v>
      </c>
    </row>
    <row r="4304" spans="2:19" x14ac:dyDescent="0.35">
      <c r="B4304" s="1">
        <f t="shared" si="685"/>
        <v>7</v>
      </c>
      <c r="C4304" s="22">
        <v>45413</v>
      </c>
      <c r="D4304" s="22">
        <v>45443</v>
      </c>
      <c r="E4304" s="23">
        <v>31</v>
      </c>
      <c r="F4304" s="3">
        <f t="shared" si="682"/>
        <v>119999999.99870968</v>
      </c>
      <c r="G4304" s="3">
        <f t="shared" ref="G4304:G4345" si="686">-PMT($D$4289/$D$4291,42,$F$4304,,0)</f>
        <v>3398018.3211762263</v>
      </c>
      <c r="H4304" s="3">
        <f t="shared" ref="H4304:H4345" si="687">($D$4289/$D$4291*F4304)</f>
        <v>999999.9999892473</v>
      </c>
      <c r="I4304" s="3">
        <f t="shared" si="680"/>
        <v>2398018.3211869788</v>
      </c>
      <c r="J4304" s="3">
        <f t="shared" si="681"/>
        <v>117601981.6775227</v>
      </c>
      <c r="K4304" s="24">
        <v>3400000</v>
      </c>
      <c r="L4304" s="24">
        <f t="shared" si="684"/>
        <v>1417373.1611762261</v>
      </c>
    </row>
    <row r="4305" spans="2:13" x14ac:dyDescent="0.35">
      <c r="B4305" s="1">
        <f t="shared" si="685"/>
        <v>8</v>
      </c>
      <c r="C4305" s="22">
        <v>45444</v>
      </c>
      <c r="D4305" s="22">
        <v>45473</v>
      </c>
      <c r="E4305" s="23">
        <v>30</v>
      </c>
      <c r="F4305" s="3">
        <f t="shared" si="682"/>
        <v>117601981.6775227</v>
      </c>
      <c r="G4305" s="3">
        <f t="shared" si="686"/>
        <v>3398018.3211762263</v>
      </c>
      <c r="H4305" s="3">
        <f t="shared" si="687"/>
        <v>980016.5139793558</v>
      </c>
      <c r="I4305" s="3">
        <f t="shared" si="680"/>
        <v>2418001.8071968704</v>
      </c>
      <c r="J4305" s="3">
        <f t="shared" si="681"/>
        <v>115183979.87032583</v>
      </c>
      <c r="K4305" s="24">
        <v>3400000</v>
      </c>
      <c r="L4305" s="24">
        <f t="shared" si="684"/>
        <v>1415391.4823524524</v>
      </c>
      <c r="M4305" s="24"/>
    </row>
    <row r="4306" spans="2:13" x14ac:dyDescent="0.35">
      <c r="B4306" s="1">
        <f t="shared" si="685"/>
        <v>9</v>
      </c>
      <c r="C4306" s="22">
        <v>45474</v>
      </c>
      <c r="D4306" s="22">
        <v>45504</v>
      </c>
      <c r="E4306" s="23">
        <v>31</v>
      </c>
      <c r="F4306" s="3">
        <f t="shared" si="682"/>
        <v>115183979.87032583</v>
      </c>
      <c r="G4306" s="3">
        <f t="shared" si="686"/>
        <v>3398018.3211762263</v>
      </c>
      <c r="H4306" s="3">
        <f t="shared" si="687"/>
        <v>959866.49891938188</v>
      </c>
      <c r="I4306" s="3">
        <f t="shared" si="680"/>
        <v>2438151.8222568445</v>
      </c>
      <c r="J4306" s="3">
        <f t="shared" si="681"/>
        <v>112745828.04806899</v>
      </c>
      <c r="K4306" s="24">
        <v>3800000</v>
      </c>
      <c r="L4306" s="24">
        <f t="shared" si="684"/>
        <v>1013409.8035286786</v>
      </c>
    </row>
    <row r="4307" spans="2:13" x14ac:dyDescent="0.35">
      <c r="B4307" s="1">
        <f t="shared" si="685"/>
        <v>10</v>
      </c>
      <c r="C4307" s="22">
        <v>45505</v>
      </c>
      <c r="D4307" s="22">
        <v>45535</v>
      </c>
      <c r="E4307" s="23">
        <v>31</v>
      </c>
      <c r="F4307" s="3">
        <f t="shared" si="682"/>
        <v>112745828.04806899</v>
      </c>
      <c r="G4307" s="3">
        <f t="shared" si="686"/>
        <v>3398018.3211762263</v>
      </c>
      <c r="H4307" s="3">
        <f t="shared" si="687"/>
        <v>939548.56706724153</v>
      </c>
      <c r="I4307" s="3">
        <f t="shared" si="680"/>
        <v>2458469.754108985</v>
      </c>
      <c r="J4307" s="3">
        <f t="shared" si="681"/>
        <v>110287358.29396001</v>
      </c>
      <c r="K4307" s="24"/>
      <c r="L4307" s="24">
        <f t="shared" si="684"/>
        <v>4411428.1247049049</v>
      </c>
    </row>
    <row r="4308" spans="2:13" x14ac:dyDescent="0.35">
      <c r="B4308" s="1">
        <f t="shared" si="685"/>
        <v>11</v>
      </c>
      <c r="C4308" s="22">
        <v>45536</v>
      </c>
      <c r="D4308" s="22">
        <v>45565</v>
      </c>
      <c r="E4308" s="23">
        <v>30</v>
      </c>
      <c r="F4308" s="3">
        <f t="shared" si="682"/>
        <v>110287358.29396001</v>
      </c>
      <c r="G4308" s="3">
        <f t="shared" si="686"/>
        <v>3398018.3211762263</v>
      </c>
      <c r="H4308" s="3">
        <f t="shared" si="687"/>
        <v>919061.31911633338</v>
      </c>
      <c r="I4308" s="3">
        <f t="shared" si="680"/>
        <v>2478957.0020598928</v>
      </c>
      <c r="J4308" s="3">
        <f t="shared" si="681"/>
        <v>107808401.29190011</v>
      </c>
      <c r="K4308" s="24">
        <f>3400000+3400000</f>
        <v>6800000</v>
      </c>
      <c r="L4308" s="24">
        <f t="shared" si="684"/>
        <v>1009446.4458811311</v>
      </c>
    </row>
    <row r="4309" spans="2:13" x14ac:dyDescent="0.35">
      <c r="B4309" s="1">
        <f t="shared" si="685"/>
        <v>12</v>
      </c>
      <c r="C4309" s="22">
        <v>45566</v>
      </c>
      <c r="D4309" s="22">
        <v>45596</v>
      </c>
      <c r="E4309" s="23">
        <v>31</v>
      </c>
      <c r="F4309" s="3">
        <f t="shared" si="682"/>
        <v>107808401.29190011</v>
      </c>
      <c r="G4309" s="3">
        <f t="shared" si="686"/>
        <v>3398018.3211762263</v>
      </c>
      <c r="H4309" s="3">
        <f t="shared" si="687"/>
        <v>898403.34409916762</v>
      </c>
      <c r="I4309" s="3">
        <f t="shared" si="680"/>
        <v>2499614.9770770585</v>
      </c>
      <c r="J4309" s="3">
        <f t="shared" si="681"/>
        <v>105308786.31482306</v>
      </c>
      <c r="K4309" s="24">
        <v>3400000</v>
      </c>
      <c r="L4309" s="205">
        <f t="shared" si="684"/>
        <v>1007464.7670573574</v>
      </c>
    </row>
    <row r="4310" spans="2:13" x14ac:dyDescent="0.35">
      <c r="B4310" s="1">
        <f t="shared" si="685"/>
        <v>13</v>
      </c>
      <c r="C4310" s="22">
        <v>45597</v>
      </c>
      <c r="D4310" s="22">
        <v>45626</v>
      </c>
      <c r="E4310" s="23">
        <v>30</v>
      </c>
      <c r="F4310" s="3">
        <f t="shared" si="682"/>
        <v>105308786.31482306</v>
      </c>
      <c r="G4310" s="3">
        <f t="shared" si="686"/>
        <v>3398018.3211762263</v>
      </c>
      <c r="H4310" s="3">
        <f t="shared" si="687"/>
        <v>877573.21929019212</v>
      </c>
      <c r="I4310" s="3">
        <f t="shared" si="680"/>
        <v>2520445.101886034</v>
      </c>
      <c r="J4310" s="3">
        <f t="shared" si="681"/>
        <v>102788341.21293703</v>
      </c>
      <c r="K4310" s="24"/>
      <c r="L4310" s="24"/>
    </row>
    <row r="4311" spans="2:13" x14ac:dyDescent="0.35">
      <c r="B4311" s="1">
        <f t="shared" si="685"/>
        <v>14</v>
      </c>
      <c r="C4311" s="22">
        <v>45627</v>
      </c>
      <c r="D4311" s="22">
        <v>45657</v>
      </c>
      <c r="E4311" s="23">
        <v>31</v>
      </c>
      <c r="F4311" s="3">
        <f t="shared" si="682"/>
        <v>102788341.21293703</v>
      </c>
      <c r="G4311" s="3">
        <f t="shared" si="686"/>
        <v>3398018.3211762263</v>
      </c>
      <c r="H4311" s="3">
        <f t="shared" si="687"/>
        <v>856569.51010780851</v>
      </c>
      <c r="I4311" s="3">
        <f t="shared" si="680"/>
        <v>2541448.8110684175</v>
      </c>
      <c r="J4311" s="3">
        <f t="shared" si="681"/>
        <v>100246892.40186861</v>
      </c>
      <c r="K4311" s="24"/>
      <c r="L4311" s="24"/>
    </row>
    <row r="4312" spans="2:13" x14ac:dyDescent="0.35">
      <c r="B4312" s="1">
        <f t="shared" si="685"/>
        <v>15</v>
      </c>
      <c r="C4312" s="22">
        <v>45658</v>
      </c>
      <c r="D4312" s="22">
        <v>45688</v>
      </c>
      <c r="E4312" s="23">
        <v>31</v>
      </c>
      <c r="F4312" s="3">
        <f t="shared" si="682"/>
        <v>100246892.40186861</v>
      </c>
      <c r="G4312" s="3">
        <f t="shared" si="686"/>
        <v>3398018.3211762263</v>
      </c>
      <c r="H4312" s="3">
        <f t="shared" si="687"/>
        <v>835390.77001557173</v>
      </c>
      <c r="I4312" s="3">
        <f t="shared" si="680"/>
        <v>2562627.5511606545</v>
      </c>
      <c r="J4312" s="3">
        <f t="shared" si="681"/>
        <v>97684264.850707963</v>
      </c>
      <c r="K4312" s="24"/>
      <c r="L4312" s="24"/>
    </row>
    <row r="4313" spans="2:13" x14ac:dyDescent="0.35">
      <c r="B4313" s="1">
        <f t="shared" si="685"/>
        <v>16</v>
      </c>
      <c r="C4313" s="22">
        <v>45689</v>
      </c>
      <c r="D4313" s="22">
        <v>45716</v>
      </c>
      <c r="E4313" s="23">
        <v>28</v>
      </c>
      <c r="F4313" s="3">
        <f t="shared" si="682"/>
        <v>97684264.850707963</v>
      </c>
      <c r="G4313" s="3">
        <f t="shared" si="686"/>
        <v>3398018.3211762263</v>
      </c>
      <c r="H4313" s="3">
        <f t="shared" si="687"/>
        <v>814035.54042256635</v>
      </c>
      <c r="I4313" s="3">
        <f t="shared" si="680"/>
        <v>2583982.78075366</v>
      </c>
      <c r="J4313" s="3">
        <f t="shared" si="681"/>
        <v>95100282.069954306</v>
      </c>
      <c r="K4313" s="24"/>
      <c r="L4313" s="24"/>
    </row>
    <row r="4314" spans="2:13" x14ac:dyDescent="0.35">
      <c r="B4314" s="1">
        <f t="shared" si="685"/>
        <v>17</v>
      </c>
      <c r="C4314" s="22">
        <v>45717</v>
      </c>
      <c r="D4314" s="22">
        <v>45747</v>
      </c>
      <c r="E4314" s="23">
        <v>31</v>
      </c>
      <c r="F4314" s="3">
        <f t="shared" si="682"/>
        <v>95100282.069954306</v>
      </c>
      <c r="G4314" s="3">
        <f t="shared" si="686"/>
        <v>3398018.3211762263</v>
      </c>
      <c r="H4314" s="3">
        <f t="shared" si="687"/>
        <v>792502.35058295249</v>
      </c>
      <c r="I4314" s="3">
        <f t="shared" si="680"/>
        <v>2605515.9705932736</v>
      </c>
      <c r="J4314" s="3">
        <f t="shared" si="681"/>
        <v>92494766.099361032</v>
      </c>
      <c r="K4314" s="24"/>
      <c r="L4314" s="24"/>
    </row>
    <row r="4315" spans="2:13" x14ac:dyDescent="0.35">
      <c r="B4315" s="1">
        <f t="shared" si="685"/>
        <v>18</v>
      </c>
      <c r="C4315" s="22">
        <v>45748</v>
      </c>
      <c r="D4315" s="22">
        <v>45777</v>
      </c>
      <c r="E4315" s="23">
        <v>30</v>
      </c>
      <c r="F4315" s="3">
        <f t="shared" si="682"/>
        <v>92494766.099361032</v>
      </c>
      <c r="G4315" s="3">
        <f t="shared" si="686"/>
        <v>3398018.3211762263</v>
      </c>
      <c r="H4315" s="3">
        <f t="shared" si="687"/>
        <v>770789.71749467531</v>
      </c>
      <c r="I4315" s="3">
        <f t="shared" si="680"/>
        <v>2627228.6036815508</v>
      </c>
      <c r="J4315" s="3">
        <f t="shared" si="681"/>
        <v>89867537.495679483</v>
      </c>
      <c r="K4315" s="24"/>
      <c r="L4315" s="24"/>
    </row>
    <row r="4316" spans="2:13" x14ac:dyDescent="0.35">
      <c r="B4316" s="1">
        <f t="shared" si="685"/>
        <v>19</v>
      </c>
      <c r="C4316" s="22">
        <v>45778</v>
      </c>
      <c r="D4316" s="22">
        <v>45808</v>
      </c>
      <c r="E4316" s="23">
        <v>31</v>
      </c>
      <c r="F4316" s="3">
        <f t="shared" si="682"/>
        <v>89867537.495679483</v>
      </c>
      <c r="G4316" s="3">
        <f t="shared" si="686"/>
        <v>3398018.3211762263</v>
      </c>
      <c r="H4316" s="3">
        <f t="shared" si="687"/>
        <v>748896.14579732902</v>
      </c>
      <c r="I4316" s="3">
        <f t="shared" si="680"/>
        <v>2649122.1753788972</v>
      </c>
      <c r="J4316" s="3">
        <f t="shared" si="681"/>
        <v>87218415.320300579</v>
      </c>
      <c r="K4316" s="24"/>
      <c r="L4316" s="24"/>
    </row>
    <row r="4317" spans="2:13" x14ac:dyDescent="0.35">
      <c r="B4317" s="1">
        <f t="shared" si="685"/>
        <v>20</v>
      </c>
      <c r="C4317" s="22">
        <v>45809</v>
      </c>
      <c r="D4317" s="22">
        <v>45838</v>
      </c>
      <c r="E4317" s="23">
        <v>30</v>
      </c>
      <c r="F4317" s="3">
        <f t="shared" si="682"/>
        <v>87218415.320300579</v>
      </c>
      <c r="G4317" s="3">
        <f t="shared" si="686"/>
        <v>3398018.3211762263</v>
      </c>
      <c r="H4317" s="3">
        <f t="shared" si="687"/>
        <v>726820.12766917143</v>
      </c>
      <c r="I4317" s="3">
        <f t="shared" si="680"/>
        <v>2671198.1935070548</v>
      </c>
      <c r="J4317" s="3">
        <f t="shared" si="681"/>
        <v>84547217.126793519</v>
      </c>
      <c r="K4317" s="24"/>
      <c r="L4317" s="24"/>
    </row>
    <row r="4318" spans="2:13" x14ac:dyDescent="0.35">
      <c r="B4318" s="1">
        <f t="shared" si="685"/>
        <v>21</v>
      </c>
      <c r="C4318" s="22">
        <v>45839</v>
      </c>
      <c r="D4318" s="22">
        <v>45868</v>
      </c>
      <c r="E4318" s="23">
        <v>30</v>
      </c>
      <c r="F4318" s="3">
        <f t="shared" si="682"/>
        <v>84547217.126793519</v>
      </c>
      <c r="G4318" s="3">
        <f t="shared" si="686"/>
        <v>3398018.3211762263</v>
      </c>
      <c r="H4318" s="3">
        <f t="shared" si="687"/>
        <v>704560.14272327931</v>
      </c>
      <c r="I4318" s="3">
        <f t="shared" si="680"/>
        <v>2693458.1784529472</v>
      </c>
      <c r="J4318" s="3">
        <f t="shared" si="681"/>
        <v>81853758.948340565</v>
      </c>
      <c r="K4318" s="24"/>
      <c r="L4318" s="24"/>
    </row>
    <row r="4319" spans="2:13" x14ac:dyDescent="0.35">
      <c r="B4319" s="1">
        <f t="shared" si="685"/>
        <v>22</v>
      </c>
      <c r="C4319" s="22">
        <v>45870</v>
      </c>
      <c r="D4319" s="22">
        <v>45899</v>
      </c>
      <c r="E4319" s="23">
        <v>30</v>
      </c>
      <c r="F4319" s="3">
        <f t="shared" si="682"/>
        <v>81853758.948340565</v>
      </c>
      <c r="G4319" s="3">
        <f t="shared" si="686"/>
        <v>3398018.3211762263</v>
      </c>
      <c r="H4319" s="3">
        <f t="shared" si="687"/>
        <v>682114.65790283808</v>
      </c>
      <c r="I4319" s="3">
        <f t="shared" si="680"/>
        <v>2715903.6632733881</v>
      </c>
      <c r="J4319" s="3">
        <f t="shared" si="681"/>
        <v>79137855.285067171</v>
      </c>
      <c r="K4319" s="24"/>
      <c r="L4319" s="24"/>
    </row>
    <row r="4320" spans="2:13" x14ac:dyDescent="0.35">
      <c r="B4320" s="1">
        <f t="shared" si="685"/>
        <v>23</v>
      </c>
      <c r="C4320" s="22">
        <v>45901</v>
      </c>
      <c r="D4320" s="22">
        <v>45930</v>
      </c>
      <c r="E4320" s="23">
        <v>30</v>
      </c>
      <c r="F4320" s="3">
        <f t="shared" si="682"/>
        <v>79137855.285067171</v>
      </c>
      <c r="G4320" s="3">
        <f t="shared" si="686"/>
        <v>3398018.3211762263</v>
      </c>
      <c r="H4320" s="3">
        <f t="shared" si="687"/>
        <v>659482.12737555976</v>
      </c>
      <c r="I4320" s="3">
        <f t="shared" si="680"/>
        <v>2738536.1938006664</v>
      </c>
      <c r="J4320" s="3">
        <f t="shared" si="681"/>
        <v>76399319.091266498</v>
      </c>
    </row>
    <row r="4321" spans="2:10" x14ac:dyDescent="0.35">
      <c r="B4321" s="1">
        <f t="shared" si="685"/>
        <v>24</v>
      </c>
      <c r="C4321" s="22">
        <v>45931</v>
      </c>
      <c r="D4321" s="22">
        <v>45961</v>
      </c>
      <c r="E4321" s="23">
        <v>31</v>
      </c>
      <c r="F4321" s="3">
        <f t="shared" si="682"/>
        <v>76399319.091266498</v>
      </c>
      <c r="G4321" s="3">
        <f t="shared" si="686"/>
        <v>3398018.3211762263</v>
      </c>
      <c r="H4321" s="3">
        <f t="shared" si="687"/>
        <v>636660.9924272208</v>
      </c>
      <c r="I4321" s="3">
        <f t="shared" si="680"/>
        <v>2761357.3287490057</v>
      </c>
      <c r="J4321" s="3">
        <f t="shared" si="681"/>
        <v>73637961.762517497</v>
      </c>
    </row>
    <row r="4322" spans="2:10" x14ac:dyDescent="0.35">
      <c r="B4322" s="1">
        <f t="shared" si="685"/>
        <v>25</v>
      </c>
      <c r="C4322" s="22">
        <v>45962</v>
      </c>
      <c r="D4322" s="22">
        <v>45991</v>
      </c>
      <c r="E4322" s="23">
        <v>30</v>
      </c>
      <c r="F4322" s="3">
        <f t="shared" si="682"/>
        <v>73637961.762517497</v>
      </c>
      <c r="G4322" s="3">
        <f t="shared" si="686"/>
        <v>3398018.3211762263</v>
      </c>
      <c r="H4322" s="3">
        <f t="shared" si="687"/>
        <v>613649.68135431246</v>
      </c>
      <c r="I4322" s="3">
        <f t="shared" si="680"/>
        <v>2784368.639821914</v>
      </c>
      <c r="J4322" s="3">
        <f t="shared" si="681"/>
        <v>70853593.12269558</v>
      </c>
    </row>
    <row r="4323" spans="2:10" x14ac:dyDescent="0.35">
      <c r="B4323" s="1">
        <f t="shared" si="685"/>
        <v>26</v>
      </c>
      <c r="C4323" s="22">
        <v>45992</v>
      </c>
      <c r="D4323" s="22">
        <v>46022</v>
      </c>
      <c r="E4323" s="23">
        <v>31</v>
      </c>
      <c r="F4323" s="3">
        <f t="shared" si="682"/>
        <v>70853593.12269558</v>
      </c>
      <c r="G4323" s="3">
        <f t="shared" si="686"/>
        <v>3398018.3211762263</v>
      </c>
      <c r="H4323" s="3">
        <f t="shared" si="687"/>
        <v>590446.60935579648</v>
      </c>
      <c r="I4323" s="3">
        <f t="shared" si="680"/>
        <v>2807571.7118204297</v>
      </c>
      <c r="J4323" s="3">
        <f t="shared" si="681"/>
        <v>68046021.410875157</v>
      </c>
    </row>
    <row r="4324" spans="2:10" x14ac:dyDescent="0.35">
      <c r="B4324" s="1">
        <f t="shared" si="685"/>
        <v>27</v>
      </c>
      <c r="C4324" s="22">
        <v>46023</v>
      </c>
      <c r="D4324" s="22">
        <v>46053</v>
      </c>
      <c r="E4324" s="23">
        <v>31</v>
      </c>
      <c r="F4324" s="3">
        <f t="shared" si="682"/>
        <v>68046021.410875157</v>
      </c>
      <c r="G4324" s="3">
        <f t="shared" si="686"/>
        <v>3398018.3211762263</v>
      </c>
      <c r="H4324" s="3">
        <f t="shared" si="687"/>
        <v>567050.17842395965</v>
      </c>
      <c r="I4324" s="3">
        <f t="shared" si="680"/>
        <v>2830968.1427522665</v>
      </c>
      <c r="J4324" s="3">
        <f t="shared" si="681"/>
        <v>65215053.268122889</v>
      </c>
    </row>
    <row r="4325" spans="2:10" x14ac:dyDescent="0.35">
      <c r="B4325" s="1">
        <f t="shared" si="685"/>
        <v>28</v>
      </c>
      <c r="C4325" s="22">
        <v>46054</v>
      </c>
      <c r="D4325" s="22">
        <v>46081</v>
      </c>
      <c r="E4325" s="23">
        <v>28</v>
      </c>
      <c r="F4325" s="3">
        <f t="shared" si="682"/>
        <v>65215053.268122889</v>
      </c>
      <c r="G4325" s="3">
        <f t="shared" si="686"/>
        <v>3398018.3211762263</v>
      </c>
      <c r="H4325" s="3">
        <f t="shared" si="687"/>
        <v>543458.77723435743</v>
      </c>
      <c r="I4325" s="3">
        <f t="shared" si="680"/>
        <v>2854559.5439418689</v>
      </c>
      <c r="J4325" s="3">
        <f t="shared" si="681"/>
        <v>62360493.724181019</v>
      </c>
    </row>
    <row r="4326" spans="2:10" x14ac:dyDescent="0.35">
      <c r="B4326" s="1">
        <f t="shared" si="685"/>
        <v>29</v>
      </c>
      <c r="C4326" s="22">
        <v>46082</v>
      </c>
      <c r="D4326" s="22">
        <v>46112</v>
      </c>
      <c r="E4326" s="23">
        <v>31</v>
      </c>
      <c r="F4326" s="3">
        <f t="shared" si="682"/>
        <v>62360493.724181019</v>
      </c>
      <c r="G4326" s="3">
        <f t="shared" si="686"/>
        <v>3398018.3211762263</v>
      </c>
      <c r="H4326" s="3">
        <f t="shared" si="687"/>
        <v>519670.78103484184</v>
      </c>
      <c r="I4326" s="3">
        <f t="shared" si="680"/>
        <v>2878347.5401413846</v>
      </c>
      <c r="J4326" s="3">
        <f t="shared" si="681"/>
        <v>59482146.184039637</v>
      </c>
    </row>
    <row r="4327" spans="2:10" x14ac:dyDescent="0.35">
      <c r="B4327" s="1">
        <f t="shared" si="685"/>
        <v>30</v>
      </c>
      <c r="C4327" s="22">
        <v>46113</v>
      </c>
      <c r="D4327" s="22">
        <v>46142</v>
      </c>
      <c r="E4327" s="23">
        <v>30</v>
      </c>
      <c r="F4327" s="3">
        <f t="shared" si="682"/>
        <v>59482146.184039637</v>
      </c>
      <c r="G4327" s="3">
        <f t="shared" si="686"/>
        <v>3398018.3211762263</v>
      </c>
      <c r="H4327" s="3">
        <f t="shared" si="687"/>
        <v>495684.55153366365</v>
      </c>
      <c r="I4327" s="3">
        <f t="shared" si="680"/>
        <v>2902333.7696425626</v>
      </c>
      <c r="J4327" s="3">
        <f t="shared" si="681"/>
        <v>56579812.414397076</v>
      </c>
    </row>
    <row r="4328" spans="2:10" x14ac:dyDescent="0.35">
      <c r="B4328" s="1">
        <f t="shared" si="685"/>
        <v>31</v>
      </c>
      <c r="C4328" s="22">
        <v>46143</v>
      </c>
      <c r="D4328" s="22">
        <v>46173</v>
      </c>
      <c r="E4328" s="23">
        <v>31</v>
      </c>
      <c r="F4328" s="3">
        <f t="shared" si="682"/>
        <v>56579812.414397076</v>
      </c>
      <c r="G4328" s="3">
        <f t="shared" si="686"/>
        <v>3398018.3211762263</v>
      </c>
      <c r="H4328" s="3">
        <f t="shared" si="687"/>
        <v>471498.4367866423</v>
      </c>
      <c r="I4328" s="3">
        <f t="shared" si="680"/>
        <v>2926519.884389584</v>
      </c>
      <c r="J4328" s="3">
        <f t="shared" si="681"/>
        <v>53653292.530007489</v>
      </c>
    </row>
    <row r="4329" spans="2:10" x14ac:dyDescent="0.35">
      <c r="B4329" s="1">
        <f t="shared" si="685"/>
        <v>32</v>
      </c>
      <c r="C4329" s="22">
        <v>46174</v>
      </c>
      <c r="D4329" s="22">
        <v>46203</v>
      </c>
      <c r="E4329" s="23">
        <v>30</v>
      </c>
      <c r="F4329" s="3">
        <f t="shared" si="682"/>
        <v>53653292.530007489</v>
      </c>
      <c r="G4329" s="3">
        <f t="shared" si="686"/>
        <v>3398018.3211762263</v>
      </c>
      <c r="H4329" s="3">
        <f t="shared" si="687"/>
        <v>447110.77108339575</v>
      </c>
      <c r="I4329" s="3">
        <f t="shared" ref="I4329:I4345" si="688">G4329-H4329</f>
        <v>2950907.5500928303</v>
      </c>
      <c r="J4329" s="3">
        <f t="shared" ref="J4329:J4345" si="689">F4329-I4329</f>
        <v>50702384.979914658</v>
      </c>
    </row>
    <row r="4330" spans="2:10" x14ac:dyDescent="0.35">
      <c r="B4330" s="1">
        <f t="shared" si="685"/>
        <v>33</v>
      </c>
      <c r="C4330" s="22">
        <v>46204</v>
      </c>
      <c r="D4330" s="22">
        <v>46234</v>
      </c>
      <c r="E4330" s="23">
        <v>31</v>
      </c>
      <c r="F4330" s="3">
        <f t="shared" si="682"/>
        <v>50702384.979914658</v>
      </c>
      <c r="G4330" s="3">
        <f t="shared" si="686"/>
        <v>3398018.3211762263</v>
      </c>
      <c r="H4330" s="3">
        <f t="shared" si="687"/>
        <v>422519.87483262212</v>
      </c>
      <c r="I4330" s="3">
        <f t="shared" si="688"/>
        <v>2975498.446343604</v>
      </c>
      <c r="J4330" s="3">
        <f t="shared" si="689"/>
        <v>47726886.533571057</v>
      </c>
    </row>
    <row r="4331" spans="2:10" x14ac:dyDescent="0.35">
      <c r="B4331" s="1">
        <f t="shared" si="685"/>
        <v>34</v>
      </c>
      <c r="C4331" s="22">
        <v>46235</v>
      </c>
      <c r="D4331" s="22">
        <v>46265</v>
      </c>
      <c r="E4331" s="23">
        <v>31</v>
      </c>
      <c r="F4331" s="3">
        <f t="shared" si="682"/>
        <v>47726886.533571057</v>
      </c>
      <c r="G4331" s="3">
        <f t="shared" si="686"/>
        <v>3398018.3211762263</v>
      </c>
      <c r="H4331" s="3">
        <f t="shared" si="687"/>
        <v>397724.05444642546</v>
      </c>
      <c r="I4331" s="3">
        <f t="shared" si="688"/>
        <v>3000294.266729801</v>
      </c>
      <c r="J4331" s="3">
        <f t="shared" si="689"/>
        <v>44726592.266841255</v>
      </c>
    </row>
    <row r="4332" spans="2:10" x14ac:dyDescent="0.35">
      <c r="B4332" s="1">
        <f t="shared" si="685"/>
        <v>35</v>
      </c>
      <c r="C4332" s="22">
        <v>46266</v>
      </c>
      <c r="D4332" s="22">
        <v>46295</v>
      </c>
      <c r="E4332" s="23">
        <v>30</v>
      </c>
      <c r="F4332" s="3">
        <f t="shared" si="682"/>
        <v>44726592.266841255</v>
      </c>
      <c r="G4332" s="3">
        <f t="shared" si="686"/>
        <v>3398018.3211762263</v>
      </c>
      <c r="H4332" s="3">
        <f t="shared" si="687"/>
        <v>372721.6022236771</v>
      </c>
      <c r="I4332" s="3">
        <f t="shared" si="688"/>
        <v>3025296.7189525492</v>
      </c>
      <c r="J4332" s="3">
        <f t="shared" si="689"/>
        <v>41701295.547888704</v>
      </c>
    </row>
    <row r="4333" spans="2:10" x14ac:dyDescent="0.35">
      <c r="B4333" s="1">
        <f t="shared" si="685"/>
        <v>36</v>
      </c>
      <c r="C4333" s="22">
        <v>46296</v>
      </c>
      <c r="D4333" s="22">
        <v>46326</v>
      </c>
      <c r="E4333" s="23">
        <v>31</v>
      </c>
      <c r="F4333" s="3">
        <f t="shared" si="682"/>
        <v>41701295.547888704</v>
      </c>
      <c r="G4333" s="3">
        <f t="shared" si="686"/>
        <v>3398018.3211762263</v>
      </c>
      <c r="H4333" s="3">
        <f t="shared" si="687"/>
        <v>347510.79623240588</v>
      </c>
      <c r="I4333" s="3">
        <f t="shared" si="688"/>
        <v>3050507.5249438202</v>
      </c>
      <c r="J4333" s="3">
        <f t="shared" si="689"/>
        <v>38650788.022944883</v>
      </c>
    </row>
    <row r="4334" spans="2:10" x14ac:dyDescent="0.35">
      <c r="B4334" s="1">
        <f t="shared" si="685"/>
        <v>37</v>
      </c>
      <c r="C4334" s="22">
        <v>46327</v>
      </c>
      <c r="D4334" s="22">
        <v>46356</v>
      </c>
      <c r="E4334" s="23">
        <v>30</v>
      </c>
      <c r="F4334" s="3">
        <f t="shared" si="682"/>
        <v>38650788.022944883</v>
      </c>
      <c r="G4334" s="3">
        <f t="shared" si="686"/>
        <v>3398018.3211762263</v>
      </c>
      <c r="H4334" s="3">
        <f t="shared" si="687"/>
        <v>322089.90019120736</v>
      </c>
      <c r="I4334" s="3">
        <f t="shared" si="688"/>
        <v>3075928.4209850188</v>
      </c>
      <c r="J4334" s="3">
        <f t="shared" si="689"/>
        <v>35574859.601959862</v>
      </c>
    </row>
    <row r="4335" spans="2:10" x14ac:dyDescent="0.35">
      <c r="B4335" s="1">
        <f t="shared" si="685"/>
        <v>38</v>
      </c>
      <c r="C4335" s="22">
        <v>46357</v>
      </c>
      <c r="D4335" s="22">
        <v>46387</v>
      </c>
      <c r="E4335" s="23">
        <v>31</v>
      </c>
      <c r="F4335" s="3">
        <f t="shared" si="682"/>
        <v>35574859.601959862</v>
      </c>
      <c r="G4335" s="3">
        <f t="shared" si="686"/>
        <v>3398018.3211762263</v>
      </c>
      <c r="H4335" s="3">
        <f t="shared" si="687"/>
        <v>296457.16334966553</v>
      </c>
      <c r="I4335" s="3">
        <f t="shared" si="688"/>
        <v>3101561.1578265605</v>
      </c>
      <c r="J4335" s="3">
        <f t="shared" si="689"/>
        <v>32473298.4441333</v>
      </c>
    </row>
    <row r="4336" spans="2:10" x14ac:dyDescent="0.35">
      <c r="B4336" s="1">
        <f t="shared" si="685"/>
        <v>39</v>
      </c>
      <c r="C4336" s="22">
        <v>46388</v>
      </c>
      <c r="D4336" s="22">
        <v>46418</v>
      </c>
      <c r="E4336" s="23">
        <v>31</v>
      </c>
      <c r="F4336" s="3">
        <f t="shared" si="682"/>
        <v>32473298.4441333</v>
      </c>
      <c r="G4336" s="3">
        <f t="shared" si="686"/>
        <v>3398018.3211762263</v>
      </c>
      <c r="H4336" s="3">
        <f t="shared" si="687"/>
        <v>270610.82036777749</v>
      </c>
      <c r="I4336" s="3">
        <f t="shared" si="688"/>
        <v>3127407.5008084485</v>
      </c>
      <c r="J4336" s="3">
        <f t="shared" si="689"/>
        <v>29345890.943324853</v>
      </c>
    </row>
    <row r="4337" spans="2:19" x14ac:dyDescent="0.35">
      <c r="B4337" s="1">
        <f t="shared" si="685"/>
        <v>40</v>
      </c>
      <c r="C4337" s="22">
        <v>46419</v>
      </c>
      <c r="D4337" s="22">
        <v>46446</v>
      </c>
      <c r="E4337" s="23">
        <v>28</v>
      </c>
      <c r="F4337" s="3">
        <f t="shared" si="682"/>
        <v>29345890.943324853</v>
      </c>
      <c r="G4337" s="3">
        <f t="shared" si="686"/>
        <v>3398018.3211762263</v>
      </c>
      <c r="H4337" s="3">
        <f t="shared" si="687"/>
        <v>244549.09119437376</v>
      </c>
      <c r="I4337" s="3">
        <f t="shared" si="688"/>
        <v>3153469.2299818527</v>
      </c>
      <c r="J4337" s="3">
        <f t="shared" si="689"/>
        <v>26192421.713343002</v>
      </c>
    </row>
    <row r="4338" spans="2:19" x14ac:dyDescent="0.35">
      <c r="B4338" s="1">
        <f t="shared" si="685"/>
        <v>41</v>
      </c>
      <c r="C4338" s="22">
        <v>46447</v>
      </c>
      <c r="D4338" s="22">
        <v>46477</v>
      </c>
      <c r="E4338" s="23">
        <v>31</v>
      </c>
      <c r="F4338" s="3">
        <f t="shared" si="682"/>
        <v>26192421.713343002</v>
      </c>
      <c r="G4338" s="3">
        <f t="shared" si="686"/>
        <v>3398018.3211762263</v>
      </c>
      <c r="H4338" s="3">
        <f t="shared" si="687"/>
        <v>218270.18094452503</v>
      </c>
      <c r="I4338" s="3">
        <f t="shared" si="688"/>
        <v>3179748.1402317011</v>
      </c>
      <c r="J4338" s="3">
        <f t="shared" si="689"/>
        <v>23012673.573111299</v>
      </c>
    </row>
    <row r="4339" spans="2:19" x14ac:dyDescent="0.35">
      <c r="B4339" s="1">
        <f t="shared" si="685"/>
        <v>42</v>
      </c>
      <c r="C4339" s="22">
        <v>46478</v>
      </c>
      <c r="D4339" s="22">
        <v>46507</v>
      </c>
      <c r="E4339" s="23">
        <v>30</v>
      </c>
      <c r="F4339" s="3">
        <f t="shared" si="682"/>
        <v>23012673.573111299</v>
      </c>
      <c r="G4339" s="3">
        <f t="shared" si="686"/>
        <v>3398018.3211762263</v>
      </c>
      <c r="H4339" s="3">
        <f t="shared" si="687"/>
        <v>191772.27977592748</v>
      </c>
      <c r="I4339" s="3">
        <f t="shared" si="688"/>
        <v>3206246.0414002989</v>
      </c>
      <c r="J4339" s="3">
        <f t="shared" si="689"/>
        <v>19806427.531711001</v>
      </c>
    </row>
    <row r="4340" spans="2:19" x14ac:dyDescent="0.35">
      <c r="B4340" s="1">
        <f t="shared" si="685"/>
        <v>43</v>
      </c>
      <c r="C4340" s="22">
        <v>46508</v>
      </c>
      <c r="D4340" s="22">
        <v>46538</v>
      </c>
      <c r="E4340" s="23">
        <v>31</v>
      </c>
      <c r="F4340" s="3">
        <f t="shared" si="682"/>
        <v>19806427.531711001</v>
      </c>
      <c r="G4340" s="3">
        <f t="shared" si="686"/>
        <v>3398018.3211762263</v>
      </c>
      <c r="H4340" s="3">
        <f t="shared" si="687"/>
        <v>165053.56276425833</v>
      </c>
      <c r="I4340" s="3">
        <f t="shared" si="688"/>
        <v>3232964.7584119681</v>
      </c>
      <c r="J4340" s="3">
        <f t="shared" si="689"/>
        <v>16573462.773299033</v>
      </c>
    </row>
    <row r="4341" spans="2:19" x14ac:dyDescent="0.35">
      <c r="B4341" s="1">
        <f t="shared" si="685"/>
        <v>44</v>
      </c>
      <c r="C4341" s="22">
        <v>46539</v>
      </c>
      <c r="D4341" s="22">
        <v>46568</v>
      </c>
      <c r="E4341" s="23">
        <v>30</v>
      </c>
      <c r="F4341" s="3">
        <f t="shared" si="682"/>
        <v>16573462.773299033</v>
      </c>
      <c r="G4341" s="3">
        <f t="shared" si="686"/>
        <v>3398018.3211762263</v>
      </c>
      <c r="H4341" s="3">
        <f t="shared" si="687"/>
        <v>138112.18977749193</v>
      </c>
      <c r="I4341" s="3">
        <f t="shared" si="688"/>
        <v>3259906.1313987342</v>
      </c>
      <c r="J4341" s="3">
        <f t="shared" si="689"/>
        <v>13313556.641900299</v>
      </c>
    </row>
    <row r="4342" spans="2:19" x14ac:dyDescent="0.35">
      <c r="B4342" s="1">
        <f t="shared" si="685"/>
        <v>45</v>
      </c>
      <c r="C4342" s="22">
        <v>46569</v>
      </c>
      <c r="D4342" s="22">
        <v>46599</v>
      </c>
      <c r="E4342" s="23">
        <v>31</v>
      </c>
      <c r="F4342" s="3">
        <f t="shared" si="682"/>
        <v>13313556.641900299</v>
      </c>
      <c r="G4342" s="3">
        <f t="shared" si="686"/>
        <v>3398018.3211762263</v>
      </c>
      <c r="H4342" s="3">
        <f t="shared" si="687"/>
        <v>110946.30534916915</v>
      </c>
      <c r="I4342" s="3">
        <f t="shared" si="688"/>
        <v>3287072.015827057</v>
      </c>
      <c r="J4342" s="3">
        <f t="shared" si="689"/>
        <v>10026484.626073241</v>
      </c>
    </row>
    <row r="4343" spans="2:19" x14ac:dyDescent="0.35">
      <c r="B4343" s="1">
        <f t="shared" si="685"/>
        <v>46</v>
      </c>
      <c r="C4343" s="22">
        <v>46600</v>
      </c>
      <c r="D4343" s="22">
        <v>46630</v>
      </c>
      <c r="E4343" s="23">
        <v>31</v>
      </c>
      <c r="F4343" s="3">
        <f t="shared" si="682"/>
        <v>10026484.626073241</v>
      </c>
      <c r="G4343" s="3">
        <f t="shared" si="686"/>
        <v>3398018.3211762263</v>
      </c>
      <c r="H4343" s="3">
        <f t="shared" si="687"/>
        <v>83554.038550610348</v>
      </c>
      <c r="I4343" s="3">
        <f t="shared" si="688"/>
        <v>3314464.2826256161</v>
      </c>
      <c r="J4343" s="3">
        <f t="shared" si="689"/>
        <v>6712020.3434476256</v>
      </c>
    </row>
    <row r="4344" spans="2:19" x14ac:dyDescent="0.35">
      <c r="B4344" s="1">
        <f t="shared" si="685"/>
        <v>47</v>
      </c>
      <c r="C4344" s="22">
        <f>+D4343+1</f>
        <v>46631</v>
      </c>
      <c r="D4344" s="22">
        <f>+C4344+29</f>
        <v>46660</v>
      </c>
      <c r="E4344" s="23">
        <v>30</v>
      </c>
      <c r="F4344" s="3">
        <f t="shared" si="682"/>
        <v>6712020.3434476256</v>
      </c>
      <c r="G4344" s="3">
        <f t="shared" si="686"/>
        <v>3398018.3211762263</v>
      </c>
      <c r="H4344" s="3">
        <f t="shared" si="687"/>
        <v>55933.502862063549</v>
      </c>
      <c r="I4344" s="3">
        <f t="shared" si="688"/>
        <v>3342084.8183141625</v>
      </c>
      <c r="J4344" s="3">
        <f t="shared" si="689"/>
        <v>3369935.5251334631</v>
      </c>
    </row>
    <row r="4345" spans="2:19" x14ac:dyDescent="0.35">
      <c r="B4345" s="1">
        <f t="shared" si="685"/>
        <v>48</v>
      </c>
      <c r="C4345" s="22">
        <f>+D4344+1</f>
        <v>46661</v>
      </c>
      <c r="D4345" s="22">
        <f>+C4345+30</f>
        <v>46691</v>
      </c>
      <c r="E4345" s="23">
        <v>31</v>
      </c>
      <c r="F4345" s="3">
        <f t="shared" si="682"/>
        <v>3369935.5251334631</v>
      </c>
      <c r="G4345" s="3">
        <f t="shared" si="686"/>
        <v>3398018.3211762263</v>
      </c>
      <c r="H4345" s="3">
        <f t="shared" si="687"/>
        <v>28082.79604277886</v>
      </c>
      <c r="I4345" s="3">
        <f t="shared" si="688"/>
        <v>3369935.5251334473</v>
      </c>
      <c r="J4345" s="3">
        <f t="shared" si="689"/>
        <v>1.5832483768463135E-8</v>
      </c>
    </row>
    <row r="4351" spans="2:19" x14ac:dyDescent="0.35">
      <c r="B4351" s="1"/>
      <c r="C4351" s="8" t="s">
        <v>943</v>
      </c>
      <c r="D4351" s="3"/>
      <c r="E4351" s="3"/>
      <c r="F4351" s="3"/>
      <c r="G4351" s="3"/>
      <c r="H4351" s="3"/>
      <c r="I4351" s="3"/>
      <c r="J4351" s="3"/>
      <c r="K4351" s="3"/>
      <c r="L4351" s="3"/>
      <c r="R4351" s="438" t="s">
        <v>832</v>
      </c>
      <c r="S4351" s="432" t="str">
        <f>IFERROR(INDEX(Blocks!$I$2:$I$101,MATCH(79,Blocks!$A$2:$A$101,0)),"")</f>
        <v>000104460000081</v>
      </c>
    </row>
    <row r="4352" spans="2:19" x14ac:dyDescent="0.35">
      <c r="B4352" s="1"/>
      <c r="C4352" s="1"/>
      <c r="D4352" s="3"/>
      <c r="E4352" s="3"/>
      <c r="F4352" s="3"/>
      <c r="G4352" s="3"/>
      <c r="H4352" s="3"/>
      <c r="I4352" s="3"/>
      <c r="J4352" s="3"/>
      <c r="K4352" s="3"/>
      <c r="L4352" s="3"/>
      <c r="R4352" s="438" t="s">
        <v>834</v>
      </c>
      <c r="S4352" s="432" t="str">
        <f>IFERROR(INDEX(Blocks!$H$2:$H$101,MATCH(79,Blocks!$A$2:$A$101,0)),"")</f>
        <v>Sanwecka Tech Companions</v>
      </c>
    </row>
    <row r="4353" spans="2:19" x14ac:dyDescent="0.35">
      <c r="B4353" s="1"/>
      <c r="C4353" s="9" t="s">
        <v>835</v>
      </c>
      <c r="D4353" s="10">
        <v>60000000</v>
      </c>
      <c r="E4353" s="3"/>
      <c r="F4353" s="3"/>
      <c r="G4353" s="3"/>
      <c r="H4353" s="3"/>
      <c r="I4353" s="3"/>
      <c r="J4353" s="3"/>
      <c r="K4353" s="3"/>
      <c r="L4353" s="3"/>
      <c r="R4353" s="438" t="s">
        <v>223</v>
      </c>
      <c r="S4353" s="433">
        <f>IFERROR(INDEX('E-Banker master'!$N$2:$N$186,MATCH(S4351,'E-Banker master'!$A$2:$A$186,0)),"")</f>
        <v>60000000</v>
      </c>
    </row>
    <row r="4354" spans="2:19" x14ac:dyDescent="0.35">
      <c r="B4354" s="1"/>
      <c r="C4354" s="11" t="s">
        <v>837</v>
      </c>
      <c r="D4354" s="12">
        <v>0.1</v>
      </c>
      <c r="E4354" s="13"/>
      <c r="F4354" s="3"/>
      <c r="G4354" s="3"/>
      <c r="H4354" s="3"/>
      <c r="I4354" s="3"/>
      <c r="J4354" s="3"/>
      <c r="K4354" s="3"/>
      <c r="L4354" s="3"/>
      <c r="R4354" s="438" t="s">
        <v>52</v>
      </c>
      <c r="S4354" s="433">
        <f>IFERROR(INDEX('E-Banker master'!$P$2:$P$186,MATCH(S4351,'E-Banker master'!$A$2:$A$186,0)),"")</f>
        <v>45402003.850000001</v>
      </c>
    </row>
    <row r="4355" spans="2:19" x14ac:dyDescent="0.35">
      <c r="B4355" s="1"/>
      <c r="C4355" s="11" t="s">
        <v>838</v>
      </c>
      <c r="D4355" s="14">
        <v>3</v>
      </c>
      <c r="E4355" s="1"/>
      <c r="F4355" s="3"/>
      <c r="G4355" s="3"/>
      <c r="H4355" s="3"/>
      <c r="I4355" s="3"/>
      <c r="J4355" s="3"/>
      <c r="K4355" s="1"/>
      <c r="L4355" s="1"/>
    </row>
    <row r="4356" spans="2:19" x14ac:dyDescent="0.35">
      <c r="B4356" s="1"/>
      <c r="C4356" s="11" t="s">
        <v>839</v>
      </c>
      <c r="D4356" s="14">
        <v>12</v>
      </c>
      <c r="E4356" s="1"/>
      <c r="F4356" s="3"/>
      <c r="G4356" s="3"/>
      <c r="H4356" s="3"/>
      <c r="I4356" s="3"/>
      <c r="J4356" s="3"/>
      <c r="K4356" s="1"/>
      <c r="L4356" s="1"/>
    </row>
    <row r="4357" spans="2:19" x14ac:dyDescent="0.35">
      <c r="B4357" s="1"/>
      <c r="C4357" s="11" t="s">
        <v>843</v>
      </c>
      <c r="D4357" s="15">
        <f>D4355*D4356</f>
        <v>36</v>
      </c>
      <c r="E4357" s="1"/>
      <c r="F4357" s="3"/>
      <c r="G4357" s="3"/>
      <c r="H4357" s="3"/>
      <c r="I4357" s="3"/>
      <c r="J4357" s="3"/>
      <c r="K4357" s="1"/>
      <c r="L4357" s="1"/>
    </row>
    <row r="4358" spans="2:19" x14ac:dyDescent="0.35">
      <c r="B4358" s="1"/>
      <c r="C4358" s="11" t="s">
        <v>844</v>
      </c>
      <c r="D4358" s="16">
        <v>365</v>
      </c>
      <c r="E4358" s="1"/>
      <c r="F4358" s="3"/>
      <c r="G4358" s="3"/>
      <c r="H4358" s="3"/>
      <c r="I4358" s="3"/>
      <c r="J4358" s="3"/>
      <c r="K4358" s="1"/>
      <c r="L4358" s="1"/>
    </row>
    <row r="4359" spans="2:19" x14ac:dyDescent="0.35">
      <c r="B4359" s="1"/>
      <c r="C4359" s="17" t="s">
        <v>845</v>
      </c>
      <c r="D4359" s="18">
        <f>-PMT(D4354/D4356,D4357,D4353,0,0)</f>
        <v>1936031.2316302489</v>
      </c>
      <c r="E4359" s="3"/>
      <c r="F4359" s="3"/>
      <c r="G4359" s="3"/>
      <c r="H4359" s="3"/>
      <c r="I4359" s="3"/>
      <c r="J4359" s="3"/>
      <c r="K4359" s="1"/>
      <c r="L4359" s="1"/>
    </row>
    <row r="4360" spans="2:19" x14ac:dyDescent="0.35">
      <c r="B4360" s="1"/>
      <c r="C4360" s="1"/>
      <c r="D4360" s="3"/>
      <c r="E4360" s="3"/>
      <c r="F4360" s="3"/>
      <c r="G4360" s="3"/>
      <c r="H4360" s="3"/>
      <c r="I4360" s="3"/>
      <c r="J4360" s="3"/>
      <c r="K4360" s="1"/>
      <c r="L4360" s="1"/>
    </row>
    <row r="4361" spans="2:19" x14ac:dyDescent="0.35">
      <c r="B4361" s="1"/>
      <c r="C4361" s="19" t="s">
        <v>846</v>
      </c>
      <c r="D4361" s="20" t="s">
        <v>847</v>
      </c>
      <c r="E4361" s="20" t="s">
        <v>764</v>
      </c>
      <c r="F4361" s="270" t="s">
        <v>848</v>
      </c>
      <c r="G4361" s="270" t="s">
        <v>849</v>
      </c>
      <c r="H4361" s="270" t="s">
        <v>742</v>
      </c>
      <c r="I4361" s="270" t="s">
        <v>740</v>
      </c>
      <c r="J4361" s="270" t="s">
        <v>850</v>
      </c>
      <c r="K4361" s="21" t="s">
        <v>851</v>
      </c>
      <c r="L4361" s="21" t="s">
        <v>852</v>
      </c>
    </row>
    <row r="4362" spans="2:19" x14ac:dyDescent="0.35">
      <c r="B4362" s="1">
        <v>0</v>
      </c>
      <c r="C4362" s="22">
        <v>45252</v>
      </c>
      <c r="D4362" s="22">
        <v>45260</v>
      </c>
      <c r="E4362" s="291">
        <f>+D4362-C4362</f>
        <v>8</v>
      </c>
      <c r="F4362" s="3">
        <f>D4353</f>
        <v>60000000</v>
      </c>
      <c r="G4362" s="3">
        <f>H4362</f>
        <v>133333.33333333334</v>
      </c>
      <c r="H4362" s="3">
        <f>($D$4354/$D$4356*F4362*E4362/30)</f>
        <v>133333.33333333334</v>
      </c>
      <c r="I4362" s="3">
        <v>0</v>
      </c>
      <c r="J4362" s="3">
        <f t="shared" ref="J4362:J4398" si="690">F4362-I4362</f>
        <v>60000000</v>
      </c>
      <c r="L4362" s="141">
        <f>G4362</f>
        <v>133333.33333333334</v>
      </c>
    </row>
    <row r="4363" spans="2:19" x14ac:dyDescent="0.35">
      <c r="B4363" s="1">
        <v>1</v>
      </c>
      <c r="C4363" s="22">
        <v>45261</v>
      </c>
      <c r="D4363" s="22">
        <v>45291</v>
      </c>
      <c r="E4363" s="23">
        <v>30</v>
      </c>
      <c r="F4363" s="3">
        <f t="shared" ref="F4363:F4398" si="691">J4362</f>
        <v>60000000</v>
      </c>
      <c r="G4363" s="3">
        <f>H4363</f>
        <v>500000</v>
      </c>
      <c r="H4363" s="3">
        <f>($D$4354/$D$4356*$F$4363)</f>
        <v>500000</v>
      </c>
      <c r="I4363" s="3">
        <v>0</v>
      </c>
      <c r="J4363" s="3">
        <f t="shared" si="690"/>
        <v>60000000</v>
      </c>
      <c r="K4363" s="24"/>
      <c r="L4363" s="141">
        <f t="shared" ref="L4363:L4373" si="692">L4362+G4363-K4363</f>
        <v>633333.33333333337</v>
      </c>
    </row>
    <row r="4364" spans="2:19" x14ac:dyDescent="0.35">
      <c r="B4364" s="1">
        <v>2</v>
      </c>
      <c r="C4364" s="22">
        <v>45292</v>
      </c>
      <c r="D4364" s="22">
        <v>45322</v>
      </c>
      <c r="E4364" s="23">
        <v>31</v>
      </c>
      <c r="F4364" s="3">
        <f t="shared" si="691"/>
        <v>60000000</v>
      </c>
      <c r="G4364" s="3">
        <f>H4364</f>
        <v>500000</v>
      </c>
      <c r="H4364" s="3">
        <f>($D$4354/$D$4356*$F$4363)</f>
        <v>500000</v>
      </c>
      <c r="I4364" s="3">
        <f t="shared" ref="I4364:I4398" si="693">G4364-H4364</f>
        <v>0</v>
      </c>
      <c r="J4364" s="3">
        <f t="shared" si="690"/>
        <v>60000000</v>
      </c>
      <c r="K4364" s="24"/>
      <c r="L4364" s="141">
        <f t="shared" si="692"/>
        <v>1133333.3333333335</v>
      </c>
    </row>
    <row r="4365" spans="2:19" x14ac:dyDescent="0.35">
      <c r="B4365" s="1">
        <f t="shared" ref="B4365:B4398" si="694">+B4364+1</f>
        <v>3</v>
      </c>
      <c r="C4365" s="22">
        <v>45323</v>
      </c>
      <c r="D4365" s="22">
        <v>45351</v>
      </c>
      <c r="E4365" s="23">
        <v>31</v>
      </c>
      <c r="F4365" s="3">
        <f t="shared" si="691"/>
        <v>60000000</v>
      </c>
      <c r="G4365" s="3">
        <f>H4365</f>
        <v>500000</v>
      </c>
      <c r="H4365" s="3">
        <f>($D$4354/$D$4356*$F$4363)</f>
        <v>500000</v>
      </c>
      <c r="I4365" s="3">
        <f t="shared" si="693"/>
        <v>0</v>
      </c>
      <c r="J4365" s="3">
        <f t="shared" si="690"/>
        <v>60000000</v>
      </c>
      <c r="K4365" s="24">
        <v>2087144</v>
      </c>
      <c r="L4365" s="141">
        <f t="shared" si="692"/>
        <v>-453810.66666666651</v>
      </c>
    </row>
    <row r="4366" spans="2:19" x14ac:dyDescent="0.35">
      <c r="B4366" s="1">
        <f t="shared" si="694"/>
        <v>4</v>
      </c>
      <c r="C4366" s="22">
        <v>45352</v>
      </c>
      <c r="D4366" s="22">
        <v>45382</v>
      </c>
      <c r="E4366" s="23">
        <v>29</v>
      </c>
      <c r="F4366" s="3">
        <f t="shared" si="691"/>
        <v>60000000</v>
      </c>
      <c r="G4366" s="3">
        <f t="shared" ref="G4366:G4398" si="695">-PMT($D$4354/$D$4356,33,$F$4366,,0)</f>
        <v>2087143.7132906471</v>
      </c>
      <c r="H4366" s="3">
        <f>($D$4354/$D$4356*$F$4366)</f>
        <v>500000</v>
      </c>
      <c r="I4366" s="3">
        <f t="shared" si="693"/>
        <v>1587143.7132906471</v>
      </c>
      <c r="J4366" s="3">
        <f t="shared" si="690"/>
        <v>58412856.286709353</v>
      </c>
      <c r="K4366" s="24"/>
      <c r="L4366" s="141">
        <f t="shared" si="692"/>
        <v>1633333.0466239806</v>
      </c>
    </row>
    <row r="4367" spans="2:19" x14ac:dyDescent="0.35">
      <c r="B4367" s="1">
        <f t="shared" si="694"/>
        <v>5</v>
      </c>
      <c r="C4367" s="22">
        <v>45383</v>
      </c>
      <c r="D4367" s="22">
        <v>45412</v>
      </c>
      <c r="E4367" s="23">
        <v>31</v>
      </c>
      <c r="F4367" s="3">
        <f t="shared" si="691"/>
        <v>58412856.286709353</v>
      </c>
      <c r="G4367" s="3">
        <f t="shared" si="695"/>
        <v>2087143.7132906471</v>
      </c>
      <c r="H4367" s="3">
        <f>($D$4354/$D$4356*$F$4367)</f>
        <v>486773.80238924461</v>
      </c>
      <c r="I4367" s="3">
        <f t="shared" si="693"/>
        <v>1600369.9109014026</v>
      </c>
      <c r="J4367" s="3">
        <f t="shared" si="690"/>
        <v>56812486.375807948</v>
      </c>
      <c r="K4367" s="24">
        <v>2087144</v>
      </c>
      <c r="L4367" s="141">
        <f t="shared" si="692"/>
        <v>1633332.7599146278</v>
      </c>
    </row>
    <row r="4368" spans="2:19" x14ac:dyDescent="0.35">
      <c r="B4368" s="1">
        <f t="shared" si="694"/>
        <v>6</v>
      </c>
      <c r="C4368" s="22">
        <v>45413</v>
      </c>
      <c r="D4368" s="22">
        <v>45443</v>
      </c>
      <c r="E4368" s="23">
        <v>30</v>
      </c>
      <c r="F4368" s="3">
        <f t="shared" si="691"/>
        <v>56812486.375807948</v>
      </c>
      <c r="G4368" s="3">
        <f t="shared" si="695"/>
        <v>2087143.7132906471</v>
      </c>
      <c r="H4368" s="3">
        <f>($D$4354/$D$4356*$F$4368)</f>
        <v>473437.38646506623</v>
      </c>
      <c r="I4368" s="3">
        <f t="shared" si="693"/>
        <v>1613706.326825581</v>
      </c>
      <c r="J4368" s="3">
        <f t="shared" si="690"/>
        <v>55198780.048982367</v>
      </c>
      <c r="K4368" s="24">
        <f>2087145+133000</f>
        <v>2220145</v>
      </c>
      <c r="L4368" s="141">
        <f t="shared" si="692"/>
        <v>1500331.4732052749</v>
      </c>
    </row>
    <row r="4369" spans="2:12" x14ac:dyDescent="0.35">
      <c r="B4369" s="1">
        <f t="shared" si="694"/>
        <v>7</v>
      </c>
      <c r="C4369" s="22">
        <v>45444</v>
      </c>
      <c r="D4369" s="22">
        <v>45473</v>
      </c>
      <c r="E4369" s="23">
        <v>31</v>
      </c>
      <c r="F4369" s="3">
        <f t="shared" si="691"/>
        <v>55198780.048982367</v>
      </c>
      <c r="G4369" s="3">
        <f t="shared" si="695"/>
        <v>2087143.7132906471</v>
      </c>
      <c r="H4369" s="3">
        <f>($D$4354/$D$4356*$F$4369)</f>
        <v>459989.83374151972</v>
      </c>
      <c r="I4369" s="3">
        <f t="shared" si="693"/>
        <v>1627153.8795491275</v>
      </c>
      <c r="J4369" s="3">
        <f t="shared" si="690"/>
        <v>53571626.169433236</v>
      </c>
      <c r="K4369" s="24">
        <v>2100000</v>
      </c>
      <c r="L4369" s="141">
        <f t="shared" si="692"/>
        <v>1487475.186495922</v>
      </c>
    </row>
    <row r="4370" spans="2:12" x14ac:dyDescent="0.35">
      <c r="B4370" s="1">
        <f t="shared" si="694"/>
        <v>8</v>
      </c>
      <c r="C4370" s="22">
        <v>45474</v>
      </c>
      <c r="D4370" s="22">
        <v>45504</v>
      </c>
      <c r="E4370" s="23">
        <v>30</v>
      </c>
      <c r="F4370" s="3">
        <f t="shared" si="691"/>
        <v>53571626.169433236</v>
      </c>
      <c r="G4370" s="3">
        <f t="shared" si="695"/>
        <v>2087143.7132906471</v>
      </c>
      <c r="H4370" s="3">
        <f>($D$4354/$D$4356*$F$4370)</f>
        <v>446430.21807861031</v>
      </c>
      <c r="I4370" s="3">
        <f t="shared" si="693"/>
        <v>1640713.4952120369</v>
      </c>
      <c r="J4370" s="3">
        <f t="shared" si="690"/>
        <v>51930912.674221203</v>
      </c>
      <c r="K4370" s="24">
        <v>2087000</v>
      </c>
      <c r="L4370" s="141">
        <f t="shared" si="692"/>
        <v>1487618.8997865692</v>
      </c>
    </row>
    <row r="4371" spans="2:12" x14ac:dyDescent="0.35">
      <c r="B4371" s="1">
        <f t="shared" si="694"/>
        <v>9</v>
      </c>
      <c r="C4371" s="22">
        <v>45505</v>
      </c>
      <c r="D4371" s="22">
        <v>45535</v>
      </c>
      <c r="E4371" s="23">
        <v>31</v>
      </c>
      <c r="F4371" s="3">
        <f t="shared" si="691"/>
        <v>51930912.674221203</v>
      </c>
      <c r="G4371" s="3">
        <f t="shared" si="695"/>
        <v>2087143.7132906471</v>
      </c>
      <c r="H4371" s="3">
        <f>($D$4354/$D$4356*$F$4371)</f>
        <v>432757.60561850999</v>
      </c>
      <c r="I4371" s="3">
        <f t="shared" si="693"/>
        <v>1654386.1076721372</v>
      </c>
      <c r="J4371" s="3">
        <f t="shared" si="690"/>
        <v>50276526.566549063</v>
      </c>
      <c r="K4371" s="24">
        <v>2087000</v>
      </c>
      <c r="L4371" s="141">
        <f t="shared" si="692"/>
        <v>1487762.6130772163</v>
      </c>
    </row>
    <row r="4372" spans="2:12" x14ac:dyDescent="0.35">
      <c r="B4372" s="1">
        <f t="shared" si="694"/>
        <v>10</v>
      </c>
      <c r="C4372" s="22">
        <v>45536</v>
      </c>
      <c r="D4372" s="22">
        <v>45565</v>
      </c>
      <c r="E4372" s="23">
        <v>31</v>
      </c>
      <c r="F4372" s="3">
        <f t="shared" si="691"/>
        <v>50276526.566549063</v>
      </c>
      <c r="G4372" s="3">
        <f t="shared" si="695"/>
        <v>2087143.7132906471</v>
      </c>
      <c r="H4372" s="3">
        <f>($D$4354/$D$4356*$F$4372)</f>
        <v>418971.05472124217</v>
      </c>
      <c r="I4372" s="3">
        <f t="shared" si="693"/>
        <v>1668172.6585694049</v>
      </c>
      <c r="J4372" s="3">
        <f t="shared" si="690"/>
        <v>48608353.90797966</v>
      </c>
      <c r="K4372" s="24">
        <f>2600000+2287000</f>
        <v>4887000</v>
      </c>
      <c r="L4372" s="141">
        <f t="shared" si="692"/>
        <v>-1312093.6736321365</v>
      </c>
    </row>
    <row r="4373" spans="2:12" x14ac:dyDescent="0.35">
      <c r="B4373" s="1">
        <f t="shared" si="694"/>
        <v>11</v>
      </c>
      <c r="C4373" s="22">
        <v>45566</v>
      </c>
      <c r="D4373" s="22">
        <v>45596</v>
      </c>
      <c r="E4373" s="23">
        <v>30</v>
      </c>
      <c r="F4373" s="3">
        <f t="shared" si="691"/>
        <v>48608353.90797966</v>
      </c>
      <c r="G4373" s="3">
        <f t="shared" si="695"/>
        <v>2087143.7132906471</v>
      </c>
      <c r="H4373" s="3">
        <f>($D$4354/$D$4356*$F$4373)</f>
        <v>405069.61589983047</v>
      </c>
      <c r="I4373" s="3">
        <f t="shared" si="693"/>
        <v>1682074.0973908165</v>
      </c>
      <c r="J4373" s="3">
        <f t="shared" si="690"/>
        <v>46926279.810588844</v>
      </c>
      <c r="K4373" s="24">
        <v>2287000</v>
      </c>
      <c r="L4373" s="323">
        <f t="shared" si="692"/>
        <v>-1511949.9603414894</v>
      </c>
    </row>
    <row r="4374" spans="2:12" x14ac:dyDescent="0.35">
      <c r="B4374" s="1">
        <f t="shared" si="694"/>
        <v>12</v>
      </c>
      <c r="C4374" s="22">
        <v>45597</v>
      </c>
      <c r="D4374" s="22">
        <v>45626</v>
      </c>
      <c r="E4374" s="23">
        <v>31</v>
      </c>
      <c r="F4374" s="3">
        <f t="shared" si="691"/>
        <v>46926279.810588844</v>
      </c>
      <c r="G4374" s="3">
        <f t="shared" si="695"/>
        <v>2087143.7132906471</v>
      </c>
      <c r="H4374" s="3">
        <f>($D$4354/$D$4356*$F$4374)</f>
        <v>391052.33175490703</v>
      </c>
      <c r="I4374" s="3">
        <f t="shared" si="693"/>
        <v>1696091.3815357401</v>
      </c>
      <c r="J4374" s="3">
        <f t="shared" si="690"/>
        <v>45230188.429053105</v>
      </c>
      <c r="K4374" s="24"/>
      <c r="L4374" s="24"/>
    </row>
    <row r="4375" spans="2:12" x14ac:dyDescent="0.35">
      <c r="B4375" s="1">
        <f t="shared" si="694"/>
        <v>13</v>
      </c>
      <c r="C4375" s="22">
        <v>45627</v>
      </c>
      <c r="D4375" s="22">
        <v>45657</v>
      </c>
      <c r="E4375" s="23">
        <v>30</v>
      </c>
      <c r="F4375" s="3">
        <f t="shared" si="691"/>
        <v>45230188.429053105</v>
      </c>
      <c r="G4375" s="3">
        <f t="shared" si="695"/>
        <v>2087143.7132906471</v>
      </c>
      <c r="H4375" s="3">
        <f>($D$4354/$D$4356*$F$4375)</f>
        <v>376918.23690877587</v>
      </c>
      <c r="I4375" s="3">
        <f t="shared" si="693"/>
        <v>1710225.4763818714</v>
      </c>
      <c r="J4375" s="3">
        <f t="shared" si="690"/>
        <v>43519962.952671237</v>
      </c>
      <c r="K4375" s="24"/>
      <c r="L4375" s="24"/>
    </row>
    <row r="4376" spans="2:12" x14ac:dyDescent="0.35">
      <c r="B4376" s="1">
        <f t="shared" si="694"/>
        <v>14</v>
      </c>
      <c r="C4376" s="22">
        <v>45658</v>
      </c>
      <c r="D4376" s="22">
        <v>45688</v>
      </c>
      <c r="E4376" s="23">
        <v>31</v>
      </c>
      <c r="F4376" s="3">
        <f t="shared" si="691"/>
        <v>43519962.952671237</v>
      </c>
      <c r="G4376" s="3">
        <f t="shared" si="695"/>
        <v>2087143.7132906471</v>
      </c>
      <c r="H4376" s="3">
        <f>($D$4354/$D$4356*$F$4376)</f>
        <v>362666.35793892696</v>
      </c>
      <c r="I4376" s="3">
        <f t="shared" si="693"/>
        <v>1724477.3553517202</v>
      </c>
      <c r="J4376" s="3">
        <f t="shared" si="690"/>
        <v>41795485.597319514</v>
      </c>
      <c r="K4376" s="24"/>
      <c r="L4376" s="24"/>
    </row>
    <row r="4377" spans="2:12" x14ac:dyDescent="0.35">
      <c r="B4377" s="1">
        <f t="shared" si="694"/>
        <v>15</v>
      </c>
      <c r="C4377" s="22">
        <v>45689</v>
      </c>
      <c r="D4377" s="22">
        <v>45716</v>
      </c>
      <c r="E4377" s="23">
        <v>31</v>
      </c>
      <c r="F4377" s="3">
        <f t="shared" si="691"/>
        <v>41795485.597319514</v>
      </c>
      <c r="G4377" s="3">
        <f t="shared" si="695"/>
        <v>2087143.7132906471</v>
      </c>
      <c r="H4377" s="3">
        <f>($D$4354/$D$4356*$F$4377)</f>
        <v>348295.71331099595</v>
      </c>
      <c r="I4377" s="3">
        <f t="shared" si="693"/>
        <v>1738847.9999796511</v>
      </c>
      <c r="J4377" s="3">
        <f t="shared" si="690"/>
        <v>40056637.597339861</v>
      </c>
      <c r="K4377" s="24"/>
      <c r="L4377" s="24"/>
    </row>
    <row r="4378" spans="2:12" x14ac:dyDescent="0.35">
      <c r="B4378" s="1">
        <f t="shared" si="694"/>
        <v>16</v>
      </c>
      <c r="C4378" s="22">
        <v>45717</v>
      </c>
      <c r="D4378" s="22">
        <v>45747</v>
      </c>
      <c r="E4378" s="23">
        <v>28</v>
      </c>
      <c r="F4378" s="3">
        <f t="shared" si="691"/>
        <v>40056637.597339861</v>
      </c>
      <c r="G4378" s="3">
        <f t="shared" si="695"/>
        <v>2087143.7132906471</v>
      </c>
      <c r="H4378" s="3">
        <f>($D$4354/$D$4356*$F$4378)</f>
        <v>333805.31331116549</v>
      </c>
      <c r="I4378" s="3">
        <f t="shared" si="693"/>
        <v>1753338.3999794817</v>
      </c>
      <c r="J4378" s="3">
        <f t="shared" si="690"/>
        <v>38303299.197360381</v>
      </c>
      <c r="K4378" s="24"/>
      <c r="L4378" s="24"/>
    </row>
    <row r="4379" spans="2:12" x14ac:dyDescent="0.35">
      <c r="B4379" s="1">
        <f t="shared" si="694"/>
        <v>17</v>
      </c>
      <c r="C4379" s="22">
        <v>45748</v>
      </c>
      <c r="D4379" s="22">
        <v>45777</v>
      </c>
      <c r="E4379" s="23">
        <v>31</v>
      </c>
      <c r="F4379" s="3">
        <f t="shared" si="691"/>
        <v>38303299.197360381</v>
      </c>
      <c r="G4379" s="3">
        <f t="shared" si="695"/>
        <v>2087143.7132906471</v>
      </c>
      <c r="H4379" s="3">
        <f>($D$4354/$D$4356*$F$4379)</f>
        <v>319194.15997800318</v>
      </c>
      <c r="I4379" s="3">
        <f t="shared" si="693"/>
        <v>1767949.5533126439</v>
      </c>
      <c r="J4379" s="3">
        <f t="shared" si="690"/>
        <v>36535349.644047737</v>
      </c>
      <c r="K4379" s="24"/>
      <c r="L4379" s="24"/>
    </row>
    <row r="4380" spans="2:12" x14ac:dyDescent="0.35">
      <c r="B4380" s="1">
        <f t="shared" si="694"/>
        <v>18</v>
      </c>
      <c r="C4380" s="22">
        <v>45778</v>
      </c>
      <c r="D4380" s="22">
        <v>45808</v>
      </c>
      <c r="E4380" s="23">
        <v>30</v>
      </c>
      <c r="F4380" s="3">
        <f t="shared" si="691"/>
        <v>36535349.644047737</v>
      </c>
      <c r="G4380" s="3">
        <f t="shared" si="695"/>
        <v>2087143.7132906471</v>
      </c>
      <c r="H4380" s="3">
        <f>($D$4354/$D$4356*$F$4380)</f>
        <v>304461.24703373114</v>
      </c>
      <c r="I4380" s="3">
        <f t="shared" si="693"/>
        <v>1782682.4662569161</v>
      </c>
      <c r="J4380" s="3">
        <f t="shared" si="690"/>
        <v>34752667.177790821</v>
      </c>
      <c r="K4380" s="24"/>
      <c r="L4380" s="24"/>
    </row>
    <row r="4381" spans="2:12" x14ac:dyDescent="0.35">
      <c r="B4381" s="1">
        <f t="shared" si="694"/>
        <v>19</v>
      </c>
      <c r="C4381" s="22">
        <v>45809</v>
      </c>
      <c r="D4381" s="22">
        <v>45838</v>
      </c>
      <c r="E4381" s="23">
        <v>31</v>
      </c>
      <c r="F4381" s="3">
        <f t="shared" si="691"/>
        <v>34752667.177790821</v>
      </c>
      <c r="G4381" s="3">
        <f t="shared" si="695"/>
        <v>2087143.7132906471</v>
      </c>
      <c r="H4381" s="3">
        <f>($D$4354/$D$4356*$F$4381)</f>
        <v>289605.5598149235</v>
      </c>
      <c r="I4381" s="3">
        <f t="shared" si="693"/>
        <v>1797538.1534757237</v>
      </c>
      <c r="J4381" s="3">
        <f t="shared" si="690"/>
        <v>32955129.024315096</v>
      </c>
      <c r="K4381" s="24"/>
      <c r="L4381" s="24"/>
    </row>
    <row r="4382" spans="2:12" x14ac:dyDescent="0.35">
      <c r="B4382" s="1">
        <f t="shared" si="694"/>
        <v>20</v>
      </c>
      <c r="C4382" s="22">
        <v>45839</v>
      </c>
      <c r="D4382" s="22">
        <v>45868</v>
      </c>
      <c r="E4382" s="23">
        <v>30</v>
      </c>
      <c r="F4382" s="3">
        <f t="shared" si="691"/>
        <v>32955129.024315096</v>
      </c>
      <c r="G4382" s="3">
        <f t="shared" si="695"/>
        <v>2087143.7132906471</v>
      </c>
      <c r="H4382" s="3">
        <f>($D$4354/$D$4356*$F$4382)</f>
        <v>274626.07520262583</v>
      </c>
      <c r="I4382" s="3">
        <f t="shared" si="693"/>
        <v>1812517.6380880214</v>
      </c>
      <c r="J4382" s="3">
        <f t="shared" si="690"/>
        <v>31142611.386227075</v>
      </c>
      <c r="K4382" s="24"/>
      <c r="L4382" s="24"/>
    </row>
    <row r="4383" spans="2:12" x14ac:dyDescent="0.35">
      <c r="B4383" s="1">
        <f t="shared" si="694"/>
        <v>21</v>
      </c>
      <c r="C4383" s="22">
        <v>45870</v>
      </c>
      <c r="D4383" s="22">
        <v>45899</v>
      </c>
      <c r="E4383" s="23">
        <v>30</v>
      </c>
      <c r="F4383" s="3">
        <f t="shared" si="691"/>
        <v>31142611.386227075</v>
      </c>
      <c r="G4383" s="3">
        <f t="shared" si="695"/>
        <v>2087143.7132906471</v>
      </c>
      <c r="H4383" s="3">
        <f>($D$4354/$D$4356*$F$4383)</f>
        <v>259521.7615518923</v>
      </c>
      <c r="I4383" s="3">
        <f t="shared" si="693"/>
        <v>1827621.9517387548</v>
      </c>
      <c r="J4383" s="3">
        <f t="shared" si="690"/>
        <v>29314989.434488319</v>
      </c>
      <c r="K4383" s="24"/>
      <c r="L4383" s="24"/>
    </row>
    <row r="4384" spans="2:12" x14ac:dyDescent="0.35">
      <c r="B4384" s="1">
        <f t="shared" si="694"/>
        <v>22</v>
      </c>
      <c r="C4384" s="22">
        <v>45901</v>
      </c>
      <c r="D4384" s="22">
        <v>45930</v>
      </c>
      <c r="E4384" s="23">
        <v>30</v>
      </c>
      <c r="F4384" s="3">
        <f t="shared" si="691"/>
        <v>29314989.434488319</v>
      </c>
      <c r="G4384" s="3">
        <f t="shared" si="695"/>
        <v>2087143.7132906471</v>
      </c>
      <c r="H4384" s="3">
        <f>($D$4354/$D$4356*$F$4384)</f>
        <v>244291.57862073599</v>
      </c>
      <c r="I4384" s="3">
        <f t="shared" si="693"/>
        <v>1842852.1346699111</v>
      </c>
      <c r="J4384" s="3">
        <f t="shared" si="690"/>
        <v>27472137.299818408</v>
      </c>
      <c r="K4384" s="24"/>
      <c r="L4384" s="24"/>
    </row>
    <row r="4385" spans="2:10" x14ac:dyDescent="0.35">
      <c r="B4385" s="1">
        <f t="shared" si="694"/>
        <v>23</v>
      </c>
      <c r="C4385" s="22">
        <v>45931</v>
      </c>
      <c r="D4385" s="22">
        <v>45961</v>
      </c>
      <c r="E4385" s="23">
        <v>30</v>
      </c>
      <c r="F4385" s="3">
        <f t="shared" si="691"/>
        <v>27472137.299818408</v>
      </c>
      <c r="G4385" s="3">
        <f t="shared" si="695"/>
        <v>2087143.7132906471</v>
      </c>
      <c r="H4385" s="3">
        <f>($D$4354/$D$4356*$F$4385)</f>
        <v>228934.47749848673</v>
      </c>
      <c r="I4385" s="3">
        <f t="shared" si="693"/>
        <v>1858209.2357921605</v>
      </c>
      <c r="J4385" s="3">
        <f t="shared" si="690"/>
        <v>25613928.064026248</v>
      </c>
    </row>
    <row r="4386" spans="2:10" x14ac:dyDescent="0.35">
      <c r="B4386" s="1">
        <f t="shared" si="694"/>
        <v>24</v>
      </c>
      <c r="C4386" s="22">
        <v>45962</v>
      </c>
      <c r="D4386" s="22">
        <v>45991</v>
      </c>
      <c r="E4386" s="23">
        <v>31</v>
      </c>
      <c r="F4386" s="3">
        <f t="shared" si="691"/>
        <v>25613928.064026248</v>
      </c>
      <c r="G4386" s="3">
        <f t="shared" si="695"/>
        <v>2087143.7132906471</v>
      </c>
      <c r="H4386" s="3">
        <f>($D$4354/$D$4356*$F$4386)</f>
        <v>213449.40053355205</v>
      </c>
      <c r="I4386" s="3">
        <f t="shared" si="693"/>
        <v>1873694.3127570951</v>
      </c>
      <c r="J4386" s="3">
        <f t="shared" si="690"/>
        <v>23740233.751269154</v>
      </c>
    </row>
    <row r="4387" spans="2:10" x14ac:dyDescent="0.35">
      <c r="B4387" s="1">
        <f t="shared" si="694"/>
        <v>25</v>
      </c>
      <c r="C4387" s="22">
        <v>45992</v>
      </c>
      <c r="D4387" s="22">
        <v>46022</v>
      </c>
      <c r="E4387" s="23">
        <v>30</v>
      </c>
      <c r="F4387" s="3">
        <f t="shared" si="691"/>
        <v>23740233.751269154</v>
      </c>
      <c r="G4387" s="3">
        <f t="shared" si="695"/>
        <v>2087143.7132906471</v>
      </c>
      <c r="H4387" s="3">
        <f>($D$4354/$D$4356*$F$4387)</f>
        <v>197835.28126057627</v>
      </c>
      <c r="I4387" s="3">
        <f t="shared" si="693"/>
        <v>1889308.4320300708</v>
      </c>
      <c r="J4387" s="3">
        <f t="shared" si="690"/>
        <v>21850925.319239084</v>
      </c>
    </row>
    <row r="4388" spans="2:10" x14ac:dyDescent="0.35">
      <c r="B4388" s="1">
        <f t="shared" si="694"/>
        <v>26</v>
      </c>
      <c r="C4388" s="22">
        <v>46023</v>
      </c>
      <c r="D4388" s="22">
        <v>46053</v>
      </c>
      <c r="E4388" s="23">
        <v>31</v>
      </c>
      <c r="F4388" s="3">
        <f t="shared" si="691"/>
        <v>21850925.319239084</v>
      </c>
      <c r="G4388" s="3">
        <f t="shared" si="695"/>
        <v>2087143.7132906471</v>
      </c>
      <c r="H4388" s="3">
        <f>($D$4354/$D$4356*$F$4388)</f>
        <v>182091.04432699236</v>
      </c>
      <c r="I4388" s="3">
        <f t="shared" si="693"/>
        <v>1905052.6689636549</v>
      </c>
      <c r="J4388" s="3">
        <f t="shared" si="690"/>
        <v>19945872.650275428</v>
      </c>
    </row>
    <row r="4389" spans="2:10" x14ac:dyDescent="0.35">
      <c r="B4389" s="1">
        <f t="shared" si="694"/>
        <v>27</v>
      </c>
      <c r="C4389" s="22">
        <v>46054</v>
      </c>
      <c r="D4389" s="22">
        <v>46081</v>
      </c>
      <c r="E4389" s="23">
        <v>31</v>
      </c>
      <c r="F4389" s="3">
        <f t="shared" si="691"/>
        <v>19945872.650275428</v>
      </c>
      <c r="G4389" s="3">
        <f t="shared" si="695"/>
        <v>2087143.7132906471</v>
      </c>
      <c r="H4389" s="3">
        <f>($D$4354/$D$4356*$F$4389)</f>
        <v>166215.6054189619</v>
      </c>
      <c r="I4389" s="3">
        <f t="shared" si="693"/>
        <v>1920928.1078716852</v>
      </c>
      <c r="J4389" s="3">
        <f t="shared" si="690"/>
        <v>18024944.542403743</v>
      </c>
    </row>
    <row r="4390" spans="2:10" x14ac:dyDescent="0.35">
      <c r="B4390" s="1">
        <f t="shared" si="694"/>
        <v>28</v>
      </c>
      <c r="C4390" s="22">
        <v>46082</v>
      </c>
      <c r="D4390" s="22">
        <v>46112</v>
      </c>
      <c r="E4390" s="23">
        <v>28</v>
      </c>
      <c r="F4390" s="3">
        <f t="shared" si="691"/>
        <v>18024944.542403743</v>
      </c>
      <c r="G4390" s="3">
        <f t="shared" si="695"/>
        <v>2087143.7132906471</v>
      </c>
      <c r="H4390" s="3">
        <f>($D$4354/$D$4356*$F$4390)</f>
        <v>150207.87118669786</v>
      </c>
      <c r="I4390" s="3">
        <f t="shared" si="693"/>
        <v>1936935.8421039493</v>
      </c>
      <c r="J4390" s="3">
        <f t="shared" si="690"/>
        <v>16088008.700299794</v>
      </c>
    </row>
    <row r="4391" spans="2:10" x14ac:dyDescent="0.35">
      <c r="B4391" s="1">
        <f t="shared" si="694"/>
        <v>29</v>
      </c>
      <c r="C4391" s="22">
        <v>46113</v>
      </c>
      <c r="D4391" s="22">
        <v>46142</v>
      </c>
      <c r="E4391" s="23">
        <v>31</v>
      </c>
      <c r="F4391" s="3">
        <f t="shared" si="691"/>
        <v>16088008.700299794</v>
      </c>
      <c r="G4391" s="3">
        <f t="shared" si="695"/>
        <v>2087143.7132906471</v>
      </c>
      <c r="H4391" s="3">
        <f>($D$4354/$D$4356*$F$4391)</f>
        <v>134066.73916916494</v>
      </c>
      <c r="I4391" s="3">
        <f t="shared" si="693"/>
        <v>1953076.9741214821</v>
      </c>
      <c r="J4391" s="3">
        <f t="shared" si="690"/>
        <v>14134931.726178311</v>
      </c>
    </row>
    <row r="4392" spans="2:10" x14ac:dyDescent="0.35">
      <c r="B4392" s="1">
        <f t="shared" si="694"/>
        <v>30</v>
      </c>
      <c r="C4392" s="22">
        <v>46143</v>
      </c>
      <c r="D4392" s="22">
        <v>46173</v>
      </c>
      <c r="E4392" s="23">
        <v>30</v>
      </c>
      <c r="F4392" s="3">
        <f t="shared" si="691"/>
        <v>14134931.726178311</v>
      </c>
      <c r="G4392" s="3">
        <f t="shared" si="695"/>
        <v>2087143.7132906471</v>
      </c>
      <c r="H4392" s="3">
        <f>($D$4354/$D$4356*$F$4392)</f>
        <v>117791.09771815258</v>
      </c>
      <c r="I4392" s="3">
        <f t="shared" si="693"/>
        <v>1969352.6155724945</v>
      </c>
      <c r="J4392" s="3">
        <f t="shared" si="690"/>
        <v>12165579.110605817</v>
      </c>
    </row>
    <row r="4393" spans="2:10" x14ac:dyDescent="0.35">
      <c r="B4393" s="1">
        <f t="shared" si="694"/>
        <v>31</v>
      </c>
      <c r="C4393" s="22">
        <v>46174</v>
      </c>
      <c r="D4393" s="22">
        <v>46203</v>
      </c>
      <c r="E4393" s="23">
        <v>31</v>
      </c>
      <c r="F4393" s="3">
        <f t="shared" si="691"/>
        <v>12165579.110605817</v>
      </c>
      <c r="G4393" s="3">
        <f t="shared" si="695"/>
        <v>2087143.7132906471</v>
      </c>
      <c r="H4393" s="3">
        <f>($D$4354/$D$4356*$F$4393)</f>
        <v>101379.82592171515</v>
      </c>
      <c r="I4393" s="3">
        <f t="shared" si="693"/>
        <v>1985763.8873689319</v>
      </c>
      <c r="J4393" s="3">
        <f t="shared" si="690"/>
        <v>10179815.223236885</v>
      </c>
    </row>
    <row r="4394" spans="2:10" x14ac:dyDescent="0.35">
      <c r="B4394" s="1">
        <f t="shared" si="694"/>
        <v>32</v>
      </c>
      <c r="C4394" s="22">
        <v>46204</v>
      </c>
      <c r="D4394" s="22">
        <v>46234</v>
      </c>
      <c r="E4394" s="23">
        <v>30</v>
      </c>
      <c r="F4394" s="3">
        <f t="shared" si="691"/>
        <v>10179815.223236885</v>
      </c>
      <c r="G4394" s="3">
        <f t="shared" si="695"/>
        <v>2087143.7132906471</v>
      </c>
      <c r="H4394" s="3">
        <f>($D$4354/$D$4356*$F$4394)</f>
        <v>84831.793526974041</v>
      </c>
      <c r="I4394" s="3">
        <f t="shared" si="693"/>
        <v>2002311.9197636731</v>
      </c>
      <c r="J4394" s="3">
        <f t="shared" si="690"/>
        <v>8177503.3034732118</v>
      </c>
    </row>
    <row r="4395" spans="2:10" x14ac:dyDescent="0.35">
      <c r="B4395" s="1">
        <f t="shared" si="694"/>
        <v>33</v>
      </c>
      <c r="C4395" s="22">
        <v>46235</v>
      </c>
      <c r="D4395" s="22">
        <v>46265</v>
      </c>
      <c r="E4395" s="23">
        <v>31</v>
      </c>
      <c r="F4395" s="3">
        <f t="shared" si="691"/>
        <v>8177503.3034732118</v>
      </c>
      <c r="G4395" s="3">
        <f t="shared" si="695"/>
        <v>2087143.7132906471</v>
      </c>
      <c r="H4395" s="3">
        <f>($D$4354/$D$4356*$F$4395)</f>
        <v>68145.860862276764</v>
      </c>
      <c r="I4395" s="3">
        <f t="shared" si="693"/>
        <v>2018997.8524283704</v>
      </c>
      <c r="J4395" s="3">
        <f t="shared" si="690"/>
        <v>6158505.4510448417</v>
      </c>
    </row>
    <row r="4396" spans="2:10" x14ac:dyDescent="0.35">
      <c r="B4396" s="1">
        <f t="shared" si="694"/>
        <v>34</v>
      </c>
      <c r="C4396" s="22">
        <v>46266</v>
      </c>
      <c r="D4396" s="22">
        <v>46295</v>
      </c>
      <c r="E4396" s="23">
        <v>31</v>
      </c>
      <c r="F4396" s="3">
        <f t="shared" si="691"/>
        <v>6158505.4510448417</v>
      </c>
      <c r="G4396" s="3">
        <f t="shared" si="695"/>
        <v>2087143.7132906471</v>
      </c>
      <c r="H4396" s="3">
        <f>($D$4354/$D$4356*$F$4396)</f>
        <v>51320.878758707011</v>
      </c>
      <c r="I4396" s="3">
        <f t="shared" si="693"/>
        <v>2035822.8345319401</v>
      </c>
      <c r="J4396" s="3">
        <f t="shared" si="690"/>
        <v>4122682.6165129016</v>
      </c>
    </row>
    <row r="4397" spans="2:10" x14ac:dyDescent="0.35">
      <c r="B4397" s="1">
        <f t="shared" si="694"/>
        <v>35</v>
      </c>
      <c r="C4397" s="22">
        <v>46296</v>
      </c>
      <c r="D4397" s="22">
        <v>46326</v>
      </c>
      <c r="E4397" s="23">
        <v>30</v>
      </c>
      <c r="F4397" s="3">
        <f t="shared" si="691"/>
        <v>4122682.6165129016</v>
      </c>
      <c r="G4397" s="3">
        <f t="shared" si="695"/>
        <v>2087143.7132906471</v>
      </c>
      <c r="H4397" s="3">
        <f>($D$4354/$D$4356*$F$4397)</f>
        <v>34355.688470940848</v>
      </c>
      <c r="I4397" s="3">
        <f t="shared" si="693"/>
        <v>2052788.0248197063</v>
      </c>
      <c r="J4397" s="3">
        <f t="shared" si="690"/>
        <v>2069894.5916931953</v>
      </c>
    </row>
    <row r="4398" spans="2:10" x14ac:dyDescent="0.35">
      <c r="B4398" s="1">
        <f t="shared" si="694"/>
        <v>36</v>
      </c>
      <c r="C4398" s="22">
        <v>46327</v>
      </c>
      <c r="D4398" s="22">
        <v>46356</v>
      </c>
      <c r="E4398" s="23">
        <v>31</v>
      </c>
      <c r="F4398" s="3">
        <f t="shared" si="691"/>
        <v>2069894.5916931953</v>
      </c>
      <c r="G4398" s="3">
        <f t="shared" si="695"/>
        <v>2087143.7132906471</v>
      </c>
      <c r="H4398" s="3">
        <f>($D$4354/$D$4356*$F$4398)</f>
        <v>17249.121597443293</v>
      </c>
      <c r="I4398" s="3">
        <f t="shared" si="693"/>
        <v>2069894.5916932039</v>
      </c>
      <c r="J4398" s="3">
        <f t="shared" si="690"/>
        <v>-8.6147338151931763E-9</v>
      </c>
    </row>
    <row r="4399" spans="2:10" x14ac:dyDescent="0.35">
      <c r="B4399" s="1"/>
      <c r="C4399" s="22"/>
      <c r="D4399" s="22"/>
      <c r="E4399" s="23"/>
      <c r="F4399" s="3"/>
      <c r="G4399" s="3"/>
      <c r="H4399" s="3"/>
      <c r="I4399" s="3"/>
      <c r="J4399" s="3"/>
    </row>
    <row r="4400" spans="2:10" x14ac:dyDescent="0.35">
      <c r="B4400" s="1"/>
      <c r="C4400" s="22"/>
      <c r="D4400" s="22"/>
      <c r="E4400" s="23"/>
      <c r="F4400" s="3"/>
      <c r="G4400" s="3"/>
      <c r="H4400" s="3"/>
      <c r="I4400" s="3"/>
      <c r="J4400" s="3"/>
    </row>
    <row r="4401" spans="2:19" x14ac:dyDescent="0.35">
      <c r="B4401" s="1"/>
      <c r="C4401" s="22"/>
      <c r="D4401" s="22"/>
      <c r="E4401" s="23"/>
      <c r="F4401" s="3"/>
      <c r="G4401" s="3"/>
      <c r="H4401" s="3"/>
      <c r="I4401" s="3"/>
      <c r="J4401" s="3"/>
    </row>
    <row r="4402" spans="2:19" x14ac:dyDescent="0.35">
      <c r="B4402" s="1"/>
      <c r="C4402" s="22"/>
      <c r="D4402" s="22"/>
      <c r="E4402" s="23"/>
      <c r="F4402" s="3"/>
      <c r="G4402" s="3"/>
      <c r="H4402" s="3"/>
      <c r="I4402" s="3"/>
      <c r="J4402" s="3"/>
    </row>
    <row r="4403" spans="2:19" x14ac:dyDescent="0.35">
      <c r="B4403" s="1"/>
      <c r="C4403" s="22"/>
      <c r="D4403" s="22"/>
      <c r="E4403" s="23"/>
      <c r="F4403" s="3"/>
      <c r="G4403" s="3"/>
      <c r="H4403" s="3"/>
      <c r="I4403" s="3"/>
      <c r="J4403" s="3"/>
    </row>
    <row r="4404" spans="2:19" x14ac:dyDescent="0.35">
      <c r="B4404" s="1"/>
      <c r="C4404" s="8" t="s">
        <v>932</v>
      </c>
      <c r="D4404" s="3"/>
      <c r="E4404" s="3"/>
      <c r="F4404" s="3"/>
      <c r="G4404" s="3"/>
      <c r="H4404" s="3"/>
      <c r="I4404" s="3"/>
      <c r="J4404" s="3"/>
      <c r="K4404" s="3"/>
      <c r="L4404" s="3"/>
      <c r="R4404" s="438" t="s">
        <v>832</v>
      </c>
      <c r="S4404" s="432" t="str">
        <f>IFERROR(INDEX(Blocks!$I$2:$I$101,MATCH(80,Blocks!$A$2:$A$101,0)),"")</f>
        <v>000104450000060</v>
      </c>
    </row>
    <row r="4405" spans="2:19" x14ac:dyDescent="0.35">
      <c r="B4405" s="1"/>
      <c r="C4405" s="1"/>
      <c r="D4405" s="3"/>
      <c r="E4405" s="3"/>
      <c r="F4405" s="3"/>
      <c r="G4405" s="3"/>
      <c r="H4405" s="3"/>
      <c r="I4405" s="3"/>
      <c r="J4405" s="3"/>
      <c r="K4405" s="3"/>
      <c r="L4405" s="3"/>
      <c r="R4405" s="438" t="s">
        <v>834</v>
      </c>
      <c r="S4405" s="432" t="str">
        <f>IFERROR(INDEX(Blocks!$H$2:$H$101,MATCH(80,Blocks!$A$2:$A$101,0)),"")</f>
        <v>Chuma Chikomanya</v>
      </c>
    </row>
    <row r="4406" spans="2:19" x14ac:dyDescent="0.35">
      <c r="B4406" s="1"/>
      <c r="C4406" s="9" t="s">
        <v>835</v>
      </c>
      <c r="D4406" s="10">
        <v>30000000</v>
      </c>
      <c r="E4406" s="3"/>
      <c r="F4406" s="3"/>
      <c r="G4406" s="3"/>
      <c r="H4406" s="3"/>
      <c r="I4406" s="3"/>
      <c r="J4406" s="3"/>
      <c r="K4406" s="3"/>
      <c r="L4406" s="3"/>
      <c r="R4406" s="438" t="s">
        <v>223</v>
      </c>
      <c r="S4406" s="433">
        <f>IFERROR(INDEX('E-Banker master'!$N$2:$N$186,MATCH(S4404,'E-Banker master'!$A$2:$A$186,0)),"")</f>
        <v>30000000</v>
      </c>
    </row>
    <row r="4407" spans="2:19" x14ac:dyDescent="0.35">
      <c r="B4407" s="1"/>
      <c r="C4407" s="11" t="s">
        <v>837</v>
      </c>
      <c r="D4407" s="12">
        <v>0.1</v>
      </c>
      <c r="E4407" s="13"/>
      <c r="F4407" s="230"/>
      <c r="G4407" s="3"/>
      <c r="H4407" s="3"/>
      <c r="I4407" s="3"/>
      <c r="J4407" s="3"/>
      <c r="K4407" s="3"/>
      <c r="L4407" s="3"/>
      <c r="R4407" s="438" t="s">
        <v>52</v>
      </c>
      <c r="S4407" s="433">
        <f>IFERROR(INDEX('E-Banker master'!$P$2:$P$186,MATCH(S4404,'E-Banker master'!$A$2:$A$186,0)),"")</f>
        <v>32232512.18</v>
      </c>
    </row>
    <row r="4408" spans="2:19" x14ac:dyDescent="0.35">
      <c r="B4408" s="1"/>
      <c r="C4408" s="11" t="s">
        <v>838</v>
      </c>
      <c r="D4408" s="14">
        <v>2</v>
      </c>
      <c r="E4408" s="1"/>
      <c r="F4408" s="231"/>
      <c r="G4408" s="3"/>
      <c r="H4408" s="3"/>
      <c r="I4408" s="3"/>
      <c r="J4408" s="3"/>
      <c r="K4408" s="1"/>
      <c r="L4408" s="1"/>
    </row>
    <row r="4409" spans="2:19" x14ac:dyDescent="0.35">
      <c r="B4409" s="1"/>
      <c r="C4409" s="11" t="s">
        <v>839</v>
      </c>
      <c r="D4409" s="14">
        <v>12</v>
      </c>
      <c r="E4409" s="1"/>
      <c r="F4409" s="13"/>
      <c r="G4409" s="3"/>
      <c r="H4409" s="3"/>
      <c r="I4409" s="3"/>
      <c r="J4409" s="3"/>
      <c r="K4409" s="25"/>
      <c r="L4409" s="1"/>
    </row>
    <row r="4410" spans="2:19" x14ac:dyDescent="0.35">
      <c r="B4410" s="1"/>
      <c r="C4410" s="11" t="s">
        <v>843</v>
      </c>
      <c r="D4410" s="15">
        <v>12</v>
      </c>
      <c r="E4410" s="1"/>
      <c r="F4410" s="3"/>
      <c r="G4410" s="3"/>
      <c r="H4410" s="3"/>
      <c r="I4410" s="3"/>
      <c r="J4410" s="3"/>
      <c r="K4410" s="1"/>
      <c r="L4410" s="1"/>
    </row>
    <row r="4411" spans="2:19" x14ac:dyDescent="0.35">
      <c r="B4411" s="1"/>
      <c r="C4411" s="11" t="s">
        <v>844</v>
      </c>
      <c r="D4411" s="16">
        <v>365</v>
      </c>
      <c r="E4411" s="1"/>
      <c r="F4411" s="3"/>
      <c r="G4411" s="3"/>
      <c r="H4411" s="3"/>
      <c r="I4411" s="3"/>
      <c r="J4411" s="3"/>
      <c r="K4411" s="1"/>
      <c r="L4411" s="1"/>
    </row>
    <row r="4412" spans="2:19" x14ac:dyDescent="0.35">
      <c r="B4412" s="1"/>
      <c r="C4412" s="17" t="s">
        <v>845</v>
      </c>
      <c r="D4412" s="18">
        <f>-PMT(D4407/D4409,D4410,D4406,0,0)</f>
        <v>2637476.616900288</v>
      </c>
      <c r="E4412" s="3"/>
      <c r="F4412" s="3"/>
      <c r="G4412" s="3"/>
      <c r="H4412" s="3"/>
      <c r="I4412" s="3"/>
      <c r="J4412" s="3"/>
      <c r="K4412" s="1"/>
      <c r="L4412" s="1"/>
    </row>
    <row r="4413" spans="2:19" x14ac:dyDescent="0.35">
      <c r="B4413" s="1"/>
      <c r="C4413" s="1"/>
      <c r="D4413" s="3"/>
      <c r="E4413" s="3"/>
      <c r="F4413" s="3"/>
      <c r="G4413" s="3"/>
      <c r="H4413" s="3"/>
      <c r="I4413" s="3"/>
      <c r="J4413" s="3"/>
      <c r="K4413" s="1"/>
      <c r="L4413" s="1"/>
    </row>
    <row r="4414" spans="2:19" x14ac:dyDescent="0.35">
      <c r="B4414" s="1"/>
      <c r="C4414" s="19" t="s">
        <v>846</v>
      </c>
      <c r="D4414" s="20" t="s">
        <v>847</v>
      </c>
      <c r="E4414" s="20" t="s">
        <v>764</v>
      </c>
      <c r="F4414" s="270" t="s">
        <v>848</v>
      </c>
      <c r="G4414" s="270" t="s">
        <v>849</v>
      </c>
      <c r="H4414" s="270" t="s">
        <v>742</v>
      </c>
      <c r="I4414" s="270" t="s">
        <v>740</v>
      </c>
      <c r="J4414" s="270" t="s">
        <v>850</v>
      </c>
      <c r="K4414" s="21" t="s">
        <v>851</v>
      </c>
      <c r="L4414" s="21" t="s">
        <v>852</v>
      </c>
    </row>
    <row r="4415" spans="2:19" x14ac:dyDescent="0.35">
      <c r="B4415" s="1">
        <v>1</v>
      </c>
      <c r="C4415" s="22">
        <v>45261</v>
      </c>
      <c r="D4415" s="22">
        <v>45291</v>
      </c>
      <c r="E4415" s="23">
        <f t="shared" ref="E4415:E4426" si="696">D4415-C4415+1</f>
        <v>31</v>
      </c>
      <c r="F4415" s="3">
        <f>D4406</f>
        <v>30000000</v>
      </c>
      <c r="G4415" s="3">
        <f t="shared" ref="G4415:G4426" si="697">-PMT($D$4407/$D$4409,12,$F$4415,0)</f>
        <v>2637476.616900288</v>
      </c>
      <c r="H4415" s="3">
        <f>(D4407/D4409*E4415*F4415/31)</f>
        <v>249999.99999999997</v>
      </c>
      <c r="I4415" s="3">
        <f t="shared" ref="I4415:I4426" si="698">G4415-H4415</f>
        <v>2387476.616900288</v>
      </c>
      <c r="J4415" s="3">
        <f>F4415+G4406-I4415</f>
        <v>27612523.383099712</v>
      </c>
      <c r="K4415" s="24"/>
      <c r="L4415" s="24"/>
    </row>
    <row r="4416" spans="2:19" x14ac:dyDescent="0.35">
      <c r="B4416" s="1">
        <v>2</v>
      </c>
      <c r="C4416" s="22">
        <v>45292</v>
      </c>
      <c r="D4416" s="22">
        <v>45322</v>
      </c>
      <c r="E4416" s="23">
        <f t="shared" si="696"/>
        <v>31</v>
      </c>
      <c r="F4416" s="3">
        <f t="shared" ref="F4416:F4426" si="699">J4415</f>
        <v>27612523.383099712</v>
      </c>
      <c r="G4416" s="3">
        <f t="shared" si="697"/>
        <v>2637476.616900288</v>
      </c>
      <c r="H4416" s="3">
        <f t="shared" ref="H4416:H4426" si="700">($D$3238/$D$3240*F4416)</f>
        <v>230104.36152583093</v>
      </c>
      <c r="I4416" s="3">
        <f t="shared" si="698"/>
        <v>2407372.2553744572</v>
      </c>
      <c r="J4416" s="3">
        <f t="shared" ref="J4416:J4426" si="701">F4416-I4416</f>
        <v>25205151.127725255</v>
      </c>
      <c r="K4416" s="24"/>
      <c r="L4416" s="24"/>
    </row>
    <row r="4417" spans="2:19" x14ac:dyDescent="0.35">
      <c r="B4417" s="1">
        <v>3</v>
      </c>
      <c r="C4417" s="22">
        <v>45323</v>
      </c>
      <c r="D4417" s="22">
        <v>45350</v>
      </c>
      <c r="E4417" s="23">
        <f t="shared" si="696"/>
        <v>28</v>
      </c>
      <c r="F4417" s="3">
        <f t="shared" si="699"/>
        <v>25205151.127725255</v>
      </c>
      <c r="G4417" s="3">
        <f t="shared" si="697"/>
        <v>2637476.616900288</v>
      </c>
      <c r="H4417" s="3">
        <f t="shared" si="700"/>
        <v>210042.92606437713</v>
      </c>
      <c r="I4417" s="3">
        <f t="shared" si="698"/>
        <v>2427433.6908359108</v>
      </c>
      <c r="J4417" s="3">
        <f t="shared" si="701"/>
        <v>22777717.436889343</v>
      </c>
    </row>
    <row r="4418" spans="2:19" x14ac:dyDescent="0.35">
      <c r="B4418" s="1">
        <v>4</v>
      </c>
      <c r="C4418" s="22">
        <v>45352</v>
      </c>
      <c r="D4418" s="22">
        <v>45382</v>
      </c>
      <c r="E4418" s="23">
        <f t="shared" si="696"/>
        <v>31</v>
      </c>
      <c r="F4418" s="3">
        <f t="shared" si="699"/>
        <v>22777717.436889343</v>
      </c>
      <c r="G4418" s="3">
        <f t="shared" si="697"/>
        <v>2637476.616900288</v>
      </c>
      <c r="H4418" s="3">
        <f t="shared" si="700"/>
        <v>189814.31197407786</v>
      </c>
      <c r="I4418" s="3">
        <f t="shared" si="698"/>
        <v>2447662.3049262101</v>
      </c>
      <c r="J4418" s="3">
        <f t="shared" si="701"/>
        <v>20330055.131963134</v>
      </c>
      <c r="K4418" s="24"/>
      <c r="L4418" s="24"/>
    </row>
    <row r="4419" spans="2:19" x14ac:dyDescent="0.35">
      <c r="B4419" s="1">
        <v>5</v>
      </c>
      <c r="C4419" s="22">
        <v>45383</v>
      </c>
      <c r="D4419" s="22">
        <v>45412</v>
      </c>
      <c r="E4419" s="23">
        <f t="shared" si="696"/>
        <v>30</v>
      </c>
      <c r="F4419" s="3">
        <f t="shared" si="699"/>
        <v>20330055.131963134</v>
      </c>
      <c r="G4419" s="3">
        <f t="shared" si="697"/>
        <v>2637476.616900288</v>
      </c>
      <c r="H4419" s="3">
        <f t="shared" si="700"/>
        <v>169417.12609969277</v>
      </c>
      <c r="I4419" s="3">
        <f t="shared" si="698"/>
        <v>2468059.4908005954</v>
      </c>
      <c r="J4419" s="3">
        <f t="shared" si="701"/>
        <v>17861995.641162537</v>
      </c>
      <c r="K4419" s="24"/>
      <c r="L4419" s="24"/>
    </row>
    <row r="4420" spans="2:19" x14ac:dyDescent="0.35">
      <c r="B4420" s="1">
        <v>6</v>
      </c>
      <c r="C4420" s="22">
        <v>45413</v>
      </c>
      <c r="D4420" s="22">
        <v>45443</v>
      </c>
      <c r="E4420" s="23">
        <f t="shared" si="696"/>
        <v>31</v>
      </c>
      <c r="F4420" s="3">
        <f t="shared" si="699"/>
        <v>17861995.641162537</v>
      </c>
      <c r="G4420" s="3">
        <f t="shared" si="697"/>
        <v>2637476.616900288</v>
      </c>
      <c r="H4420" s="3">
        <f t="shared" si="700"/>
        <v>148849.96367635447</v>
      </c>
      <c r="I4420" s="3">
        <f t="shared" si="698"/>
        <v>2488626.6532239337</v>
      </c>
      <c r="J4420" s="3">
        <f t="shared" si="701"/>
        <v>15373368.987938603</v>
      </c>
      <c r="K4420" s="24"/>
      <c r="L4420" s="24"/>
    </row>
    <row r="4421" spans="2:19" x14ac:dyDescent="0.35">
      <c r="B4421" s="1">
        <v>7</v>
      </c>
      <c r="C4421" s="22">
        <v>45444</v>
      </c>
      <c r="D4421" s="22">
        <v>45473</v>
      </c>
      <c r="E4421" s="23">
        <f t="shared" si="696"/>
        <v>30</v>
      </c>
      <c r="F4421" s="3">
        <f t="shared" si="699"/>
        <v>15373368.987938603</v>
      </c>
      <c r="G4421" s="3">
        <f t="shared" si="697"/>
        <v>2637476.616900288</v>
      </c>
      <c r="H4421" s="3">
        <f t="shared" si="700"/>
        <v>128111.40823282169</v>
      </c>
      <c r="I4421" s="3">
        <f t="shared" si="698"/>
        <v>2509365.2086674664</v>
      </c>
      <c r="J4421" s="3">
        <f t="shared" si="701"/>
        <v>12864003.779271137</v>
      </c>
      <c r="K4421" s="24"/>
      <c r="L4421" s="26"/>
    </row>
    <row r="4422" spans="2:19" x14ac:dyDescent="0.35">
      <c r="B4422" s="1">
        <v>8</v>
      </c>
      <c r="C4422" s="22">
        <v>45474</v>
      </c>
      <c r="D4422" s="22">
        <v>45504</v>
      </c>
      <c r="E4422" s="23">
        <f t="shared" si="696"/>
        <v>31</v>
      </c>
      <c r="F4422" s="3">
        <f t="shared" si="699"/>
        <v>12864003.779271137</v>
      </c>
      <c r="G4422" s="3">
        <f t="shared" si="697"/>
        <v>2637476.616900288</v>
      </c>
      <c r="H4422" s="3">
        <f t="shared" si="700"/>
        <v>107200.03149392614</v>
      </c>
      <c r="I4422" s="3">
        <f t="shared" si="698"/>
        <v>2530276.5854063621</v>
      </c>
      <c r="J4422" s="3">
        <f t="shared" si="701"/>
        <v>10333727.193864774</v>
      </c>
      <c r="K4422" s="24"/>
      <c r="L4422" s="24"/>
    </row>
    <row r="4423" spans="2:19" x14ac:dyDescent="0.35">
      <c r="B4423" s="1">
        <v>9</v>
      </c>
      <c r="C4423" s="22">
        <v>45505</v>
      </c>
      <c r="D4423" s="22">
        <v>45535</v>
      </c>
      <c r="E4423" s="23">
        <f t="shared" si="696"/>
        <v>31</v>
      </c>
      <c r="F4423" s="3">
        <f t="shared" si="699"/>
        <v>10333727.193864774</v>
      </c>
      <c r="G4423" s="3">
        <f t="shared" si="697"/>
        <v>2637476.616900288</v>
      </c>
      <c r="H4423" s="3">
        <f t="shared" si="700"/>
        <v>86114.393282206453</v>
      </c>
      <c r="I4423" s="3">
        <f t="shared" si="698"/>
        <v>2551362.2236180818</v>
      </c>
      <c r="J4423" s="3">
        <f t="shared" si="701"/>
        <v>7782364.9702466922</v>
      </c>
      <c r="K4423" s="24"/>
      <c r="L4423" s="24"/>
    </row>
    <row r="4424" spans="2:19" x14ac:dyDescent="0.35">
      <c r="B4424" s="1">
        <v>10</v>
      </c>
      <c r="C4424" s="22">
        <v>45536</v>
      </c>
      <c r="D4424" s="22">
        <v>45565</v>
      </c>
      <c r="E4424" s="23">
        <f t="shared" si="696"/>
        <v>30</v>
      </c>
      <c r="F4424" s="3">
        <f t="shared" si="699"/>
        <v>7782364.9702466922</v>
      </c>
      <c r="G4424" s="3">
        <f t="shared" si="697"/>
        <v>2637476.616900288</v>
      </c>
      <c r="H4424" s="3">
        <f t="shared" si="700"/>
        <v>64853.041418722431</v>
      </c>
      <c r="I4424" s="3">
        <f t="shared" si="698"/>
        <v>2572623.5754815657</v>
      </c>
      <c r="J4424" s="3">
        <f t="shared" si="701"/>
        <v>5209741.3947651265</v>
      </c>
      <c r="K4424" s="24"/>
      <c r="L4424" s="26"/>
    </row>
    <row r="4425" spans="2:19" x14ac:dyDescent="0.35">
      <c r="B4425" s="1">
        <v>11</v>
      </c>
      <c r="C4425" s="22">
        <v>45566</v>
      </c>
      <c r="D4425" s="22">
        <v>45596</v>
      </c>
      <c r="E4425" s="23">
        <f t="shared" si="696"/>
        <v>31</v>
      </c>
      <c r="F4425" s="3">
        <f t="shared" si="699"/>
        <v>5209741.3947651265</v>
      </c>
      <c r="G4425" s="3">
        <f t="shared" si="697"/>
        <v>2637476.616900288</v>
      </c>
      <c r="H4425" s="3">
        <f t="shared" si="700"/>
        <v>43414.511623042723</v>
      </c>
      <c r="I4425" s="3">
        <f t="shared" si="698"/>
        <v>2594062.1052772454</v>
      </c>
      <c r="J4425" s="3">
        <f t="shared" si="701"/>
        <v>2615679.2894878811</v>
      </c>
      <c r="K4425" s="24"/>
      <c r="L4425" s="24"/>
    </row>
    <row r="4426" spans="2:19" x14ac:dyDescent="0.35">
      <c r="B4426" s="1">
        <v>12</v>
      </c>
      <c r="C4426" s="22">
        <v>45597</v>
      </c>
      <c r="D4426" s="22">
        <v>45626</v>
      </c>
      <c r="E4426" s="23">
        <f t="shared" si="696"/>
        <v>30</v>
      </c>
      <c r="F4426" s="3">
        <f t="shared" si="699"/>
        <v>2615679.2894878811</v>
      </c>
      <c r="G4426" s="3">
        <f t="shared" si="697"/>
        <v>2637476.616900288</v>
      </c>
      <c r="H4426" s="3">
        <f t="shared" si="700"/>
        <v>21797.327412399009</v>
      </c>
      <c r="I4426" s="3">
        <f t="shared" si="698"/>
        <v>2615679.289487889</v>
      </c>
      <c r="J4426" s="3">
        <f t="shared" si="701"/>
        <v>-7.9162418842315674E-9</v>
      </c>
      <c r="K4426" s="304" t="s">
        <v>921</v>
      </c>
      <c r="L4426" s="24"/>
    </row>
    <row r="4427" spans="2:19" x14ac:dyDescent="0.35">
      <c r="B4427" s="1"/>
      <c r="C4427" s="22"/>
      <c r="D4427" s="22"/>
      <c r="E4427" s="23"/>
      <c r="F4427" s="3"/>
      <c r="G4427" s="3"/>
      <c r="H4427" s="3"/>
      <c r="I4427" s="3"/>
      <c r="J4427" s="3"/>
      <c r="K4427" s="24"/>
      <c r="L4427" s="24"/>
    </row>
    <row r="4428" spans="2:19" x14ac:dyDescent="0.35">
      <c r="B4428" s="1"/>
      <c r="C4428" s="22"/>
      <c r="D4428" s="22"/>
      <c r="E4428" s="23"/>
      <c r="F4428" s="3"/>
      <c r="G4428" s="30" t="s">
        <v>944</v>
      </c>
      <c r="H4428" s="231">
        <f>SUM(H4415:H4425)</f>
        <v>1627922.0753910523</v>
      </c>
      <c r="I4428" s="3"/>
      <c r="J4428" s="3"/>
      <c r="K4428" s="24"/>
      <c r="L4428" s="24"/>
    </row>
    <row r="4429" spans="2:19" x14ac:dyDescent="0.35">
      <c r="G4429" s="144" t="s">
        <v>945</v>
      </c>
      <c r="H4429" s="407">
        <f>+F4415</f>
        <v>30000000</v>
      </c>
    </row>
    <row r="4430" spans="2:19" ht="14.5" customHeight="1" thickBot="1" x14ac:dyDescent="0.4">
      <c r="H4430" s="406">
        <f>SUM(H4428:H4429)</f>
        <v>31627922.075391054</v>
      </c>
    </row>
    <row r="4432" spans="2:19" x14ac:dyDescent="0.35">
      <c r="B4432" s="1"/>
      <c r="C4432" s="8" t="s">
        <v>802</v>
      </c>
      <c r="D4432" s="3"/>
      <c r="E4432" s="3"/>
      <c r="F4432" s="3"/>
      <c r="G4432" s="3"/>
      <c r="H4432" s="3"/>
      <c r="I4432" s="3"/>
      <c r="J4432" s="3"/>
      <c r="K4432" s="3"/>
      <c r="L4432" s="3"/>
      <c r="R4432" s="438" t="s">
        <v>832</v>
      </c>
      <c r="S4432" s="432" t="str">
        <f>IFERROR(INDEX(Blocks!$I$2:$I$101,MATCH(81,Blocks!$A$2:$A$101,0)),"")</f>
        <v>000104460000083</v>
      </c>
    </row>
    <row r="4433" spans="2:19" x14ac:dyDescent="0.35">
      <c r="B4433" s="1"/>
      <c r="C4433" s="1"/>
      <c r="D4433" s="3"/>
      <c r="E4433" s="3"/>
      <c r="F4433" s="3"/>
      <c r="G4433" s="3"/>
      <c r="H4433" s="3"/>
      <c r="I4433" s="3"/>
      <c r="J4433" s="3"/>
      <c r="K4433" s="3"/>
      <c r="L4433" s="3"/>
      <c r="R4433" s="438" t="s">
        <v>834</v>
      </c>
      <c r="S4433" s="432" t="str">
        <f>IFERROR(INDEX(Blocks!$H$2:$H$101,MATCH(81,Blocks!$A$2:$A$101,0)),"")</f>
        <v>DR PRINT</v>
      </c>
    </row>
    <row r="4434" spans="2:19" x14ac:dyDescent="0.35">
      <c r="B4434" s="1"/>
      <c r="C4434" s="9" t="s">
        <v>835</v>
      </c>
      <c r="D4434" s="10">
        <f>'[6]Loan amortisation- F&amp;K'!$D$4</f>
        <v>120000000</v>
      </c>
      <c r="E4434" s="3"/>
      <c r="F4434" s="3"/>
      <c r="G4434" s="3"/>
      <c r="H4434" s="3"/>
      <c r="I4434" s="3"/>
      <c r="J4434" s="3"/>
      <c r="K4434" s="3"/>
      <c r="L4434" s="3"/>
      <c r="R4434" s="438" t="s">
        <v>223</v>
      </c>
      <c r="S4434" s="433">
        <f>IFERROR(INDEX('E-Banker master'!$N$2:$N$186,MATCH(S4432,'E-Banker master'!$A$2:$A$186,0)),"")</f>
        <v>120000000</v>
      </c>
    </row>
    <row r="4435" spans="2:19" x14ac:dyDescent="0.35">
      <c r="B4435" s="1"/>
      <c r="C4435" s="11" t="s">
        <v>837</v>
      </c>
      <c r="D4435" s="12">
        <v>0.1</v>
      </c>
      <c r="E4435" s="13"/>
      <c r="F4435" s="3"/>
      <c r="G4435" s="3"/>
      <c r="H4435" s="3"/>
      <c r="I4435" s="3"/>
      <c r="J4435" s="3"/>
      <c r="K4435" s="3"/>
      <c r="L4435" s="3"/>
      <c r="R4435" s="438" t="s">
        <v>52</v>
      </c>
      <c r="S4435" s="433">
        <f>IFERROR(INDEX('E-Banker master'!$P$2:$P$186,MATCH(S4432,'E-Banker master'!$A$2:$A$186,0)),"")</f>
        <v>120829331.66</v>
      </c>
    </row>
    <row r="4436" spans="2:19" x14ac:dyDescent="0.35">
      <c r="B4436" s="1"/>
      <c r="C4436" s="11" t="s">
        <v>838</v>
      </c>
      <c r="D4436" s="14">
        <v>4</v>
      </c>
      <c r="E4436" s="1"/>
      <c r="F4436" s="3"/>
      <c r="G4436" s="3"/>
      <c r="H4436" s="3"/>
      <c r="I4436" s="3"/>
      <c r="J4436" s="3"/>
      <c r="K4436" s="1"/>
      <c r="L4436" s="1"/>
    </row>
    <row r="4437" spans="2:19" x14ac:dyDescent="0.35">
      <c r="B4437" s="1"/>
      <c r="C4437" s="11" t="s">
        <v>839</v>
      </c>
      <c r="D4437" s="14">
        <v>12</v>
      </c>
      <c r="E4437" s="1"/>
      <c r="F4437" s="3"/>
      <c r="G4437" s="3"/>
      <c r="H4437" s="3"/>
      <c r="I4437" s="3"/>
      <c r="J4437" s="3"/>
      <c r="K4437" s="1"/>
      <c r="L4437" s="1"/>
    </row>
    <row r="4438" spans="2:19" x14ac:dyDescent="0.35">
      <c r="B4438" s="1"/>
      <c r="C4438" s="11" t="s">
        <v>843</v>
      </c>
      <c r="D4438" s="15">
        <f>D4436*D4437</f>
        <v>48</v>
      </c>
      <c r="E4438" s="1"/>
      <c r="F4438" s="3"/>
      <c r="G4438" s="3"/>
      <c r="H4438" s="3"/>
      <c r="I4438" s="3"/>
      <c r="J4438" s="3"/>
      <c r="K4438" s="1"/>
      <c r="L4438" s="1"/>
    </row>
    <row r="4439" spans="2:19" x14ac:dyDescent="0.35">
      <c r="B4439" s="1"/>
      <c r="C4439" s="11" t="s">
        <v>844</v>
      </c>
      <c r="D4439" s="16">
        <v>365</v>
      </c>
      <c r="E4439" s="1"/>
      <c r="F4439" s="3"/>
      <c r="G4439" s="3"/>
      <c r="H4439" s="3"/>
      <c r="I4439" s="3"/>
      <c r="J4439" s="3"/>
      <c r="K4439" s="1"/>
      <c r="L4439" s="1"/>
    </row>
    <row r="4440" spans="2:19" x14ac:dyDescent="0.35">
      <c r="B4440" s="1"/>
      <c r="C4440" s="17" t="s">
        <v>845</v>
      </c>
      <c r="D4440" s="220">
        <f>-PMT(D4435/D4437,D4438,D4434,0,0)</f>
        <v>3043510.0121696624</v>
      </c>
      <c r="E4440" s="3"/>
      <c r="F4440" s="3"/>
      <c r="G4440" s="3"/>
      <c r="H4440" s="3"/>
      <c r="I4440" s="3"/>
      <c r="J4440" s="3"/>
      <c r="K4440" s="1"/>
      <c r="L4440" s="1"/>
    </row>
    <row r="4441" spans="2:19" x14ac:dyDescent="0.35">
      <c r="B4441" s="1"/>
      <c r="C4441" s="1"/>
      <c r="D4441" s="3"/>
      <c r="E4441" s="3"/>
      <c r="F4441" s="3"/>
      <c r="G4441" s="3"/>
      <c r="H4441" s="3"/>
      <c r="I4441" s="3"/>
      <c r="J4441" s="3"/>
      <c r="K4441" s="1"/>
      <c r="L4441" s="1"/>
    </row>
    <row r="4442" spans="2:19" x14ac:dyDescent="0.35">
      <c r="B4442" s="1"/>
      <c r="C4442" s="19" t="s">
        <v>846</v>
      </c>
      <c r="D4442" s="20" t="s">
        <v>847</v>
      </c>
      <c r="E4442" s="20" t="s">
        <v>764</v>
      </c>
      <c r="F4442" s="270" t="s">
        <v>848</v>
      </c>
      <c r="G4442" s="270" t="s">
        <v>849</v>
      </c>
      <c r="H4442" s="270" t="s">
        <v>742</v>
      </c>
      <c r="I4442" s="270" t="s">
        <v>740</v>
      </c>
      <c r="J4442" s="270" t="s">
        <v>850</v>
      </c>
      <c r="K4442" s="21" t="s">
        <v>851</v>
      </c>
      <c r="L4442" s="21" t="s">
        <v>852</v>
      </c>
    </row>
    <row r="4443" spans="2:19" x14ac:dyDescent="0.35">
      <c r="B4443" s="1">
        <v>0</v>
      </c>
      <c r="C4443" s="22">
        <v>45288</v>
      </c>
      <c r="D4443" s="22">
        <v>45291</v>
      </c>
      <c r="E4443" s="291">
        <f>+D4443-C4443</f>
        <v>3</v>
      </c>
      <c r="F4443" s="3">
        <f>D4434</f>
        <v>120000000</v>
      </c>
      <c r="G4443" s="3">
        <f>+H4443</f>
        <v>96774.193548387091</v>
      </c>
      <c r="H4443" s="3">
        <f>($D$4435/$D$4437*F4443*E4443/31)</f>
        <v>96774.193548387091</v>
      </c>
      <c r="I4443" s="3">
        <v>0</v>
      </c>
      <c r="J4443" s="3">
        <f t="shared" ref="J4443:J4474" si="702">F4443-I4443</f>
        <v>120000000</v>
      </c>
      <c r="L4443" s="141">
        <f>G4443</f>
        <v>96774.193548387091</v>
      </c>
    </row>
    <row r="4444" spans="2:19" x14ac:dyDescent="0.35">
      <c r="B4444" s="1">
        <v>1</v>
      </c>
      <c r="C4444" s="22">
        <f>+D4443+1</f>
        <v>45292</v>
      </c>
      <c r="D4444" s="22">
        <f>+C4444+30</f>
        <v>45322</v>
      </c>
      <c r="E4444" s="23">
        <v>31</v>
      </c>
      <c r="F4444" s="3">
        <f t="shared" ref="F4444:F4491" si="703">J4443</f>
        <v>120000000</v>
      </c>
      <c r="G4444" s="3">
        <v>1000000</v>
      </c>
      <c r="H4444" s="3">
        <f t="shared" ref="H4444:H4491" si="704">($D$4435/$D$4437*F4444)</f>
        <v>1000000</v>
      </c>
      <c r="I4444" s="3">
        <f t="shared" ref="I4444:I4491" si="705">G4444-H4444</f>
        <v>0</v>
      </c>
      <c r="J4444" s="3">
        <f t="shared" si="702"/>
        <v>120000000</v>
      </c>
      <c r="K4444" s="24"/>
      <c r="L4444" s="24">
        <f t="shared" ref="L4444:L4453" si="706">L4443+G4444-K4444</f>
        <v>1096774.1935483871</v>
      </c>
    </row>
    <row r="4445" spans="2:19" x14ac:dyDescent="0.35">
      <c r="B4445" s="1">
        <v>2</v>
      </c>
      <c r="C4445" s="22">
        <v>45323</v>
      </c>
      <c r="D4445" s="22">
        <v>45351</v>
      </c>
      <c r="E4445" s="23">
        <v>29</v>
      </c>
      <c r="F4445" s="3">
        <f t="shared" si="703"/>
        <v>120000000</v>
      </c>
      <c r="G4445" s="3">
        <v>1000000</v>
      </c>
      <c r="H4445" s="3">
        <f t="shared" si="704"/>
        <v>1000000</v>
      </c>
      <c r="I4445" s="3">
        <f t="shared" si="705"/>
        <v>0</v>
      </c>
      <c r="J4445" s="3">
        <f t="shared" si="702"/>
        <v>120000000</v>
      </c>
      <c r="K4445" s="24">
        <v>2355745</v>
      </c>
      <c r="L4445" s="24">
        <f t="shared" si="706"/>
        <v>-258970.80645161285</v>
      </c>
    </row>
    <row r="4446" spans="2:19" x14ac:dyDescent="0.35">
      <c r="B4446" s="1">
        <f t="shared" ref="B4446:B4491" si="707">+B4445+1</f>
        <v>3</v>
      </c>
      <c r="C4446" s="22">
        <v>45352</v>
      </c>
      <c r="D4446" s="22">
        <v>45382</v>
      </c>
      <c r="E4446" s="23">
        <v>31</v>
      </c>
      <c r="F4446" s="3">
        <f t="shared" si="703"/>
        <v>120000000</v>
      </c>
      <c r="G4446" s="3">
        <v>1000000</v>
      </c>
      <c r="H4446" s="3">
        <f t="shared" si="704"/>
        <v>1000000</v>
      </c>
      <c r="I4446" s="3">
        <f t="shared" si="705"/>
        <v>0</v>
      </c>
      <c r="J4446" s="3">
        <f t="shared" si="702"/>
        <v>120000000</v>
      </c>
      <c r="K4446" s="24">
        <f>1000000-1000000</f>
        <v>0</v>
      </c>
      <c r="L4446" s="24">
        <f t="shared" si="706"/>
        <v>741029.19354838715</v>
      </c>
    </row>
    <row r="4447" spans="2:19" x14ac:dyDescent="0.35">
      <c r="B4447" s="1">
        <f t="shared" si="707"/>
        <v>4</v>
      </c>
      <c r="C4447" s="22">
        <v>45383</v>
      </c>
      <c r="D4447" s="22">
        <v>45412</v>
      </c>
      <c r="E4447" s="23">
        <v>30</v>
      </c>
      <c r="F4447" s="3">
        <f t="shared" si="703"/>
        <v>120000000</v>
      </c>
      <c r="G4447" s="3">
        <v>1000000</v>
      </c>
      <c r="H4447" s="3">
        <f t="shared" si="704"/>
        <v>1000000</v>
      </c>
      <c r="I4447" s="3">
        <f t="shared" si="705"/>
        <v>0</v>
      </c>
      <c r="J4447" s="3">
        <f t="shared" si="702"/>
        <v>120000000</v>
      </c>
      <c r="K4447" s="24"/>
      <c r="L4447" s="24">
        <f t="shared" si="706"/>
        <v>1741029.1935483871</v>
      </c>
    </row>
    <row r="4448" spans="2:19" x14ac:dyDescent="0.35">
      <c r="B4448" s="1">
        <f t="shared" si="707"/>
        <v>5</v>
      </c>
      <c r="C4448" s="22">
        <v>45413</v>
      </c>
      <c r="D4448" s="22">
        <v>45443</v>
      </c>
      <c r="E4448" s="23">
        <v>31</v>
      </c>
      <c r="F4448" s="3">
        <f t="shared" si="703"/>
        <v>120000000</v>
      </c>
      <c r="G4448" s="3">
        <v>1000000</v>
      </c>
      <c r="H4448" s="3">
        <f t="shared" si="704"/>
        <v>1000000</v>
      </c>
      <c r="I4448" s="3">
        <f t="shared" si="705"/>
        <v>0</v>
      </c>
      <c r="J4448" s="3">
        <f t="shared" si="702"/>
        <v>120000000</v>
      </c>
      <c r="K4448" s="24"/>
      <c r="L4448" s="24">
        <f t="shared" si="706"/>
        <v>2741029.1935483869</v>
      </c>
    </row>
    <row r="4449" spans="2:12" x14ac:dyDescent="0.35">
      <c r="B4449" s="1">
        <f t="shared" si="707"/>
        <v>6</v>
      </c>
      <c r="C4449" s="22">
        <v>45444</v>
      </c>
      <c r="D4449" s="22">
        <v>45473</v>
      </c>
      <c r="E4449" s="23">
        <v>30</v>
      </c>
      <c r="F4449" s="3">
        <f t="shared" si="703"/>
        <v>120000000</v>
      </c>
      <c r="G4449" s="3">
        <v>1000000</v>
      </c>
      <c r="H4449" s="3">
        <f t="shared" si="704"/>
        <v>1000000</v>
      </c>
      <c r="I4449" s="3">
        <f t="shared" si="705"/>
        <v>0</v>
      </c>
      <c r="J4449" s="3">
        <f t="shared" si="702"/>
        <v>120000000</v>
      </c>
      <c r="K4449" s="24">
        <f>2000000</f>
        <v>2000000</v>
      </c>
      <c r="L4449" s="24">
        <f t="shared" si="706"/>
        <v>1741029.1935483869</v>
      </c>
    </row>
    <row r="4450" spans="2:12" x14ac:dyDescent="0.35">
      <c r="B4450" s="1">
        <f t="shared" si="707"/>
        <v>7</v>
      </c>
      <c r="C4450" s="22">
        <v>45474</v>
      </c>
      <c r="D4450" s="22">
        <v>45504</v>
      </c>
      <c r="E4450" s="23">
        <v>31</v>
      </c>
      <c r="F4450" s="3">
        <f t="shared" si="703"/>
        <v>120000000</v>
      </c>
      <c r="G4450" s="3">
        <f t="shared" ref="G4450:G4491" si="708">-PMT($D$4289/$D$4291,42,$F$4304,,0)</f>
        <v>3398018.3211762263</v>
      </c>
      <c r="H4450" s="3">
        <f t="shared" si="704"/>
        <v>1000000</v>
      </c>
      <c r="I4450" s="3">
        <f t="shared" si="705"/>
        <v>2398018.3211762263</v>
      </c>
      <c r="J4450" s="3">
        <f t="shared" si="702"/>
        <v>117601981.67882377</v>
      </c>
      <c r="K4450" s="24"/>
      <c r="L4450" s="24">
        <f t="shared" si="706"/>
        <v>5139047.5147246132</v>
      </c>
    </row>
    <row r="4451" spans="2:12" x14ac:dyDescent="0.35">
      <c r="B4451" s="1">
        <f t="shared" si="707"/>
        <v>8</v>
      </c>
      <c r="C4451" s="22">
        <v>45505</v>
      </c>
      <c r="D4451" s="22">
        <v>45535</v>
      </c>
      <c r="E4451" s="23">
        <v>31</v>
      </c>
      <c r="F4451" s="3">
        <f t="shared" si="703"/>
        <v>117601981.67882377</v>
      </c>
      <c r="G4451" s="3">
        <f t="shared" si="708"/>
        <v>3398018.3211762263</v>
      </c>
      <c r="H4451" s="3">
        <f t="shared" si="704"/>
        <v>980016.51399019803</v>
      </c>
      <c r="I4451" s="3">
        <f t="shared" si="705"/>
        <v>2418001.807186028</v>
      </c>
      <c r="J4451" s="3">
        <f t="shared" si="702"/>
        <v>115183979.87163775</v>
      </c>
      <c r="K4451" s="24"/>
      <c r="L4451" s="24">
        <f t="shared" si="706"/>
        <v>8537065.8359008394</v>
      </c>
    </row>
    <row r="4452" spans="2:12" x14ac:dyDescent="0.35">
      <c r="B4452" s="1">
        <f t="shared" si="707"/>
        <v>9</v>
      </c>
      <c r="C4452" s="22">
        <v>45536</v>
      </c>
      <c r="D4452" s="22">
        <v>45565</v>
      </c>
      <c r="E4452" s="23">
        <v>30</v>
      </c>
      <c r="F4452" s="3">
        <f t="shared" si="703"/>
        <v>115183979.87163775</v>
      </c>
      <c r="G4452" s="3">
        <f t="shared" si="708"/>
        <v>3398018.3211762263</v>
      </c>
      <c r="H4452" s="3">
        <f t="shared" si="704"/>
        <v>959866.49893031456</v>
      </c>
      <c r="I4452" s="3">
        <f t="shared" si="705"/>
        <v>2438151.8222459117</v>
      </c>
      <c r="J4452" s="3">
        <f t="shared" si="702"/>
        <v>112745828.04939184</v>
      </c>
      <c r="K4452" s="24"/>
      <c r="L4452" s="24">
        <f t="shared" si="706"/>
        <v>11935084.157077067</v>
      </c>
    </row>
    <row r="4453" spans="2:12" x14ac:dyDescent="0.35">
      <c r="B4453" s="1">
        <f t="shared" si="707"/>
        <v>10</v>
      </c>
      <c r="C4453" s="22">
        <v>45566</v>
      </c>
      <c r="D4453" s="22">
        <v>45596</v>
      </c>
      <c r="E4453" s="23">
        <v>31</v>
      </c>
      <c r="F4453" s="3">
        <f t="shared" si="703"/>
        <v>112745828.04939184</v>
      </c>
      <c r="G4453" s="3">
        <f t="shared" si="708"/>
        <v>3398018.3211762263</v>
      </c>
      <c r="H4453" s="3">
        <f t="shared" si="704"/>
        <v>939548.56707826525</v>
      </c>
      <c r="I4453" s="3">
        <f t="shared" si="705"/>
        <v>2458469.7540979609</v>
      </c>
      <c r="J4453" s="3">
        <f t="shared" si="702"/>
        <v>110287358.29529387</v>
      </c>
      <c r="K4453" s="24">
        <v>5000000</v>
      </c>
      <c r="L4453" s="204">
        <f t="shared" si="706"/>
        <v>10333102.478253294</v>
      </c>
    </row>
    <row r="4454" spans="2:12" x14ac:dyDescent="0.35">
      <c r="B4454" s="1">
        <f t="shared" si="707"/>
        <v>11</v>
      </c>
      <c r="C4454" s="22">
        <v>45597</v>
      </c>
      <c r="D4454" s="22">
        <v>45626</v>
      </c>
      <c r="E4454" s="23">
        <v>30</v>
      </c>
      <c r="F4454" s="3">
        <f t="shared" si="703"/>
        <v>110287358.29529387</v>
      </c>
      <c r="G4454" s="3">
        <f t="shared" si="708"/>
        <v>3398018.3211762263</v>
      </c>
      <c r="H4454" s="3">
        <f t="shared" si="704"/>
        <v>919061.31912744883</v>
      </c>
      <c r="I4454" s="3">
        <f t="shared" si="705"/>
        <v>2478957.0020487774</v>
      </c>
      <c r="J4454" s="3">
        <f t="shared" si="702"/>
        <v>107808401.29324509</v>
      </c>
      <c r="K4454" s="24"/>
      <c r="L4454" s="24"/>
    </row>
    <row r="4455" spans="2:12" x14ac:dyDescent="0.35">
      <c r="B4455" s="1">
        <f t="shared" si="707"/>
        <v>12</v>
      </c>
      <c r="C4455" s="22">
        <v>45627</v>
      </c>
      <c r="D4455" s="22">
        <v>45657</v>
      </c>
      <c r="E4455" s="23">
        <v>31</v>
      </c>
      <c r="F4455" s="3">
        <f t="shared" si="703"/>
        <v>107808401.29324509</v>
      </c>
      <c r="G4455" s="3">
        <f t="shared" si="708"/>
        <v>3398018.3211762263</v>
      </c>
      <c r="H4455" s="3">
        <f t="shared" si="704"/>
        <v>898403.34411037574</v>
      </c>
      <c r="I4455" s="3">
        <f t="shared" si="705"/>
        <v>2499614.9770658505</v>
      </c>
      <c r="J4455" s="3">
        <f t="shared" si="702"/>
        <v>105308786.31617925</v>
      </c>
      <c r="K4455" s="24"/>
      <c r="L4455" s="24"/>
    </row>
    <row r="4456" spans="2:12" x14ac:dyDescent="0.35">
      <c r="B4456" s="1">
        <f t="shared" si="707"/>
        <v>13</v>
      </c>
      <c r="C4456" s="22">
        <v>45658</v>
      </c>
      <c r="D4456" s="22">
        <v>45688</v>
      </c>
      <c r="E4456" s="23">
        <v>31</v>
      </c>
      <c r="F4456" s="3">
        <f t="shared" si="703"/>
        <v>105308786.31617925</v>
      </c>
      <c r="G4456" s="3">
        <f t="shared" si="708"/>
        <v>3398018.3211762263</v>
      </c>
      <c r="H4456" s="3">
        <f t="shared" si="704"/>
        <v>877573.21930149372</v>
      </c>
      <c r="I4456" s="3">
        <f t="shared" si="705"/>
        <v>2520445.1018747324</v>
      </c>
      <c r="J4456" s="3">
        <f t="shared" si="702"/>
        <v>102788341.21430451</v>
      </c>
      <c r="K4456" s="24"/>
      <c r="L4456" s="24"/>
    </row>
    <row r="4457" spans="2:12" x14ac:dyDescent="0.35">
      <c r="B4457" s="1">
        <f t="shared" si="707"/>
        <v>14</v>
      </c>
      <c r="C4457" s="22">
        <v>45689</v>
      </c>
      <c r="D4457" s="22">
        <v>45716</v>
      </c>
      <c r="E4457" s="23">
        <v>28</v>
      </c>
      <c r="F4457" s="3">
        <f t="shared" si="703"/>
        <v>102788341.21430451</v>
      </c>
      <c r="G4457" s="3">
        <f t="shared" si="708"/>
        <v>3398018.3211762263</v>
      </c>
      <c r="H4457" s="3">
        <f t="shared" si="704"/>
        <v>856569.51011920418</v>
      </c>
      <c r="I4457" s="3">
        <f t="shared" si="705"/>
        <v>2541448.8110570218</v>
      </c>
      <c r="J4457" s="3">
        <f t="shared" si="702"/>
        <v>100246892.40324749</v>
      </c>
      <c r="K4457" s="24"/>
      <c r="L4457" s="24"/>
    </row>
    <row r="4458" spans="2:12" x14ac:dyDescent="0.35">
      <c r="B4458" s="1">
        <f t="shared" si="707"/>
        <v>15</v>
      </c>
      <c r="C4458" s="22">
        <v>45717</v>
      </c>
      <c r="D4458" s="22">
        <v>45747</v>
      </c>
      <c r="E4458" s="23">
        <v>31</v>
      </c>
      <c r="F4458" s="3">
        <f t="shared" si="703"/>
        <v>100246892.40324749</v>
      </c>
      <c r="G4458" s="3">
        <f t="shared" si="708"/>
        <v>3398018.3211762263</v>
      </c>
      <c r="H4458" s="3">
        <f t="shared" si="704"/>
        <v>835390.77002706239</v>
      </c>
      <c r="I4458" s="3">
        <f t="shared" si="705"/>
        <v>2562627.5511491639</v>
      </c>
      <c r="J4458" s="3">
        <f t="shared" si="702"/>
        <v>97684264.852098331</v>
      </c>
      <c r="K4458" s="24"/>
      <c r="L4458" s="24"/>
    </row>
    <row r="4459" spans="2:12" x14ac:dyDescent="0.35">
      <c r="B4459" s="1">
        <f t="shared" si="707"/>
        <v>16</v>
      </c>
      <c r="C4459" s="22">
        <v>45748</v>
      </c>
      <c r="D4459" s="22">
        <v>45777</v>
      </c>
      <c r="E4459" s="23">
        <v>30</v>
      </c>
      <c r="F4459" s="3">
        <f t="shared" si="703"/>
        <v>97684264.852098331</v>
      </c>
      <c r="G4459" s="3">
        <f t="shared" si="708"/>
        <v>3398018.3211762263</v>
      </c>
      <c r="H4459" s="3">
        <f t="shared" si="704"/>
        <v>814035.5404341527</v>
      </c>
      <c r="I4459" s="3">
        <f t="shared" si="705"/>
        <v>2583982.7807420734</v>
      </c>
      <c r="J4459" s="3">
        <f t="shared" si="702"/>
        <v>95100282.071356252</v>
      </c>
      <c r="K4459" s="24"/>
      <c r="L4459" s="24"/>
    </row>
    <row r="4460" spans="2:12" x14ac:dyDescent="0.35">
      <c r="B4460" s="1">
        <f t="shared" si="707"/>
        <v>17</v>
      </c>
      <c r="C4460" s="22">
        <v>45778</v>
      </c>
      <c r="D4460" s="22">
        <v>45808</v>
      </c>
      <c r="E4460" s="23">
        <v>31</v>
      </c>
      <c r="F4460" s="3">
        <f t="shared" si="703"/>
        <v>95100282.071356252</v>
      </c>
      <c r="G4460" s="3">
        <f t="shared" si="708"/>
        <v>3398018.3211762263</v>
      </c>
      <c r="H4460" s="3">
        <f t="shared" si="704"/>
        <v>792502.35059463547</v>
      </c>
      <c r="I4460" s="3">
        <f t="shared" si="705"/>
        <v>2605515.9705815907</v>
      </c>
      <c r="J4460" s="3">
        <f t="shared" si="702"/>
        <v>92494766.100774661</v>
      </c>
      <c r="K4460" s="24"/>
      <c r="L4460" s="24"/>
    </row>
    <row r="4461" spans="2:12" x14ac:dyDescent="0.35">
      <c r="B4461" s="1">
        <f t="shared" si="707"/>
        <v>18</v>
      </c>
      <c r="C4461" s="22">
        <v>45809</v>
      </c>
      <c r="D4461" s="22">
        <v>45838</v>
      </c>
      <c r="E4461" s="23">
        <v>30</v>
      </c>
      <c r="F4461" s="3">
        <f t="shared" si="703"/>
        <v>92494766.100774661</v>
      </c>
      <c r="G4461" s="3">
        <f t="shared" si="708"/>
        <v>3398018.3211762263</v>
      </c>
      <c r="H4461" s="3">
        <f t="shared" si="704"/>
        <v>770789.71750645549</v>
      </c>
      <c r="I4461" s="3">
        <f t="shared" si="705"/>
        <v>2627228.603669771</v>
      </c>
      <c r="J4461" s="3">
        <f t="shared" si="702"/>
        <v>89867537.497104883</v>
      </c>
      <c r="K4461" s="24"/>
      <c r="L4461" s="24"/>
    </row>
    <row r="4462" spans="2:12" x14ac:dyDescent="0.35">
      <c r="B4462" s="1">
        <f t="shared" si="707"/>
        <v>19</v>
      </c>
      <c r="C4462" s="22">
        <v>45839</v>
      </c>
      <c r="D4462" s="22">
        <v>45868</v>
      </c>
      <c r="E4462" s="23">
        <v>30</v>
      </c>
      <c r="F4462" s="3">
        <f t="shared" si="703"/>
        <v>89867537.497104883</v>
      </c>
      <c r="G4462" s="3">
        <f t="shared" si="708"/>
        <v>3398018.3211762263</v>
      </c>
      <c r="H4462" s="3">
        <f t="shared" si="704"/>
        <v>748896.14580920734</v>
      </c>
      <c r="I4462" s="3">
        <f t="shared" si="705"/>
        <v>2649122.1753670191</v>
      </c>
      <c r="J4462" s="3">
        <f t="shared" si="702"/>
        <v>87218415.321737871</v>
      </c>
      <c r="K4462" s="24"/>
      <c r="L4462" s="24"/>
    </row>
    <row r="4463" spans="2:12" x14ac:dyDescent="0.35">
      <c r="B4463" s="1">
        <f t="shared" si="707"/>
        <v>20</v>
      </c>
      <c r="C4463" s="22">
        <v>45870</v>
      </c>
      <c r="D4463" s="22">
        <v>45899</v>
      </c>
      <c r="E4463" s="23">
        <v>30</v>
      </c>
      <c r="F4463" s="3">
        <f t="shared" si="703"/>
        <v>87218415.321737871</v>
      </c>
      <c r="G4463" s="3">
        <f t="shared" si="708"/>
        <v>3398018.3211762263</v>
      </c>
      <c r="H4463" s="3">
        <f t="shared" si="704"/>
        <v>726820.12768114894</v>
      </c>
      <c r="I4463" s="3">
        <f t="shared" si="705"/>
        <v>2671198.1934950771</v>
      </c>
      <c r="J4463" s="3">
        <f t="shared" si="702"/>
        <v>84547217.128242791</v>
      </c>
      <c r="K4463" s="24"/>
      <c r="L4463" s="24"/>
    </row>
    <row r="4464" spans="2:12" x14ac:dyDescent="0.35">
      <c r="B4464" s="1">
        <f t="shared" si="707"/>
        <v>21</v>
      </c>
      <c r="C4464" s="22">
        <v>45901</v>
      </c>
      <c r="D4464" s="22">
        <v>45930</v>
      </c>
      <c r="E4464" s="23">
        <v>30</v>
      </c>
      <c r="F4464" s="3">
        <f t="shared" si="703"/>
        <v>84547217.128242791</v>
      </c>
      <c r="G4464" s="3">
        <f t="shared" si="708"/>
        <v>3398018.3211762263</v>
      </c>
      <c r="H4464" s="3">
        <f t="shared" si="704"/>
        <v>704560.14273535658</v>
      </c>
      <c r="I4464" s="3">
        <f t="shared" si="705"/>
        <v>2693458.1784408698</v>
      </c>
      <c r="J4464" s="3">
        <f t="shared" si="702"/>
        <v>81853758.949801922</v>
      </c>
      <c r="K4464" s="24"/>
      <c r="L4464" s="24"/>
    </row>
    <row r="4465" spans="2:12" x14ac:dyDescent="0.35">
      <c r="B4465" s="1">
        <f t="shared" si="707"/>
        <v>22</v>
      </c>
      <c r="C4465" s="22">
        <v>45931</v>
      </c>
      <c r="D4465" s="22">
        <v>45961</v>
      </c>
      <c r="E4465" s="23">
        <v>31</v>
      </c>
      <c r="F4465" s="3">
        <f t="shared" si="703"/>
        <v>81853758.949801922</v>
      </c>
      <c r="G4465" s="3">
        <f t="shared" si="708"/>
        <v>3398018.3211762263</v>
      </c>
      <c r="H4465" s="3">
        <f t="shared" si="704"/>
        <v>682114.65791501605</v>
      </c>
      <c r="I4465" s="3">
        <f t="shared" si="705"/>
        <v>2715903.6632612101</v>
      </c>
      <c r="J4465" s="3">
        <f t="shared" si="702"/>
        <v>79137855.286540717</v>
      </c>
      <c r="K4465" s="24"/>
      <c r="L4465" s="24"/>
    </row>
    <row r="4466" spans="2:12" x14ac:dyDescent="0.35">
      <c r="B4466" s="1">
        <f t="shared" si="707"/>
        <v>23</v>
      </c>
      <c r="C4466" s="22">
        <v>45962</v>
      </c>
      <c r="D4466" s="22">
        <v>45991</v>
      </c>
      <c r="E4466" s="23">
        <v>30</v>
      </c>
      <c r="F4466" s="3">
        <f t="shared" si="703"/>
        <v>79137855.286540717</v>
      </c>
      <c r="G4466" s="3">
        <f t="shared" si="708"/>
        <v>3398018.3211762263</v>
      </c>
      <c r="H4466" s="3">
        <f t="shared" si="704"/>
        <v>659482.12738783925</v>
      </c>
      <c r="I4466" s="3">
        <f t="shared" si="705"/>
        <v>2738536.1937883869</v>
      </c>
      <c r="J4466" s="3">
        <f t="shared" si="702"/>
        <v>76399319.092752337</v>
      </c>
    </row>
    <row r="4467" spans="2:12" x14ac:dyDescent="0.35">
      <c r="B4467" s="1">
        <f t="shared" si="707"/>
        <v>24</v>
      </c>
      <c r="C4467" s="22">
        <v>45992</v>
      </c>
      <c r="D4467" s="22">
        <v>46022</v>
      </c>
      <c r="E4467" s="23">
        <v>31</v>
      </c>
      <c r="F4467" s="3">
        <f t="shared" si="703"/>
        <v>76399319.092752337</v>
      </c>
      <c r="G4467" s="3">
        <f t="shared" si="708"/>
        <v>3398018.3211762263</v>
      </c>
      <c r="H4467" s="3">
        <f t="shared" si="704"/>
        <v>636660.99243960285</v>
      </c>
      <c r="I4467" s="3">
        <f t="shared" si="705"/>
        <v>2761357.3287366233</v>
      </c>
      <c r="J4467" s="3">
        <f t="shared" si="702"/>
        <v>73637961.764015719</v>
      </c>
    </row>
    <row r="4468" spans="2:12" x14ac:dyDescent="0.35">
      <c r="B4468" s="1">
        <f t="shared" si="707"/>
        <v>25</v>
      </c>
      <c r="C4468" s="22">
        <v>46023</v>
      </c>
      <c r="D4468" s="22">
        <v>46053</v>
      </c>
      <c r="E4468" s="23">
        <v>31</v>
      </c>
      <c r="F4468" s="3">
        <f t="shared" si="703"/>
        <v>73637961.764015719</v>
      </c>
      <c r="G4468" s="3">
        <f t="shared" si="708"/>
        <v>3398018.3211762263</v>
      </c>
      <c r="H4468" s="3">
        <f t="shared" si="704"/>
        <v>613649.68136679765</v>
      </c>
      <c r="I4468" s="3">
        <f t="shared" si="705"/>
        <v>2784368.6398094287</v>
      </c>
      <c r="J4468" s="3">
        <f t="shared" si="702"/>
        <v>70853593.12420629</v>
      </c>
    </row>
    <row r="4469" spans="2:12" x14ac:dyDescent="0.35">
      <c r="B4469" s="1">
        <f t="shared" si="707"/>
        <v>26</v>
      </c>
      <c r="C4469" s="22">
        <v>46054</v>
      </c>
      <c r="D4469" s="22">
        <v>46081</v>
      </c>
      <c r="E4469" s="23">
        <v>28</v>
      </c>
      <c r="F4469" s="3">
        <f t="shared" si="703"/>
        <v>70853593.12420629</v>
      </c>
      <c r="G4469" s="3">
        <f t="shared" si="708"/>
        <v>3398018.3211762263</v>
      </c>
      <c r="H4469" s="3">
        <f t="shared" si="704"/>
        <v>590446.60936838575</v>
      </c>
      <c r="I4469" s="3">
        <f t="shared" si="705"/>
        <v>2807571.7118078405</v>
      </c>
      <c r="J4469" s="3">
        <f t="shared" si="702"/>
        <v>68046021.412398443</v>
      </c>
    </row>
    <row r="4470" spans="2:12" x14ac:dyDescent="0.35">
      <c r="B4470" s="1">
        <f t="shared" si="707"/>
        <v>27</v>
      </c>
      <c r="C4470" s="22">
        <v>46082</v>
      </c>
      <c r="D4470" s="22">
        <v>46112</v>
      </c>
      <c r="E4470" s="23">
        <v>31</v>
      </c>
      <c r="F4470" s="3">
        <f t="shared" si="703"/>
        <v>68046021.412398443</v>
      </c>
      <c r="G4470" s="3">
        <f t="shared" si="708"/>
        <v>3398018.3211762263</v>
      </c>
      <c r="H4470" s="3">
        <f t="shared" si="704"/>
        <v>567050.17843665369</v>
      </c>
      <c r="I4470" s="3">
        <f t="shared" si="705"/>
        <v>2830968.1427395726</v>
      </c>
      <c r="J4470" s="3">
        <f t="shared" si="702"/>
        <v>65215053.269658871</v>
      </c>
    </row>
    <row r="4471" spans="2:12" x14ac:dyDescent="0.35">
      <c r="B4471" s="1">
        <f t="shared" si="707"/>
        <v>28</v>
      </c>
      <c r="C4471" s="22">
        <v>46113</v>
      </c>
      <c r="D4471" s="22">
        <v>46142</v>
      </c>
      <c r="E4471" s="23">
        <v>30</v>
      </c>
      <c r="F4471" s="3">
        <f t="shared" si="703"/>
        <v>65215053.269658871</v>
      </c>
      <c r="G4471" s="3">
        <f t="shared" si="708"/>
        <v>3398018.3211762263</v>
      </c>
      <c r="H4471" s="3">
        <f t="shared" si="704"/>
        <v>543458.7772471573</v>
      </c>
      <c r="I4471" s="3">
        <f t="shared" si="705"/>
        <v>2854559.5439290688</v>
      </c>
      <c r="J4471" s="3">
        <f t="shared" si="702"/>
        <v>62360493.725729801</v>
      </c>
    </row>
    <row r="4472" spans="2:12" x14ac:dyDescent="0.35">
      <c r="B4472" s="1">
        <f t="shared" si="707"/>
        <v>29</v>
      </c>
      <c r="C4472" s="22">
        <v>46143</v>
      </c>
      <c r="D4472" s="22">
        <v>46173</v>
      </c>
      <c r="E4472" s="23">
        <v>31</v>
      </c>
      <c r="F4472" s="3">
        <f t="shared" si="703"/>
        <v>62360493.725729801</v>
      </c>
      <c r="G4472" s="3">
        <f t="shared" si="708"/>
        <v>3398018.3211762263</v>
      </c>
      <c r="H4472" s="3">
        <f t="shared" si="704"/>
        <v>519670.78104774834</v>
      </c>
      <c r="I4472" s="3">
        <f t="shared" si="705"/>
        <v>2878347.5401284778</v>
      </c>
      <c r="J4472" s="3">
        <f t="shared" si="702"/>
        <v>59482146.185601324</v>
      </c>
    </row>
    <row r="4473" spans="2:12" x14ac:dyDescent="0.35">
      <c r="B4473" s="1">
        <f t="shared" si="707"/>
        <v>30</v>
      </c>
      <c r="C4473" s="22">
        <v>46174</v>
      </c>
      <c r="D4473" s="22">
        <v>46203</v>
      </c>
      <c r="E4473" s="23">
        <v>30</v>
      </c>
      <c r="F4473" s="3">
        <f t="shared" si="703"/>
        <v>59482146.185601324</v>
      </c>
      <c r="G4473" s="3">
        <f t="shared" si="708"/>
        <v>3398018.3211762263</v>
      </c>
      <c r="H4473" s="3">
        <f t="shared" si="704"/>
        <v>495684.55154667771</v>
      </c>
      <c r="I4473" s="3">
        <f t="shared" si="705"/>
        <v>2902333.7696295483</v>
      </c>
      <c r="J4473" s="3">
        <f t="shared" si="702"/>
        <v>56579812.415971778</v>
      </c>
    </row>
    <row r="4474" spans="2:12" x14ac:dyDescent="0.35">
      <c r="B4474" s="1">
        <f t="shared" si="707"/>
        <v>31</v>
      </c>
      <c r="C4474" s="22">
        <v>46204</v>
      </c>
      <c r="D4474" s="22">
        <v>46234</v>
      </c>
      <c r="E4474" s="23">
        <v>31</v>
      </c>
      <c r="F4474" s="3">
        <f t="shared" si="703"/>
        <v>56579812.415971778</v>
      </c>
      <c r="G4474" s="3">
        <f t="shared" si="708"/>
        <v>3398018.3211762263</v>
      </c>
      <c r="H4474" s="3">
        <f t="shared" si="704"/>
        <v>471498.43679976481</v>
      </c>
      <c r="I4474" s="3">
        <f t="shared" si="705"/>
        <v>2926519.8843764616</v>
      </c>
      <c r="J4474" s="3">
        <f t="shared" si="702"/>
        <v>53653292.53159532</v>
      </c>
    </row>
    <row r="4475" spans="2:12" x14ac:dyDescent="0.35">
      <c r="B4475" s="1">
        <f t="shared" si="707"/>
        <v>32</v>
      </c>
      <c r="C4475" s="22">
        <v>46235</v>
      </c>
      <c r="D4475" s="22">
        <v>46265</v>
      </c>
      <c r="E4475" s="23">
        <v>31</v>
      </c>
      <c r="F4475" s="3">
        <f t="shared" si="703"/>
        <v>53653292.53159532</v>
      </c>
      <c r="G4475" s="3">
        <f t="shared" si="708"/>
        <v>3398018.3211762263</v>
      </c>
      <c r="H4475" s="3">
        <f t="shared" si="704"/>
        <v>447110.77109662764</v>
      </c>
      <c r="I4475" s="3">
        <f t="shared" si="705"/>
        <v>2950907.5500795986</v>
      </c>
      <c r="J4475" s="3">
        <f t="shared" ref="J4475:J4491" si="709">F4475-I4475</f>
        <v>50702384.98151572</v>
      </c>
    </row>
    <row r="4476" spans="2:12" x14ac:dyDescent="0.35">
      <c r="B4476" s="1">
        <f t="shared" si="707"/>
        <v>33</v>
      </c>
      <c r="C4476" s="22">
        <v>46266</v>
      </c>
      <c r="D4476" s="22">
        <v>46295</v>
      </c>
      <c r="E4476" s="23">
        <v>30</v>
      </c>
      <c r="F4476" s="3">
        <f t="shared" si="703"/>
        <v>50702384.98151572</v>
      </c>
      <c r="G4476" s="3">
        <f t="shared" si="708"/>
        <v>3398018.3211762263</v>
      </c>
      <c r="H4476" s="3">
        <f t="shared" si="704"/>
        <v>422519.87484596431</v>
      </c>
      <c r="I4476" s="3">
        <f t="shared" si="705"/>
        <v>2975498.4463302619</v>
      </c>
      <c r="J4476" s="3">
        <f t="shared" si="709"/>
        <v>47726886.535185456</v>
      </c>
    </row>
    <row r="4477" spans="2:12" x14ac:dyDescent="0.35">
      <c r="B4477" s="1">
        <f t="shared" si="707"/>
        <v>34</v>
      </c>
      <c r="C4477" s="22">
        <v>46296</v>
      </c>
      <c r="D4477" s="22">
        <v>46326</v>
      </c>
      <c r="E4477" s="23">
        <v>31</v>
      </c>
      <c r="F4477" s="3">
        <f t="shared" si="703"/>
        <v>47726886.535185456</v>
      </c>
      <c r="G4477" s="3">
        <f t="shared" si="708"/>
        <v>3398018.3211762263</v>
      </c>
      <c r="H4477" s="3">
        <f t="shared" si="704"/>
        <v>397724.05445987883</v>
      </c>
      <c r="I4477" s="3">
        <f t="shared" si="705"/>
        <v>3000294.2667163475</v>
      </c>
      <c r="J4477" s="3">
        <f t="shared" si="709"/>
        <v>44726592.26846911</v>
      </c>
    </row>
    <row r="4478" spans="2:12" x14ac:dyDescent="0.35">
      <c r="B4478" s="1">
        <f t="shared" si="707"/>
        <v>35</v>
      </c>
      <c r="C4478" s="22">
        <v>46327</v>
      </c>
      <c r="D4478" s="22">
        <v>46356</v>
      </c>
      <c r="E4478" s="23">
        <v>30</v>
      </c>
      <c r="F4478" s="3">
        <f t="shared" si="703"/>
        <v>44726592.26846911</v>
      </c>
      <c r="G4478" s="3">
        <f t="shared" si="708"/>
        <v>3398018.3211762263</v>
      </c>
      <c r="H4478" s="3">
        <f t="shared" si="704"/>
        <v>372721.60223724257</v>
      </c>
      <c r="I4478" s="3">
        <f t="shared" si="705"/>
        <v>3025296.7189389835</v>
      </c>
      <c r="J4478" s="3">
        <f t="shared" si="709"/>
        <v>41701295.549530126</v>
      </c>
    </row>
    <row r="4479" spans="2:12" x14ac:dyDescent="0.35">
      <c r="B4479" s="1">
        <f t="shared" si="707"/>
        <v>36</v>
      </c>
      <c r="C4479" s="22">
        <v>46357</v>
      </c>
      <c r="D4479" s="22">
        <v>46387</v>
      </c>
      <c r="E4479" s="23">
        <v>31</v>
      </c>
      <c r="F4479" s="3">
        <f t="shared" si="703"/>
        <v>41701295.549530126</v>
      </c>
      <c r="G4479" s="3">
        <f t="shared" si="708"/>
        <v>3398018.3211762263</v>
      </c>
      <c r="H4479" s="3">
        <f t="shared" si="704"/>
        <v>347510.79624608438</v>
      </c>
      <c r="I4479" s="3">
        <f t="shared" si="705"/>
        <v>3050507.5249301419</v>
      </c>
      <c r="J4479" s="3">
        <f t="shared" si="709"/>
        <v>38650788.024599984</v>
      </c>
    </row>
    <row r="4480" spans="2:12" x14ac:dyDescent="0.35">
      <c r="B4480" s="1">
        <f t="shared" si="707"/>
        <v>37</v>
      </c>
      <c r="C4480" s="22">
        <v>46388</v>
      </c>
      <c r="D4480" s="22">
        <v>46418</v>
      </c>
      <c r="E4480" s="23">
        <v>31</v>
      </c>
      <c r="F4480" s="3">
        <f t="shared" si="703"/>
        <v>38650788.024599984</v>
      </c>
      <c r="G4480" s="3">
        <f t="shared" si="708"/>
        <v>3398018.3211762263</v>
      </c>
      <c r="H4480" s="3">
        <f t="shared" si="704"/>
        <v>322089.90020499984</v>
      </c>
      <c r="I4480" s="3">
        <f t="shared" si="705"/>
        <v>3075928.4209712264</v>
      </c>
      <c r="J4480" s="3">
        <f t="shared" si="709"/>
        <v>35574859.603628755</v>
      </c>
    </row>
    <row r="4481" spans="2:10" x14ac:dyDescent="0.35">
      <c r="B4481" s="1">
        <f t="shared" si="707"/>
        <v>38</v>
      </c>
      <c r="C4481" s="22">
        <v>46419</v>
      </c>
      <c r="D4481" s="22">
        <v>46446</v>
      </c>
      <c r="E4481" s="23">
        <v>28</v>
      </c>
      <c r="F4481" s="3">
        <f t="shared" si="703"/>
        <v>35574859.603628755</v>
      </c>
      <c r="G4481" s="3">
        <f t="shared" si="708"/>
        <v>3398018.3211762263</v>
      </c>
      <c r="H4481" s="3">
        <f t="shared" si="704"/>
        <v>296457.16336357297</v>
      </c>
      <c r="I4481" s="3">
        <f t="shared" si="705"/>
        <v>3101561.1578126531</v>
      </c>
      <c r="J4481" s="3">
        <f t="shared" si="709"/>
        <v>32473298.4458161</v>
      </c>
    </row>
    <row r="4482" spans="2:10" x14ac:dyDescent="0.35">
      <c r="B4482" s="1">
        <f t="shared" si="707"/>
        <v>39</v>
      </c>
      <c r="C4482" s="22">
        <v>46447</v>
      </c>
      <c r="D4482" s="22">
        <v>46477</v>
      </c>
      <c r="E4482" s="23">
        <v>31</v>
      </c>
      <c r="F4482" s="3">
        <f t="shared" si="703"/>
        <v>32473298.4458161</v>
      </c>
      <c r="G4482" s="3">
        <f t="shared" si="708"/>
        <v>3398018.3211762263</v>
      </c>
      <c r="H4482" s="3">
        <f t="shared" si="704"/>
        <v>270610.82038180082</v>
      </c>
      <c r="I4482" s="3">
        <f t="shared" si="705"/>
        <v>3127407.5007944256</v>
      </c>
      <c r="J4482" s="3">
        <f t="shared" si="709"/>
        <v>29345890.945021674</v>
      </c>
    </row>
    <row r="4483" spans="2:10" x14ac:dyDescent="0.35">
      <c r="B4483" s="1">
        <f t="shared" si="707"/>
        <v>40</v>
      </c>
      <c r="C4483" s="22">
        <v>46478</v>
      </c>
      <c r="D4483" s="22">
        <v>46507</v>
      </c>
      <c r="E4483" s="23">
        <v>30</v>
      </c>
      <c r="F4483" s="3">
        <f t="shared" si="703"/>
        <v>29345890.945021674</v>
      </c>
      <c r="G4483" s="3">
        <f t="shared" si="708"/>
        <v>3398018.3211762263</v>
      </c>
      <c r="H4483" s="3">
        <f t="shared" si="704"/>
        <v>244549.09120851394</v>
      </c>
      <c r="I4483" s="3">
        <f t="shared" si="705"/>
        <v>3153469.2299677124</v>
      </c>
      <c r="J4483" s="3">
        <f t="shared" si="709"/>
        <v>26192421.715053961</v>
      </c>
    </row>
    <row r="4484" spans="2:10" x14ac:dyDescent="0.35">
      <c r="B4484" s="1">
        <f t="shared" si="707"/>
        <v>41</v>
      </c>
      <c r="C4484" s="22">
        <v>46508</v>
      </c>
      <c r="D4484" s="22">
        <v>46538</v>
      </c>
      <c r="E4484" s="23">
        <v>31</v>
      </c>
      <c r="F4484" s="3">
        <f t="shared" si="703"/>
        <v>26192421.715053961</v>
      </c>
      <c r="G4484" s="3">
        <f t="shared" si="708"/>
        <v>3398018.3211762263</v>
      </c>
      <c r="H4484" s="3">
        <f t="shared" si="704"/>
        <v>218270.18095878299</v>
      </c>
      <c r="I4484" s="3">
        <f t="shared" si="705"/>
        <v>3179748.1402174435</v>
      </c>
      <c r="J4484" s="3">
        <f t="shared" si="709"/>
        <v>23012673.574836519</v>
      </c>
    </row>
    <row r="4485" spans="2:10" x14ac:dyDescent="0.35">
      <c r="B4485" s="1">
        <f t="shared" si="707"/>
        <v>42</v>
      </c>
      <c r="C4485" s="22">
        <v>46539</v>
      </c>
      <c r="D4485" s="22">
        <v>46568</v>
      </c>
      <c r="E4485" s="23">
        <v>30</v>
      </c>
      <c r="F4485" s="3">
        <f t="shared" si="703"/>
        <v>23012673.574836519</v>
      </c>
      <c r="G4485" s="3">
        <f t="shared" si="708"/>
        <v>3398018.3211762263</v>
      </c>
      <c r="H4485" s="3">
        <f t="shared" si="704"/>
        <v>191772.27979030431</v>
      </c>
      <c r="I4485" s="3">
        <f t="shared" si="705"/>
        <v>3206246.0413859221</v>
      </c>
      <c r="J4485" s="3">
        <f t="shared" si="709"/>
        <v>19806427.533450596</v>
      </c>
    </row>
    <row r="4486" spans="2:10" x14ac:dyDescent="0.35">
      <c r="B4486" s="1">
        <f t="shared" si="707"/>
        <v>43</v>
      </c>
      <c r="C4486" s="22">
        <v>46569</v>
      </c>
      <c r="D4486" s="22">
        <v>46599</v>
      </c>
      <c r="E4486" s="23">
        <v>31</v>
      </c>
      <c r="F4486" s="3">
        <f t="shared" si="703"/>
        <v>19806427.533450596</v>
      </c>
      <c r="G4486" s="3">
        <f t="shared" si="708"/>
        <v>3398018.3211762263</v>
      </c>
      <c r="H4486" s="3">
        <f t="shared" si="704"/>
        <v>165053.56277875497</v>
      </c>
      <c r="I4486" s="3">
        <f t="shared" si="705"/>
        <v>3232964.7583974712</v>
      </c>
      <c r="J4486" s="3">
        <f t="shared" si="709"/>
        <v>16573462.775053125</v>
      </c>
    </row>
    <row r="4487" spans="2:10" x14ac:dyDescent="0.35">
      <c r="B4487" s="1">
        <f t="shared" si="707"/>
        <v>44</v>
      </c>
      <c r="C4487" s="22">
        <v>46600</v>
      </c>
      <c r="D4487" s="22">
        <v>46630</v>
      </c>
      <c r="E4487" s="23">
        <v>31</v>
      </c>
      <c r="F4487" s="3">
        <f t="shared" si="703"/>
        <v>16573462.775053125</v>
      </c>
      <c r="G4487" s="3">
        <f t="shared" si="708"/>
        <v>3398018.3211762263</v>
      </c>
      <c r="H4487" s="3">
        <f t="shared" si="704"/>
        <v>138112.18979210936</v>
      </c>
      <c r="I4487" s="3">
        <f t="shared" si="705"/>
        <v>3259906.1313841171</v>
      </c>
      <c r="J4487" s="3">
        <f t="shared" si="709"/>
        <v>13313556.643669007</v>
      </c>
    </row>
    <row r="4488" spans="2:10" x14ac:dyDescent="0.35">
      <c r="B4488" s="1">
        <f t="shared" si="707"/>
        <v>45</v>
      </c>
      <c r="C4488" s="22">
        <f>+D4487+1</f>
        <v>46631</v>
      </c>
      <c r="D4488" s="22">
        <f>+C4488+29</f>
        <v>46660</v>
      </c>
      <c r="E4488" s="23">
        <v>30</v>
      </c>
      <c r="F4488" s="3">
        <f t="shared" si="703"/>
        <v>13313556.643669007</v>
      </c>
      <c r="G4488" s="3">
        <f t="shared" si="708"/>
        <v>3398018.3211762263</v>
      </c>
      <c r="H4488" s="3">
        <f t="shared" si="704"/>
        <v>110946.3053639084</v>
      </c>
      <c r="I4488" s="3">
        <f t="shared" si="705"/>
        <v>3287072.0158123178</v>
      </c>
      <c r="J4488" s="3">
        <f t="shared" si="709"/>
        <v>10026484.62785669</v>
      </c>
    </row>
    <row r="4489" spans="2:10" x14ac:dyDescent="0.35">
      <c r="B4489" s="1">
        <f t="shared" si="707"/>
        <v>46</v>
      </c>
      <c r="C4489" s="22">
        <f>+D4488+1</f>
        <v>46661</v>
      </c>
      <c r="D4489" s="22">
        <f>+C4489+30</f>
        <v>46691</v>
      </c>
      <c r="E4489" s="23">
        <v>31</v>
      </c>
      <c r="F4489" s="3">
        <f t="shared" si="703"/>
        <v>10026484.62785669</v>
      </c>
      <c r="G4489" s="3">
        <f t="shared" si="708"/>
        <v>3398018.3211762263</v>
      </c>
      <c r="H4489" s="3">
        <f t="shared" si="704"/>
        <v>83554.038565472423</v>
      </c>
      <c r="I4489" s="3">
        <f t="shared" si="705"/>
        <v>3314464.282610754</v>
      </c>
      <c r="J4489" s="3">
        <f t="shared" si="709"/>
        <v>6712020.3452459369</v>
      </c>
    </row>
    <row r="4490" spans="2:10" x14ac:dyDescent="0.35">
      <c r="B4490" s="1">
        <f t="shared" si="707"/>
        <v>47</v>
      </c>
      <c r="C4490" s="22">
        <f>+D4489+1</f>
        <v>46692</v>
      </c>
      <c r="D4490" s="22">
        <f>+C4490+29</f>
        <v>46721</v>
      </c>
      <c r="E4490" s="23">
        <v>30</v>
      </c>
      <c r="F4490" s="3">
        <f t="shared" si="703"/>
        <v>6712020.3452459369</v>
      </c>
      <c r="G4490" s="3">
        <f t="shared" si="708"/>
        <v>3398018.3211762263</v>
      </c>
      <c r="H4490" s="3">
        <f t="shared" si="704"/>
        <v>55933.502877049476</v>
      </c>
      <c r="I4490" s="3">
        <f t="shared" si="705"/>
        <v>3342084.8182991766</v>
      </c>
      <c r="J4490" s="3">
        <f t="shared" si="709"/>
        <v>3369935.5269467602</v>
      </c>
    </row>
    <row r="4491" spans="2:10" x14ac:dyDescent="0.35">
      <c r="B4491" s="1">
        <f t="shared" si="707"/>
        <v>48</v>
      </c>
      <c r="C4491" s="22">
        <f>+D4490+1</f>
        <v>46722</v>
      </c>
      <c r="D4491" s="22">
        <f>+C4491+30</f>
        <v>46752</v>
      </c>
      <c r="E4491" s="23">
        <v>31</v>
      </c>
      <c r="F4491" s="3">
        <f t="shared" si="703"/>
        <v>3369935.5269467602</v>
      </c>
      <c r="G4491" s="3">
        <f t="shared" si="708"/>
        <v>3398018.3211762263</v>
      </c>
      <c r="H4491" s="3">
        <f t="shared" si="704"/>
        <v>28082.796057889667</v>
      </c>
      <c r="I4491" s="3">
        <f t="shared" si="705"/>
        <v>3369935.5251183365</v>
      </c>
      <c r="J4491" s="3">
        <f t="shared" si="709"/>
        <v>1.8284237012267113E-3</v>
      </c>
    </row>
    <row r="4498" spans="2:19" x14ac:dyDescent="0.35">
      <c r="B4498" s="1"/>
      <c r="C4498" s="8" t="s">
        <v>946</v>
      </c>
      <c r="D4498" s="3"/>
      <c r="E4498" s="3"/>
      <c r="F4498" s="3"/>
      <c r="G4498" s="3"/>
      <c r="H4498" s="3"/>
      <c r="I4498" s="3"/>
      <c r="J4498" s="3"/>
      <c r="K4498" s="3"/>
      <c r="L4498" s="3"/>
      <c r="R4498" s="438" t="s">
        <v>832</v>
      </c>
      <c r="S4498" s="432" t="str">
        <f>IFERROR(INDEX(Blocks!$I$2:$I$101,MATCH(82,Blocks!$A$2:$A$101,0)),"")</f>
        <v>000104450000084</v>
      </c>
    </row>
    <row r="4499" spans="2:19" x14ac:dyDescent="0.35">
      <c r="B4499" s="1"/>
      <c r="C4499" s="1"/>
      <c r="D4499" s="3"/>
      <c r="E4499" s="3"/>
      <c r="F4499" s="3"/>
      <c r="G4499" s="3"/>
      <c r="H4499" s="3"/>
      <c r="I4499" s="3"/>
      <c r="J4499" s="3"/>
      <c r="K4499" s="3"/>
      <c r="L4499" s="3"/>
      <c r="R4499" s="438" t="s">
        <v>834</v>
      </c>
      <c r="S4499" s="432" t="str">
        <f>IFERROR(INDEX(Blocks!$H$2:$H$101,MATCH(82,Blocks!$A$2:$A$101,0)),"")</f>
        <v>Ziweto Zathanzi Veterinary Shop</v>
      </c>
    </row>
    <row r="4500" spans="2:19" x14ac:dyDescent="0.35">
      <c r="B4500" s="1"/>
      <c r="C4500" s="9" t="s">
        <v>835</v>
      </c>
      <c r="D4500" s="10">
        <v>10000000</v>
      </c>
      <c r="E4500" s="3"/>
      <c r="F4500" s="3"/>
      <c r="G4500" s="3"/>
      <c r="H4500" s="3"/>
      <c r="I4500" s="3"/>
      <c r="J4500" s="3"/>
      <c r="K4500" s="3"/>
      <c r="L4500" s="3"/>
      <c r="R4500" s="438" t="s">
        <v>223</v>
      </c>
      <c r="S4500" s="433">
        <f>IFERROR(INDEX('E-Banker master'!$N$2:$N$186,MATCH(S4498,'E-Banker master'!$A$2:$A$186,0)),"")</f>
        <v>10000000</v>
      </c>
    </row>
    <row r="4501" spans="2:19" x14ac:dyDescent="0.35">
      <c r="B4501" s="1"/>
      <c r="C4501" s="11" t="s">
        <v>837</v>
      </c>
      <c r="D4501" s="12">
        <v>0.1</v>
      </c>
      <c r="E4501" s="13"/>
      <c r="F4501" s="3"/>
      <c r="G4501" s="3"/>
      <c r="H4501" s="3"/>
      <c r="I4501" s="3"/>
      <c r="J4501" s="3"/>
      <c r="K4501" s="3"/>
      <c r="L4501" s="3"/>
      <c r="R4501" s="438" t="s">
        <v>52</v>
      </c>
      <c r="S4501" s="433">
        <f>IFERROR(INDEX('E-Banker master'!$P$2:$P$186,MATCH(S4498,'E-Banker master'!$A$2:$A$186,0)),"")</f>
        <v>7917794.6699999999</v>
      </c>
    </row>
    <row r="4502" spans="2:19" x14ac:dyDescent="0.35">
      <c r="B4502" s="1"/>
      <c r="C4502" s="11" t="s">
        <v>838</v>
      </c>
      <c r="D4502" s="14">
        <v>4</v>
      </c>
      <c r="E4502" s="1"/>
      <c r="F4502" s="3"/>
      <c r="G4502" s="3"/>
      <c r="H4502" s="3"/>
      <c r="I4502" s="3"/>
      <c r="J4502" s="3"/>
      <c r="K4502" s="1"/>
      <c r="L4502" s="1"/>
    </row>
    <row r="4503" spans="2:19" x14ac:dyDescent="0.35">
      <c r="B4503" s="1"/>
      <c r="C4503" s="11" t="s">
        <v>839</v>
      </c>
      <c r="D4503" s="14">
        <v>12</v>
      </c>
      <c r="E4503" s="1"/>
      <c r="F4503" s="3"/>
      <c r="G4503" s="3"/>
      <c r="H4503" s="3"/>
      <c r="I4503" s="3"/>
      <c r="J4503" s="3"/>
      <c r="K4503" s="1"/>
      <c r="L4503" s="1"/>
    </row>
    <row r="4504" spans="2:19" x14ac:dyDescent="0.35">
      <c r="B4504" s="1"/>
      <c r="C4504" s="11" t="s">
        <v>843</v>
      </c>
      <c r="D4504" s="15">
        <v>24</v>
      </c>
      <c r="E4504" s="1"/>
      <c r="F4504" s="3"/>
      <c r="G4504" s="3"/>
      <c r="H4504" s="3"/>
      <c r="I4504" s="3"/>
      <c r="J4504" s="3"/>
      <c r="K4504" s="1"/>
      <c r="L4504" s="1"/>
    </row>
    <row r="4505" spans="2:19" x14ac:dyDescent="0.35">
      <c r="B4505" s="1"/>
      <c r="C4505" s="11" t="s">
        <v>844</v>
      </c>
      <c r="D4505" s="16">
        <v>365</v>
      </c>
      <c r="E4505" s="1"/>
      <c r="F4505" s="3"/>
      <c r="G4505" s="3"/>
      <c r="H4505" s="3"/>
      <c r="I4505" s="3"/>
      <c r="J4505" s="3"/>
      <c r="K4505" s="1"/>
      <c r="L4505" s="1"/>
    </row>
    <row r="4506" spans="2:19" x14ac:dyDescent="0.35">
      <c r="B4506" s="1"/>
      <c r="C4506" s="17" t="s">
        <v>845</v>
      </c>
      <c r="D4506" s="220">
        <f>-PMT(D4501/D4503,D4504,D4500,0,0)</f>
        <v>461449.26337516506</v>
      </c>
      <c r="E4506" s="3"/>
      <c r="F4506" s="3"/>
      <c r="G4506" s="3"/>
      <c r="H4506" s="3"/>
      <c r="I4506" s="3"/>
      <c r="J4506" s="3"/>
      <c r="K4506" s="1"/>
      <c r="L4506" s="1"/>
    </row>
    <row r="4507" spans="2:19" x14ac:dyDescent="0.35">
      <c r="B4507" s="1"/>
      <c r="C4507" s="1"/>
      <c r="D4507" s="3"/>
      <c r="E4507" s="3"/>
      <c r="F4507" s="3"/>
      <c r="G4507" s="3"/>
      <c r="H4507" s="3"/>
      <c r="I4507" s="3"/>
      <c r="J4507" s="3"/>
      <c r="K4507" s="1"/>
      <c r="L4507" s="1"/>
    </row>
    <row r="4508" spans="2:19" x14ac:dyDescent="0.35">
      <c r="B4508" s="1"/>
      <c r="C4508" s="19" t="s">
        <v>846</v>
      </c>
      <c r="D4508" s="20" t="s">
        <v>847</v>
      </c>
      <c r="E4508" s="20" t="s">
        <v>764</v>
      </c>
      <c r="F4508" s="270" t="s">
        <v>848</v>
      </c>
      <c r="G4508" s="270" t="s">
        <v>849</v>
      </c>
      <c r="H4508" s="270" t="s">
        <v>742</v>
      </c>
      <c r="I4508" s="270" t="s">
        <v>740</v>
      </c>
      <c r="J4508" s="270" t="s">
        <v>850</v>
      </c>
      <c r="K4508" s="21" t="s">
        <v>851</v>
      </c>
      <c r="L4508" s="21" t="s">
        <v>852</v>
      </c>
    </row>
    <row r="4509" spans="2:19" x14ac:dyDescent="0.35">
      <c r="B4509" s="1">
        <v>0</v>
      </c>
      <c r="C4509" s="22">
        <v>45273</v>
      </c>
      <c r="D4509" s="22">
        <v>45291</v>
      </c>
      <c r="E4509" s="291">
        <f>+D4509-C4509</f>
        <v>18</v>
      </c>
      <c r="F4509" s="3">
        <f>D4500</f>
        <v>10000000</v>
      </c>
      <c r="G4509" s="3">
        <v>48387.096774193553</v>
      </c>
      <c r="H4509" s="3">
        <f>($D$4501/$D$4503*F4509*E4509/31)</f>
        <v>48387.096774193546</v>
      </c>
      <c r="I4509" s="3">
        <v>0</v>
      </c>
      <c r="J4509" s="3">
        <f t="shared" ref="J4509:J4533" si="710">F4509-I4509</f>
        <v>10000000</v>
      </c>
    </row>
    <row r="4510" spans="2:19" x14ac:dyDescent="0.35">
      <c r="B4510" s="1">
        <v>1</v>
      </c>
      <c r="C4510" s="22">
        <f>+D4509+1</f>
        <v>45292</v>
      </c>
      <c r="D4510" s="22">
        <f>+C4510+30</f>
        <v>45322</v>
      </c>
      <c r="E4510" s="23">
        <v>31</v>
      </c>
      <c r="F4510" s="3">
        <f t="shared" ref="F4510:F4533" si="711">J4509</f>
        <v>10000000</v>
      </c>
      <c r="G4510" s="3">
        <v>83333.333333333328</v>
      </c>
      <c r="H4510" s="3">
        <f t="shared" ref="H4510:H4533" si="712">($D$4501/$D$4503*F4510)</f>
        <v>83333.333333333328</v>
      </c>
      <c r="I4510" s="3"/>
      <c r="J4510" s="3">
        <f t="shared" si="710"/>
        <v>10000000</v>
      </c>
      <c r="K4510" s="24"/>
      <c r="L4510" s="24"/>
    </row>
    <row r="4511" spans="2:19" x14ac:dyDescent="0.35">
      <c r="B4511" s="1">
        <v>2</v>
      </c>
      <c r="C4511" s="22">
        <v>45323</v>
      </c>
      <c r="D4511" s="22">
        <v>45351</v>
      </c>
      <c r="E4511" s="23">
        <v>29</v>
      </c>
      <c r="F4511" s="3">
        <f t="shared" si="711"/>
        <v>10000000</v>
      </c>
      <c r="G4511" s="3">
        <v>83333.333333333328</v>
      </c>
      <c r="H4511" s="3">
        <f t="shared" si="712"/>
        <v>83333.333333333328</v>
      </c>
      <c r="I4511" s="3"/>
      <c r="J4511" s="3">
        <f t="shared" si="710"/>
        <v>10000000</v>
      </c>
      <c r="K4511" s="24"/>
      <c r="L4511" s="24"/>
    </row>
    <row r="4512" spans="2:19" x14ac:dyDescent="0.35">
      <c r="B4512" s="1">
        <f t="shared" ref="B4512:B4533" si="713">+B4511+1</f>
        <v>3</v>
      </c>
      <c r="C4512" s="22">
        <v>45352</v>
      </c>
      <c r="D4512" s="22">
        <v>45382</v>
      </c>
      <c r="E4512" s="23">
        <v>31</v>
      </c>
      <c r="F4512" s="3">
        <f t="shared" si="711"/>
        <v>10000000</v>
      </c>
      <c r="G4512" s="3">
        <v>83333.333333333328</v>
      </c>
      <c r="H4512" s="3">
        <f t="shared" si="712"/>
        <v>83333.333333333328</v>
      </c>
      <c r="I4512" s="3"/>
      <c r="J4512" s="3">
        <f t="shared" si="710"/>
        <v>10000000</v>
      </c>
      <c r="K4512" s="24">
        <v>1070000</v>
      </c>
      <c r="L4512" s="3">
        <f>L4511+SUM(G4509:G4512)-K4512</f>
        <v>-771612.90322580654</v>
      </c>
    </row>
    <row r="4513" spans="2:12" x14ac:dyDescent="0.35">
      <c r="B4513" s="1">
        <f t="shared" si="713"/>
        <v>4</v>
      </c>
      <c r="C4513" s="22">
        <v>45383</v>
      </c>
      <c r="D4513" s="22">
        <v>45412</v>
      </c>
      <c r="E4513" s="23">
        <v>30</v>
      </c>
      <c r="F4513" s="3">
        <f t="shared" si="711"/>
        <v>10000000</v>
      </c>
      <c r="G4513" s="3">
        <f t="shared" ref="G4513:G4533" si="714">-PMT($D$4289/$D$4291,21,$F$4512,,0)</f>
        <v>521048.15543211071</v>
      </c>
      <c r="H4513" s="3">
        <f t="shared" si="712"/>
        <v>83333.333333333328</v>
      </c>
      <c r="I4513" s="3">
        <f t="shared" ref="I4513:I4533" si="715">G4513-H4513</f>
        <v>437714.8220987774</v>
      </c>
      <c r="J4513" s="3">
        <f t="shared" si="710"/>
        <v>9562285.1779012233</v>
      </c>
      <c r="K4513" s="24"/>
      <c r="L4513" s="3">
        <f t="shared" ref="L4513:L4519" si="716">L4512+G4513-K4513</f>
        <v>-250564.74779369583</v>
      </c>
    </row>
    <row r="4514" spans="2:12" x14ac:dyDescent="0.35">
      <c r="B4514" s="1">
        <f t="shared" si="713"/>
        <v>5</v>
      </c>
      <c r="C4514" s="22">
        <v>45413</v>
      </c>
      <c r="D4514" s="22">
        <v>45443</v>
      </c>
      <c r="E4514" s="23">
        <v>31</v>
      </c>
      <c r="F4514" s="3">
        <f t="shared" si="711"/>
        <v>9562285.1779012233</v>
      </c>
      <c r="G4514" s="3">
        <f t="shared" si="714"/>
        <v>521048.15543211071</v>
      </c>
      <c r="H4514" s="3">
        <f t="shared" si="712"/>
        <v>79685.709815843526</v>
      </c>
      <c r="I4514" s="3">
        <f t="shared" si="715"/>
        <v>441362.44561626716</v>
      </c>
      <c r="J4514" s="3">
        <f t="shared" si="710"/>
        <v>9120922.7322849557</v>
      </c>
      <c r="K4514" s="24"/>
      <c r="L4514" s="3">
        <f t="shared" si="716"/>
        <v>270483.40763841488</v>
      </c>
    </row>
    <row r="4515" spans="2:12" x14ac:dyDescent="0.35">
      <c r="B4515" s="1">
        <f t="shared" si="713"/>
        <v>6</v>
      </c>
      <c r="C4515" s="22">
        <v>45444</v>
      </c>
      <c r="D4515" s="22">
        <v>45473</v>
      </c>
      <c r="E4515" s="23">
        <v>30</v>
      </c>
      <c r="F4515" s="3">
        <f t="shared" si="711"/>
        <v>9120922.7322849557</v>
      </c>
      <c r="G4515" s="3">
        <f t="shared" si="714"/>
        <v>521048.15543211071</v>
      </c>
      <c r="H4515" s="3">
        <f t="shared" si="712"/>
        <v>76007.689435707958</v>
      </c>
      <c r="I4515" s="3">
        <f t="shared" si="715"/>
        <v>445040.46599640278</v>
      </c>
      <c r="J4515" s="3">
        <f t="shared" si="710"/>
        <v>8675882.2662885524</v>
      </c>
      <c r="K4515" s="24">
        <v>535000</v>
      </c>
      <c r="L4515" s="3">
        <f t="shared" si="716"/>
        <v>256531.56307052565</v>
      </c>
    </row>
    <row r="4516" spans="2:12" x14ac:dyDescent="0.35">
      <c r="B4516" s="1">
        <f t="shared" si="713"/>
        <v>7</v>
      </c>
      <c r="C4516" s="22">
        <v>45474</v>
      </c>
      <c r="D4516" s="22">
        <v>45504</v>
      </c>
      <c r="E4516" s="23">
        <v>31</v>
      </c>
      <c r="F4516" s="3">
        <f t="shared" si="711"/>
        <v>8675882.2662885524</v>
      </c>
      <c r="G4516" s="3">
        <f t="shared" si="714"/>
        <v>521048.15543211071</v>
      </c>
      <c r="H4516" s="3">
        <f t="shared" si="712"/>
        <v>72299.01888573794</v>
      </c>
      <c r="I4516" s="3">
        <f t="shared" si="715"/>
        <v>448749.13654637279</v>
      </c>
      <c r="J4516" s="3">
        <f t="shared" si="710"/>
        <v>8227133.12974218</v>
      </c>
      <c r="K4516" s="24"/>
      <c r="L4516" s="3">
        <f t="shared" si="716"/>
        <v>777579.7185026363</v>
      </c>
    </row>
    <row r="4517" spans="2:12" x14ac:dyDescent="0.35">
      <c r="B4517" s="1">
        <f t="shared" si="713"/>
        <v>8</v>
      </c>
      <c r="C4517" s="22">
        <v>45505</v>
      </c>
      <c r="D4517" s="22">
        <v>45535</v>
      </c>
      <c r="E4517" s="23">
        <v>31</v>
      </c>
      <c r="F4517" s="3">
        <f t="shared" si="711"/>
        <v>8227133.12974218</v>
      </c>
      <c r="G4517" s="3">
        <f t="shared" si="714"/>
        <v>521048.15543211071</v>
      </c>
      <c r="H4517" s="3">
        <f t="shared" si="712"/>
        <v>68559.442747851499</v>
      </c>
      <c r="I4517" s="3">
        <f t="shared" si="715"/>
        <v>452488.71268425923</v>
      </c>
      <c r="J4517" s="3">
        <f t="shared" si="710"/>
        <v>7774644.4170579212</v>
      </c>
      <c r="K4517" s="24">
        <f>200000+500000</f>
        <v>700000</v>
      </c>
      <c r="L4517" s="3">
        <f t="shared" si="716"/>
        <v>598627.87393474695</v>
      </c>
    </row>
    <row r="4518" spans="2:12" x14ac:dyDescent="0.35">
      <c r="B4518" s="1">
        <f t="shared" si="713"/>
        <v>9</v>
      </c>
      <c r="C4518" s="22">
        <v>45536</v>
      </c>
      <c r="D4518" s="22">
        <v>45565</v>
      </c>
      <c r="E4518" s="23">
        <v>30</v>
      </c>
      <c r="F4518" s="3">
        <f t="shared" si="711"/>
        <v>7774644.4170579212</v>
      </c>
      <c r="G4518" s="3">
        <f t="shared" si="714"/>
        <v>521048.15543211071</v>
      </c>
      <c r="H4518" s="3">
        <f t="shared" si="712"/>
        <v>64788.703475482675</v>
      </c>
      <c r="I4518" s="3">
        <f t="shared" si="715"/>
        <v>456259.45195662801</v>
      </c>
      <c r="J4518" s="3">
        <f t="shared" si="710"/>
        <v>7318384.9651012933</v>
      </c>
      <c r="K4518" s="24"/>
      <c r="L4518" s="3">
        <f t="shared" si="716"/>
        <v>1119676.0293668576</v>
      </c>
    </row>
    <row r="4519" spans="2:12" x14ac:dyDescent="0.35">
      <c r="B4519" s="1">
        <f t="shared" si="713"/>
        <v>10</v>
      </c>
      <c r="C4519" s="22">
        <v>45566</v>
      </c>
      <c r="D4519" s="22">
        <v>45596</v>
      </c>
      <c r="E4519" s="23">
        <v>31</v>
      </c>
      <c r="F4519" s="3">
        <f t="shared" si="711"/>
        <v>7318384.9651012933</v>
      </c>
      <c r="G4519" s="3">
        <f t="shared" si="714"/>
        <v>521048.15543211071</v>
      </c>
      <c r="H4519" s="3">
        <f t="shared" si="712"/>
        <v>60986.541375844106</v>
      </c>
      <c r="I4519" s="3">
        <f t="shared" si="715"/>
        <v>460061.61405626661</v>
      </c>
      <c r="J4519" s="3">
        <f t="shared" si="710"/>
        <v>6858323.3510450264</v>
      </c>
      <c r="K4519" s="24">
        <v>600000</v>
      </c>
      <c r="L4519" s="290">
        <f t="shared" si="716"/>
        <v>1040724.1847989683</v>
      </c>
    </row>
    <row r="4520" spans="2:12" x14ac:dyDescent="0.35">
      <c r="B4520" s="1">
        <f t="shared" si="713"/>
        <v>11</v>
      </c>
      <c r="C4520" s="22">
        <v>45597</v>
      </c>
      <c r="D4520" s="22">
        <v>45626</v>
      </c>
      <c r="E4520" s="23">
        <v>30</v>
      </c>
      <c r="F4520" s="3">
        <f t="shared" si="711"/>
        <v>6858323.3510450264</v>
      </c>
      <c r="G4520" s="3">
        <f t="shared" si="714"/>
        <v>521048.15543211071</v>
      </c>
      <c r="H4520" s="3">
        <f t="shared" si="712"/>
        <v>57152.694592041888</v>
      </c>
      <c r="I4520" s="3">
        <f t="shared" si="715"/>
        <v>463895.46084006882</v>
      </c>
      <c r="J4520" s="3">
        <f t="shared" si="710"/>
        <v>6394427.8902049577</v>
      </c>
      <c r="K4520" s="24"/>
      <c r="L4520" s="24"/>
    </row>
    <row r="4521" spans="2:12" x14ac:dyDescent="0.35">
      <c r="B4521" s="1">
        <f t="shared" si="713"/>
        <v>12</v>
      </c>
      <c r="C4521" s="22">
        <v>45627</v>
      </c>
      <c r="D4521" s="22">
        <v>45657</v>
      </c>
      <c r="E4521" s="23">
        <v>31</v>
      </c>
      <c r="F4521" s="3">
        <f t="shared" si="711"/>
        <v>6394427.8902049577</v>
      </c>
      <c r="G4521" s="3">
        <f t="shared" si="714"/>
        <v>521048.15543211071</v>
      </c>
      <c r="H4521" s="3">
        <f t="shared" si="712"/>
        <v>53286.89908504131</v>
      </c>
      <c r="I4521" s="3">
        <f t="shared" si="715"/>
        <v>467761.2563470694</v>
      </c>
      <c r="J4521" s="3">
        <f t="shared" si="710"/>
        <v>5926666.6338578882</v>
      </c>
      <c r="K4521" s="24"/>
      <c r="L4521" s="24"/>
    </row>
    <row r="4522" spans="2:12" x14ac:dyDescent="0.35">
      <c r="B4522" s="1">
        <f t="shared" si="713"/>
        <v>13</v>
      </c>
      <c r="C4522" s="22">
        <v>45658</v>
      </c>
      <c r="D4522" s="22">
        <v>45688</v>
      </c>
      <c r="E4522" s="23">
        <v>31</v>
      </c>
      <c r="F4522" s="3">
        <f t="shared" si="711"/>
        <v>5926666.6338578882</v>
      </c>
      <c r="G4522" s="3">
        <f t="shared" si="714"/>
        <v>521048.15543211071</v>
      </c>
      <c r="H4522" s="3">
        <f t="shared" si="712"/>
        <v>49388.888615482399</v>
      </c>
      <c r="I4522" s="3">
        <f t="shared" si="715"/>
        <v>471659.26681662828</v>
      </c>
      <c r="J4522" s="3">
        <f t="shared" si="710"/>
        <v>5455007.36704126</v>
      </c>
      <c r="K4522" s="24"/>
      <c r="L4522" s="24"/>
    </row>
    <row r="4523" spans="2:12" x14ac:dyDescent="0.35">
      <c r="B4523" s="1">
        <f t="shared" si="713"/>
        <v>14</v>
      </c>
      <c r="C4523" s="22">
        <v>45689</v>
      </c>
      <c r="D4523" s="22">
        <v>45716</v>
      </c>
      <c r="E4523" s="23">
        <v>28</v>
      </c>
      <c r="F4523" s="3">
        <f t="shared" si="711"/>
        <v>5455007.36704126</v>
      </c>
      <c r="G4523" s="3">
        <f t="shared" si="714"/>
        <v>521048.15543211071</v>
      </c>
      <c r="H4523" s="3">
        <f t="shared" si="712"/>
        <v>45458.394725343831</v>
      </c>
      <c r="I4523" s="3">
        <f t="shared" si="715"/>
        <v>475589.76070676686</v>
      </c>
      <c r="J4523" s="3">
        <f t="shared" si="710"/>
        <v>4979417.6063344935</v>
      </c>
      <c r="K4523" s="24"/>
      <c r="L4523" s="24"/>
    </row>
    <row r="4524" spans="2:12" x14ac:dyDescent="0.35">
      <c r="B4524" s="1">
        <f t="shared" si="713"/>
        <v>15</v>
      </c>
      <c r="C4524" s="22">
        <v>45717</v>
      </c>
      <c r="D4524" s="22">
        <v>45747</v>
      </c>
      <c r="E4524" s="23">
        <v>31</v>
      </c>
      <c r="F4524" s="3">
        <f t="shared" si="711"/>
        <v>4979417.6063344935</v>
      </c>
      <c r="G4524" s="3">
        <f t="shared" si="714"/>
        <v>521048.15543211071</v>
      </c>
      <c r="H4524" s="3">
        <f t="shared" si="712"/>
        <v>41495.146719454111</v>
      </c>
      <c r="I4524" s="3">
        <f t="shared" si="715"/>
        <v>479553.00871265662</v>
      </c>
      <c r="J4524" s="3">
        <f t="shared" si="710"/>
        <v>4499864.5976218367</v>
      </c>
      <c r="K4524" s="24"/>
      <c r="L4524" s="24"/>
    </row>
    <row r="4525" spans="2:12" x14ac:dyDescent="0.35">
      <c r="B4525" s="1">
        <f t="shared" si="713"/>
        <v>16</v>
      </c>
      <c r="C4525" s="22">
        <v>45748</v>
      </c>
      <c r="D4525" s="22">
        <v>45777</v>
      </c>
      <c r="E4525" s="23">
        <v>30</v>
      </c>
      <c r="F4525" s="3">
        <f t="shared" si="711"/>
        <v>4499864.5976218367</v>
      </c>
      <c r="G4525" s="3">
        <f t="shared" si="714"/>
        <v>521048.15543211071</v>
      </c>
      <c r="H4525" s="3">
        <f t="shared" si="712"/>
        <v>37498.871646848638</v>
      </c>
      <c r="I4525" s="3">
        <f t="shared" si="715"/>
        <v>483549.28378526209</v>
      </c>
      <c r="J4525" s="3">
        <f t="shared" si="710"/>
        <v>4016315.3138365746</v>
      </c>
      <c r="K4525" s="24"/>
      <c r="L4525" s="24"/>
    </row>
    <row r="4526" spans="2:12" x14ac:dyDescent="0.35">
      <c r="B4526" s="1">
        <f t="shared" si="713"/>
        <v>17</v>
      </c>
      <c r="C4526" s="22">
        <v>45778</v>
      </c>
      <c r="D4526" s="22">
        <v>45808</v>
      </c>
      <c r="E4526" s="23">
        <v>31</v>
      </c>
      <c r="F4526" s="3">
        <f t="shared" si="711"/>
        <v>4016315.3138365746</v>
      </c>
      <c r="G4526" s="3">
        <f t="shared" si="714"/>
        <v>521048.15543211071</v>
      </c>
      <c r="H4526" s="3">
        <f t="shared" si="712"/>
        <v>33469.294281971452</v>
      </c>
      <c r="I4526" s="3">
        <f t="shared" si="715"/>
        <v>487578.86115013924</v>
      </c>
      <c r="J4526" s="3">
        <f t="shared" si="710"/>
        <v>3528736.4526864355</v>
      </c>
      <c r="K4526" s="24"/>
      <c r="L4526" s="24"/>
    </row>
    <row r="4527" spans="2:12" x14ac:dyDescent="0.35">
      <c r="B4527" s="1">
        <f t="shared" si="713"/>
        <v>18</v>
      </c>
      <c r="C4527" s="22">
        <v>45809</v>
      </c>
      <c r="D4527" s="22">
        <v>45838</v>
      </c>
      <c r="E4527" s="23">
        <v>30</v>
      </c>
      <c r="F4527" s="3">
        <f t="shared" si="711"/>
        <v>3528736.4526864355</v>
      </c>
      <c r="G4527" s="3">
        <f t="shared" si="714"/>
        <v>521048.15543211071</v>
      </c>
      <c r="H4527" s="3">
        <f t="shared" si="712"/>
        <v>29406.137105720296</v>
      </c>
      <c r="I4527" s="3">
        <f t="shared" si="715"/>
        <v>491642.01832639042</v>
      </c>
      <c r="J4527" s="3">
        <f t="shared" si="710"/>
        <v>3037094.434360045</v>
      </c>
      <c r="K4527" s="24"/>
      <c r="L4527" s="24"/>
    </row>
    <row r="4528" spans="2:12" x14ac:dyDescent="0.35">
      <c r="B4528" s="1">
        <f t="shared" si="713"/>
        <v>19</v>
      </c>
      <c r="C4528" s="22">
        <v>45839</v>
      </c>
      <c r="D4528" s="22">
        <v>45868</v>
      </c>
      <c r="E4528" s="23">
        <v>30</v>
      </c>
      <c r="F4528" s="3">
        <f t="shared" si="711"/>
        <v>3037094.434360045</v>
      </c>
      <c r="G4528" s="3">
        <f t="shared" si="714"/>
        <v>521048.15543211071</v>
      </c>
      <c r="H4528" s="3">
        <f t="shared" si="712"/>
        <v>25309.120286333709</v>
      </c>
      <c r="I4528" s="3">
        <f t="shared" si="715"/>
        <v>495739.03514577699</v>
      </c>
      <c r="J4528" s="3">
        <f t="shared" si="710"/>
        <v>2541355.3992142682</v>
      </c>
      <c r="K4528" s="24"/>
      <c r="L4528" s="24"/>
    </row>
    <row r="4529" spans="2:19" x14ac:dyDescent="0.35">
      <c r="B4529" s="1">
        <f t="shared" si="713"/>
        <v>20</v>
      </c>
      <c r="C4529" s="22">
        <v>45870</v>
      </c>
      <c r="D4529" s="22">
        <v>45899</v>
      </c>
      <c r="E4529" s="23">
        <v>30</v>
      </c>
      <c r="F4529" s="3">
        <f t="shared" si="711"/>
        <v>2541355.3992142682</v>
      </c>
      <c r="G4529" s="3">
        <f t="shared" si="714"/>
        <v>521048.15543211071</v>
      </c>
      <c r="H4529" s="3">
        <f t="shared" si="712"/>
        <v>21177.961660118901</v>
      </c>
      <c r="I4529" s="3">
        <f t="shared" si="715"/>
        <v>499870.19377199182</v>
      </c>
      <c r="J4529" s="3">
        <f t="shared" si="710"/>
        <v>2041485.2054422763</v>
      </c>
      <c r="K4529" s="24"/>
      <c r="L4529" s="24"/>
    </row>
    <row r="4530" spans="2:19" x14ac:dyDescent="0.35">
      <c r="B4530" s="1">
        <f t="shared" si="713"/>
        <v>21</v>
      </c>
      <c r="C4530" s="22">
        <v>45901</v>
      </c>
      <c r="D4530" s="22">
        <v>45930</v>
      </c>
      <c r="E4530" s="23">
        <v>30</v>
      </c>
      <c r="F4530" s="3">
        <f t="shared" si="711"/>
        <v>2041485.2054422763</v>
      </c>
      <c r="G4530" s="3">
        <f t="shared" si="714"/>
        <v>521048.15543211071</v>
      </c>
      <c r="H4530" s="3">
        <f t="shared" si="712"/>
        <v>17012.37671201897</v>
      </c>
      <c r="I4530" s="3">
        <f t="shared" si="715"/>
        <v>504035.77872009174</v>
      </c>
      <c r="J4530" s="3">
        <f t="shared" si="710"/>
        <v>1537449.4267221845</v>
      </c>
      <c r="K4530" s="24"/>
      <c r="L4530" s="24"/>
    </row>
    <row r="4531" spans="2:19" x14ac:dyDescent="0.35">
      <c r="B4531" s="1">
        <f t="shared" si="713"/>
        <v>22</v>
      </c>
      <c r="C4531" s="22">
        <v>45931</v>
      </c>
      <c r="D4531" s="22">
        <v>45961</v>
      </c>
      <c r="E4531" s="23">
        <v>31</v>
      </c>
      <c r="F4531" s="3">
        <f t="shared" si="711"/>
        <v>1537449.4267221845</v>
      </c>
      <c r="G4531" s="3">
        <f t="shared" si="714"/>
        <v>521048.15543211071</v>
      </c>
      <c r="H4531" s="3">
        <f t="shared" si="712"/>
        <v>12812.078556018205</v>
      </c>
      <c r="I4531" s="3">
        <f t="shared" si="715"/>
        <v>508236.07687609253</v>
      </c>
      <c r="J4531" s="3">
        <f t="shared" si="710"/>
        <v>1029213.3498460921</v>
      </c>
      <c r="K4531" s="24"/>
      <c r="L4531" s="24"/>
    </row>
    <row r="4532" spans="2:19" x14ac:dyDescent="0.35">
      <c r="B4532" s="1">
        <f t="shared" si="713"/>
        <v>23</v>
      </c>
      <c r="C4532" s="22">
        <v>45962</v>
      </c>
      <c r="D4532" s="22">
        <v>45991</v>
      </c>
      <c r="E4532" s="23">
        <v>30</v>
      </c>
      <c r="F4532" s="3">
        <f t="shared" si="711"/>
        <v>1029213.3498460921</v>
      </c>
      <c r="G4532" s="3">
        <f t="shared" si="714"/>
        <v>521048.15543211071</v>
      </c>
      <c r="H4532" s="3">
        <f t="shared" si="712"/>
        <v>8576.7779153841002</v>
      </c>
      <c r="I4532" s="3">
        <f t="shared" si="715"/>
        <v>512471.37751672661</v>
      </c>
      <c r="J4532" s="3">
        <f t="shared" si="710"/>
        <v>516741.97232936544</v>
      </c>
    </row>
    <row r="4533" spans="2:19" x14ac:dyDescent="0.35">
      <c r="B4533" s="1">
        <f t="shared" si="713"/>
        <v>24</v>
      </c>
      <c r="C4533" s="22">
        <v>45992</v>
      </c>
      <c r="D4533" s="22">
        <v>46022</v>
      </c>
      <c r="E4533" s="23">
        <v>31</v>
      </c>
      <c r="F4533" s="3">
        <f t="shared" si="711"/>
        <v>516741.97232936544</v>
      </c>
      <c r="G4533" s="3">
        <f t="shared" si="714"/>
        <v>521048.15543211071</v>
      </c>
      <c r="H4533" s="3">
        <f t="shared" si="712"/>
        <v>4306.1831027447115</v>
      </c>
      <c r="I4533" s="3">
        <f t="shared" si="715"/>
        <v>516741.97232936602</v>
      </c>
      <c r="J4533" s="3">
        <f t="shared" si="710"/>
        <v>-5.8207660913467407E-10</v>
      </c>
    </row>
    <row r="4539" spans="2:19" x14ac:dyDescent="0.35">
      <c r="B4539" s="1"/>
      <c r="C4539" s="8" t="s">
        <v>947</v>
      </c>
      <c r="D4539" s="3"/>
      <c r="E4539" s="3"/>
      <c r="F4539" s="3"/>
      <c r="G4539" s="3"/>
      <c r="H4539" s="3"/>
      <c r="I4539" s="3"/>
      <c r="J4539" s="3"/>
      <c r="K4539" s="3"/>
      <c r="L4539" s="3"/>
      <c r="R4539" s="438" t="s">
        <v>832</v>
      </c>
      <c r="S4539" s="432" t="str">
        <f>IFERROR(INDEX(Blocks!$I$2:$I$101,MATCH(83,Blocks!$A$2:$A$101,0)),"")</f>
        <v>000104450000085</v>
      </c>
    </row>
    <row r="4540" spans="2:19" x14ac:dyDescent="0.35">
      <c r="B4540" s="1"/>
      <c r="C4540" s="1"/>
      <c r="D4540" s="3"/>
      <c r="E4540" s="3"/>
      <c r="F4540" s="3"/>
      <c r="G4540" s="3"/>
      <c r="H4540" s="3"/>
      <c r="I4540" s="3"/>
      <c r="J4540" s="3"/>
      <c r="K4540" s="3"/>
      <c r="L4540" s="3"/>
      <c r="R4540" s="438" t="s">
        <v>834</v>
      </c>
      <c r="S4540" s="432" t="str">
        <f>IFERROR(INDEX(Blocks!$H$2:$H$101,MATCH(83,Blocks!$A$2:$A$101,0)),"")</f>
        <v>MMC Limited</v>
      </c>
    </row>
    <row r="4541" spans="2:19" x14ac:dyDescent="0.35">
      <c r="B4541" s="1"/>
      <c r="C4541" s="9" t="s">
        <v>835</v>
      </c>
      <c r="D4541" s="10">
        <v>144500000</v>
      </c>
      <c r="E4541" s="3"/>
      <c r="F4541" s="3"/>
      <c r="G4541" s="3"/>
      <c r="H4541" s="3"/>
      <c r="I4541" s="3"/>
      <c r="J4541" s="3"/>
      <c r="K4541" s="3"/>
      <c r="L4541" s="3"/>
      <c r="R4541" s="438" t="s">
        <v>223</v>
      </c>
      <c r="S4541" s="433">
        <f>IFERROR(INDEX('E-Banker master'!$N$2:$N$186,MATCH(S4539,'E-Banker master'!$A$2:$A$186,0)),"")</f>
        <v>144500000</v>
      </c>
    </row>
    <row r="4542" spans="2:19" x14ac:dyDescent="0.35">
      <c r="B4542" s="1"/>
      <c r="C4542" s="11" t="s">
        <v>837</v>
      </c>
      <c r="D4542" s="12">
        <v>0.1</v>
      </c>
      <c r="E4542" s="13"/>
      <c r="F4542" s="3"/>
      <c r="G4542" s="3"/>
      <c r="H4542" s="3"/>
      <c r="I4542" s="3"/>
      <c r="J4542" s="3"/>
      <c r="K4542" s="3"/>
      <c r="L4542" s="3"/>
      <c r="R4542" s="438" t="s">
        <v>52</v>
      </c>
      <c r="S4542" s="433">
        <f>IFERROR(INDEX('E-Banker master'!$P$2:$P$186,MATCH(S4539,'E-Banker master'!$A$2:$A$186,0)),"")</f>
        <v>155946915.83000001</v>
      </c>
    </row>
    <row r="4543" spans="2:19" x14ac:dyDescent="0.35">
      <c r="B4543" s="1"/>
      <c r="C4543" s="11" t="s">
        <v>838</v>
      </c>
      <c r="D4543" s="14">
        <v>3</v>
      </c>
      <c r="E4543" s="1"/>
      <c r="F4543" s="3"/>
      <c r="G4543" s="3"/>
      <c r="H4543" s="3"/>
      <c r="I4543" s="3"/>
      <c r="J4543" s="3"/>
      <c r="K4543" s="1"/>
      <c r="L4543" s="1"/>
    </row>
    <row r="4544" spans="2:19" x14ac:dyDescent="0.35">
      <c r="B4544" s="1"/>
      <c r="C4544" s="11" t="s">
        <v>839</v>
      </c>
      <c r="D4544" s="14">
        <v>12</v>
      </c>
      <c r="E4544" s="1"/>
      <c r="F4544" s="3"/>
      <c r="G4544" s="3"/>
      <c r="H4544" s="3"/>
      <c r="I4544" s="3"/>
      <c r="J4544" s="3"/>
      <c r="K4544" s="1"/>
      <c r="L4544" s="1"/>
    </row>
    <row r="4545" spans="2:12" x14ac:dyDescent="0.35">
      <c r="B4545" s="1"/>
      <c r="C4545" s="11" t="s">
        <v>843</v>
      </c>
      <c r="D4545" s="15">
        <v>36</v>
      </c>
      <c r="E4545" s="1"/>
      <c r="F4545" s="3"/>
      <c r="G4545" s="3"/>
      <c r="H4545" s="3"/>
      <c r="I4545" s="3"/>
      <c r="J4545" s="3"/>
      <c r="K4545" s="1"/>
      <c r="L4545" s="1"/>
    </row>
    <row r="4546" spans="2:12" x14ac:dyDescent="0.35">
      <c r="B4546" s="1"/>
      <c r="C4546" s="11" t="s">
        <v>844</v>
      </c>
      <c r="D4546" s="16">
        <v>365</v>
      </c>
      <c r="E4546" s="1"/>
      <c r="F4546" s="3"/>
      <c r="G4546" s="3"/>
      <c r="H4546" s="3"/>
      <c r="I4546" s="3"/>
      <c r="J4546" s="3"/>
      <c r="K4546" s="1"/>
      <c r="L4546" s="1"/>
    </row>
    <row r="4547" spans="2:12" x14ac:dyDescent="0.35">
      <c r="B4547" s="1"/>
      <c r="C4547" s="17" t="s">
        <v>845</v>
      </c>
      <c r="D4547" s="220">
        <f>-PMT(D4542/D4544,D4545,D4541,0,0)</f>
        <v>4662608.549509516</v>
      </c>
      <c r="E4547" s="3"/>
      <c r="F4547" s="3"/>
      <c r="G4547" s="3"/>
      <c r="H4547" s="3"/>
      <c r="I4547" s="3"/>
      <c r="J4547" s="3"/>
      <c r="K4547" s="1"/>
      <c r="L4547" s="1"/>
    </row>
    <row r="4548" spans="2:12" x14ac:dyDescent="0.35">
      <c r="B4548" s="1"/>
      <c r="C4548" s="1"/>
      <c r="D4548" s="3"/>
      <c r="E4548" s="3"/>
      <c r="F4548" s="3"/>
      <c r="G4548" s="3"/>
      <c r="H4548" s="3"/>
      <c r="I4548" s="3"/>
      <c r="J4548" s="3"/>
      <c r="K4548" s="1"/>
      <c r="L4548" s="1"/>
    </row>
    <row r="4549" spans="2:12" x14ac:dyDescent="0.35">
      <c r="B4549" s="1"/>
      <c r="C4549" s="19" t="s">
        <v>846</v>
      </c>
      <c r="D4549" s="20" t="s">
        <v>847</v>
      </c>
      <c r="E4549" s="20" t="s">
        <v>764</v>
      </c>
      <c r="F4549" s="270" t="s">
        <v>848</v>
      </c>
      <c r="G4549" s="270" t="s">
        <v>849</v>
      </c>
      <c r="H4549" s="270" t="s">
        <v>742</v>
      </c>
      <c r="I4549" s="270" t="s">
        <v>740</v>
      </c>
      <c r="J4549" s="270" t="s">
        <v>850</v>
      </c>
      <c r="K4549" s="21" t="s">
        <v>851</v>
      </c>
      <c r="L4549" s="21" t="s">
        <v>852</v>
      </c>
    </row>
    <row r="4550" spans="2:12" x14ac:dyDescent="0.35">
      <c r="B4550" s="1">
        <v>0</v>
      </c>
      <c r="C4550" s="22">
        <v>45317</v>
      </c>
      <c r="D4550" s="22">
        <v>45322</v>
      </c>
      <c r="E4550" s="291">
        <f>+D4550-C4550</f>
        <v>5</v>
      </c>
      <c r="F4550" s="3">
        <f>D4541</f>
        <v>144500000</v>
      </c>
      <c r="G4550" s="3"/>
      <c r="H4550" s="3">
        <f>($D$4542/$D$4544*F4550*E4550/31)</f>
        <v>194220.43010752689</v>
      </c>
      <c r="I4550" s="3">
        <f t="shared" ref="I4550:I4586" si="717">G4550-H4550</f>
        <v>-194220.43010752689</v>
      </c>
      <c r="J4550" s="3">
        <f t="shared" ref="J4550:J4586" si="718">F4550-I4550</f>
        <v>144694220.43010753</v>
      </c>
      <c r="L4550" s="141">
        <f>G4550</f>
        <v>0</v>
      </c>
    </row>
    <row r="4551" spans="2:12" x14ac:dyDescent="0.35">
      <c r="B4551" s="1">
        <v>1</v>
      </c>
      <c r="C4551" s="22">
        <v>45323</v>
      </c>
      <c r="D4551" s="22">
        <v>45351</v>
      </c>
      <c r="E4551" s="23">
        <v>29</v>
      </c>
      <c r="F4551" s="3">
        <f t="shared" ref="F4551:F4586" si="719">J4550</f>
        <v>144694220.43010753</v>
      </c>
      <c r="G4551" s="3"/>
      <c r="H4551" s="3">
        <f t="shared" ref="H4551:H4586" si="720">($D$4542/$D$4544*F4551)</f>
        <v>1205785.1702508961</v>
      </c>
      <c r="I4551" s="3">
        <f t="shared" si="717"/>
        <v>-1205785.1702508961</v>
      </c>
      <c r="J4551" s="3">
        <f t="shared" si="718"/>
        <v>145900005.60035843</v>
      </c>
      <c r="K4551" s="24"/>
      <c r="L4551" s="24">
        <f>L4550+G4551-K4551</f>
        <v>0</v>
      </c>
    </row>
    <row r="4552" spans="2:12" x14ac:dyDescent="0.35">
      <c r="B4552" s="1">
        <v>2</v>
      </c>
      <c r="C4552" s="22">
        <v>45352</v>
      </c>
      <c r="D4552" s="22">
        <v>45382</v>
      </c>
      <c r="E4552" s="23">
        <v>31</v>
      </c>
      <c r="F4552" s="3">
        <f t="shared" si="719"/>
        <v>145900005.60035843</v>
      </c>
      <c r="G4552" s="3"/>
      <c r="H4552" s="3">
        <f t="shared" si="720"/>
        <v>1215833.3800029869</v>
      </c>
      <c r="I4552" s="3">
        <f t="shared" si="717"/>
        <v>-1215833.3800029869</v>
      </c>
      <c r="J4552" s="3">
        <f t="shared" si="718"/>
        <v>147115838.9803614</v>
      </c>
      <c r="K4552" s="24"/>
      <c r="L4552" s="24"/>
    </row>
    <row r="4553" spans="2:12" x14ac:dyDescent="0.35">
      <c r="B4553" s="1">
        <f t="shared" ref="B4553:B4586" si="721">+B4552+1</f>
        <v>3</v>
      </c>
      <c r="C4553" s="22">
        <v>45383</v>
      </c>
      <c r="D4553" s="22">
        <v>45412</v>
      </c>
      <c r="E4553" s="23">
        <v>30</v>
      </c>
      <c r="F4553" s="3">
        <f t="shared" si="719"/>
        <v>147115838.9803614</v>
      </c>
      <c r="G4553" s="3"/>
      <c r="H4553" s="3">
        <f t="shared" si="720"/>
        <v>1225965.3248363449</v>
      </c>
      <c r="I4553" s="3">
        <f t="shared" si="717"/>
        <v>-1225965.3248363449</v>
      </c>
      <c r="J4553" s="3">
        <f t="shared" si="718"/>
        <v>148341804.30519775</v>
      </c>
      <c r="K4553" s="24"/>
      <c r="L4553" s="24"/>
    </row>
    <row r="4554" spans="2:12" x14ac:dyDescent="0.35">
      <c r="B4554" s="1">
        <f t="shared" si="721"/>
        <v>4</v>
      </c>
      <c r="C4554" s="22">
        <v>45413</v>
      </c>
      <c r="D4554" s="22">
        <v>45443</v>
      </c>
      <c r="E4554" s="23">
        <v>31</v>
      </c>
      <c r="F4554" s="3">
        <f t="shared" si="719"/>
        <v>148341804.30519775</v>
      </c>
      <c r="G4554" s="3"/>
      <c r="H4554" s="3">
        <f t="shared" si="720"/>
        <v>1236181.7025433145</v>
      </c>
      <c r="I4554" s="3">
        <f t="shared" si="717"/>
        <v>-1236181.7025433145</v>
      </c>
      <c r="J4554" s="3">
        <f t="shared" si="718"/>
        <v>149577986.00774106</v>
      </c>
      <c r="K4554" s="24"/>
      <c r="L4554" s="26"/>
    </row>
    <row r="4555" spans="2:12" x14ac:dyDescent="0.35">
      <c r="B4555" s="1">
        <f t="shared" si="721"/>
        <v>5</v>
      </c>
      <c r="C4555" s="22">
        <v>45444</v>
      </c>
      <c r="D4555" s="22">
        <v>45473</v>
      </c>
      <c r="E4555" s="23">
        <v>30</v>
      </c>
      <c r="F4555" s="3">
        <f t="shared" si="719"/>
        <v>149577986.00774106</v>
      </c>
      <c r="G4555" s="3"/>
      <c r="H4555" s="3">
        <f t="shared" si="720"/>
        <v>1246483.2167311755</v>
      </c>
      <c r="I4555" s="3">
        <f t="shared" si="717"/>
        <v>-1246483.2167311755</v>
      </c>
      <c r="J4555" s="3">
        <f t="shared" si="718"/>
        <v>150824469.22447222</v>
      </c>
      <c r="K4555" s="24"/>
      <c r="L4555" s="24"/>
    </row>
    <row r="4556" spans="2:12" x14ac:dyDescent="0.35">
      <c r="B4556" s="1">
        <f t="shared" si="721"/>
        <v>6</v>
      </c>
      <c r="C4556" s="22">
        <v>45474</v>
      </c>
      <c r="D4556" s="22">
        <v>45504</v>
      </c>
      <c r="E4556" s="23">
        <v>31</v>
      </c>
      <c r="F4556" s="3">
        <f t="shared" si="719"/>
        <v>150824469.22447222</v>
      </c>
      <c r="G4556" s="3"/>
      <c r="H4556" s="3">
        <f t="shared" si="720"/>
        <v>1256870.5768706019</v>
      </c>
      <c r="I4556" s="3">
        <f t="shared" si="717"/>
        <v>-1256870.5768706019</v>
      </c>
      <c r="J4556" s="3">
        <f t="shared" si="718"/>
        <v>152081339.80134282</v>
      </c>
      <c r="K4556" s="24"/>
      <c r="L4556" s="24"/>
    </row>
    <row r="4557" spans="2:12" x14ac:dyDescent="0.35">
      <c r="B4557" s="1">
        <f t="shared" si="721"/>
        <v>7</v>
      </c>
      <c r="C4557" s="22">
        <v>45505</v>
      </c>
      <c r="D4557" s="22">
        <v>45535</v>
      </c>
      <c r="E4557" s="23">
        <v>31</v>
      </c>
      <c r="F4557" s="3">
        <f t="shared" si="719"/>
        <v>152081339.80134282</v>
      </c>
      <c r="G4557" s="3"/>
      <c r="H4557" s="3">
        <f t="shared" si="720"/>
        <v>1267344.4983445234</v>
      </c>
      <c r="I4557" s="3">
        <f t="shared" si="717"/>
        <v>-1267344.4983445234</v>
      </c>
      <c r="J4557" s="3">
        <f t="shared" si="718"/>
        <v>153348684.29968733</v>
      </c>
      <c r="K4557" s="24"/>
      <c r="L4557" s="26"/>
    </row>
    <row r="4558" spans="2:12" x14ac:dyDescent="0.35">
      <c r="B4558" s="1">
        <f t="shared" si="721"/>
        <v>8</v>
      </c>
      <c r="C4558" s="22">
        <v>45536</v>
      </c>
      <c r="D4558" s="22">
        <v>45565</v>
      </c>
      <c r="E4558" s="23">
        <v>30</v>
      </c>
      <c r="F4558" s="3">
        <f t="shared" si="719"/>
        <v>153348684.29968733</v>
      </c>
      <c r="G4558" s="3"/>
      <c r="H4558" s="3">
        <f t="shared" si="720"/>
        <v>1277905.7024973943</v>
      </c>
      <c r="I4558" s="3">
        <f t="shared" si="717"/>
        <v>-1277905.7024973943</v>
      </c>
      <c r="J4558" s="3">
        <f t="shared" si="718"/>
        <v>154626590.00218472</v>
      </c>
      <c r="K4558" s="24"/>
      <c r="L4558" s="24"/>
    </row>
    <row r="4559" spans="2:12" x14ac:dyDescent="0.35">
      <c r="B4559" s="1">
        <f t="shared" si="721"/>
        <v>9</v>
      </c>
      <c r="C4559" s="22">
        <v>45566</v>
      </c>
      <c r="D4559" s="22">
        <v>45596</v>
      </c>
      <c r="E4559" s="23">
        <v>31</v>
      </c>
      <c r="F4559" s="3">
        <f t="shared" si="719"/>
        <v>154626590.00218472</v>
      </c>
      <c r="G4559" s="3"/>
      <c r="H4559" s="3">
        <f t="shared" si="720"/>
        <v>1288554.9166848727</v>
      </c>
      <c r="I4559" s="3">
        <f t="shared" si="717"/>
        <v>-1288554.9166848727</v>
      </c>
      <c r="J4559" s="3">
        <f t="shared" si="718"/>
        <v>155915144.91886958</v>
      </c>
      <c r="K4559" s="24"/>
      <c r="L4559" s="24"/>
    </row>
    <row r="4560" spans="2:12" x14ac:dyDescent="0.35">
      <c r="B4560" s="1">
        <f t="shared" si="721"/>
        <v>10</v>
      </c>
      <c r="C4560" s="22">
        <v>45597</v>
      </c>
      <c r="D4560" s="22">
        <v>45626</v>
      </c>
      <c r="E4560" s="23">
        <v>30</v>
      </c>
      <c r="F4560" s="3">
        <f t="shared" si="719"/>
        <v>155915144.91886958</v>
      </c>
      <c r="G4560" s="3"/>
      <c r="H4560" s="3">
        <f t="shared" si="720"/>
        <v>1299292.8743239131</v>
      </c>
      <c r="I4560" s="3">
        <f t="shared" si="717"/>
        <v>-1299292.8743239131</v>
      </c>
      <c r="J4560" s="3">
        <f t="shared" si="718"/>
        <v>157214437.79319349</v>
      </c>
      <c r="K4560" s="24"/>
      <c r="L4560" s="24"/>
    </row>
    <row r="4561" spans="2:12" x14ac:dyDescent="0.35">
      <c r="B4561" s="1">
        <f t="shared" si="721"/>
        <v>11</v>
      </c>
      <c r="C4561" s="22">
        <v>45627</v>
      </c>
      <c r="D4561" s="22">
        <v>45657</v>
      </c>
      <c r="E4561" s="23">
        <v>31</v>
      </c>
      <c r="F4561" s="3">
        <f t="shared" si="719"/>
        <v>157214437.79319349</v>
      </c>
      <c r="G4561" s="3"/>
      <c r="H4561" s="3">
        <f t="shared" si="720"/>
        <v>1310120.3149432791</v>
      </c>
      <c r="I4561" s="3">
        <f t="shared" si="717"/>
        <v>-1310120.3149432791</v>
      </c>
      <c r="J4561" s="3">
        <f t="shared" si="718"/>
        <v>158524558.10813677</v>
      </c>
      <c r="K4561" s="24"/>
      <c r="L4561" s="24"/>
    </row>
    <row r="4562" spans="2:12" x14ac:dyDescent="0.35">
      <c r="B4562" s="1">
        <f t="shared" si="721"/>
        <v>12</v>
      </c>
      <c r="C4562" s="22">
        <v>45658</v>
      </c>
      <c r="D4562" s="22">
        <v>45688</v>
      </c>
      <c r="E4562" s="23">
        <v>31</v>
      </c>
      <c r="F4562" s="3">
        <f t="shared" si="719"/>
        <v>158524558.10813677</v>
      </c>
      <c r="G4562" s="3"/>
      <c r="H4562" s="3">
        <f t="shared" si="720"/>
        <v>1321037.9842344732</v>
      </c>
      <c r="I4562" s="3">
        <f t="shared" si="717"/>
        <v>-1321037.9842344732</v>
      </c>
      <c r="J4562" s="3">
        <f t="shared" si="718"/>
        <v>159845596.09237126</v>
      </c>
      <c r="K4562" s="24"/>
      <c r="L4562" s="24"/>
    </row>
    <row r="4563" spans="2:12" x14ac:dyDescent="0.35">
      <c r="B4563" s="1">
        <f t="shared" si="721"/>
        <v>13</v>
      </c>
      <c r="C4563" s="22">
        <v>45689</v>
      </c>
      <c r="D4563" s="22">
        <v>45716</v>
      </c>
      <c r="E4563" s="23">
        <v>28</v>
      </c>
      <c r="F4563" s="3">
        <f t="shared" si="719"/>
        <v>159845596.09237126</v>
      </c>
      <c r="G4563" s="3"/>
      <c r="H4563" s="3">
        <f t="shared" si="720"/>
        <v>1332046.6341030938</v>
      </c>
      <c r="I4563" s="3">
        <f t="shared" si="717"/>
        <v>-1332046.6341030938</v>
      </c>
      <c r="J4563" s="3">
        <f t="shared" si="718"/>
        <v>161177642.72647434</v>
      </c>
      <c r="K4563" s="24"/>
      <c r="L4563" s="24"/>
    </row>
    <row r="4564" spans="2:12" x14ac:dyDescent="0.35">
      <c r="B4564" s="1">
        <f t="shared" si="721"/>
        <v>14</v>
      </c>
      <c r="C4564" s="22">
        <v>45717</v>
      </c>
      <c r="D4564" s="22">
        <v>45747</v>
      </c>
      <c r="E4564" s="23">
        <v>31</v>
      </c>
      <c r="F4564" s="3">
        <f t="shared" si="719"/>
        <v>161177642.72647434</v>
      </c>
      <c r="G4564" s="3"/>
      <c r="H4564" s="3">
        <f t="shared" si="720"/>
        <v>1343147.0227206196</v>
      </c>
      <c r="I4564" s="3">
        <f t="shared" si="717"/>
        <v>-1343147.0227206196</v>
      </c>
      <c r="J4564" s="3">
        <f t="shared" si="718"/>
        <v>162520789.74919495</v>
      </c>
      <c r="K4564" s="24"/>
      <c r="L4564" s="24"/>
    </row>
    <row r="4565" spans="2:12" x14ac:dyDescent="0.35">
      <c r="B4565" s="1">
        <f t="shared" si="721"/>
        <v>15</v>
      </c>
      <c r="C4565" s="22">
        <v>45748</v>
      </c>
      <c r="D4565" s="22">
        <v>45777</v>
      </c>
      <c r="E4565" s="23">
        <v>30</v>
      </c>
      <c r="F4565" s="3">
        <f t="shared" si="719"/>
        <v>162520789.74919495</v>
      </c>
      <c r="G4565" s="3"/>
      <c r="H4565" s="3">
        <f t="shared" si="720"/>
        <v>1354339.9145766245</v>
      </c>
      <c r="I4565" s="3">
        <f t="shared" si="717"/>
        <v>-1354339.9145766245</v>
      </c>
      <c r="J4565" s="3">
        <f t="shared" si="718"/>
        <v>163875129.66377157</v>
      </c>
      <c r="K4565" s="24"/>
      <c r="L4565" s="24"/>
    </row>
    <row r="4566" spans="2:12" x14ac:dyDescent="0.35">
      <c r="B4566" s="1">
        <f t="shared" si="721"/>
        <v>16</v>
      </c>
      <c r="C4566" s="22">
        <v>45778</v>
      </c>
      <c r="D4566" s="22">
        <v>45808</v>
      </c>
      <c r="E4566" s="23">
        <v>31</v>
      </c>
      <c r="F4566" s="3">
        <f t="shared" si="719"/>
        <v>163875129.66377157</v>
      </c>
      <c r="G4566" s="3"/>
      <c r="H4566" s="3">
        <f t="shared" si="720"/>
        <v>1365626.0805314297</v>
      </c>
      <c r="I4566" s="3">
        <f t="shared" si="717"/>
        <v>-1365626.0805314297</v>
      </c>
      <c r="J4566" s="3">
        <f t="shared" si="718"/>
        <v>165240755.74430299</v>
      </c>
      <c r="K4566" s="24"/>
      <c r="L4566" s="24"/>
    </row>
    <row r="4567" spans="2:12" x14ac:dyDescent="0.35">
      <c r="B4567" s="1">
        <f t="shared" si="721"/>
        <v>17</v>
      </c>
      <c r="C4567" s="22">
        <v>45809</v>
      </c>
      <c r="D4567" s="22">
        <v>45838</v>
      </c>
      <c r="E4567" s="23">
        <v>30</v>
      </c>
      <c r="F4567" s="3">
        <f t="shared" si="719"/>
        <v>165240755.74430299</v>
      </c>
      <c r="G4567" s="3"/>
      <c r="H4567" s="3">
        <f t="shared" si="720"/>
        <v>1377006.2978691915</v>
      </c>
      <c r="I4567" s="3">
        <f t="shared" si="717"/>
        <v>-1377006.2978691915</v>
      </c>
      <c r="J4567" s="3">
        <f t="shared" si="718"/>
        <v>166617762.04217219</v>
      </c>
      <c r="K4567" s="24"/>
      <c r="L4567" s="24"/>
    </row>
    <row r="4568" spans="2:12" x14ac:dyDescent="0.35">
      <c r="B4568" s="1">
        <f t="shared" si="721"/>
        <v>18</v>
      </c>
      <c r="C4568" s="22">
        <v>45839</v>
      </c>
      <c r="D4568" s="22">
        <v>45868</v>
      </c>
      <c r="E4568" s="23">
        <v>30</v>
      </c>
      <c r="F4568" s="3">
        <f t="shared" si="719"/>
        <v>166617762.04217219</v>
      </c>
      <c r="G4568" s="3"/>
      <c r="H4568" s="3">
        <f t="shared" si="720"/>
        <v>1388481.3503514349</v>
      </c>
      <c r="I4568" s="3">
        <f t="shared" si="717"/>
        <v>-1388481.3503514349</v>
      </c>
      <c r="J4568" s="3">
        <f t="shared" si="718"/>
        <v>168006243.39252362</v>
      </c>
      <c r="K4568" s="24"/>
      <c r="L4568" s="24"/>
    </row>
    <row r="4569" spans="2:12" x14ac:dyDescent="0.35">
      <c r="B4569" s="1">
        <f t="shared" si="721"/>
        <v>19</v>
      </c>
      <c r="C4569" s="22">
        <v>45870</v>
      </c>
      <c r="D4569" s="22">
        <v>45899</v>
      </c>
      <c r="E4569" s="23">
        <v>30</v>
      </c>
      <c r="F4569" s="3">
        <f t="shared" si="719"/>
        <v>168006243.39252362</v>
      </c>
      <c r="G4569" s="3">
        <f t="shared" ref="G4569:G4586" si="722">-PMT($D$4542/$D$4544,18,$F$4569,,0)</f>
        <v>10089964.401764642</v>
      </c>
      <c r="H4569" s="3">
        <f t="shared" si="720"/>
        <v>1400052.0282710302</v>
      </c>
      <c r="I4569" s="3">
        <f t="shared" si="717"/>
        <v>8689912.3734936118</v>
      </c>
      <c r="J4569" s="3">
        <f t="shared" si="718"/>
        <v>159316331.01903</v>
      </c>
      <c r="K4569" s="24"/>
      <c r="L4569" s="24"/>
    </row>
    <row r="4570" spans="2:12" x14ac:dyDescent="0.35">
      <c r="B4570" s="1">
        <f t="shared" si="721"/>
        <v>20</v>
      </c>
      <c r="C4570" s="22">
        <v>45901</v>
      </c>
      <c r="D4570" s="22">
        <v>45930</v>
      </c>
      <c r="E4570" s="23">
        <v>30</v>
      </c>
      <c r="F4570" s="3">
        <f t="shared" si="719"/>
        <v>159316331.01903</v>
      </c>
      <c r="G4570" s="3">
        <f t="shared" si="722"/>
        <v>10089964.401764642</v>
      </c>
      <c r="H4570" s="3">
        <f t="shared" si="720"/>
        <v>1327636.0918252501</v>
      </c>
      <c r="I4570" s="3">
        <f t="shared" si="717"/>
        <v>8762328.3099393919</v>
      </c>
      <c r="J4570" s="3">
        <f t="shared" si="718"/>
        <v>150554002.70909062</v>
      </c>
      <c r="K4570" s="24"/>
      <c r="L4570" s="24"/>
    </row>
    <row r="4571" spans="2:12" x14ac:dyDescent="0.35">
      <c r="B4571" s="1">
        <f t="shared" si="721"/>
        <v>21</v>
      </c>
      <c r="C4571" s="22">
        <v>45931</v>
      </c>
      <c r="D4571" s="22">
        <v>45961</v>
      </c>
      <c r="E4571" s="23">
        <v>31</v>
      </c>
      <c r="F4571" s="3">
        <f t="shared" si="719"/>
        <v>150554002.70909062</v>
      </c>
      <c r="G4571" s="3">
        <f t="shared" si="722"/>
        <v>10089964.401764642</v>
      </c>
      <c r="H4571" s="3">
        <f t="shared" si="720"/>
        <v>1254616.6892424219</v>
      </c>
      <c r="I4571" s="3">
        <f t="shared" si="717"/>
        <v>8835347.7125222199</v>
      </c>
      <c r="J4571" s="3">
        <f t="shared" si="718"/>
        <v>141718654.99656841</v>
      </c>
      <c r="K4571" s="24"/>
      <c r="L4571" s="24"/>
    </row>
    <row r="4572" spans="2:12" x14ac:dyDescent="0.35">
      <c r="B4572" s="1">
        <f t="shared" si="721"/>
        <v>22</v>
      </c>
      <c r="C4572" s="22">
        <v>45962</v>
      </c>
      <c r="D4572" s="22">
        <v>45991</v>
      </c>
      <c r="E4572" s="23">
        <v>30</v>
      </c>
      <c r="F4572" s="3">
        <f t="shared" si="719"/>
        <v>141718654.99656841</v>
      </c>
      <c r="G4572" s="3">
        <f t="shared" si="722"/>
        <v>10089964.401764642</v>
      </c>
      <c r="H4572" s="3">
        <f t="shared" si="720"/>
        <v>1180988.79163807</v>
      </c>
      <c r="I4572" s="3">
        <f t="shared" si="717"/>
        <v>8908975.6101265717</v>
      </c>
      <c r="J4572" s="3">
        <f t="shared" si="718"/>
        <v>132809679.38644184</v>
      </c>
      <c r="K4572" s="24"/>
      <c r="L4572" s="24"/>
    </row>
    <row r="4573" spans="2:12" x14ac:dyDescent="0.35">
      <c r="B4573" s="1">
        <f t="shared" si="721"/>
        <v>23</v>
      </c>
      <c r="C4573" s="22">
        <v>45992</v>
      </c>
      <c r="D4573" s="22">
        <v>46022</v>
      </c>
      <c r="E4573" s="23">
        <v>31</v>
      </c>
      <c r="F4573" s="3">
        <f t="shared" si="719"/>
        <v>132809679.38644184</v>
      </c>
      <c r="G4573" s="3">
        <f t="shared" si="722"/>
        <v>10089964.401764642</v>
      </c>
      <c r="H4573" s="3">
        <f t="shared" si="720"/>
        <v>1106747.3282203486</v>
      </c>
      <c r="I4573" s="3">
        <f t="shared" si="717"/>
        <v>8983217.0735442936</v>
      </c>
      <c r="J4573" s="3">
        <f t="shared" si="718"/>
        <v>123826462.31289755</v>
      </c>
    </row>
    <row r="4574" spans="2:12" x14ac:dyDescent="0.35">
      <c r="B4574" s="1">
        <f t="shared" si="721"/>
        <v>24</v>
      </c>
      <c r="C4574" s="22">
        <v>46023</v>
      </c>
      <c r="D4574" s="22">
        <v>46053</v>
      </c>
      <c r="E4574" s="23">
        <v>31</v>
      </c>
      <c r="F4574" s="3">
        <f t="shared" si="719"/>
        <v>123826462.31289755</v>
      </c>
      <c r="G4574" s="3">
        <f t="shared" si="722"/>
        <v>10089964.401764642</v>
      </c>
      <c r="H4574" s="3">
        <f t="shared" si="720"/>
        <v>1031887.1859408129</v>
      </c>
      <c r="I4574" s="3">
        <f t="shared" si="717"/>
        <v>9058077.2158238292</v>
      </c>
      <c r="J4574" s="3">
        <f t="shared" si="718"/>
        <v>114768385.09707372</v>
      </c>
    </row>
    <row r="4575" spans="2:12" x14ac:dyDescent="0.35">
      <c r="B4575" s="1">
        <f t="shared" si="721"/>
        <v>25</v>
      </c>
      <c r="C4575" s="22">
        <v>46054</v>
      </c>
      <c r="D4575" s="22">
        <v>46081</v>
      </c>
      <c r="E4575" s="23">
        <v>28</v>
      </c>
      <c r="F4575" s="3">
        <f t="shared" si="719"/>
        <v>114768385.09707372</v>
      </c>
      <c r="G4575" s="3">
        <f t="shared" si="722"/>
        <v>10089964.401764642</v>
      </c>
      <c r="H4575" s="3">
        <f t="shared" si="720"/>
        <v>956403.20914228098</v>
      </c>
      <c r="I4575" s="3">
        <f t="shared" si="717"/>
        <v>9133561.1926223617</v>
      </c>
      <c r="J4575" s="3">
        <f t="shared" si="718"/>
        <v>105634823.90445136</v>
      </c>
    </row>
    <row r="4576" spans="2:12" x14ac:dyDescent="0.35">
      <c r="B4576" s="1">
        <f t="shared" si="721"/>
        <v>26</v>
      </c>
      <c r="C4576" s="22">
        <v>46082</v>
      </c>
      <c r="D4576" s="22">
        <v>46112</v>
      </c>
      <c r="E4576" s="23">
        <v>31</v>
      </c>
      <c r="F4576" s="3">
        <f t="shared" si="719"/>
        <v>105634823.90445136</v>
      </c>
      <c r="G4576" s="3">
        <f t="shared" si="722"/>
        <v>10089964.401764642</v>
      </c>
      <c r="H4576" s="3">
        <f t="shared" si="720"/>
        <v>880290.19920376129</v>
      </c>
      <c r="I4576" s="3">
        <f t="shared" si="717"/>
        <v>9209674.2025608812</v>
      </c>
      <c r="J4576" s="3">
        <f t="shared" si="718"/>
        <v>96425149.701890469</v>
      </c>
    </row>
    <row r="4577" spans="2:19" x14ac:dyDescent="0.35">
      <c r="B4577" s="1">
        <f t="shared" si="721"/>
        <v>27</v>
      </c>
      <c r="C4577" s="22">
        <v>46113</v>
      </c>
      <c r="D4577" s="22">
        <v>46142</v>
      </c>
      <c r="E4577" s="23">
        <v>30</v>
      </c>
      <c r="F4577" s="3">
        <f t="shared" si="719"/>
        <v>96425149.701890469</v>
      </c>
      <c r="G4577" s="3">
        <f t="shared" si="722"/>
        <v>10089964.401764642</v>
      </c>
      <c r="H4577" s="3">
        <f t="shared" si="720"/>
        <v>803542.91418242059</v>
      </c>
      <c r="I4577" s="3">
        <f t="shared" si="717"/>
        <v>9286421.4875822216</v>
      </c>
      <c r="J4577" s="3">
        <f t="shared" si="718"/>
        <v>87138728.214308247</v>
      </c>
    </row>
    <row r="4578" spans="2:19" x14ac:dyDescent="0.35">
      <c r="B4578" s="1">
        <f t="shared" si="721"/>
        <v>28</v>
      </c>
      <c r="C4578" s="22">
        <v>46143</v>
      </c>
      <c r="D4578" s="22">
        <v>46173</v>
      </c>
      <c r="E4578" s="23">
        <v>31</v>
      </c>
      <c r="F4578" s="3">
        <f t="shared" si="719"/>
        <v>87138728.214308247</v>
      </c>
      <c r="G4578" s="3">
        <f t="shared" si="722"/>
        <v>10089964.401764642</v>
      </c>
      <c r="H4578" s="3">
        <f t="shared" si="720"/>
        <v>726156.06845256872</v>
      </c>
      <c r="I4578" s="3">
        <f t="shared" si="717"/>
        <v>9363808.3333120737</v>
      </c>
      <c r="J4578" s="3">
        <f t="shared" si="718"/>
        <v>77774919.880996168</v>
      </c>
    </row>
    <row r="4579" spans="2:19" x14ac:dyDescent="0.35">
      <c r="B4579" s="1">
        <f t="shared" si="721"/>
        <v>29</v>
      </c>
      <c r="C4579" s="22">
        <v>46174</v>
      </c>
      <c r="D4579" s="22">
        <v>46203</v>
      </c>
      <c r="E4579" s="23">
        <v>30</v>
      </c>
      <c r="F4579" s="3">
        <f t="shared" si="719"/>
        <v>77774919.880996168</v>
      </c>
      <c r="G4579" s="3">
        <f t="shared" si="722"/>
        <v>10089964.401764642</v>
      </c>
      <c r="H4579" s="3">
        <f t="shared" si="720"/>
        <v>648124.33234163467</v>
      </c>
      <c r="I4579" s="3">
        <f t="shared" si="717"/>
        <v>9441840.0694230087</v>
      </c>
      <c r="J4579" s="3">
        <f t="shared" si="718"/>
        <v>68333079.811573163</v>
      </c>
    </row>
    <row r="4580" spans="2:19" x14ac:dyDescent="0.35">
      <c r="B4580" s="1">
        <f t="shared" si="721"/>
        <v>30</v>
      </c>
      <c r="C4580" s="22">
        <v>46204</v>
      </c>
      <c r="D4580" s="22">
        <v>46234</v>
      </c>
      <c r="E4580" s="23">
        <v>31</v>
      </c>
      <c r="F4580" s="3">
        <f t="shared" si="719"/>
        <v>68333079.811573163</v>
      </c>
      <c r="G4580" s="3">
        <f t="shared" si="722"/>
        <v>10089964.401764642</v>
      </c>
      <c r="H4580" s="3">
        <f t="shared" si="720"/>
        <v>569442.33176310966</v>
      </c>
      <c r="I4580" s="3">
        <f t="shared" si="717"/>
        <v>9520522.0700015333</v>
      </c>
      <c r="J4580" s="3">
        <f t="shared" si="718"/>
        <v>58812557.741571628</v>
      </c>
    </row>
    <row r="4581" spans="2:19" x14ac:dyDescent="0.35">
      <c r="B4581" s="1">
        <f t="shared" si="721"/>
        <v>31</v>
      </c>
      <c r="C4581" s="22">
        <v>46235</v>
      </c>
      <c r="D4581" s="22">
        <v>46265</v>
      </c>
      <c r="E4581" s="23">
        <v>31</v>
      </c>
      <c r="F4581" s="3">
        <f t="shared" si="719"/>
        <v>58812557.741571628</v>
      </c>
      <c r="G4581" s="3">
        <f t="shared" si="722"/>
        <v>10089964.401764642</v>
      </c>
      <c r="H4581" s="3">
        <f t="shared" si="720"/>
        <v>490104.64784643025</v>
      </c>
      <c r="I4581" s="3">
        <f t="shared" si="717"/>
        <v>9599859.7539182119</v>
      </c>
      <c r="J4581" s="3">
        <f t="shared" si="718"/>
        <v>49212697.987653419</v>
      </c>
    </row>
    <row r="4582" spans="2:19" x14ac:dyDescent="0.35">
      <c r="B4582" s="1">
        <f t="shared" si="721"/>
        <v>32</v>
      </c>
      <c r="C4582" s="22">
        <v>46266</v>
      </c>
      <c r="D4582" s="22">
        <v>46295</v>
      </c>
      <c r="E4582" s="23">
        <v>30</v>
      </c>
      <c r="F4582" s="3">
        <f t="shared" si="719"/>
        <v>49212697.987653419</v>
      </c>
      <c r="G4582" s="3">
        <f t="shared" si="722"/>
        <v>10089964.401764642</v>
      </c>
      <c r="H4582" s="3">
        <f t="shared" si="720"/>
        <v>410105.8165637785</v>
      </c>
      <c r="I4582" s="3">
        <f t="shared" si="717"/>
        <v>9679858.5852008648</v>
      </c>
      <c r="J4582" s="3">
        <f t="shared" si="718"/>
        <v>39532839.402452558</v>
      </c>
    </row>
    <row r="4583" spans="2:19" x14ac:dyDescent="0.35">
      <c r="B4583" s="1">
        <f t="shared" si="721"/>
        <v>33</v>
      </c>
      <c r="C4583" s="22">
        <v>46296</v>
      </c>
      <c r="D4583" s="22">
        <v>46326</v>
      </c>
      <c r="E4583" s="23">
        <v>31</v>
      </c>
      <c r="F4583" s="3">
        <f t="shared" si="719"/>
        <v>39532839.402452558</v>
      </c>
      <c r="G4583" s="3">
        <f t="shared" si="722"/>
        <v>10089964.401764642</v>
      </c>
      <c r="H4583" s="3">
        <f t="shared" si="720"/>
        <v>329440.3283537713</v>
      </c>
      <c r="I4583" s="3">
        <f t="shared" si="717"/>
        <v>9760524.0734108705</v>
      </c>
      <c r="J4583" s="3">
        <f t="shared" si="718"/>
        <v>29772315.32904169</v>
      </c>
    </row>
    <row r="4584" spans="2:19" x14ac:dyDescent="0.35">
      <c r="B4584" s="1">
        <f t="shared" si="721"/>
        <v>34</v>
      </c>
      <c r="C4584" s="22">
        <v>46327</v>
      </c>
      <c r="D4584" s="22">
        <v>46356</v>
      </c>
      <c r="E4584" s="23">
        <v>30</v>
      </c>
      <c r="F4584" s="3">
        <f t="shared" si="719"/>
        <v>29772315.32904169</v>
      </c>
      <c r="G4584" s="3">
        <f t="shared" si="722"/>
        <v>10089964.401764642</v>
      </c>
      <c r="H4584" s="3">
        <f t="shared" si="720"/>
        <v>248102.62774201407</v>
      </c>
      <c r="I4584" s="3">
        <f t="shared" si="717"/>
        <v>9841861.7740226276</v>
      </c>
      <c r="J4584" s="3">
        <f t="shared" si="718"/>
        <v>19930453.555019062</v>
      </c>
    </row>
    <row r="4585" spans="2:19" x14ac:dyDescent="0.35">
      <c r="B4585" s="1">
        <f t="shared" si="721"/>
        <v>35</v>
      </c>
      <c r="C4585" s="22">
        <v>46357</v>
      </c>
      <c r="D4585" s="22">
        <v>46387</v>
      </c>
      <c r="E4585" s="23">
        <v>31</v>
      </c>
      <c r="F4585" s="3">
        <f t="shared" si="719"/>
        <v>19930453.555019062</v>
      </c>
      <c r="G4585" s="3">
        <f t="shared" si="722"/>
        <v>10089964.401764642</v>
      </c>
      <c r="H4585" s="3">
        <f t="shared" si="720"/>
        <v>166087.11295849219</v>
      </c>
      <c r="I4585" s="3">
        <f t="shared" si="717"/>
        <v>9923877.2888061497</v>
      </c>
      <c r="J4585" s="3">
        <f t="shared" si="718"/>
        <v>10006576.266212912</v>
      </c>
    </row>
    <row r="4586" spans="2:19" x14ac:dyDescent="0.35">
      <c r="B4586" s="1">
        <f t="shared" si="721"/>
        <v>36</v>
      </c>
      <c r="C4586" s="22">
        <v>46388</v>
      </c>
      <c r="D4586" s="22">
        <v>46418</v>
      </c>
      <c r="E4586" s="23">
        <v>31</v>
      </c>
      <c r="F4586" s="3">
        <f t="shared" si="719"/>
        <v>10006576.266212912</v>
      </c>
      <c r="G4586" s="3">
        <f t="shared" si="722"/>
        <v>10089964.401764642</v>
      </c>
      <c r="H4586" s="3">
        <f t="shared" si="720"/>
        <v>83388.135551774263</v>
      </c>
      <c r="I4586" s="3">
        <f t="shared" si="717"/>
        <v>10006576.266212868</v>
      </c>
      <c r="J4586" s="3">
        <f t="shared" si="718"/>
        <v>4.4703483581542969E-8</v>
      </c>
    </row>
    <row r="4591" spans="2:19" x14ac:dyDescent="0.35">
      <c r="B4591" s="1"/>
      <c r="C4591" s="8" t="s">
        <v>624</v>
      </c>
      <c r="D4591" s="3"/>
      <c r="E4591" s="3"/>
      <c r="F4591" s="3"/>
      <c r="G4591" s="3"/>
      <c r="H4591" s="3"/>
      <c r="I4591" s="3"/>
      <c r="J4591" s="3"/>
      <c r="K4591" s="3"/>
      <c r="L4591" s="3"/>
      <c r="R4591" s="438" t="s">
        <v>832</v>
      </c>
      <c r="S4591" s="432" t="str">
        <f>IFERROR(INDEX(Blocks!$I$2:$I$101,MATCH(84,Blocks!$A$2:$A$101,0)),"")</f>
        <v>000104450000086</v>
      </c>
    </row>
    <row r="4592" spans="2:19" x14ac:dyDescent="0.35">
      <c r="B4592" s="1"/>
      <c r="C4592" s="1"/>
      <c r="D4592" s="3"/>
      <c r="E4592" s="3"/>
      <c r="F4592" s="3"/>
      <c r="G4592" s="3"/>
      <c r="H4592" s="3"/>
      <c r="I4592" s="3"/>
      <c r="J4592" s="3"/>
      <c r="K4592" s="3"/>
      <c r="L4592" s="3"/>
      <c r="R4592" s="438" t="s">
        <v>834</v>
      </c>
      <c r="S4592" s="432" t="str">
        <f>IFERROR(INDEX(Blocks!$H$2:$H$101,MATCH(84,Blocks!$A$2:$A$101,0)),"")</f>
        <v>Chambaika Milling Company</v>
      </c>
    </row>
    <row r="4593" spans="2:19" x14ac:dyDescent="0.35">
      <c r="B4593" s="1"/>
      <c r="C4593" s="9" t="s">
        <v>835</v>
      </c>
      <c r="D4593" s="10">
        <v>350660000</v>
      </c>
      <c r="E4593" s="3"/>
      <c r="F4593" s="3"/>
      <c r="G4593" s="3"/>
      <c r="H4593" s="3"/>
      <c r="I4593" s="3"/>
      <c r="J4593" s="3"/>
      <c r="K4593" s="3"/>
      <c r="L4593" s="3"/>
      <c r="R4593" s="438" t="s">
        <v>223</v>
      </c>
      <c r="S4593" s="433">
        <f>IFERROR(INDEX('E-Banker master'!$N$2:$N$186,MATCH(S4591,'E-Banker master'!$A$2:$A$186,0)),"")</f>
        <v>350660000</v>
      </c>
    </row>
    <row r="4594" spans="2:19" x14ac:dyDescent="0.35">
      <c r="B4594" s="1"/>
      <c r="C4594" s="11" t="s">
        <v>837</v>
      </c>
      <c r="D4594" s="12">
        <v>0.1</v>
      </c>
      <c r="E4594" s="13"/>
      <c r="F4594" s="3"/>
      <c r="G4594" s="3"/>
      <c r="H4594" s="3"/>
      <c r="I4594" s="3"/>
      <c r="J4594" s="3"/>
      <c r="K4594" s="3"/>
      <c r="L4594" s="3"/>
      <c r="R4594" s="438" t="s">
        <v>52</v>
      </c>
      <c r="S4594" s="433">
        <f>IFERROR(INDEX('E-Banker master'!$P$2:$P$186,MATCH(S4591,'E-Banker master'!$A$2:$A$186,0)),"")</f>
        <v>377930406.22000003</v>
      </c>
    </row>
    <row r="4595" spans="2:19" x14ac:dyDescent="0.35">
      <c r="B4595" s="1"/>
      <c r="C4595" s="11" t="s">
        <v>838</v>
      </c>
      <c r="D4595" s="14">
        <v>5</v>
      </c>
      <c r="E4595" s="1"/>
      <c r="F4595" s="3"/>
      <c r="G4595" s="3"/>
      <c r="H4595" s="3"/>
      <c r="I4595" s="3"/>
      <c r="J4595" s="3"/>
      <c r="K4595" s="1"/>
      <c r="L4595" s="1"/>
    </row>
    <row r="4596" spans="2:19" x14ac:dyDescent="0.35">
      <c r="B4596" s="1"/>
      <c r="C4596" s="11" t="s">
        <v>839</v>
      </c>
      <c r="D4596" s="14">
        <v>12</v>
      </c>
      <c r="E4596" s="1"/>
      <c r="F4596" s="3"/>
      <c r="G4596" s="3"/>
      <c r="H4596" s="3"/>
      <c r="I4596" s="3"/>
      <c r="J4596" s="3"/>
      <c r="K4596" s="1"/>
      <c r="L4596" s="1"/>
    </row>
    <row r="4597" spans="2:19" x14ac:dyDescent="0.35">
      <c r="B4597" s="1"/>
      <c r="C4597" s="11" t="s">
        <v>843</v>
      </c>
      <c r="D4597" s="15">
        <f>+D4596*D4595</f>
        <v>60</v>
      </c>
      <c r="E4597" s="1"/>
      <c r="F4597" s="3"/>
      <c r="G4597" s="3"/>
      <c r="H4597" s="3"/>
      <c r="I4597" s="3"/>
      <c r="J4597" s="3"/>
      <c r="K4597" s="1"/>
      <c r="L4597" s="1"/>
    </row>
    <row r="4598" spans="2:19" x14ac:dyDescent="0.35">
      <c r="B4598" s="1"/>
      <c r="C4598" s="11" t="s">
        <v>844</v>
      </c>
      <c r="D4598" s="16">
        <v>365</v>
      </c>
      <c r="E4598" s="1"/>
      <c r="F4598" s="3"/>
      <c r="G4598" s="3"/>
      <c r="H4598" s="3"/>
      <c r="I4598" s="3"/>
      <c r="J4598" s="3"/>
      <c r="K4598" s="1"/>
      <c r="L4598" s="1"/>
    </row>
    <row r="4599" spans="2:19" x14ac:dyDescent="0.35">
      <c r="B4599" s="1"/>
      <c r="C4599" s="17" t="s">
        <v>845</v>
      </c>
      <c r="D4599" s="220">
        <f>-PMT(D4594/D4596,D4597,D4593,0,0)</f>
        <v>7450488.6984533342</v>
      </c>
      <c r="E4599" s="3"/>
      <c r="F4599" s="3"/>
      <c r="G4599" s="3"/>
      <c r="H4599" s="3"/>
      <c r="I4599" s="3"/>
      <c r="J4599" s="3"/>
      <c r="K4599" s="1"/>
      <c r="L4599" s="1"/>
    </row>
    <row r="4600" spans="2:19" x14ac:dyDescent="0.35">
      <c r="B4600" s="1"/>
      <c r="C4600" s="1"/>
      <c r="D4600" s="3"/>
      <c r="E4600" s="3"/>
      <c r="F4600" s="3"/>
      <c r="G4600" s="3"/>
      <c r="H4600" s="3"/>
      <c r="I4600" s="3"/>
      <c r="J4600" s="3"/>
      <c r="K4600" s="1"/>
      <c r="L4600" s="1"/>
    </row>
    <row r="4601" spans="2:19" x14ac:dyDescent="0.35">
      <c r="B4601" s="1"/>
      <c r="C4601" s="19" t="s">
        <v>846</v>
      </c>
      <c r="D4601" s="20" t="s">
        <v>847</v>
      </c>
      <c r="E4601" s="20" t="s">
        <v>764</v>
      </c>
      <c r="F4601" s="270" t="s">
        <v>848</v>
      </c>
      <c r="G4601" s="270" t="s">
        <v>849</v>
      </c>
      <c r="H4601" s="270" t="s">
        <v>742</v>
      </c>
      <c r="I4601" s="270" t="s">
        <v>740</v>
      </c>
      <c r="J4601" s="270" t="s">
        <v>850</v>
      </c>
      <c r="K4601" s="21" t="s">
        <v>851</v>
      </c>
      <c r="L4601" s="21" t="s">
        <v>852</v>
      </c>
    </row>
    <row r="4602" spans="2:19" x14ac:dyDescent="0.35">
      <c r="B4602" s="1">
        <v>0</v>
      </c>
      <c r="C4602" s="22">
        <v>45323</v>
      </c>
      <c r="D4602" s="22">
        <v>45351</v>
      </c>
      <c r="E4602" s="23">
        <v>29</v>
      </c>
      <c r="F4602" s="3">
        <f>D4593</f>
        <v>350660000</v>
      </c>
      <c r="G4602" s="3"/>
      <c r="H4602" s="3">
        <f t="shared" ref="H4602:H4633" si="723">($D$4594/$D$4596*F4602)</f>
        <v>2922166.6666666665</v>
      </c>
      <c r="I4602" s="3">
        <f t="shared" ref="I4602:I4633" si="724">G4602-H4602</f>
        <v>-2922166.6666666665</v>
      </c>
      <c r="J4602" s="3">
        <f t="shared" ref="J4602:J4633" si="725">F4602-I4602</f>
        <v>353582166.66666669</v>
      </c>
      <c r="L4602" s="141">
        <f>G4602</f>
        <v>0</v>
      </c>
    </row>
    <row r="4603" spans="2:19" x14ac:dyDescent="0.35">
      <c r="B4603" s="1">
        <v>1</v>
      </c>
      <c r="C4603" s="22">
        <v>45352</v>
      </c>
      <c r="D4603" s="22">
        <v>45382</v>
      </c>
      <c r="E4603" s="23">
        <v>31</v>
      </c>
      <c r="F4603" s="3">
        <f t="shared" ref="F4603:F4634" si="726">J4602</f>
        <v>353582166.66666669</v>
      </c>
      <c r="G4603" s="3"/>
      <c r="H4603" s="3">
        <f t="shared" si="723"/>
        <v>2946518.0555555555</v>
      </c>
      <c r="I4603" s="3">
        <f t="shared" si="724"/>
        <v>-2946518.0555555555</v>
      </c>
      <c r="J4603" s="3">
        <f t="shared" si="725"/>
        <v>356528684.72222227</v>
      </c>
      <c r="K4603" s="24"/>
      <c r="L4603" s="24">
        <f>L4602+G4603-K4603</f>
        <v>0</v>
      </c>
    </row>
    <row r="4604" spans="2:19" x14ac:dyDescent="0.35">
      <c r="B4604" s="1">
        <v>2</v>
      </c>
      <c r="C4604" s="22">
        <v>45383</v>
      </c>
      <c r="D4604" s="22">
        <v>45412</v>
      </c>
      <c r="E4604" s="23">
        <v>30</v>
      </c>
      <c r="F4604" s="3">
        <f t="shared" si="726"/>
        <v>356528684.72222227</v>
      </c>
      <c r="G4604" s="3"/>
      <c r="H4604" s="3">
        <f t="shared" si="723"/>
        <v>2971072.3726851856</v>
      </c>
      <c r="I4604" s="3">
        <f t="shared" si="724"/>
        <v>-2971072.3726851856</v>
      </c>
      <c r="J4604" s="3">
        <f t="shared" si="725"/>
        <v>359499757.09490746</v>
      </c>
      <c r="K4604" s="24"/>
      <c r="L4604" s="24"/>
    </row>
    <row r="4605" spans="2:19" x14ac:dyDescent="0.35">
      <c r="B4605" s="1">
        <f t="shared" ref="B4605:B4636" si="727">+B4604+1</f>
        <v>3</v>
      </c>
      <c r="C4605" s="22">
        <v>45413</v>
      </c>
      <c r="D4605" s="22">
        <v>45443</v>
      </c>
      <c r="E4605" s="23">
        <v>31</v>
      </c>
      <c r="F4605" s="3">
        <f t="shared" si="726"/>
        <v>359499757.09490746</v>
      </c>
      <c r="G4605" s="3"/>
      <c r="H4605" s="3">
        <f t="shared" si="723"/>
        <v>2995831.309124229</v>
      </c>
      <c r="I4605" s="3">
        <f t="shared" si="724"/>
        <v>-2995831.309124229</v>
      </c>
      <c r="J4605" s="3">
        <f t="shared" si="725"/>
        <v>362495588.40403169</v>
      </c>
      <c r="K4605" s="24"/>
      <c r="L4605" s="24"/>
    </row>
    <row r="4606" spans="2:19" x14ac:dyDescent="0.35">
      <c r="B4606" s="1">
        <f t="shared" si="727"/>
        <v>4</v>
      </c>
      <c r="C4606" s="22">
        <v>45444</v>
      </c>
      <c r="D4606" s="22">
        <v>45473</v>
      </c>
      <c r="E4606" s="23">
        <v>30</v>
      </c>
      <c r="F4606" s="3">
        <f t="shared" si="726"/>
        <v>362495588.40403169</v>
      </c>
      <c r="G4606" s="3"/>
      <c r="H4606" s="3">
        <f t="shared" si="723"/>
        <v>3020796.5700335973</v>
      </c>
      <c r="I4606" s="3">
        <f t="shared" si="724"/>
        <v>-3020796.5700335973</v>
      </c>
      <c r="J4606" s="3">
        <f t="shared" si="725"/>
        <v>365516384.9740653</v>
      </c>
      <c r="K4606" s="24"/>
      <c r="L4606" s="26"/>
    </row>
    <row r="4607" spans="2:19" x14ac:dyDescent="0.35">
      <c r="B4607" s="1">
        <f t="shared" si="727"/>
        <v>5</v>
      </c>
      <c r="C4607" s="22">
        <v>45474</v>
      </c>
      <c r="D4607" s="22">
        <v>45504</v>
      </c>
      <c r="E4607" s="23">
        <v>31</v>
      </c>
      <c r="F4607" s="3">
        <f t="shared" si="726"/>
        <v>365516384.9740653</v>
      </c>
      <c r="G4607" s="3"/>
      <c r="H4607" s="3">
        <f t="shared" si="723"/>
        <v>3045969.8747838773</v>
      </c>
      <c r="I4607" s="3">
        <f t="shared" si="724"/>
        <v>-3045969.8747838773</v>
      </c>
      <c r="J4607" s="3">
        <f t="shared" si="725"/>
        <v>368562354.84884918</v>
      </c>
      <c r="K4607" s="24"/>
      <c r="L4607" s="24"/>
    </row>
    <row r="4608" spans="2:19" x14ac:dyDescent="0.35">
      <c r="B4608" s="1">
        <f t="shared" si="727"/>
        <v>6</v>
      </c>
      <c r="C4608" s="22">
        <v>45505</v>
      </c>
      <c r="D4608" s="22">
        <v>45535</v>
      </c>
      <c r="E4608" s="23">
        <v>31</v>
      </c>
      <c r="F4608" s="3">
        <f t="shared" si="726"/>
        <v>368562354.84884918</v>
      </c>
      <c r="G4608" s="3"/>
      <c r="H4608" s="3">
        <f t="shared" si="723"/>
        <v>3071352.957073743</v>
      </c>
      <c r="I4608" s="3">
        <f t="shared" si="724"/>
        <v>-3071352.957073743</v>
      </c>
      <c r="J4608" s="3">
        <f t="shared" si="725"/>
        <v>371633707.80592293</v>
      </c>
      <c r="K4608" s="24"/>
      <c r="L4608" s="24"/>
    </row>
    <row r="4609" spans="2:12" x14ac:dyDescent="0.35">
      <c r="B4609" s="1">
        <f t="shared" si="727"/>
        <v>7</v>
      </c>
      <c r="C4609" s="22">
        <v>45536</v>
      </c>
      <c r="D4609" s="22">
        <v>45565</v>
      </c>
      <c r="E4609" s="23">
        <v>30</v>
      </c>
      <c r="F4609" s="3">
        <f t="shared" si="726"/>
        <v>371633707.80592293</v>
      </c>
      <c r="G4609" s="3"/>
      <c r="H4609" s="3">
        <f t="shared" si="723"/>
        <v>3096947.5650493577</v>
      </c>
      <c r="I4609" s="3">
        <f t="shared" si="724"/>
        <v>-3096947.5650493577</v>
      </c>
      <c r="J4609" s="3">
        <f t="shared" si="725"/>
        <v>374730655.37097228</v>
      </c>
      <c r="K4609" s="24"/>
      <c r="L4609" s="26"/>
    </row>
    <row r="4610" spans="2:12" x14ac:dyDescent="0.35">
      <c r="B4610" s="1">
        <f t="shared" si="727"/>
        <v>8</v>
      </c>
      <c r="C4610" s="22">
        <v>45566</v>
      </c>
      <c r="D4610" s="22">
        <v>45596</v>
      </c>
      <c r="E4610" s="23">
        <v>31</v>
      </c>
      <c r="F4610" s="3">
        <f t="shared" si="726"/>
        <v>374730655.37097228</v>
      </c>
      <c r="G4610" s="3"/>
      <c r="H4610" s="3">
        <f t="shared" si="723"/>
        <v>3122755.4614247689</v>
      </c>
      <c r="I4610" s="3">
        <f t="shared" si="724"/>
        <v>-3122755.4614247689</v>
      </c>
      <c r="J4610" s="3">
        <f t="shared" si="725"/>
        <v>377853410.83239704</v>
      </c>
      <c r="K4610" s="24"/>
      <c r="L4610" s="24"/>
    </row>
    <row r="4611" spans="2:12" x14ac:dyDescent="0.35">
      <c r="B4611" s="1">
        <f t="shared" si="727"/>
        <v>9</v>
      </c>
      <c r="C4611" s="22">
        <v>45597</v>
      </c>
      <c r="D4611" s="22">
        <v>45626</v>
      </c>
      <c r="E4611" s="23">
        <v>30</v>
      </c>
      <c r="F4611" s="3">
        <f t="shared" si="726"/>
        <v>377853410.83239704</v>
      </c>
      <c r="G4611" s="3"/>
      <c r="H4611" s="3">
        <f t="shared" si="723"/>
        <v>3148778.4236033089</v>
      </c>
      <c r="I4611" s="3">
        <f t="shared" si="724"/>
        <v>-3148778.4236033089</v>
      </c>
      <c r="J4611" s="3">
        <f t="shared" si="725"/>
        <v>381002189.25600034</v>
      </c>
      <c r="K4611" s="24"/>
      <c r="L4611" s="24"/>
    </row>
    <row r="4612" spans="2:12" x14ac:dyDescent="0.35">
      <c r="B4612" s="1">
        <f t="shared" si="727"/>
        <v>10</v>
      </c>
      <c r="C4612" s="22">
        <v>45627</v>
      </c>
      <c r="D4612" s="22">
        <v>45657</v>
      </c>
      <c r="E4612" s="23">
        <v>31</v>
      </c>
      <c r="F4612" s="3">
        <f t="shared" si="726"/>
        <v>381002189.25600034</v>
      </c>
      <c r="G4612" s="3"/>
      <c r="H4612" s="3">
        <f t="shared" si="723"/>
        <v>3175018.2438000026</v>
      </c>
      <c r="I4612" s="3">
        <f t="shared" si="724"/>
        <v>-3175018.2438000026</v>
      </c>
      <c r="J4612" s="3">
        <f t="shared" si="725"/>
        <v>384177207.49980032</v>
      </c>
      <c r="K4612" s="24"/>
      <c r="L4612" s="24"/>
    </row>
    <row r="4613" spans="2:12" x14ac:dyDescent="0.35">
      <c r="B4613" s="1">
        <f t="shared" si="727"/>
        <v>11</v>
      </c>
      <c r="C4613" s="22">
        <v>45658</v>
      </c>
      <c r="D4613" s="22">
        <v>45688</v>
      </c>
      <c r="E4613" s="23">
        <v>31</v>
      </c>
      <c r="F4613" s="3">
        <f t="shared" si="726"/>
        <v>384177207.49980032</v>
      </c>
      <c r="G4613" s="3">
        <f t="shared" ref="G4613:G4644" si="728">-PMT($D$4594/$D$4596,49,$F$4613,,0)</f>
        <v>9581902.4005033486</v>
      </c>
      <c r="H4613" s="3">
        <f t="shared" si="723"/>
        <v>3201476.7291650027</v>
      </c>
      <c r="I4613" s="3">
        <f t="shared" si="724"/>
        <v>6380425.6713383459</v>
      </c>
      <c r="J4613" s="3">
        <f t="shared" si="725"/>
        <v>377796781.828462</v>
      </c>
      <c r="K4613" s="24"/>
      <c r="L4613" s="24"/>
    </row>
    <row r="4614" spans="2:12" x14ac:dyDescent="0.35">
      <c r="B4614" s="1">
        <f t="shared" si="727"/>
        <v>12</v>
      </c>
      <c r="C4614" s="22">
        <v>45689</v>
      </c>
      <c r="D4614" s="22">
        <v>45716</v>
      </c>
      <c r="E4614" s="23">
        <v>28</v>
      </c>
      <c r="F4614" s="3">
        <f t="shared" si="726"/>
        <v>377796781.828462</v>
      </c>
      <c r="G4614" s="3">
        <f t="shared" si="728"/>
        <v>9581902.4005033486</v>
      </c>
      <c r="H4614" s="3">
        <f t="shared" si="723"/>
        <v>3148306.5152371833</v>
      </c>
      <c r="I4614" s="3">
        <f t="shared" si="724"/>
        <v>6433595.8852661652</v>
      </c>
      <c r="J4614" s="3">
        <f t="shared" si="725"/>
        <v>371363185.94319582</v>
      </c>
      <c r="K4614" s="24"/>
      <c r="L4614" s="24"/>
    </row>
    <row r="4615" spans="2:12" x14ac:dyDescent="0.35">
      <c r="B4615" s="1">
        <f t="shared" si="727"/>
        <v>13</v>
      </c>
      <c r="C4615" s="22">
        <v>45717</v>
      </c>
      <c r="D4615" s="22">
        <v>45747</v>
      </c>
      <c r="E4615" s="23">
        <v>31</v>
      </c>
      <c r="F4615" s="3">
        <f t="shared" si="726"/>
        <v>371363185.94319582</v>
      </c>
      <c r="G4615" s="3">
        <f t="shared" si="728"/>
        <v>9581902.4005033486</v>
      </c>
      <c r="H4615" s="3">
        <f t="shared" si="723"/>
        <v>3094693.2161932983</v>
      </c>
      <c r="I4615" s="3">
        <f t="shared" si="724"/>
        <v>6487209.1843100507</v>
      </c>
      <c r="J4615" s="3">
        <f t="shared" si="725"/>
        <v>364875976.75888574</v>
      </c>
      <c r="K4615" s="24"/>
      <c r="L4615" s="24"/>
    </row>
    <row r="4616" spans="2:12" x14ac:dyDescent="0.35">
      <c r="B4616" s="1">
        <f t="shared" si="727"/>
        <v>14</v>
      </c>
      <c r="C4616" s="22">
        <v>45748</v>
      </c>
      <c r="D4616" s="22">
        <v>45777</v>
      </c>
      <c r="E4616" s="23">
        <v>30</v>
      </c>
      <c r="F4616" s="3">
        <f t="shared" si="726"/>
        <v>364875976.75888574</v>
      </c>
      <c r="G4616" s="3">
        <f t="shared" si="728"/>
        <v>9581902.4005033486</v>
      </c>
      <c r="H4616" s="3">
        <f t="shared" si="723"/>
        <v>3040633.139657381</v>
      </c>
      <c r="I4616" s="3">
        <f t="shared" si="724"/>
        <v>6541269.2608459676</v>
      </c>
      <c r="J4616" s="3">
        <f t="shared" si="725"/>
        <v>358334707.49803978</v>
      </c>
      <c r="K4616" s="24"/>
      <c r="L4616" s="24"/>
    </row>
    <row r="4617" spans="2:12" x14ac:dyDescent="0.35">
      <c r="B4617" s="1">
        <f t="shared" si="727"/>
        <v>15</v>
      </c>
      <c r="C4617" s="22">
        <v>45778</v>
      </c>
      <c r="D4617" s="22">
        <v>45808</v>
      </c>
      <c r="E4617" s="23">
        <v>31</v>
      </c>
      <c r="F4617" s="3">
        <f t="shared" si="726"/>
        <v>358334707.49803978</v>
      </c>
      <c r="G4617" s="3">
        <f t="shared" si="728"/>
        <v>9581902.4005033486</v>
      </c>
      <c r="H4617" s="3">
        <f t="shared" si="723"/>
        <v>2986122.5624836646</v>
      </c>
      <c r="I4617" s="3">
        <f t="shared" si="724"/>
        <v>6595779.838019684</v>
      </c>
      <c r="J4617" s="3">
        <f t="shared" si="725"/>
        <v>351738927.66002011</v>
      </c>
      <c r="K4617" s="24"/>
      <c r="L4617" s="24"/>
    </row>
    <row r="4618" spans="2:12" x14ac:dyDescent="0.35">
      <c r="B4618" s="1">
        <f t="shared" si="727"/>
        <v>16</v>
      </c>
      <c r="C4618" s="22">
        <v>45809</v>
      </c>
      <c r="D4618" s="22">
        <v>45838</v>
      </c>
      <c r="E4618" s="23">
        <v>30</v>
      </c>
      <c r="F4618" s="3">
        <f t="shared" si="726"/>
        <v>351738927.66002011</v>
      </c>
      <c r="G4618" s="3">
        <f t="shared" si="728"/>
        <v>9581902.4005033486</v>
      </c>
      <c r="H4618" s="3">
        <f t="shared" si="723"/>
        <v>2931157.7305001677</v>
      </c>
      <c r="I4618" s="3">
        <f t="shared" si="724"/>
        <v>6650744.6700031813</v>
      </c>
      <c r="J4618" s="3">
        <f t="shared" si="725"/>
        <v>345088182.99001694</v>
      </c>
      <c r="K4618" s="24"/>
      <c r="L4618" s="24"/>
    </row>
    <row r="4619" spans="2:12" x14ac:dyDescent="0.35">
      <c r="B4619" s="1">
        <f t="shared" si="727"/>
        <v>17</v>
      </c>
      <c r="C4619" s="22">
        <v>45839</v>
      </c>
      <c r="D4619" s="22">
        <v>45868</v>
      </c>
      <c r="E4619" s="23">
        <v>30</v>
      </c>
      <c r="F4619" s="3">
        <f t="shared" si="726"/>
        <v>345088182.99001694</v>
      </c>
      <c r="G4619" s="3">
        <f t="shared" si="728"/>
        <v>9581902.4005033486</v>
      </c>
      <c r="H4619" s="3">
        <f t="shared" si="723"/>
        <v>2875734.8582501411</v>
      </c>
      <c r="I4619" s="3">
        <f t="shared" si="724"/>
        <v>6706167.5422532074</v>
      </c>
      <c r="J4619" s="3">
        <f t="shared" si="725"/>
        <v>338382015.44776374</v>
      </c>
      <c r="K4619" s="24"/>
      <c r="L4619" s="24"/>
    </row>
    <row r="4620" spans="2:12" x14ac:dyDescent="0.35">
      <c r="B4620" s="1">
        <f t="shared" si="727"/>
        <v>18</v>
      </c>
      <c r="C4620" s="22">
        <v>45870</v>
      </c>
      <c r="D4620" s="22">
        <v>45899</v>
      </c>
      <c r="E4620" s="23">
        <v>30</v>
      </c>
      <c r="F4620" s="3">
        <f t="shared" si="726"/>
        <v>338382015.44776374</v>
      </c>
      <c r="G4620" s="3">
        <f t="shared" si="728"/>
        <v>9581902.4005033486</v>
      </c>
      <c r="H4620" s="3">
        <f t="shared" si="723"/>
        <v>2819850.1287313644</v>
      </c>
      <c r="I4620" s="3">
        <f t="shared" si="724"/>
        <v>6762052.2717719842</v>
      </c>
      <c r="J4620" s="3">
        <f t="shared" si="725"/>
        <v>331619963.17599177</v>
      </c>
      <c r="K4620" s="24"/>
      <c r="L4620" s="24"/>
    </row>
    <row r="4621" spans="2:12" x14ac:dyDescent="0.35">
      <c r="B4621" s="1">
        <f t="shared" si="727"/>
        <v>19</v>
      </c>
      <c r="C4621" s="22">
        <v>45901</v>
      </c>
      <c r="D4621" s="22">
        <v>45930</v>
      </c>
      <c r="E4621" s="23">
        <v>30</v>
      </c>
      <c r="F4621" s="3">
        <f t="shared" si="726"/>
        <v>331619963.17599177</v>
      </c>
      <c r="G4621" s="3">
        <f t="shared" si="728"/>
        <v>9581902.4005033486</v>
      </c>
      <c r="H4621" s="3">
        <f t="shared" si="723"/>
        <v>2763499.6931332648</v>
      </c>
      <c r="I4621" s="3">
        <f t="shared" si="724"/>
        <v>6818402.7073700838</v>
      </c>
      <c r="J4621" s="3">
        <f t="shared" si="725"/>
        <v>324801560.46862167</v>
      </c>
      <c r="K4621" s="24"/>
      <c r="L4621" s="24"/>
    </row>
    <row r="4622" spans="2:12" x14ac:dyDescent="0.35">
      <c r="B4622" s="1">
        <f t="shared" si="727"/>
        <v>20</v>
      </c>
      <c r="C4622" s="22">
        <v>45931</v>
      </c>
      <c r="D4622" s="22">
        <v>45961</v>
      </c>
      <c r="E4622" s="23">
        <v>31</v>
      </c>
      <c r="F4622" s="3">
        <f t="shared" si="726"/>
        <v>324801560.46862167</v>
      </c>
      <c r="G4622" s="3">
        <f t="shared" si="728"/>
        <v>9581902.4005033486</v>
      </c>
      <c r="H4622" s="3">
        <f t="shared" si="723"/>
        <v>2706679.6705718474</v>
      </c>
      <c r="I4622" s="3">
        <f t="shared" si="724"/>
        <v>6875222.7299315017</v>
      </c>
      <c r="J4622" s="3">
        <f t="shared" si="725"/>
        <v>317926337.7386902</v>
      </c>
      <c r="K4622" s="24"/>
      <c r="L4622" s="24"/>
    </row>
    <row r="4623" spans="2:12" x14ac:dyDescent="0.35">
      <c r="B4623" s="1">
        <f t="shared" si="727"/>
        <v>21</v>
      </c>
      <c r="C4623" s="22">
        <v>45962</v>
      </c>
      <c r="D4623" s="22">
        <v>45991</v>
      </c>
      <c r="E4623" s="23">
        <v>30</v>
      </c>
      <c r="F4623" s="3">
        <f t="shared" si="726"/>
        <v>317926337.7386902</v>
      </c>
      <c r="G4623" s="3">
        <f t="shared" si="728"/>
        <v>9581902.4005033486</v>
      </c>
      <c r="H4623" s="3">
        <f t="shared" si="723"/>
        <v>2649386.1478224183</v>
      </c>
      <c r="I4623" s="3">
        <f t="shared" si="724"/>
        <v>6932516.2526809303</v>
      </c>
      <c r="J4623" s="3">
        <f t="shared" si="725"/>
        <v>310993821.48600924</v>
      </c>
      <c r="K4623" s="24"/>
      <c r="L4623" s="24"/>
    </row>
    <row r="4624" spans="2:12" x14ac:dyDescent="0.35">
      <c r="B4624" s="1">
        <f t="shared" si="727"/>
        <v>22</v>
      </c>
      <c r="C4624" s="22">
        <v>45992</v>
      </c>
      <c r="D4624" s="22">
        <v>46022</v>
      </c>
      <c r="E4624" s="23">
        <v>31</v>
      </c>
      <c r="F4624" s="3">
        <f t="shared" si="726"/>
        <v>310993821.48600924</v>
      </c>
      <c r="G4624" s="3">
        <f t="shared" si="728"/>
        <v>9581902.4005033486</v>
      </c>
      <c r="H4624" s="3">
        <f t="shared" si="723"/>
        <v>2591615.1790500768</v>
      </c>
      <c r="I4624" s="3">
        <f t="shared" si="724"/>
        <v>6990287.2214532718</v>
      </c>
      <c r="J4624" s="3">
        <f t="shared" si="725"/>
        <v>304003534.26455599</v>
      </c>
      <c r="K4624" s="24"/>
      <c r="L4624" s="24"/>
    </row>
    <row r="4625" spans="2:10" x14ac:dyDescent="0.35">
      <c r="B4625" s="1">
        <f t="shared" si="727"/>
        <v>23</v>
      </c>
      <c r="C4625" s="22">
        <v>46023</v>
      </c>
      <c r="D4625" s="22">
        <v>46053</v>
      </c>
      <c r="E4625" s="23">
        <v>31</v>
      </c>
      <c r="F4625" s="3">
        <f t="shared" si="726"/>
        <v>304003534.26455599</v>
      </c>
      <c r="G4625" s="3">
        <f t="shared" si="728"/>
        <v>9581902.4005033486</v>
      </c>
      <c r="H4625" s="3">
        <f t="shared" si="723"/>
        <v>2533362.7855379665</v>
      </c>
      <c r="I4625" s="3">
        <f t="shared" si="724"/>
        <v>7048539.614965382</v>
      </c>
      <c r="J4625" s="3">
        <f t="shared" si="725"/>
        <v>296954994.64959061</v>
      </c>
    </row>
    <row r="4626" spans="2:10" x14ac:dyDescent="0.35">
      <c r="B4626" s="1">
        <f t="shared" si="727"/>
        <v>24</v>
      </c>
      <c r="C4626" s="22">
        <v>46054</v>
      </c>
      <c r="D4626" s="22">
        <v>46081</v>
      </c>
      <c r="E4626" s="23">
        <v>28</v>
      </c>
      <c r="F4626" s="3">
        <f t="shared" si="726"/>
        <v>296954994.64959061</v>
      </c>
      <c r="G4626" s="3">
        <f t="shared" si="728"/>
        <v>9581902.4005033486</v>
      </c>
      <c r="H4626" s="3">
        <f t="shared" si="723"/>
        <v>2474624.9554132549</v>
      </c>
      <c r="I4626" s="3">
        <f t="shared" si="724"/>
        <v>7107277.4450900936</v>
      </c>
      <c r="J4626" s="3">
        <f t="shared" si="725"/>
        <v>289847717.2045005</v>
      </c>
    </row>
    <row r="4627" spans="2:10" x14ac:dyDescent="0.35">
      <c r="B4627" s="1">
        <f t="shared" si="727"/>
        <v>25</v>
      </c>
      <c r="C4627" s="22">
        <v>46082</v>
      </c>
      <c r="D4627" s="22">
        <v>46112</v>
      </c>
      <c r="E4627" s="23">
        <v>31</v>
      </c>
      <c r="F4627" s="3">
        <f t="shared" si="726"/>
        <v>289847717.2045005</v>
      </c>
      <c r="G4627" s="3">
        <f t="shared" si="728"/>
        <v>9581902.4005033486</v>
      </c>
      <c r="H4627" s="3">
        <f t="shared" si="723"/>
        <v>2415397.6433708374</v>
      </c>
      <c r="I4627" s="3">
        <f t="shared" si="724"/>
        <v>7166504.7571325116</v>
      </c>
      <c r="J4627" s="3">
        <f t="shared" si="725"/>
        <v>282681212.44736797</v>
      </c>
    </row>
    <row r="4628" spans="2:10" x14ac:dyDescent="0.35">
      <c r="B4628" s="1">
        <f t="shared" si="727"/>
        <v>26</v>
      </c>
      <c r="C4628" s="22">
        <v>46113</v>
      </c>
      <c r="D4628" s="22">
        <v>46142</v>
      </c>
      <c r="E4628" s="23">
        <v>30</v>
      </c>
      <c r="F4628" s="3">
        <f t="shared" si="726"/>
        <v>282681212.44736797</v>
      </c>
      <c r="G4628" s="3">
        <f t="shared" si="728"/>
        <v>9581902.4005033486</v>
      </c>
      <c r="H4628" s="3">
        <f t="shared" si="723"/>
        <v>2355676.7703947332</v>
      </c>
      <c r="I4628" s="3">
        <f t="shared" si="724"/>
        <v>7226225.6301086154</v>
      </c>
      <c r="J4628" s="3">
        <f t="shared" si="725"/>
        <v>275454986.81725937</v>
      </c>
    </row>
    <row r="4629" spans="2:10" x14ac:dyDescent="0.35">
      <c r="B4629" s="1">
        <f t="shared" si="727"/>
        <v>27</v>
      </c>
      <c r="C4629" s="22">
        <v>46143</v>
      </c>
      <c r="D4629" s="22">
        <v>46173</v>
      </c>
      <c r="E4629" s="23">
        <v>31</v>
      </c>
      <c r="F4629" s="3">
        <f t="shared" si="726"/>
        <v>275454986.81725937</v>
      </c>
      <c r="G4629" s="3">
        <f t="shared" si="728"/>
        <v>9581902.4005033486</v>
      </c>
      <c r="H4629" s="3">
        <f t="shared" si="723"/>
        <v>2295458.2234771615</v>
      </c>
      <c r="I4629" s="3">
        <f t="shared" si="724"/>
        <v>7286444.1770261871</v>
      </c>
      <c r="J4629" s="3">
        <f t="shared" si="725"/>
        <v>268168542.64023319</v>
      </c>
    </row>
    <row r="4630" spans="2:10" x14ac:dyDescent="0.35">
      <c r="B4630" s="1">
        <f t="shared" si="727"/>
        <v>28</v>
      </c>
      <c r="C4630" s="22">
        <v>46174</v>
      </c>
      <c r="D4630" s="22">
        <v>46203</v>
      </c>
      <c r="E4630" s="23">
        <v>30</v>
      </c>
      <c r="F4630" s="3">
        <f t="shared" si="726"/>
        <v>268168542.64023319</v>
      </c>
      <c r="G4630" s="3">
        <f t="shared" si="728"/>
        <v>9581902.4005033486</v>
      </c>
      <c r="H4630" s="3">
        <f t="shared" si="723"/>
        <v>2234737.8553352766</v>
      </c>
      <c r="I4630" s="3">
        <f t="shared" si="724"/>
        <v>7347164.545168072</v>
      </c>
      <c r="J4630" s="3">
        <f t="shared" si="725"/>
        <v>260821378.09506512</v>
      </c>
    </row>
    <row r="4631" spans="2:10" x14ac:dyDescent="0.35">
      <c r="B4631" s="1">
        <f t="shared" si="727"/>
        <v>29</v>
      </c>
      <c r="C4631" s="22">
        <v>46204</v>
      </c>
      <c r="D4631" s="22">
        <v>46234</v>
      </c>
      <c r="E4631" s="23">
        <v>31</v>
      </c>
      <c r="F4631" s="3">
        <f t="shared" si="726"/>
        <v>260821378.09506512</v>
      </c>
      <c r="G4631" s="3">
        <f t="shared" si="728"/>
        <v>9581902.4005033486</v>
      </c>
      <c r="H4631" s="3">
        <f t="shared" si="723"/>
        <v>2173511.4841255425</v>
      </c>
      <c r="I4631" s="3">
        <f t="shared" si="724"/>
        <v>7408390.9163778061</v>
      </c>
      <c r="J4631" s="3">
        <f t="shared" si="725"/>
        <v>253412987.1786873</v>
      </c>
    </row>
    <row r="4632" spans="2:10" x14ac:dyDescent="0.35">
      <c r="B4632" s="1">
        <f t="shared" si="727"/>
        <v>30</v>
      </c>
      <c r="C4632" s="22">
        <v>46235</v>
      </c>
      <c r="D4632" s="22">
        <v>46265</v>
      </c>
      <c r="E4632" s="23">
        <v>31</v>
      </c>
      <c r="F4632" s="3">
        <f t="shared" si="726"/>
        <v>253412987.1786873</v>
      </c>
      <c r="G4632" s="3">
        <f t="shared" si="728"/>
        <v>9581902.4005033486</v>
      </c>
      <c r="H4632" s="3">
        <f t="shared" si="723"/>
        <v>2111774.8931557275</v>
      </c>
      <c r="I4632" s="3">
        <f t="shared" si="724"/>
        <v>7470127.507347621</v>
      </c>
      <c r="J4632" s="3">
        <f t="shared" si="725"/>
        <v>245942859.67133969</v>
      </c>
    </row>
    <row r="4633" spans="2:10" x14ac:dyDescent="0.35">
      <c r="B4633" s="1">
        <f t="shared" si="727"/>
        <v>31</v>
      </c>
      <c r="C4633" s="22">
        <v>46266</v>
      </c>
      <c r="D4633" s="22">
        <v>46295</v>
      </c>
      <c r="E4633" s="23">
        <v>30</v>
      </c>
      <c r="F4633" s="3">
        <f t="shared" si="726"/>
        <v>245942859.67133969</v>
      </c>
      <c r="G4633" s="3">
        <f t="shared" si="728"/>
        <v>9581902.4005033486</v>
      </c>
      <c r="H4633" s="3">
        <f t="shared" si="723"/>
        <v>2049523.8305944975</v>
      </c>
      <c r="I4633" s="3">
        <f t="shared" si="724"/>
        <v>7532378.5699088508</v>
      </c>
      <c r="J4633" s="3">
        <f t="shared" si="725"/>
        <v>238410481.10143083</v>
      </c>
    </row>
    <row r="4634" spans="2:10" x14ac:dyDescent="0.35">
      <c r="B4634" s="1">
        <f t="shared" si="727"/>
        <v>32</v>
      </c>
      <c r="C4634" s="22">
        <v>46296</v>
      </c>
      <c r="D4634" s="22">
        <v>46326</v>
      </c>
      <c r="E4634" s="23">
        <v>31</v>
      </c>
      <c r="F4634" s="3">
        <f t="shared" si="726"/>
        <v>238410481.10143083</v>
      </c>
      <c r="G4634" s="3">
        <f t="shared" si="728"/>
        <v>9581902.4005033486</v>
      </c>
      <c r="H4634" s="3">
        <f t="shared" ref="H4634:H4661" si="729">($D$4594/$D$4596*F4634)</f>
        <v>1986754.0091785903</v>
      </c>
      <c r="I4634" s="3">
        <f t="shared" ref="I4634:I4661" si="730">G4634-H4634</f>
        <v>7595148.3913247585</v>
      </c>
      <c r="J4634" s="3">
        <f t="shared" ref="J4634:J4661" si="731">F4634-I4634</f>
        <v>230815332.71010607</v>
      </c>
    </row>
    <row r="4635" spans="2:10" x14ac:dyDescent="0.35">
      <c r="B4635" s="1">
        <f t="shared" si="727"/>
        <v>33</v>
      </c>
      <c r="C4635" s="22">
        <v>46327</v>
      </c>
      <c r="D4635" s="22">
        <v>46356</v>
      </c>
      <c r="E4635" s="23">
        <v>30</v>
      </c>
      <c r="F4635" s="3">
        <f t="shared" ref="F4635:F4661" si="732">J4634</f>
        <v>230815332.71010607</v>
      </c>
      <c r="G4635" s="3">
        <f t="shared" si="728"/>
        <v>9581902.4005033486</v>
      </c>
      <c r="H4635" s="3">
        <f t="shared" si="729"/>
        <v>1923461.1059175506</v>
      </c>
      <c r="I4635" s="3">
        <f t="shared" si="730"/>
        <v>7658441.2945857979</v>
      </c>
      <c r="J4635" s="3">
        <f t="shared" si="731"/>
        <v>223156891.41552028</v>
      </c>
    </row>
    <row r="4636" spans="2:10" x14ac:dyDescent="0.35">
      <c r="B4636" s="1">
        <f t="shared" si="727"/>
        <v>34</v>
      </c>
      <c r="C4636" s="22">
        <v>46357</v>
      </c>
      <c r="D4636" s="22">
        <v>46387</v>
      </c>
      <c r="E4636" s="23">
        <v>31</v>
      </c>
      <c r="F4636" s="3">
        <f t="shared" si="732"/>
        <v>223156891.41552028</v>
      </c>
      <c r="G4636" s="3">
        <f t="shared" si="728"/>
        <v>9581902.4005033486</v>
      </c>
      <c r="H4636" s="3">
        <f t="shared" si="729"/>
        <v>1859640.7617960023</v>
      </c>
      <c r="I4636" s="3">
        <f t="shared" si="730"/>
        <v>7722261.6387073463</v>
      </c>
      <c r="J4636" s="3">
        <f t="shared" si="731"/>
        <v>215434629.77681294</v>
      </c>
    </row>
    <row r="4637" spans="2:10" x14ac:dyDescent="0.35">
      <c r="B4637" s="1">
        <f t="shared" ref="B4637:B4662" si="733">+B4636+1</f>
        <v>35</v>
      </c>
      <c r="C4637" s="22">
        <v>46388</v>
      </c>
      <c r="D4637" s="22">
        <v>46418</v>
      </c>
      <c r="E4637" s="23">
        <v>31</v>
      </c>
      <c r="F4637" s="3">
        <f t="shared" si="732"/>
        <v>215434629.77681294</v>
      </c>
      <c r="G4637" s="3">
        <f t="shared" si="728"/>
        <v>9581902.4005033486</v>
      </c>
      <c r="H4637" s="3">
        <f t="shared" si="729"/>
        <v>1795288.5814734411</v>
      </c>
      <c r="I4637" s="3">
        <f t="shared" si="730"/>
        <v>7786613.8190299077</v>
      </c>
      <c r="J4637" s="3">
        <f t="shared" si="731"/>
        <v>207648015.95778304</v>
      </c>
    </row>
    <row r="4638" spans="2:10" x14ac:dyDescent="0.35">
      <c r="B4638" s="1">
        <f t="shared" si="733"/>
        <v>36</v>
      </c>
      <c r="C4638" s="22">
        <v>46419</v>
      </c>
      <c r="D4638" s="22">
        <v>46446</v>
      </c>
      <c r="E4638" s="23">
        <f t="shared" ref="E4638:E4660" si="734">D4638-C4638+1</f>
        <v>28</v>
      </c>
      <c r="F4638" s="3">
        <f t="shared" si="732"/>
        <v>207648015.95778304</v>
      </c>
      <c r="G4638" s="3">
        <f t="shared" si="728"/>
        <v>9581902.4005033486</v>
      </c>
      <c r="H4638" s="3">
        <f t="shared" si="729"/>
        <v>1730400.1329815253</v>
      </c>
      <c r="I4638" s="3">
        <f t="shared" si="730"/>
        <v>7851502.2675218228</v>
      </c>
      <c r="J4638" s="3">
        <f t="shared" si="731"/>
        <v>199796513.69026121</v>
      </c>
    </row>
    <row r="4639" spans="2:10" x14ac:dyDescent="0.35">
      <c r="B4639" s="1">
        <f t="shared" si="733"/>
        <v>37</v>
      </c>
      <c r="C4639" s="22">
        <v>46447</v>
      </c>
      <c r="D4639" s="22">
        <v>46477</v>
      </c>
      <c r="E4639" s="23">
        <f t="shared" si="734"/>
        <v>31</v>
      </c>
      <c r="F4639" s="3">
        <f t="shared" si="732"/>
        <v>199796513.69026121</v>
      </c>
      <c r="G4639" s="3">
        <f t="shared" si="728"/>
        <v>9581902.4005033486</v>
      </c>
      <c r="H4639" s="3">
        <f t="shared" si="729"/>
        <v>1664970.9474188434</v>
      </c>
      <c r="I4639" s="3">
        <f t="shared" si="730"/>
        <v>7916931.4530845052</v>
      </c>
      <c r="J4639" s="3">
        <f t="shared" si="731"/>
        <v>191879582.23717672</v>
      </c>
    </row>
    <row r="4640" spans="2:10" x14ac:dyDescent="0.35">
      <c r="B4640" s="1">
        <f t="shared" si="733"/>
        <v>38</v>
      </c>
      <c r="C4640" s="22">
        <v>46478</v>
      </c>
      <c r="D4640" s="22">
        <v>46507</v>
      </c>
      <c r="E4640" s="23">
        <f t="shared" si="734"/>
        <v>30</v>
      </c>
      <c r="F4640" s="3">
        <f t="shared" si="732"/>
        <v>191879582.23717672</v>
      </c>
      <c r="G4640" s="3">
        <f t="shared" si="728"/>
        <v>9581902.4005033486</v>
      </c>
      <c r="H4640" s="3">
        <f t="shared" si="729"/>
        <v>1598996.5186431394</v>
      </c>
      <c r="I4640" s="3">
        <f t="shared" si="730"/>
        <v>7982905.8818602096</v>
      </c>
      <c r="J4640" s="3">
        <f t="shared" si="731"/>
        <v>183896676.35531652</v>
      </c>
    </row>
    <row r="4641" spans="2:10" x14ac:dyDescent="0.35">
      <c r="B4641" s="1">
        <f t="shared" si="733"/>
        <v>39</v>
      </c>
      <c r="C4641" s="22">
        <v>46508</v>
      </c>
      <c r="D4641" s="22">
        <v>46538</v>
      </c>
      <c r="E4641" s="23">
        <f t="shared" si="734"/>
        <v>31</v>
      </c>
      <c r="F4641" s="3">
        <f t="shared" si="732"/>
        <v>183896676.35531652</v>
      </c>
      <c r="G4641" s="3">
        <f t="shared" si="728"/>
        <v>9581902.4005033486</v>
      </c>
      <c r="H4641" s="3">
        <f t="shared" si="729"/>
        <v>1532472.3029609709</v>
      </c>
      <c r="I4641" s="3">
        <f t="shared" si="730"/>
        <v>8049430.0975423772</v>
      </c>
      <c r="J4641" s="3">
        <f t="shared" si="731"/>
        <v>175847246.25777414</v>
      </c>
    </row>
    <row r="4642" spans="2:10" x14ac:dyDescent="0.35">
      <c r="B4642" s="1">
        <f t="shared" si="733"/>
        <v>40</v>
      </c>
      <c r="C4642" s="22">
        <v>46539</v>
      </c>
      <c r="D4642" s="22">
        <v>46568</v>
      </c>
      <c r="E4642" s="23">
        <f t="shared" si="734"/>
        <v>30</v>
      </c>
      <c r="F4642" s="3">
        <f t="shared" si="732"/>
        <v>175847246.25777414</v>
      </c>
      <c r="G4642" s="3">
        <f t="shared" si="728"/>
        <v>9581902.4005033486</v>
      </c>
      <c r="H4642" s="3">
        <f t="shared" si="729"/>
        <v>1465393.7188147844</v>
      </c>
      <c r="I4642" s="3">
        <f t="shared" si="730"/>
        <v>8116508.6816885639</v>
      </c>
      <c r="J4642" s="3">
        <f t="shared" si="731"/>
        <v>167730737.57608557</v>
      </c>
    </row>
    <row r="4643" spans="2:10" x14ac:dyDescent="0.35">
      <c r="B4643" s="1">
        <f t="shared" si="733"/>
        <v>41</v>
      </c>
      <c r="C4643" s="22">
        <v>46569</v>
      </c>
      <c r="D4643" s="22">
        <v>46599</v>
      </c>
      <c r="E4643" s="23">
        <f t="shared" si="734"/>
        <v>31</v>
      </c>
      <c r="F4643" s="3">
        <f t="shared" si="732"/>
        <v>167730737.57608557</v>
      </c>
      <c r="G4643" s="3">
        <f t="shared" si="728"/>
        <v>9581902.4005033486</v>
      </c>
      <c r="H4643" s="3">
        <f t="shared" si="729"/>
        <v>1397756.1464673798</v>
      </c>
      <c r="I4643" s="3">
        <f t="shared" si="730"/>
        <v>8184146.2540359683</v>
      </c>
      <c r="J4643" s="3">
        <f t="shared" si="731"/>
        <v>159546591.32204959</v>
      </c>
    </row>
    <row r="4644" spans="2:10" x14ac:dyDescent="0.35">
      <c r="B4644" s="1">
        <f t="shared" si="733"/>
        <v>42</v>
      </c>
      <c r="C4644" s="22">
        <v>46600</v>
      </c>
      <c r="D4644" s="22">
        <v>46630</v>
      </c>
      <c r="E4644" s="23">
        <f t="shared" si="734"/>
        <v>31</v>
      </c>
      <c r="F4644" s="3">
        <f t="shared" si="732"/>
        <v>159546591.32204959</v>
      </c>
      <c r="G4644" s="3">
        <f t="shared" si="728"/>
        <v>9581902.4005033486</v>
      </c>
      <c r="H4644" s="3">
        <f t="shared" si="729"/>
        <v>1329554.9276837464</v>
      </c>
      <c r="I4644" s="3">
        <f t="shared" si="730"/>
        <v>8252347.4728196021</v>
      </c>
      <c r="J4644" s="3">
        <f t="shared" si="731"/>
        <v>151294243.84922999</v>
      </c>
    </row>
    <row r="4645" spans="2:10" x14ac:dyDescent="0.35">
      <c r="B4645" s="1">
        <f t="shared" si="733"/>
        <v>43</v>
      </c>
      <c r="C4645" s="22">
        <v>46631</v>
      </c>
      <c r="D4645" s="22">
        <v>46660</v>
      </c>
      <c r="E4645" s="23">
        <f t="shared" si="734"/>
        <v>30</v>
      </c>
      <c r="F4645" s="3">
        <f t="shared" si="732"/>
        <v>151294243.84922999</v>
      </c>
      <c r="G4645" s="3">
        <f t="shared" ref="G4645:G4661" si="735">-PMT($D$4594/$D$4596,49,$F$4613,,0)</f>
        <v>9581902.4005033486</v>
      </c>
      <c r="H4645" s="3">
        <f t="shared" si="729"/>
        <v>1260785.3654102499</v>
      </c>
      <c r="I4645" s="3">
        <f t="shared" si="730"/>
        <v>8321117.0350930989</v>
      </c>
      <c r="J4645" s="3">
        <f t="shared" si="731"/>
        <v>142973126.81413689</v>
      </c>
    </row>
    <row r="4646" spans="2:10" x14ac:dyDescent="0.35">
      <c r="B4646" s="1">
        <f t="shared" si="733"/>
        <v>44</v>
      </c>
      <c r="C4646" s="22">
        <v>46661</v>
      </c>
      <c r="D4646" s="22">
        <v>46691</v>
      </c>
      <c r="E4646" s="23">
        <f t="shared" si="734"/>
        <v>31</v>
      </c>
      <c r="F4646" s="3">
        <f t="shared" si="732"/>
        <v>142973126.81413689</v>
      </c>
      <c r="G4646" s="3">
        <f t="shared" si="735"/>
        <v>9581902.4005033486</v>
      </c>
      <c r="H4646" s="3">
        <f t="shared" si="729"/>
        <v>1191442.7234511408</v>
      </c>
      <c r="I4646" s="3">
        <f t="shared" si="730"/>
        <v>8390459.6770522073</v>
      </c>
      <c r="J4646" s="3">
        <f t="shared" si="731"/>
        <v>134582667.13708469</v>
      </c>
    </row>
    <row r="4647" spans="2:10" x14ac:dyDescent="0.35">
      <c r="B4647" s="1">
        <f t="shared" si="733"/>
        <v>45</v>
      </c>
      <c r="C4647" s="22">
        <v>46692</v>
      </c>
      <c r="D4647" s="22">
        <v>46721</v>
      </c>
      <c r="E4647" s="23">
        <f t="shared" si="734"/>
        <v>30</v>
      </c>
      <c r="F4647" s="3">
        <f t="shared" si="732"/>
        <v>134582667.13708469</v>
      </c>
      <c r="G4647" s="3">
        <f t="shared" si="735"/>
        <v>9581902.4005033486</v>
      </c>
      <c r="H4647" s="3">
        <f t="shared" si="729"/>
        <v>1121522.2261423725</v>
      </c>
      <c r="I4647" s="3">
        <f t="shared" si="730"/>
        <v>8460380.1743609756</v>
      </c>
      <c r="J4647" s="3">
        <f t="shared" si="731"/>
        <v>126122286.96272372</v>
      </c>
    </row>
    <row r="4648" spans="2:10" x14ac:dyDescent="0.35">
      <c r="B4648" s="1">
        <f t="shared" si="733"/>
        <v>46</v>
      </c>
      <c r="C4648" s="22">
        <v>46722</v>
      </c>
      <c r="D4648" s="22">
        <v>46752</v>
      </c>
      <c r="E4648" s="23">
        <f t="shared" si="734"/>
        <v>31</v>
      </c>
      <c r="F4648" s="3">
        <f t="shared" si="732"/>
        <v>126122286.96272372</v>
      </c>
      <c r="G4648" s="3">
        <f t="shared" si="735"/>
        <v>9581902.4005033486</v>
      </c>
      <c r="H4648" s="3">
        <f t="shared" si="729"/>
        <v>1051019.0580226977</v>
      </c>
      <c r="I4648" s="3">
        <f t="shared" si="730"/>
        <v>8530883.3424806502</v>
      </c>
      <c r="J4648" s="3">
        <f t="shared" si="731"/>
        <v>117591403.62024307</v>
      </c>
    </row>
    <row r="4649" spans="2:10" x14ac:dyDescent="0.35">
      <c r="B4649" s="1">
        <f t="shared" si="733"/>
        <v>47</v>
      </c>
      <c r="C4649" s="22">
        <v>46753</v>
      </c>
      <c r="D4649" s="22">
        <v>46783</v>
      </c>
      <c r="E4649" s="23">
        <f t="shared" si="734"/>
        <v>31</v>
      </c>
      <c r="F4649" s="3">
        <f t="shared" si="732"/>
        <v>117591403.62024307</v>
      </c>
      <c r="G4649" s="3">
        <f t="shared" si="735"/>
        <v>9581902.4005033486</v>
      </c>
      <c r="H4649" s="3">
        <f t="shared" si="729"/>
        <v>979928.3635020256</v>
      </c>
      <c r="I4649" s="3">
        <f t="shared" si="730"/>
        <v>8601974.037001323</v>
      </c>
      <c r="J4649" s="3">
        <f t="shared" si="731"/>
        <v>108989429.58324175</v>
      </c>
    </row>
    <row r="4650" spans="2:10" x14ac:dyDescent="0.35">
      <c r="B4650" s="1">
        <f t="shared" si="733"/>
        <v>48</v>
      </c>
      <c r="C4650" s="22">
        <v>46784</v>
      </c>
      <c r="D4650" s="22">
        <v>46812</v>
      </c>
      <c r="E4650" s="23">
        <f t="shared" si="734"/>
        <v>29</v>
      </c>
      <c r="F4650" s="3">
        <f t="shared" si="732"/>
        <v>108989429.58324175</v>
      </c>
      <c r="G4650" s="3">
        <f t="shared" si="735"/>
        <v>9581902.4005033486</v>
      </c>
      <c r="H4650" s="3">
        <f t="shared" si="729"/>
        <v>908245.24652701453</v>
      </c>
      <c r="I4650" s="3">
        <f t="shared" si="730"/>
        <v>8673657.1539763343</v>
      </c>
      <c r="J4650" s="3">
        <f t="shared" si="731"/>
        <v>100315772.42926541</v>
      </c>
    </row>
    <row r="4651" spans="2:10" x14ac:dyDescent="0.35">
      <c r="B4651" s="1">
        <f t="shared" si="733"/>
        <v>49</v>
      </c>
      <c r="C4651" s="22">
        <v>46813</v>
      </c>
      <c r="D4651" s="22">
        <v>46843</v>
      </c>
      <c r="E4651" s="23">
        <f t="shared" si="734"/>
        <v>31</v>
      </c>
      <c r="F4651" s="3">
        <f t="shared" si="732"/>
        <v>100315772.42926541</v>
      </c>
      <c r="G4651" s="3">
        <f t="shared" si="735"/>
        <v>9581902.4005033486</v>
      </c>
      <c r="H4651" s="3">
        <f t="shared" si="729"/>
        <v>835964.77024387836</v>
      </c>
      <c r="I4651" s="3">
        <f t="shared" si="730"/>
        <v>8745937.630259471</v>
      </c>
      <c r="J4651" s="3">
        <f t="shared" si="731"/>
        <v>91569834.799005941</v>
      </c>
    </row>
    <row r="4652" spans="2:10" x14ac:dyDescent="0.35">
      <c r="B4652" s="1">
        <f t="shared" si="733"/>
        <v>50</v>
      </c>
      <c r="C4652" s="22">
        <v>46844</v>
      </c>
      <c r="D4652" s="22">
        <v>46873</v>
      </c>
      <c r="E4652" s="23">
        <f t="shared" si="734"/>
        <v>30</v>
      </c>
      <c r="F4652" s="3">
        <f t="shared" si="732"/>
        <v>91569834.799005941</v>
      </c>
      <c r="G4652" s="3">
        <f t="shared" si="735"/>
        <v>9581902.4005033486</v>
      </c>
      <c r="H4652" s="3">
        <f t="shared" si="729"/>
        <v>763081.95665838278</v>
      </c>
      <c r="I4652" s="3">
        <f t="shared" si="730"/>
        <v>8818820.4438449666</v>
      </c>
      <c r="J4652" s="3">
        <f t="shared" si="731"/>
        <v>82751014.355160981</v>
      </c>
    </row>
    <row r="4653" spans="2:10" x14ac:dyDescent="0.35">
      <c r="B4653" s="1">
        <f t="shared" si="733"/>
        <v>51</v>
      </c>
      <c r="C4653" s="22">
        <v>46874</v>
      </c>
      <c r="D4653" s="22">
        <v>46904</v>
      </c>
      <c r="E4653" s="23">
        <f t="shared" si="734"/>
        <v>31</v>
      </c>
      <c r="F4653" s="3">
        <f t="shared" si="732"/>
        <v>82751014.355160981</v>
      </c>
      <c r="G4653" s="3">
        <f t="shared" si="735"/>
        <v>9581902.4005033486</v>
      </c>
      <c r="H4653" s="3">
        <f t="shared" si="729"/>
        <v>689591.78629300813</v>
      </c>
      <c r="I4653" s="3">
        <f t="shared" si="730"/>
        <v>8892310.6142103411</v>
      </c>
      <c r="J4653" s="3">
        <f t="shared" si="731"/>
        <v>73858703.740950644</v>
      </c>
    </row>
    <row r="4654" spans="2:10" x14ac:dyDescent="0.35">
      <c r="B4654" s="1">
        <f t="shared" si="733"/>
        <v>52</v>
      </c>
      <c r="C4654" s="22">
        <v>46905</v>
      </c>
      <c r="D4654" s="22">
        <v>46934</v>
      </c>
      <c r="E4654" s="23">
        <f t="shared" si="734"/>
        <v>30</v>
      </c>
      <c r="F4654" s="3">
        <f t="shared" si="732"/>
        <v>73858703.740950644</v>
      </c>
      <c r="G4654" s="3">
        <f t="shared" si="735"/>
        <v>9581902.4005033486</v>
      </c>
      <c r="H4654" s="3">
        <f t="shared" si="729"/>
        <v>615489.19784125534</v>
      </c>
      <c r="I4654" s="3">
        <f t="shared" si="730"/>
        <v>8966413.2026620936</v>
      </c>
      <c r="J4654" s="3">
        <f t="shared" si="731"/>
        <v>64892290.538288549</v>
      </c>
    </row>
    <row r="4655" spans="2:10" x14ac:dyDescent="0.35">
      <c r="B4655" s="1">
        <f t="shared" si="733"/>
        <v>53</v>
      </c>
      <c r="C4655" s="22">
        <v>46935</v>
      </c>
      <c r="D4655" s="22">
        <v>46965</v>
      </c>
      <c r="E4655" s="23">
        <f t="shared" si="734"/>
        <v>31</v>
      </c>
      <c r="F4655" s="3">
        <f t="shared" si="732"/>
        <v>64892290.538288549</v>
      </c>
      <c r="G4655" s="3">
        <f t="shared" si="735"/>
        <v>9581902.4005033486</v>
      </c>
      <c r="H4655" s="3">
        <f t="shared" si="729"/>
        <v>540769.08781907125</v>
      </c>
      <c r="I4655" s="3">
        <f t="shared" si="730"/>
        <v>9041133.3126842771</v>
      </c>
      <c r="J4655" s="3">
        <f t="shared" si="731"/>
        <v>55851157.225604273</v>
      </c>
    </row>
    <row r="4656" spans="2:10" x14ac:dyDescent="0.35">
      <c r="B4656" s="1">
        <f t="shared" si="733"/>
        <v>54</v>
      </c>
      <c r="C4656" s="22">
        <v>46966</v>
      </c>
      <c r="D4656" s="22">
        <v>46996</v>
      </c>
      <c r="E4656" s="23">
        <f t="shared" si="734"/>
        <v>31</v>
      </c>
      <c r="F4656" s="3">
        <f t="shared" si="732"/>
        <v>55851157.225604273</v>
      </c>
      <c r="G4656" s="3">
        <f t="shared" si="735"/>
        <v>9581902.4005033486</v>
      </c>
      <c r="H4656" s="3">
        <f t="shared" si="729"/>
        <v>465426.31021336891</v>
      </c>
      <c r="I4656" s="3">
        <f t="shared" si="730"/>
        <v>9116476.0902899802</v>
      </c>
      <c r="J4656" s="3">
        <f t="shared" si="731"/>
        <v>46734681.135314293</v>
      </c>
    </row>
    <row r="4657" spans="2:19" x14ac:dyDescent="0.35">
      <c r="B4657" s="1">
        <f t="shared" si="733"/>
        <v>55</v>
      </c>
      <c r="C4657" s="22">
        <v>46997</v>
      </c>
      <c r="D4657" s="22">
        <v>47026</v>
      </c>
      <c r="E4657" s="23">
        <f t="shared" si="734"/>
        <v>30</v>
      </c>
      <c r="F4657" s="3">
        <f t="shared" si="732"/>
        <v>46734681.135314293</v>
      </c>
      <c r="G4657" s="3">
        <f t="shared" si="735"/>
        <v>9581902.4005033486</v>
      </c>
      <c r="H4657" s="3">
        <f t="shared" si="729"/>
        <v>389455.67612761911</v>
      </c>
      <c r="I4657" s="3">
        <f t="shared" si="730"/>
        <v>9192446.7243757285</v>
      </c>
      <c r="J4657" s="3">
        <f t="shared" si="731"/>
        <v>37542234.410938561</v>
      </c>
    </row>
    <row r="4658" spans="2:19" x14ac:dyDescent="0.35">
      <c r="B4658" s="1">
        <f t="shared" si="733"/>
        <v>56</v>
      </c>
      <c r="C4658" s="22">
        <v>47027</v>
      </c>
      <c r="D4658" s="22">
        <v>47057</v>
      </c>
      <c r="E4658" s="23">
        <f t="shared" si="734"/>
        <v>31</v>
      </c>
      <c r="F4658" s="3">
        <f t="shared" si="732"/>
        <v>37542234.410938561</v>
      </c>
      <c r="G4658" s="3">
        <f t="shared" si="735"/>
        <v>9581902.4005033486</v>
      </c>
      <c r="H4658" s="3">
        <f t="shared" si="729"/>
        <v>312851.95342448802</v>
      </c>
      <c r="I4658" s="3">
        <f t="shared" si="730"/>
        <v>9269050.4470788613</v>
      </c>
      <c r="J4658" s="3">
        <f t="shared" si="731"/>
        <v>28273183.9638597</v>
      </c>
    </row>
    <row r="4659" spans="2:19" x14ac:dyDescent="0.35">
      <c r="B4659" s="1">
        <f t="shared" si="733"/>
        <v>57</v>
      </c>
      <c r="C4659" s="22">
        <v>47058</v>
      </c>
      <c r="D4659" s="22">
        <v>47087</v>
      </c>
      <c r="E4659" s="23">
        <f t="shared" si="734"/>
        <v>30</v>
      </c>
      <c r="F4659" s="3">
        <f t="shared" si="732"/>
        <v>28273183.9638597</v>
      </c>
      <c r="G4659" s="3">
        <f t="shared" si="735"/>
        <v>9581902.4005033486</v>
      </c>
      <c r="H4659" s="3">
        <f t="shared" si="729"/>
        <v>235609.8663654975</v>
      </c>
      <c r="I4659" s="3">
        <f t="shared" si="730"/>
        <v>9346292.5341378506</v>
      </c>
      <c r="J4659" s="3">
        <f t="shared" si="731"/>
        <v>18926891.429721847</v>
      </c>
    </row>
    <row r="4660" spans="2:19" x14ac:dyDescent="0.35">
      <c r="B4660" s="1">
        <f t="shared" si="733"/>
        <v>58</v>
      </c>
      <c r="C4660" s="22">
        <v>47088</v>
      </c>
      <c r="D4660" s="22">
        <v>47118</v>
      </c>
      <c r="E4660" s="23">
        <f t="shared" si="734"/>
        <v>31</v>
      </c>
      <c r="F4660" s="3">
        <f t="shared" si="732"/>
        <v>18926891.429721847</v>
      </c>
      <c r="G4660" s="3">
        <f t="shared" si="735"/>
        <v>9581902.4005033486</v>
      </c>
      <c r="H4660" s="3">
        <f t="shared" si="729"/>
        <v>157724.09524768207</v>
      </c>
      <c r="I4660" s="3">
        <f t="shared" si="730"/>
        <v>9424178.3052556664</v>
      </c>
      <c r="J4660" s="3">
        <f t="shared" si="731"/>
        <v>9502713.1244661808</v>
      </c>
    </row>
    <row r="4661" spans="2:19" x14ac:dyDescent="0.35">
      <c r="B4661" s="1">
        <f t="shared" si="733"/>
        <v>59</v>
      </c>
      <c r="C4661" s="308">
        <f>+D4660+1</f>
        <v>47119</v>
      </c>
      <c r="D4661" s="308">
        <f>+C4661+30</f>
        <v>47149</v>
      </c>
      <c r="E4661" s="309">
        <v>31</v>
      </c>
      <c r="F4661" s="3">
        <f t="shared" si="732"/>
        <v>9502713.1244661808</v>
      </c>
      <c r="G4661" s="3">
        <f t="shared" si="735"/>
        <v>9581902.4005033486</v>
      </c>
      <c r="H4661" s="3">
        <f t="shared" si="729"/>
        <v>79189.276037218166</v>
      </c>
      <c r="I4661" s="3">
        <f t="shared" si="730"/>
        <v>9502713.1244661305</v>
      </c>
      <c r="J4661" s="3">
        <f t="shared" si="731"/>
        <v>5.029141902923584E-8</v>
      </c>
    </row>
    <row r="4662" spans="2:19" x14ac:dyDescent="0.35">
      <c r="B4662" s="1">
        <f t="shared" si="733"/>
        <v>60</v>
      </c>
    </row>
    <row r="4663" spans="2:19" x14ac:dyDescent="0.35">
      <c r="B4663" s="1"/>
    </row>
    <row r="4664" spans="2:19" x14ac:dyDescent="0.35">
      <c r="B4664" s="1"/>
    </row>
    <row r="4665" spans="2:19" x14ac:dyDescent="0.35">
      <c r="B4665" s="1"/>
    </row>
    <row r="4666" spans="2:19" x14ac:dyDescent="0.35">
      <c r="B4666" s="1"/>
    </row>
    <row r="4667" spans="2:19" x14ac:dyDescent="0.35">
      <c r="B4667" s="1"/>
      <c r="C4667" s="8" t="s">
        <v>948</v>
      </c>
      <c r="D4667" s="3"/>
      <c r="E4667" s="3"/>
      <c r="F4667" s="3"/>
      <c r="G4667" s="3"/>
      <c r="H4667" s="3"/>
      <c r="I4667" s="3"/>
      <c r="J4667" s="3"/>
      <c r="R4667" s="438" t="s">
        <v>832</v>
      </c>
      <c r="S4667" s="432" t="str">
        <f>IFERROR(INDEX(Blocks!$I$2:$I$101,MATCH(85,Blocks!$A$2:$A$101,0)),"")</f>
        <v>000104460000087</v>
      </c>
    </row>
    <row r="4668" spans="2:19" x14ac:dyDescent="0.35">
      <c r="B4668" s="1"/>
      <c r="C4668" s="1"/>
      <c r="D4668" s="3"/>
      <c r="E4668" s="3"/>
      <c r="F4668" s="3"/>
      <c r="G4668" s="3"/>
      <c r="H4668" s="3"/>
      <c r="I4668" s="3"/>
      <c r="J4668" s="3"/>
      <c r="R4668" s="438" t="s">
        <v>834</v>
      </c>
      <c r="S4668" s="432" t="str">
        <f>IFERROR(INDEX(Blocks!$H$2:$H$101,MATCH(85,Blocks!$A$2:$A$101,0)),"")</f>
        <v>Kings Foundationn Schools</v>
      </c>
    </row>
    <row r="4669" spans="2:19" x14ac:dyDescent="0.35">
      <c r="B4669" s="1"/>
      <c r="C4669" s="9" t="s">
        <v>835</v>
      </c>
      <c r="D4669" s="10">
        <v>200000000</v>
      </c>
      <c r="E4669" s="3"/>
      <c r="F4669" s="3"/>
      <c r="G4669" s="3"/>
      <c r="H4669" s="3"/>
      <c r="I4669" s="3"/>
      <c r="J4669" s="3"/>
      <c r="R4669" s="438" t="s">
        <v>223</v>
      </c>
      <c r="S4669" s="433">
        <f>IFERROR(INDEX('E-Banker master'!$N$2:$N$186,MATCH(S4667,'E-Banker master'!$A$2:$A$186,0)),"")</f>
        <v>200000000</v>
      </c>
    </row>
    <row r="4670" spans="2:19" x14ac:dyDescent="0.35">
      <c r="B4670" s="1"/>
      <c r="C4670" s="11" t="s">
        <v>837</v>
      </c>
      <c r="D4670" s="12">
        <v>0.1</v>
      </c>
      <c r="E4670" s="13"/>
      <c r="F4670" s="3"/>
      <c r="G4670" s="3"/>
      <c r="H4670" s="3"/>
      <c r="I4670" s="3"/>
      <c r="J4670" s="3"/>
      <c r="R4670" s="438" t="s">
        <v>52</v>
      </c>
      <c r="S4670" s="433">
        <f>IFERROR(INDEX('E-Banker master'!$P$2:$P$186,MATCH(S4667,'E-Banker master'!$A$2:$A$186,0)),"")</f>
        <v>199386933.16</v>
      </c>
    </row>
    <row r="4671" spans="2:19" x14ac:dyDescent="0.35">
      <c r="B4671" s="1"/>
      <c r="C4671" s="11" t="s">
        <v>838</v>
      </c>
      <c r="D4671" s="14">
        <v>4</v>
      </c>
      <c r="E4671" s="1"/>
      <c r="F4671" s="3"/>
      <c r="G4671" s="3"/>
      <c r="H4671" s="3"/>
      <c r="I4671" s="3"/>
      <c r="J4671" s="3"/>
    </row>
    <row r="4672" spans="2:19" x14ac:dyDescent="0.35">
      <c r="B4672" s="1"/>
      <c r="C4672" s="11" t="s">
        <v>839</v>
      </c>
      <c r="D4672" s="14">
        <v>12</v>
      </c>
      <c r="E4672" s="1"/>
      <c r="F4672" s="3"/>
      <c r="G4672" s="3"/>
      <c r="H4672" s="3"/>
      <c r="I4672" s="3"/>
      <c r="J4672" s="3"/>
    </row>
    <row r="4673" spans="2:12" x14ac:dyDescent="0.35">
      <c r="B4673" s="1"/>
      <c r="C4673" s="11" t="s">
        <v>843</v>
      </c>
      <c r="D4673" s="15">
        <f>+D4672*D4671</f>
        <v>48</v>
      </c>
      <c r="E4673" s="1"/>
      <c r="F4673" s="3"/>
      <c r="G4673" s="3"/>
      <c r="H4673" s="3"/>
      <c r="I4673" s="3"/>
      <c r="J4673" s="3"/>
    </row>
    <row r="4674" spans="2:12" x14ac:dyDescent="0.35">
      <c r="B4674" s="1"/>
      <c r="C4674" s="11" t="s">
        <v>844</v>
      </c>
      <c r="D4674" s="16">
        <v>365</v>
      </c>
      <c r="E4674" s="1"/>
      <c r="F4674" s="3"/>
      <c r="G4674" s="3"/>
      <c r="H4674" s="3"/>
      <c r="I4674" s="3"/>
      <c r="J4674" s="3"/>
    </row>
    <row r="4675" spans="2:12" x14ac:dyDescent="0.35">
      <c r="B4675" s="1"/>
      <c r="C4675" s="17" t="s">
        <v>845</v>
      </c>
      <c r="D4675" s="220">
        <f>-PMT(D4670/D4672,D4673,D4669,0,0)</f>
        <v>5072516.6869494375</v>
      </c>
      <c r="E4675" s="3"/>
      <c r="F4675" s="3"/>
      <c r="G4675" s="3"/>
      <c r="H4675" s="3"/>
      <c r="I4675" s="3"/>
      <c r="J4675" s="3"/>
    </row>
    <row r="4676" spans="2:12" x14ac:dyDescent="0.35">
      <c r="B4676" s="1"/>
      <c r="C4676" s="1"/>
      <c r="D4676" s="3"/>
      <c r="E4676" s="3"/>
      <c r="F4676" s="3"/>
      <c r="G4676" s="3"/>
      <c r="H4676" s="3"/>
      <c r="I4676" s="3"/>
      <c r="J4676" s="3"/>
    </row>
    <row r="4677" spans="2:12" x14ac:dyDescent="0.35">
      <c r="B4677" s="1"/>
      <c r="C4677" s="19" t="s">
        <v>846</v>
      </c>
      <c r="D4677" s="20" t="s">
        <v>847</v>
      </c>
      <c r="E4677" s="20" t="s">
        <v>764</v>
      </c>
      <c r="F4677" s="270" t="s">
        <v>848</v>
      </c>
      <c r="G4677" s="270" t="s">
        <v>849</v>
      </c>
      <c r="H4677" s="270" t="s">
        <v>742</v>
      </c>
      <c r="I4677" s="270" t="s">
        <v>740</v>
      </c>
      <c r="J4677" s="270" t="s">
        <v>850</v>
      </c>
      <c r="K4677" s="21" t="s">
        <v>851</v>
      </c>
      <c r="L4677" s="21" t="s">
        <v>852</v>
      </c>
    </row>
    <row r="4678" spans="2:12" x14ac:dyDescent="0.35">
      <c r="B4678" s="1">
        <v>0</v>
      </c>
      <c r="C4678" s="22">
        <v>45323</v>
      </c>
      <c r="D4678" s="22">
        <v>45351</v>
      </c>
      <c r="E4678" s="23">
        <v>29</v>
      </c>
      <c r="F4678" s="3">
        <f>D4669</f>
        <v>200000000</v>
      </c>
      <c r="G4678" s="3">
        <f t="shared" ref="G4678:G4683" si="736">+H4678</f>
        <v>1666666.6666666667</v>
      </c>
      <c r="H4678" s="3">
        <f t="shared" ref="H4678:H4725" si="737">($D$4670/$D$4672*F4678)</f>
        <v>1666666.6666666667</v>
      </c>
      <c r="I4678" s="3">
        <f t="shared" ref="I4678:I4725" si="738">G4678-H4678</f>
        <v>0</v>
      </c>
      <c r="J4678" s="3">
        <f t="shared" ref="J4678:J4725" si="739">F4678-I4678</f>
        <v>200000000</v>
      </c>
      <c r="L4678" s="141">
        <f>+G4678</f>
        <v>1666666.6666666667</v>
      </c>
    </row>
    <row r="4679" spans="2:12" x14ac:dyDescent="0.35">
      <c r="B4679" s="1">
        <v>1</v>
      </c>
      <c r="C4679" s="22">
        <v>45352</v>
      </c>
      <c r="D4679" s="22">
        <v>45382</v>
      </c>
      <c r="E4679" s="23">
        <v>31</v>
      </c>
      <c r="F4679" s="3">
        <f t="shared" ref="F4679:F4725" si="740">J4678</f>
        <v>200000000</v>
      </c>
      <c r="G4679" s="3">
        <f t="shared" si="736"/>
        <v>1666666.6666666667</v>
      </c>
      <c r="H4679" s="3">
        <f t="shared" si="737"/>
        <v>1666666.6666666667</v>
      </c>
      <c r="I4679" s="3">
        <f t="shared" si="738"/>
        <v>0</v>
      </c>
      <c r="J4679" s="3">
        <f t="shared" si="739"/>
        <v>200000000</v>
      </c>
      <c r="K4679" s="7">
        <v>3340000</v>
      </c>
      <c r="L4679" s="141">
        <f t="shared" ref="L4679:L4686" si="741">+L4678+G4679-K4679</f>
        <v>-6666.6666666665114</v>
      </c>
    </row>
    <row r="4680" spans="2:12" x14ac:dyDescent="0.35">
      <c r="B4680" s="1">
        <v>2</v>
      </c>
      <c r="C4680" s="22">
        <v>45383</v>
      </c>
      <c r="D4680" s="22">
        <v>45412</v>
      </c>
      <c r="E4680" s="23">
        <v>30</v>
      </c>
      <c r="F4680" s="3">
        <f t="shared" si="740"/>
        <v>200000000</v>
      </c>
      <c r="G4680" s="3">
        <f t="shared" si="736"/>
        <v>1666666.6666666667</v>
      </c>
      <c r="H4680" s="3">
        <f t="shared" si="737"/>
        <v>1666666.6666666667</v>
      </c>
      <c r="I4680" s="3">
        <f t="shared" si="738"/>
        <v>0</v>
      </c>
      <c r="J4680" s="3">
        <f t="shared" si="739"/>
        <v>200000000</v>
      </c>
      <c r="K4680" s="7">
        <v>1666667</v>
      </c>
      <c r="L4680" s="141">
        <f t="shared" si="741"/>
        <v>-6666.9999999997672</v>
      </c>
    </row>
    <row r="4681" spans="2:12" x14ac:dyDescent="0.35">
      <c r="B4681" s="1">
        <f t="shared" ref="B4681:B4725" si="742">+B4680+1</f>
        <v>3</v>
      </c>
      <c r="C4681" s="22">
        <v>45413</v>
      </c>
      <c r="D4681" s="22">
        <v>45443</v>
      </c>
      <c r="E4681" s="23">
        <v>31</v>
      </c>
      <c r="F4681" s="3">
        <f t="shared" si="740"/>
        <v>200000000</v>
      </c>
      <c r="G4681" s="3">
        <f t="shared" si="736"/>
        <v>1666666.6666666667</v>
      </c>
      <c r="H4681" s="3">
        <f t="shared" si="737"/>
        <v>1666666.6666666667</v>
      </c>
      <c r="I4681" s="3">
        <f t="shared" si="738"/>
        <v>0</v>
      </c>
      <c r="J4681" s="3">
        <f t="shared" si="739"/>
        <v>200000000</v>
      </c>
      <c r="K4681" s="7">
        <v>1666667</v>
      </c>
      <c r="L4681" s="141">
        <f t="shared" si="741"/>
        <v>-6667.3333333330229</v>
      </c>
    </row>
    <row r="4682" spans="2:12" x14ac:dyDescent="0.35">
      <c r="B4682" s="1">
        <f t="shared" si="742"/>
        <v>4</v>
      </c>
      <c r="C4682" s="22">
        <v>45444</v>
      </c>
      <c r="D4682" s="22">
        <v>45473</v>
      </c>
      <c r="E4682" s="23">
        <v>30</v>
      </c>
      <c r="F4682" s="3">
        <f t="shared" si="740"/>
        <v>200000000</v>
      </c>
      <c r="G4682" s="3">
        <f t="shared" si="736"/>
        <v>1666666.6666666667</v>
      </c>
      <c r="H4682" s="3">
        <f t="shared" si="737"/>
        <v>1666666.6666666667</v>
      </c>
      <c r="I4682" s="3">
        <f t="shared" si="738"/>
        <v>0</v>
      </c>
      <c r="J4682" s="3">
        <f t="shared" si="739"/>
        <v>200000000</v>
      </c>
      <c r="L4682" s="141">
        <f t="shared" si="741"/>
        <v>1659999.3333333337</v>
      </c>
    </row>
    <row r="4683" spans="2:12" x14ac:dyDescent="0.35">
      <c r="B4683" s="1">
        <f t="shared" si="742"/>
        <v>5</v>
      </c>
      <c r="C4683" s="22">
        <v>45474</v>
      </c>
      <c r="D4683" s="22">
        <v>45504</v>
      </c>
      <c r="E4683" s="23">
        <v>31</v>
      </c>
      <c r="F4683" s="3">
        <f t="shared" si="740"/>
        <v>200000000</v>
      </c>
      <c r="G4683" s="3">
        <f t="shared" si="736"/>
        <v>1666666.6666666667</v>
      </c>
      <c r="H4683" s="3">
        <f t="shared" si="737"/>
        <v>1666666.6666666667</v>
      </c>
      <c r="I4683" s="3">
        <f t="shared" si="738"/>
        <v>0</v>
      </c>
      <c r="J4683" s="3">
        <f t="shared" si="739"/>
        <v>200000000</v>
      </c>
      <c r="K4683" s="7">
        <v>1666667</v>
      </c>
      <c r="L4683" s="141">
        <f t="shared" si="741"/>
        <v>1659999.0000000005</v>
      </c>
    </row>
    <row r="4684" spans="2:12" x14ac:dyDescent="0.35">
      <c r="B4684" s="1">
        <f t="shared" si="742"/>
        <v>6</v>
      </c>
      <c r="C4684" s="22">
        <v>45505</v>
      </c>
      <c r="D4684" s="22">
        <v>45535</v>
      </c>
      <c r="E4684" s="23">
        <v>31</v>
      </c>
      <c r="F4684" s="3">
        <f t="shared" si="740"/>
        <v>200000000</v>
      </c>
      <c r="G4684" s="3">
        <f t="shared" ref="G4684:G4725" si="743">-PMT($D$4670/$D$4672,42,$F$4684,,0)</f>
        <v>5663363.8686879408</v>
      </c>
      <c r="H4684" s="3">
        <f t="shared" si="737"/>
        <v>1666666.6666666667</v>
      </c>
      <c r="I4684" s="3">
        <f t="shared" si="738"/>
        <v>3996697.2020212738</v>
      </c>
      <c r="J4684" s="3">
        <f t="shared" si="739"/>
        <v>196003302.79797873</v>
      </c>
      <c r="L4684" s="141">
        <f t="shared" si="741"/>
        <v>7323362.8686879408</v>
      </c>
    </row>
    <row r="4685" spans="2:12" x14ac:dyDescent="0.35">
      <c r="B4685" s="1">
        <f t="shared" si="742"/>
        <v>7</v>
      </c>
      <c r="C4685" s="22">
        <v>45536</v>
      </c>
      <c r="D4685" s="22">
        <v>45565</v>
      </c>
      <c r="E4685" s="23">
        <v>30</v>
      </c>
      <c r="F4685" s="3">
        <f t="shared" si="740"/>
        <v>196003302.79797873</v>
      </c>
      <c r="G4685" s="3">
        <f t="shared" si="743"/>
        <v>5663363.8686879408</v>
      </c>
      <c r="H4685" s="3">
        <f t="shared" si="737"/>
        <v>1633360.8566498228</v>
      </c>
      <c r="I4685" s="3">
        <f t="shared" si="738"/>
        <v>4030003.0120381182</v>
      </c>
      <c r="J4685" s="3">
        <f t="shared" si="739"/>
        <v>191973299.78594062</v>
      </c>
      <c r="K4685" s="7">
        <f>3500000+3823000</f>
        <v>7323000</v>
      </c>
      <c r="L4685" s="141">
        <f t="shared" si="741"/>
        <v>5663726.7373758815</v>
      </c>
    </row>
    <row r="4686" spans="2:12" x14ac:dyDescent="0.35">
      <c r="B4686" s="1">
        <f t="shared" si="742"/>
        <v>8</v>
      </c>
      <c r="C4686" s="22">
        <v>45566</v>
      </c>
      <c r="D4686" s="22">
        <v>45596</v>
      </c>
      <c r="E4686" s="23">
        <v>31</v>
      </c>
      <c r="F4686" s="3">
        <f t="shared" si="740"/>
        <v>191973299.78594062</v>
      </c>
      <c r="G4686" s="3">
        <f t="shared" si="743"/>
        <v>5663363.8686879408</v>
      </c>
      <c r="H4686" s="3">
        <f t="shared" si="737"/>
        <v>1599777.4982161717</v>
      </c>
      <c r="I4686" s="3">
        <f t="shared" si="738"/>
        <v>4063586.370471769</v>
      </c>
      <c r="J4686" s="3">
        <f t="shared" si="739"/>
        <v>187909713.41546884</v>
      </c>
      <c r="L4686" s="323">
        <f t="shared" si="741"/>
        <v>11327090.606063822</v>
      </c>
    </row>
    <row r="4687" spans="2:12" x14ac:dyDescent="0.35">
      <c r="B4687" s="1">
        <f t="shared" si="742"/>
        <v>9</v>
      </c>
      <c r="C4687" s="22">
        <v>45597</v>
      </c>
      <c r="D4687" s="22">
        <v>45626</v>
      </c>
      <c r="E4687" s="23">
        <v>30</v>
      </c>
      <c r="F4687" s="3">
        <f t="shared" si="740"/>
        <v>187909713.41546884</v>
      </c>
      <c r="G4687" s="3">
        <f t="shared" si="743"/>
        <v>5663363.8686879408</v>
      </c>
      <c r="H4687" s="3">
        <f t="shared" si="737"/>
        <v>1565914.2784622402</v>
      </c>
      <c r="I4687" s="3">
        <f t="shared" si="738"/>
        <v>4097449.5902257003</v>
      </c>
      <c r="J4687" s="3">
        <f t="shared" si="739"/>
        <v>183812263.82524315</v>
      </c>
    </row>
    <row r="4688" spans="2:12" x14ac:dyDescent="0.35">
      <c r="B4688" s="1">
        <f t="shared" si="742"/>
        <v>10</v>
      </c>
      <c r="C4688" s="22">
        <v>45627</v>
      </c>
      <c r="D4688" s="22">
        <v>45657</v>
      </c>
      <c r="E4688" s="23">
        <v>31</v>
      </c>
      <c r="F4688" s="3">
        <f t="shared" si="740"/>
        <v>183812263.82524315</v>
      </c>
      <c r="G4688" s="3">
        <f t="shared" si="743"/>
        <v>5663363.8686879408</v>
      </c>
      <c r="H4688" s="3">
        <f t="shared" si="737"/>
        <v>1531768.8652103595</v>
      </c>
      <c r="I4688" s="3">
        <f t="shared" si="738"/>
        <v>4131595.0034775813</v>
      </c>
      <c r="J4688" s="3">
        <f t="shared" si="739"/>
        <v>179680668.82176557</v>
      </c>
    </row>
    <row r="4689" spans="2:10" x14ac:dyDescent="0.35">
      <c r="B4689" s="1">
        <f t="shared" si="742"/>
        <v>11</v>
      </c>
      <c r="C4689" s="22">
        <v>45658</v>
      </c>
      <c r="D4689" s="22">
        <v>45688</v>
      </c>
      <c r="E4689" s="23">
        <v>31</v>
      </c>
      <c r="F4689" s="3">
        <f t="shared" si="740"/>
        <v>179680668.82176557</v>
      </c>
      <c r="G4689" s="3">
        <f t="shared" si="743"/>
        <v>5663363.8686879408</v>
      </c>
      <c r="H4689" s="3">
        <f t="shared" si="737"/>
        <v>1497338.9068480465</v>
      </c>
      <c r="I4689" s="3">
        <f t="shared" si="738"/>
        <v>4166024.9618398943</v>
      </c>
      <c r="J4689" s="3">
        <f t="shared" si="739"/>
        <v>175514643.85992569</v>
      </c>
    </row>
    <row r="4690" spans="2:10" x14ac:dyDescent="0.35">
      <c r="B4690" s="1">
        <f t="shared" si="742"/>
        <v>12</v>
      </c>
      <c r="C4690" s="22">
        <v>45689</v>
      </c>
      <c r="D4690" s="22">
        <v>45716</v>
      </c>
      <c r="E4690" s="23">
        <v>28</v>
      </c>
      <c r="F4690" s="3">
        <f t="shared" si="740"/>
        <v>175514643.85992569</v>
      </c>
      <c r="G4690" s="3">
        <f t="shared" si="743"/>
        <v>5663363.8686879408</v>
      </c>
      <c r="H4690" s="3">
        <f t="shared" si="737"/>
        <v>1462622.0321660475</v>
      </c>
      <c r="I4690" s="3">
        <f t="shared" si="738"/>
        <v>4200741.8365218937</v>
      </c>
      <c r="J4690" s="3">
        <f t="shared" si="739"/>
        <v>171313902.02340379</v>
      </c>
    </row>
    <row r="4691" spans="2:10" x14ac:dyDescent="0.35">
      <c r="B4691" s="1">
        <f t="shared" si="742"/>
        <v>13</v>
      </c>
      <c r="C4691" s="22">
        <v>45717</v>
      </c>
      <c r="D4691" s="22">
        <v>45747</v>
      </c>
      <c r="E4691" s="23">
        <v>31</v>
      </c>
      <c r="F4691" s="3">
        <f t="shared" si="740"/>
        <v>171313902.02340379</v>
      </c>
      <c r="G4691" s="3">
        <f t="shared" si="743"/>
        <v>5663363.8686879408</v>
      </c>
      <c r="H4691" s="3">
        <f t="shared" si="737"/>
        <v>1427615.8501950316</v>
      </c>
      <c r="I4691" s="3">
        <f t="shared" si="738"/>
        <v>4235748.0184929091</v>
      </c>
      <c r="J4691" s="3">
        <f t="shared" si="739"/>
        <v>167078154.00491089</v>
      </c>
    </row>
    <row r="4692" spans="2:10" x14ac:dyDescent="0.35">
      <c r="B4692" s="1">
        <f t="shared" si="742"/>
        <v>14</v>
      </c>
      <c r="C4692" s="22">
        <v>45748</v>
      </c>
      <c r="D4692" s="22">
        <v>45777</v>
      </c>
      <c r="E4692" s="23">
        <v>30</v>
      </c>
      <c r="F4692" s="3">
        <f t="shared" si="740"/>
        <v>167078154.00491089</v>
      </c>
      <c r="G4692" s="3">
        <f t="shared" si="743"/>
        <v>5663363.8686879408</v>
      </c>
      <c r="H4692" s="3">
        <f t="shared" si="737"/>
        <v>1392317.9500409241</v>
      </c>
      <c r="I4692" s="3">
        <f t="shared" si="738"/>
        <v>4271045.9186470164</v>
      </c>
      <c r="J4692" s="3">
        <f t="shared" si="739"/>
        <v>162807108.08626387</v>
      </c>
    </row>
    <row r="4693" spans="2:10" x14ac:dyDescent="0.35">
      <c r="B4693" s="1">
        <f t="shared" si="742"/>
        <v>15</v>
      </c>
      <c r="C4693" s="22">
        <v>45778</v>
      </c>
      <c r="D4693" s="22">
        <v>45808</v>
      </c>
      <c r="E4693" s="23">
        <v>31</v>
      </c>
      <c r="F4693" s="3">
        <f t="shared" si="740"/>
        <v>162807108.08626387</v>
      </c>
      <c r="G4693" s="3">
        <f t="shared" si="743"/>
        <v>5663363.8686879408</v>
      </c>
      <c r="H4693" s="3">
        <f t="shared" si="737"/>
        <v>1356725.9007188655</v>
      </c>
      <c r="I4693" s="3">
        <f t="shared" si="738"/>
        <v>4306637.9679690748</v>
      </c>
      <c r="J4693" s="3">
        <f t="shared" si="739"/>
        <v>158500470.11829478</v>
      </c>
    </row>
    <row r="4694" spans="2:10" x14ac:dyDescent="0.35">
      <c r="B4694" s="1">
        <f t="shared" si="742"/>
        <v>16</v>
      </c>
      <c r="C4694" s="22">
        <v>45809</v>
      </c>
      <c r="D4694" s="22">
        <v>45838</v>
      </c>
      <c r="E4694" s="23">
        <v>30</v>
      </c>
      <c r="F4694" s="3">
        <f t="shared" si="740"/>
        <v>158500470.11829478</v>
      </c>
      <c r="G4694" s="3">
        <f t="shared" si="743"/>
        <v>5663363.8686879408</v>
      </c>
      <c r="H4694" s="3">
        <f t="shared" si="737"/>
        <v>1320837.2509857898</v>
      </c>
      <c r="I4694" s="3">
        <f t="shared" si="738"/>
        <v>4342526.6177021507</v>
      </c>
      <c r="J4694" s="3">
        <f t="shared" si="739"/>
        <v>154157943.50059262</v>
      </c>
    </row>
    <row r="4695" spans="2:10" x14ac:dyDescent="0.35">
      <c r="B4695" s="1">
        <f t="shared" si="742"/>
        <v>17</v>
      </c>
      <c r="C4695" s="22">
        <v>45839</v>
      </c>
      <c r="D4695" s="22">
        <v>45868</v>
      </c>
      <c r="E4695" s="23">
        <v>30</v>
      </c>
      <c r="F4695" s="3">
        <f t="shared" si="740"/>
        <v>154157943.50059262</v>
      </c>
      <c r="G4695" s="3">
        <f t="shared" si="743"/>
        <v>5663363.8686879408</v>
      </c>
      <c r="H4695" s="3">
        <f t="shared" si="737"/>
        <v>1284649.5291716051</v>
      </c>
      <c r="I4695" s="3">
        <f t="shared" si="738"/>
        <v>4378714.3395163361</v>
      </c>
      <c r="J4695" s="3">
        <f t="shared" si="739"/>
        <v>149779229.16107628</v>
      </c>
    </row>
    <row r="4696" spans="2:10" x14ac:dyDescent="0.35">
      <c r="B4696" s="1">
        <f t="shared" si="742"/>
        <v>18</v>
      </c>
      <c r="C4696" s="22">
        <v>45870</v>
      </c>
      <c r="D4696" s="22">
        <v>45899</v>
      </c>
      <c r="E4696" s="23">
        <v>30</v>
      </c>
      <c r="F4696" s="3">
        <f t="shared" si="740"/>
        <v>149779229.16107628</v>
      </c>
      <c r="G4696" s="3">
        <f t="shared" si="743"/>
        <v>5663363.8686879408</v>
      </c>
      <c r="H4696" s="3">
        <f t="shared" si="737"/>
        <v>1248160.2430089689</v>
      </c>
      <c r="I4696" s="3">
        <f t="shared" si="738"/>
        <v>4415203.6256789714</v>
      </c>
      <c r="J4696" s="3">
        <f t="shared" si="739"/>
        <v>145364025.53539729</v>
      </c>
    </row>
    <row r="4697" spans="2:10" x14ac:dyDescent="0.35">
      <c r="B4697" s="1">
        <f t="shared" si="742"/>
        <v>19</v>
      </c>
      <c r="C4697" s="22">
        <v>45901</v>
      </c>
      <c r="D4697" s="22">
        <v>45930</v>
      </c>
      <c r="E4697" s="23">
        <v>30</v>
      </c>
      <c r="F4697" s="3">
        <f t="shared" si="740"/>
        <v>145364025.53539729</v>
      </c>
      <c r="G4697" s="3">
        <f t="shared" si="743"/>
        <v>5663363.8686879408</v>
      </c>
      <c r="H4697" s="3">
        <f t="shared" si="737"/>
        <v>1211366.879461644</v>
      </c>
      <c r="I4697" s="3">
        <f t="shared" si="738"/>
        <v>4451996.9892262965</v>
      </c>
      <c r="J4697" s="3">
        <f t="shared" si="739"/>
        <v>140912028.54617101</v>
      </c>
    </row>
    <row r="4698" spans="2:10" x14ac:dyDescent="0.35">
      <c r="B4698" s="1">
        <f t="shared" si="742"/>
        <v>20</v>
      </c>
      <c r="C4698" s="22">
        <v>45931</v>
      </c>
      <c r="D4698" s="22">
        <v>45961</v>
      </c>
      <c r="E4698" s="23">
        <v>31</v>
      </c>
      <c r="F4698" s="3">
        <f t="shared" si="740"/>
        <v>140912028.54617101</v>
      </c>
      <c r="G4698" s="3">
        <f t="shared" si="743"/>
        <v>5663363.8686879408</v>
      </c>
      <c r="H4698" s="3">
        <f t="shared" si="737"/>
        <v>1174266.904551425</v>
      </c>
      <c r="I4698" s="3">
        <f t="shared" si="738"/>
        <v>4489096.9641365157</v>
      </c>
      <c r="J4698" s="3">
        <f t="shared" si="739"/>
        <v>136422931.5820345</v>
      </c>
    </row>
    <row r="4699" spans="2:10" x14ac:dyDescent="0.35">
      <c r="B4699" s="1">
        <f t="shared" si="742"/>
        <v>21</v>
      </c>
      <c r="C4699" s="22">
        <v>45962</v>
      </c>
      <c r="D4699" s="22">
        <v>45991</v>
      </c>
      <c r="E4699" s="23">
        <v>30</v>
      </c>
      <c r="F4699" s="3">
        <f t="shared" si="740"/>
        <v>136422931.5820345</v>
      </c>
      <c r="G4699" s="3">
        <f t="shared" si="743"/>
        <v>5663363.8686879408</v>
      </c>
      <c r="H4699" s="3">
        <f t="shared" si="737"/>
        <v>1136857.7631836208</v>
      </c>
      <c r="I4699" s="3">
        <f t="shared" si="738"/>
        <v>4526506.10550432</v>
      </c>
      <c r="J4699" s="3">
        <f t="shared" si="739"/>
        <v>131896425.47653018</v>
      </c>
    </row>
    <row r="4700" spans="2:10" x14ac:dyDescent="0.35">
      <c r="B4700" s="1">
        <f t="shared" si="742"/>
        <v>22</v>
      </c>
      <c r="C4700" s="22">
        <v>45992</v>
      </c>
      <c r="D4700" s="22">
        <v>46022</v>
      </c>
      <c r="E4700" s="23">
        <v>31</v>
      </c>
      <c r="F4700" s="3">
        <f t="shared" si="740"/>
        <v>131896425.47653018</v>
      </c>
      <c r="G4700" s="3">
        <f t="shared" si="743"/>
        <v>5663363.8686879408</v>
      </c>
      <c r="H4700" s="3">
        <f t="shared" si="737"/>
        <v>1099136.8789710847</v>
      </c>
      <c r="I4700" s="3">
        <f t="shared" si="738"/>
        <v>4564226.9897168558</v>
      </c>
      <c r="J4700" s="3">
        <f t="shared" si="739"/>
        <v>127332198.48681332</v>
      </c>
    </row>
    <row r="4701" spans="2:10" x14ac:dyDescent="0.35">
      <c r="B4701" s="1">
        <f t="shared" si="742"/>
        <v>23</v>
      </c>
      <c r="C4701" s="22">
        <v>46023</v>
      </c>
      <c r="D4701" s="22">
        <v>46053</v>
      </c>
      <c r="E4701" s="23">
        <v>31</v>
      </c>
      <c r="F4701" s="3">
        <f t="shared" si="740"/>
        <v>127332198.48681332</v>
      </c>
      <c r="G4701" s="3">
        <f t="shared" si="743"/>
        <v>5663363.8686879408</v>
      </c>
      <c r="H4701" s="3">
        <f t="shared" si="737"/>
        <v>1061101.6540567777</v>
      </c>
      <c r="I4701" s="3">
        <f t="shared" si="738"/>
        <v>4602262.2146311626</v>
      </c>
      <c r="J4701" s="3">
        <f t="shared" si="739"/>
        <v>122729936.27218217</v>
      </c>
    </row>
    <row r="4702" spans="2:10" x14ac:dyDescent="0.35">
      <c r="B4702" s="1">
        <f t="shared" si="742"/>
        <v>24</v>
      </c>
      <c r="C4702" s="22">
        <v>46054</v>
      </c>
      <c r="D4702" s="22">
        <v>46081</v>
      </c>
      <c r="E4702" s="23">
        <v>28</v>
      </c>
      <c r="F4702" s="3">
        <f t="shared" si="740"/>
        <v>122729936.27218217</v>
      </c>
      <c r="G4702" s="3">
        <f t="shared" si="743"/>
        <v>5663363.8686879408</v>
      </c>
      <c r="H4702" s="3">
        <f t="shared" si="737"/>
        <v>1022749.4689348513</v>
      </c>
      <c r="I4702" s="3">
        <f t="shared" si="738"/>
        <v>4640614.3997530891</v>
      </c>
      <c r="J4702" s="3">
        <f t="shared" si="739"/>
        <v>118089321.87242907</v>
      </c>
    </row>
    <row r="4703" spans="2:10" x14ac:dyDescent="0.35">
      <c r="B4703" s="1">
        <f t="shared" si="742"/>
        <v>25</v>
      </c>
      <c r="C4703" s="22">
        <v>46082</v>
      </c>
      <c r="D4703" s="22">
        <v>46112</v>
      </c>
      <c r="E4703" s="23">
        <v>31</v>
      </c>
      <c r="F4703" s="3">
        <f t="shared" si="740"/>
        <v>118089321.87242907</v>
      </c>
      <c r="G4703" s="3">
        <f t="shared" si="743"/>
        <v>5663363.8686879408</v>
      </c>
      <c r="H4703" s="3">
        <f t="shared" si="737"/>
        <v>984077.68227024225</v>
      </c>
      <c r="I4703" s="3">
        <f t="shared" si="738"/>
        <v>4679286.1864176989</v>
      </c>
      <c r="J4703" s="3">
        <f t="shared" si="739"/>
        <v>113410035.68601137</v>
      </c>
    </row>
    <row r="4704" spans="2:10" x14ac:dyDescent="0.35">
      <c r="B4704" s="1">
        <f t="shared" si="742"/>
        <v>26</v>
      </c>
      <c r="C4704" s="22">
        <v>46113</v>
      </c>
      <c r="D4704" s="22">
        <v>46142</v>
      </c>
      <c r="E4704" s="23">
        <v>30</v>
      </c>
      <c r="F4704" s="3">
        <f t="shared" si="740"/>
        <v>113410035.68601137</v>
      </c>
      <c r="G4704" s="3">
        <f t="shared" si="743"/>
        <v>5663363.8686879408</v>
      </c>
      <c r="H4704" s="3">
        <f t="shared" si="737"/>
        <v>945083.63071676146</v>
      </c>
      <c r="I4704" s="3">
        <f t="shared" si="738"/>
        <v>4718280.2379711792</v>
      </c>
      <c r="J4704" s="3">
        <f t="shared" si="739"/>
        <v>108691755.44804019</v>
      </c>
    </row>
    <row r="4705" spans="2:10" x14ac:dyDescent="0.35">
      <c r="B4705" s="1">
        <f t="shared" si="742"/>
        <v>27</v>
      </c>
      <c r="C4705" s="22">
        <v>46143</v>
      </c>
      <c r="D4705" s="22">
        <v>46173</v>
      </c>
      <c r="E4705" s="23">
        <v>31</v>
      </c>
      <c r="F4705" s="3">
        <f t="shared" si="740"/>
        <v>108691755.44804019</v>
      </c>
      <c r="G4705" s="3">
        <f t="shared" si="743"/>
        <v>5663363.8686879408</v>
      </c>
      <c r="H4705" s="3">
        <f t="shared" si="737"/>
        <v>905764.62873366824</v>
      </c>
      <c r="I4705" s="3">
        <f t="shared" si="738"/>
        <v>4757599.2399542723</v>
      </c>
      <c r="J4705" s="3">
        <f t="shared" si="739"/>
        <v>103934156.20808591</v>
      </c>
    </row>
    <row r="4706" spans="2:10" x14ac:dyDescent="0.35">
      <c r="B4706" s="1">
        <f t="shared" si="742"/>
        <v>28</v>
      </c>
      <c r="C4706" s="22">
        <v>46174</v>
      </c>
      <c r="D4706" s="22">
        <v>46203</v>
      </c>
      <c r="E4706" s="23">
        <v>30</v>
      </c>
      <c r="F4706" s="3">
        <f t="shared" si="740"/>
        <v>103934156.20808591</v>
      </c>
      <c r="G4706" s="3">
        <f t="shared" si="743"/>
        <v>5663363.8686879408</v>
      </c>
      <c r="H4706" s="3">
        <f t="shared" si="737"/>
        <v>866117.96840071585</v>
      </c>
      <c r="I4706" s="3">
        <f t="shared" si="738"/>
        <v>4797245.9002872249</v>
      </c>
      <c r="J4706" s="3">
        <f t="shared" si="739"/>
        <v>99136910.307798684</v>
      </c>
    </row>
    <row r="4707" spans="2:10" x14ac:dyDescent="0.35">
      <c r="B4707" s="1">
        <f t="shared" si="742"/>
        <v>29</v>
      </c>
      <c r="C4707" s="22">
        <v>46204</v>
      </c>
      <c r="D4707" s="22">
        <v>46234</v>
      </c>
      <c r="E4707" s="23">
        <v>31</v>
      </c>
      <c r="F4707" s="3">
        <f t="shared" si="740"/>
        <v>99136910.307798684</v>
      </c>
      <c r="G4707" s="3">
        <f t="shared" si="743"/>
        <v>5663363.8686879408</v>
      </c>
      <c r="H4707" s="3">
        <f t="shared" si="737"/>
        <v>826140.91923165566</v>
      </c>
      <c r="I4707" s="3">
        <f t="shared" si="738"/>
        <v>4837222.9494562848</v>
      </c>
      <c r="J4707" s="3">
        <f t="shared" si="739"/>
        <v>94299687.358342394</v>
      </c>
    </row>
    <row r="4708" spans="2:10" x14ac:dyDescent="0.35">
      <c r="B4708" s="1">
        <f t="shared" si="742"/>
        <v>30</v>
      </c>
      <c r="C4708" s="22">
        <v>46235</v>
      </c>
      <c r="D4708" s="22">
        <v>46265</v>
      </c>
      <c r="E4708" s="23">
        <v>31</v>
      </c>
      <c r="F4708" s="3">
        <f t="shared" si="740"/>
        <v>94299687.358342394</v>
      </c>
      <c r="G4708" s="3">
        <f t="shared" si="743"/>
        <v>5663363.8686879408</v>
      </c>
      <c r="H4708" s="3">
        <f t="shared" si="737"/>
        <v>785830.72798618663</v>
      </c>
      <c r="I4708" s="3">
        <f t="shared" si="738"/>
        <v>4877533.140701754</v>
      </c>
      <c r="J4708" s="3">
        <f t="shared" si="739"/>
        <v>89422154.217640638</v>
      </c>
    </row>
    <row r="4709" spans="2:10" x14ac:dyDescent="0.35">
      <c r="B4709" s="1">
        <f t="shared" si="742"/>
        <v>31</v>
      </c>
      <c r="C4709" s="22">
        <v>46266</v>
      </c>
      <c r="D4709" s="22">
        <v>46295</v>
      </c>
      <c r="E4709" s="23">
        <v>30</v>
      </c>
      <c r="F4709" s="3">
        <f t="shared" si="740"/>
        <v>89422154.217640638</v>
      </c>
      <c r="G4709" s="3">
        <f t="shared" si="743"/>
        <v>5663363.8686879408</v>
      </c>
      <c r="H4709" s="3">
        <f t="shared" si="737"/>
        <v>745184.6184803386</v>
      </c>
      <c r="I4709" s="3">
        <f t="shared" si="738"/>
        <v>4918179.250207602</v>
      </c>
      <c r="J4709" s="3">
        <f t="shared" si="739"/>
        <v>84503974.967433035</v>
      </c>
    </row>
    <row r="4710" spans="2:10" x14ac:dyDescent="0.35">
      <c r="B4710" s="1">
        <f t="shared" si="742"/>
        <v>32</v>
      </c>
      <c r="C4710" s="22">
        <v>46296</v>
      </c>
      <c r="D4710" s="22">
        <v>46326</v>
      </c>
      <c r="E4710" s="23">
        <v>31</v>
      </c>
      <c r="F4710" s="3">
        <f t="shared" si="740"/>
        <v>84503974.967433035</v>
      </c>
      <c r="G4710" s="3">
        <f t="shared" si="743"/>
        <v>5663363.8686879408</v>
      </c>
      <c r="H4710" s="3">
        <f t="shared" si="737"/>
        <v>704199.79139527527</v>
      </c>
      <c r="I4710" s="3">
        <f t="shared" si="738"/>
        <v>4959164.0772926658</v>
      </c>
      <c r="J4710" s="3">
        <f t="shared" si="739"/>
        <v>79544810.89014037</v>
      </c>
    </row>
    <row r="4711" spans="2:10" x14ac:dyDescent="0.35">
      <c r="B4711" s="1">
        <f t="shared" si="742"/>
        <v>33</v>
      </c>
      <c r="C4711" s="22">
        <v>46327</v>
      </c>
      <c r="D4711" s="22">
        <v>46356</v>
      </c>
      <c r="E4711" s="23">
        <v>30</v>
      </c>
      <c r="F4711" s="3">
        <f t="shared" si="740"/>
        <v>79544810.89014037</v>
      </c>
      <c r="G4711" s="3">
        <f t="shared" si="743"/>
        <v>5663363.8686879408</v>
      </c>
      <c r="H4711" s="3">
        <f t="shared" si="737"/>
        <v>662873.42408450309</v>
      </c>
      <c r="I4711" s="3">
        <f t="shared" si="738"/>
        <v>5000490.4446034376</v>
      </c>
      <c r="J4711" s="3">
        <f t="shared" si="739"/>
        <v>74544320.445536926</v>
      </c>
    </row>
    <row r="4712" spans="2:10" x14ac:dyDescent="0.35">
      <c r="B4712" s="1">
        <f t="shared" si="742"/>
        <v>34</v>
      </c>
      <c r="C4712" s="22">
        <v>46357</v>
      </c>
      <c r="D4712" s="22">
        <v>46387</v>
      </c>
      <c r="E4712" s="23">
        <v>31</v>
      </c>
      <c r="F4712" s="3">
        <f t="shared" si="740"/>
        <v>74544320.445536926</v>
      </c>
      <c r="G4712" s="3">
        <f t="shared" si="743"/>
        <v>5663363.8686879408</v>
      </c>
      <c r="H4712" s="3">
        <f t="shared" si="737"/>
        <v>621202.67037947441</v>
      </c>
      <c r="I4712" s="3">
        <f t="shared" si="738"/>
        <v>5042161.198308466</v>
      </c>
      <c r="J4712" s="3">
        <f t="shared" si="739"/>
        <v>69502159.247228459</v>
      </c>
    </row>
    <row r="4713" spans="2:10" x14ac:dyDescent="0.35">
      <c r="B4713" s="1">
        <f t="shared" si="742"/>
        <v>35</v>
      </c>
      <c r="C4713" s="22">
        <v>46388</v>
      </c>
      <c r="D4713" s="22">
        <v>46418</v>
      </c>
      <c r="E4713" s="23">
        <v>31</v>
      </c>
      <c r="F4713" s="3">
        <f t="shared" si="740"/>
        <v>69502159.247228459</v>
      </c>
      <c r="G4713" s="3">
        <f t="shared" si="743"/>
        <v>5663363.8686879408</v>
      </c>
      <c r="H4713" s="3">
        <f t="shared" si="737"/>
        <v>579184.66039357043</v>
      </c>
      <c r="I4713" s="3">
        <f t="shared" si="738"/>
        <v>5084179.2082943702</v>
      </c>
      <c r="J4713" s="3">
        <f t="shared" si="739"/>
        <v>64417980.038934089</v>
      </c>
    </row>
    <row r="4714" spans="2:10" x14ac:dyDescent="0.35">
      <c r="B4714" s="1">
        <f t="shared" si="742"/>
        <v>36</v>
      </c>
      <c r="C4714" s="22">
        <v>46419</v>
      </c>
      <c r="D4714" s="22">
        <v>46446</v>
      </c>
      <c r="E4714" s="23">
        <f t="shared" ref="E4714:E4725" si="744">D4714-C4714+1</f>
        <v>28</v>
      </c>
      <c r="F4714" s="3">
        <f t="shared" si="740"/>
        <v>64417980.038934089</v>
      </c>
      <c r="G4714" s="3">
        <f t="shared" si="743"/>
        <v>5663363.8686879408</v>
      </c>
      <c r="H4714" s="3">
        <f t="shared" si="737"/>
        <v>536816.50032445078</v>
      </c>
      <c r="I4714" s="3">
        <f t="shared" si="738"/>
        <v>5126547.3683634903</v>
      </c>
      <c r="J4714" s="3">
        <f t="shared" si="739"/>
        <v>59291432.670570597</v>
      </c>
    </row>
    <row r="4715" spans="2:10" x14ac:dyDescent="0.35">
      <c r="B4715" s="1">
        <f t="shared" si="742"/>
        <v>37</v>
      </c>
      <c r="C4715" s="22">
        <v>46447</v>
      </c>
      <c r="D4715" s="22">
        <v>46477</v>
      </c>
      <c r="E4715" s="23">
        <f t="shared" si="744"/>
        <v>31</v>
      </c>
      <c r="F4715" s="3">
        <f t="shared" si="740"/>
        <v>59291432.670570597</v>
      </c>
      <c r="G4715" s="3">
        <f t="shared" si="743"/>
        <v>5663363.8686879408</v>
      </c>
      <c r="H4715" s="3">
        <f t="shared" si="737"/>
        <v>494095.27225475496</v>
      </c>
      <c r="I4715" s="3">
        <f t="shared" si="738"/>
        <v>5169268.596433186</v>
      </c>
      <c r="J4715" s="3">
        <f t="shared" si="739"/>
        <v>54122164.074137412</v>
      </c>
    </row>
    <row r="4716" spans="2:10" x14ac:dyDescent="0.35">
      <c r="B4716" s="1">
        <f t="shared" si="742"/>
        <v>38</v>
      </c>
      <c r="C4716" s="22">
        <v>46478</v>
      </c>
      <c r="D4716" s="22">
        <v>46507</v>
      </c>
      <c r="E4716" s="23">
        <f t="shared" si="744"/>
        <v>30</v>
      </c>
      <c r="F4716" s="3">
        <f t="shared" si="740"/>
        <v>54122164.074137412</v>
      </c>
      <c r="G4716" s="3">
        <f t="shared" si="743"/>
        <v>5663363.8686879408</v>
      </c>
      <c r="H4716" s="3">
        <f t="shared" si="737"/>
        <v>451018.03395114507</v>
      </c>
      <c r="I4716" s="3">
        <f t="shared" si="738"/>
        <v>5212345.8347367961</v>
      </c>
      <c r="J4716" s="3">
        <f t="shared" si="739"/>
        <v>48909818.239400618</v>
      </c>
    </row>
    <row r="4717" spans="2:10" x14ac:dyDescent="0.35">
      <c r="B4717" s="1">
        <f t="shared" si="742"/>
        <v>39</v>
      </c>
      <c r="C4717" s="22">
        <v>46508</v>
      </c>
      <c r="D4717" s="22">
        <v>46538</v>
      </c>
      <c r="E4717" s="23">
        <f t="shared" si="744"/>
        <v>31</v>
      </c>
      <c r="F4717" s="3">
        <f t="shared" si="740"/>
        <v>48909818.239400618</v>
      </c>
      <c r="G4717" s="3">
        <f t="shared" si="743"/>
        <v>5663363.8686879408</v>
      </c>
      <c r="H4717" s="3">
        <f t="shared" si="737"/>
        <v>407581.81866167183</v>
      </c>
      <c r="I4717" s="3">
        <f t="shared" si="738"/>
        <v>5255782.0500262687</v>
      </c>
      <c r="J4717" s="3">
        <f t="shared" si="739"/>
        <v>43654036.18937435</v>
      </c>
    </row>
    <row r="4718" spans="2:10" x14ac:dyDescent="0.35">
      <c r="B4718" s="1">
        <f t="shared" si="742"/>
        <v>40</v>
      </c>
      <c r="C4718" s="22">
        <v>46539</v>
      </c>
      <c r="D4718" s="22">
        <v>46568</v>
      </c>
      <c r="E4718" s="23">
        <f t="shared" si="744"/>
        <v>30</v>
      </c>
      <c r="F4718" s="3">
        <f t="shared" si="740"/>
        <v>43654036.18937435</v>
      </c>
      <c r="G4718" s="3">
        <f t="shared" si="743"/>
        <v>5663363.8686879408</v>
      </c>
      <c r="H4718" s="3">
        <f t="shared" si="737"/>
        <v>363783.63491145289</v>
      </c>
      <c r="I4718" s="3">
        <f t="shared" si="738"/>
        <v>5299580.2337764874</v>
      </c>
      <c r="J4718" s="3">
        <f t="shared" si="739"/>
        <v>38354455.955597863</v>
      </c>
    </row>
    <row r="4719" spans="2:10" x14ac:dyDescent="0.35">
      <c r="B4719" s="1">
        <f t="shared" si="742"/>
        <v>41</v>
      </c>
      <c r="C4719" s="22">
        <v>46569</v>
      </c>
      <c r="D4719" s="22">
        <v>46599</v>
      </c>
      <c r="E4719" s="23">
        <f t="shared" si="744"/>
        <v>31</v>
      </c>
      <c r="F4719" s="3">
        <f t="shared" si="740"/>
        <v>38354455.955597863</v>
      </c>
      <c r="G4719" s="3">
        <f t="shared" si="743"/>
        <v>5663363.8686879408</v>
      </c>
      <c r="H4719" s="3">
        <f t="shared" si="737"/>
        <v>319620.46629664884</v>
      </c>
      <c r="I4719" s="3">
        <f t="shared" si="738"/>
        <v>5343743.4023912922</v>
      </c>
      <c r="J4719" s="3">
        <f t="shared" si="739"/>
        <v>33010712.55320657</v>
      </c>
    </row>
    <row r="4720" spans="2:10" x14ac:dyDescent="0.35">
      <c r="B4720" s="1">
        <f t="shared" si="742"/>
        <v>42</v>
      </c>
      <c r="C4720" s="22">
        <v>46600</v>
      </c>
      <c r="D4720" s="22">
        <v>46630</v>
      </c>
      <c r="E4720" s="23">
        <f t="shared" si="744"/>
        <v>31</v>
      </c>
      <c r="F4720" s="3">
        <f t="shared" si="740"/>
        <v>33010712.55320657</v>
      </c>
      <c r="G4720" s="3">
        <f t="shared" si="743"/>
        <v>5663363.8686879408</v>
      </c>
      <c r="H4720" s="3">
        <f t="shared" si="737"/>
        <v>275089.27127672144</v>
      </c>
      <c r="I4720" s="3">
        <f t="shared" si="738"/>
        <v>5388274.597411219</v>
      </c>
      <c r="J4720" s="3">
        <f t="shared" si="739"/>
        <v>27622437.955795351</v>
      </c>
    </row>
    <row r="4721" spans="2:19" x14ac:dyDescent="0.35">
      <c r="B4721" s="1">
        <f t="shared" si="742"/>
        <v>43</v>
      </c>
      <c r="C4721" s="22">
        <v>46631</v>
      </c>
      <c r="D4721" s="22">
        <v>46660</v>
      </c>
      <c r="E4721" s="23">
        <f t="shared" si="744"/>
        <v>30</v>
      </c>
      <c r="F4721" s="3">
        <f t="shared" si="740"/>
        <v>27622437.955795351</v>
      </c>
      <c r="G4721" s="3">
        <f t="shared" si="743"/>
        <v>5663363.8686879408</v>
      </c>
      <c r="H4721" s="3">
        <f t="shared" si="737"/>
        <v>230186.98296496127</v>
      </c>
      <c r="I4721" s="3">
        <f t="shared" si="738"/>
        <v>5433176.8857229799</v>
      </c>
      <c r="J4721" s="3">
        <f t="shared" si="739"/>
        <v>22189261.070072372</v>
      </c>
    </row>
    <row r="4722" spans="2:19" x14ac:dyDescent="0.35">
      <c r="B4722" s="1">
        <f t="shared" si="742"/>
        <v>44</v>
      </c>
      <c r="C4722" s="22">
        <v>46661</v>
      </c>
      <c r="D4722" s="22">
        <v>46691</v>
      </c>
      <c r="E4722" s="23">
        <f t="shared" si="744"/>
        <v>31</v>
      </c>
      <c r="F4722" s="3">
        <f t="shared" si="740"/>
        <v>22189261.070072372</v>
      </c>
      <c r="G4722" s="3">
        <f t="shared" si="743"/>
        <v>5663363.8686879408</v>
      </c>
      <c r="H4722" s="3">
        <f t="shared" si="737"/>
        <v>184910.50891726976</v>
      </c>
      <c r="I4722" s="3">
        <f t="shared" si="738"/>
        <v>5478453.3597706705</v>
      </c>
      <c r="J4722" s="3">
        <f t="shared" si="739"/>
        <v>16710807.710301701</v>
      </c>
    </row>
    <row r="4723" spans="2:19" x14ac:dyDescent="0.35">
      <c r="B4723" s="1">
        <f t="shared" si="742"/>
        <v>45</v>
      </c>
      <c r="C4723" s="22">
        <v>46692</v>
      </c>
      <c r="D4723" s="22">
        <v>46721</v>
      </c>
      <c r="E4723" s="23">
        <f t="shared" si="744"/>
        <v>30</v>
      </c>
      <c r="F4723" s="3">
        <f t="shared" si="740"/>
        <v>16710807.710301701</v>
      </c>
      <c r="G4723" s="3">
        <f t="shared" si="743"/>
        <v>5663363.8686879408</v>
      </c>
      <c r="H4723" s="3">
        <f t="shared" si="737"/>
        <v>139256.73091918085</v>
      </c>
      <c r="I4723" s="3">
        <f t="shared" si="738"/>
        <v>5524107.1377687603</v>
      </c>
      <c r="J4723" s="3">
        <f t="shared" si="739"/>
        <v>11186700.572532941</v>
      </c>
    </row>
    <row r="4724" spans="2:19" x14ac:dyDescent="0.35">
      <c r="B4724" s="1">
        <f t="shared" si="742"/>
        <v>46</v>
      </c>
      <c r="C4724" s="22">
        <v>46722</v>
      </c>
      <c r="D4724" s="22">
        <v>46752</v>
      </c>
      <c r="E4724" s="23">
        <f t="shared" si="744"/>
        <v>31</v>
      </c>
      <c r="F4724" s="3">
        <f t="shared" si="740"/>
        <v>11186700.572532941</v>
      </c>
      <c r="G4724" s="3">
        <f t="shared" si="743"/>
        <v>5663363.8686879408</v>
      </c>
      <c r="H4724" s="3">
        <f t="shared" si="737"/>
        <v>93222.504771107837</v>
      </c>
      <c r="I4724" s="3">
        <f t="shared" si="738"/>
        <v>5570141.363916833</v>
      </c>
      <c r="J4724" s="3">
        <f t="shared" si="739"/>
        <v>5616559.2086161077</v>
      </c>
    </row>
    <row r="4725" spans="2:19" x14ac:dyDescent="0.35">
      <c r="B4725" s="1">
        <f t="shared" si="742"/>
        <v>47</v>
      </c>
      <c r="C4725" s="22">
        <v>46753</v>
      </c>
      <c r="D4725" s="22">
        <v>46783</v>
      </c>
      <c r="E4725" s="23">
        <f t="shared" si="744"/>
        <v>31</v>
      </c>
      <c r="F4725" s="3">
        <f t="shared" si="740"/>
        <v>5616559.2086161077</v>
      </c>
      <c r="G4725" s="3">
        <f t="shared" si="743"/>
        <v>5663363.8686879408</v>
      </c>
      <c r="H4725" s="3">
        <f t="shared" si="737"/>
        <v>46804.660071800899</v>
      </c>
      <c r="I4725" s="3">
        <f t="shared" si="738"/>
        <v>5616559.2086161403</v>
      </c>
      <c r="J4725" s="3">
        <f t="shared" si="739"/>
        <v>-3.2596290111541748E-8</v>
      </c>
    </row>
    <row r="4726" spans="2:19" x14ac:dyDescent="0.35">
      <c r="B4726" s="1"/>
      <c r="C4726" s="22"/>
      <c r="D4726" s="22"/>
      <c r="E4726" s="23"/>
      <c r="F4726" s="3"/>
      <c r="G4726" s="3"/>
      <c r="H4726" s="3"/>
      <c r="I4726" s="3"/>
      <c r="J4726" s="3"/>
    </row>
    <row r="4727" spans="2:19" x14ac:dyDescent="0.35">
      <c r="B4727" s="1"/>
      <c r="C4727" s="22"/>
      <c r="D4727" s="22"/>
      <c r="E4727" s="23"/>
      <c r="F4727" s="3"/>
      <c r="G4727" s="3"/>
      <c r="H4727" s="3"/>
      <c r="I4727" s="3"/>
      <c r="J4727" s="3"/>
    </row>
    <row r="4728" spans="2:19" x14ac:dyDescent="0.35">
      <c r="B4728" s="1"/>
      <c r="C4728" s="22"/>
      <c r="D4728" s="22"/>
      <c r="E4728" s="23"/>
      <c r="F4728" s="3"/>
      <c r="G4728" s="3"/>
      <c r="H4728" s="3"/>
      <c r="I4728" s="3"/>
      <c r="J4728" s="3"/>
    </row>
    <row r="4729" spans="2:19" x14ac:dyDescent="0.35">
      <c r="B4729" s="1"/>
      <c r="C4729" s="22"/>
      <c r="D4729" s="22"/>
      <c r="E4729" s="23"/>
      <c r="F4729" s="3"/>
      <c r="G4729" s="3"/>
      <c r="H4729" s="3"/>
      <c r="I4729" s="3"/>
      <c r="J4729" s="3"/>
    </row>
    <row r="4730" spans="2:19" x14ac:dyDescent="0.35">
      <c r="B4730" s="1"/>
      <c r="C4730" s="22"/>
      <c r="D4730" s="22"/>
      <c r="E4730" s="23"/>
      <c r="F4730" s="3"/>
      <c r="G4730" s="3"/>
      <c r="H4730" s="3"/>
      <c r="I4730" s="3"/>
      <c r="J4730" s="3"/>
    </row>
    <row r="4731" spans="2:19" x14ac:dyDescent="0.35">
      <c r="B4731" s="1"/>
      <c r="C4731" s="8" t="s">
        <v>655</v>
      </c>
      <c r="D4731" s="3"/>
      <c r="E4731" s="3"/>
      <c r="F4731" s="3"/>
      <c r="G4731" s="3"/>
      <c r="H4731" s="3"/>
      <c r="I4731" s="3"/>
      <c r="J4731" s="3"/>
      <c r="R4731" s="438" t="s">
        <v>832</v>
      </c>
      <c r="S4731" s="432" t="str">
        <f>IFERROR(INDEX(Blocks!$I$2:$I$101,MATCH(86,Blocks!$A$2:$A$101,0)),"")</f>
        <v>000104460000088</v>
      </c>
    </row>
    <row r="4732" spans="2:19" x14ac:dyDescent="0.35">
      <c r="B4732" s="1"/>
      <c r="C4732" s="1"/>
      <c r="D4732" s="3"/>
      <c r="E4732" s="3"/>
      <c r="F4732" s="3"/>
      <c r="G4732" s="3"/>
      <c r="H4732" s="3"/>
      <c r="I4732" s="3"/>
      <c r="J4732" s="3"/>
      <c r="R4732" s="438" t="s">
        <v>834</v>
      </c>
      <c r="S4732" s="432" t="str">
        <f>IFERROR(INDEX(Blocks!$H$2:$H$101,MATCH(86,Blocks!$A$2:$A$101,0)),"")</f>
        <v>Malasha Briquettes Limited</v>
      </c>
    </row>
    <row r="4733" spans="2:19" x14ac:dyDescent="0.35">
      <c r="B4733" s="1"/>
      <c r="C4733" s="9" t="s">
        <v>835</v>
      </c>
      <c r="D4733" s="10">
        <v>17000000</v>
      </c>
      <c r="E4733" s="3"/>
      <c r="F4733" s="3"/>
      <c r="G4733" s="3"/>
      <c r="H4733" s="3"/>
      <c r="I4733" s="3"/>
      <c r="J4733" s="3"/>
      <c r="R4733" s="438" t="s">
        <v>223</v>
      </c>
      <c r="S4733" s="433">
        <f>IFERROR(INDEX('E-Banker master'!$N$2:$N$186,MATCH(S4731,'E-Banker master'!$A$2:$A$186,0)),"")</f>
        <v>17000000</v>
      </c>
    </row>
    <row r="4734" spans="2:19" x14ac:dyDescent="0.35">
      <c r="B4734" s="1"/>
      <c r="C4734" s="11" t="s">
        <v>837</v>
      </c>
      <c r="D4734" s="12">
        <v>0.1</v>
      </c>
      <c r="E4734" s="13"/>
      <c r="F4734" s="3"/>
      <c r="G4734" s="3"/>
      <c r="H4734" s="3"/>
      <c r="I4734" s="3"/>
      <c r="J4734" s="3"/>
      <c r="R4734" s="438" t="s">
        <v>52</v>
      </c>
      <c r="S4734" s="433">
        <f>IFERROR(INDEX('E-Banker master'!$P$2:$P$186,MATCH(S4731,'E-Banker master'!$A$2:$A$186,0)),"")</f>
        <v>12758872.960000001</v>
      </c>
    </row>
    <row r="4735" spans="2:19" x14ac:dyDescent="0.35">
      <c r="B4735" s="1"/>
      <c r="C4735" s="11" t="s">
        <v>838</v>
      </c>
      <c r="D4735" s="14">
        <v>2</v>
      </c>
      <c r="E4735" s="1"/>
      <c r="F4735" s="3"/>
      <c r="G4735" s="3"/>
      <c r="H4735" s="3"/>
      <c r="I4735" s="3"/>
      <c r="J4735" s="3"/>
    </row>
    <row r="4736" spans="2:19" x14ac:dyDescent="0.35">
      <c r="B4736" s="1"/>
      <c r="C4736" s="11" t="s">
        <v>839</v>
      </c>
      <c r="D4736" s="14">
        <v>12</v>
      </c>
      <c r="E4736" s="1"/>
      <c r="F4736" s="3"/>
      <c r="G4736" s="3"/>
      <c r="H4736" s="3"/>
      <c r="I4736" s="3"/>
      <c r="J4736" s="3"/>
    </row>
    <row r="4737" spans="2:12" x14ac:dyDescent="0.35">
      <c r="B4737" s="1"/>
      <c r="C4737" s="11" t="s">
        <v>843</v>
      </c>
      <c r="D4737" s="15">
        <f>+D4736*D4735</f>
        <v>24</v>
      </c>
      <c r="E4737" s="1"/>
      <c r="F4737" s="3"/>
      <c r="G4737" s="3"/>
      <c r="H4737" s="3"/>
      <c r="I4737" s="3"/>
      <c r="J4737" s="3"/>
    </row>
    <row r="4738" spans="2:12" x14ac:dyDescent="0.35">
      <c r="B4738" s="1"/>
      <c r="C4738" s="11" t="s">
        <v>844</v>
      </c>
      <c r="D4738" s="16">
        <v>365</v>
      </c>
      <c r="E4738" s="1"/>
      <c r="F4738" s="3"/>
      <c r="G4738" s="3"/>
      <c r="H4738" s="3"/>
      <c r="I4738" s="3"/>
      <c r="J4738" s="3"/>
    </row>
    <row r="4739" spans="2:12" x14ac:dyDescent="0.35">
      <c r="B4739" s="1"/>
      <c r="C4739" s="17" t="s">
        <v>845</v>
      </c>
      <c r="D4739" s="220">
        <f>-PMT(D4734/D4736,D4737,D4733,0,0)</f>
        <v>784463.74773778056</v>
      </c>
      <c r="E4739" s="3"/>
      <c r="F4739" s="3"/>
      <c r="G4739" s="3"/>
      <c r="H4739" s="3"/>
      <c r="I4739" s="3"/>
      <c r="J4739" s="3"/>
    </row>
    <row r="4740" spans="2:12" x14ac:dyDescent="0.35">
      <c r="B4740" s="1"/>
      <c r="C4740" s="1"/>
      <c r="D4740" s="3"/>
      <c r="E4740" s="3"/>
      <c r="F4740" s="3"/>
      <c r="G4740" s="3"/>
      <c r="H4740" s="3"/>
      <c r="I4740" s="3"/>
      <c r="J4740" s="3"/>
    </row>
    <row r="4741" spans="2:12" x14ac:dyDescent="0.35">
      <c r="B4741" s="1"/>
      <c r="C4741" s="19" t="s">
        <v>846</v>
      </c>
      <c r="D4741" s="20" t="s">
        <v>847</v>
      </c>
      <c r="E4741" s="20" t="s">
        <v>764</v>
      </c>
      <c r="F4741" s="270" t="s">
        <v>848</v>
      </c>
      <c r="G4741" s="270" t="s">
        <v>849</v>
      </c>
      <c r="H4741" s="270" t="s">
        <v>742</v>
      </c>
      <c r="I4741" s="270" t="s">
        <v>740</v>
      </c>
      <c r="J4741" s="270" t="s">
        <v>850</v>
      </c>
      <c r="K4741" s="21" t="s">
        <v>851</v>
      </c>
      <c r="L4741" s="21" t="s">
        <v>852</v>
      </c>
    </row>
    <row r="4742" spans="2:12" x14ac:dyDescent="0.35">
      <c r="B4742" s="1">
        <v>0</v>
      </c>
      <c r="C4742" s="22">
        <v>45323</v>
      </c>
      <c r="D4742" s="22">
        <v>45351</v>
      </c>
      <c r="E4742" s="23">
        <v>29</v>
      </c>
      <c r="F4742" s="3">
        <f>D4733</f>
        <v>17000000</v>
      </c>
      <c r="G4742" s="3"/>
      <c r="H4742" s="3">
        <f t="shared" ref="H4742:H4765" si="745">($D$4734/$D$4736*F4742)</f>
        <v>141666.66666666666</v>
      </c>
      <c r="I4742" s="3">
        <f t="shared" ref="I4742:I4765" si="746">G4742-H4742</f>
        <v>-141666.66666666666</v>
      </c>
      <c r="J4742" s="3">
        <f t="shared" ref="J4742:J4765" si="747">F4742-I4742</f>
        <v>17141666.666666668</v>
      </c>
    </row>
    <row r="4743" spans="2:12" x14ac:dyDescent="0.35">
      <c r="B4743" s="1">
        <v>1</v>
      </c>
      <c r="C4743" s="22">
        <v>45352</v>
      </c>
      <c r="D4743" s="22">
        <v>45382</v>
      </c>
      <c r="E4743" s="23">
        <v>31</v>
      </c>
      <c r="F4743" s="3">
        <f t="shared" ref="F4743:F4765" si="748">J4742</f>
        <v>17141666.666666668</v>
      </c>
      <c r="G4743" s="298"/>
      <c r="H4743" s="3">
        <f t="shared" si="745"/>
        <v>142847.22222222222</v>
      </c>
      <c r="I4743" s="3">
        <f t="shared" si="746"/>
        <v>-142847.22222222222</v>
      </c>
      <c r="J4743" s="3">
        <f t="shared" si="747"/>
        <v>17284513.888888892</v>
      </c>
    </row>
    <row r="4744" spans="2:12" x14ac:dyDescent="0.35">
      <c r="B4744" s="1">
        <v>2</v>
      </c>
      <c r="C4744" s="22">
        <v>45383</v>
      </c>
      <c r="D4744" s="22">
        <v>45412</v>
      </c>
      <c r="E4744" s="23">
        <v>30</v>
      </c>
      <c r="F4744" s="3">
        <f t="shared" si="748"/>
        <v>17284513.888888892</v>
      </c>
      <c r="G4744" s="3"/>
      <c r="H4744" s="3">
        <f t="shared" si="745"/>
        <v>144037.61574074076</v>
      </c>
      <c r="I4744" s="3">
        <f t="shared" si="746"/>
        <v>-144037.61574074076</v>
      </c>
      <c r="J4744" s="3">
        <f t="shared" si="747"/>
        <v>17428551.504629634</v>
      </c>
    </row>
    <row r="4745" spans="2:12" x14ac:dyDescent="0.35">
      <c r="B4745" s="1">
        <f t="shared" ref="B4745:B4765" si="749">+B4744+1</f>
        <v>3</v>
      </c>
      <c r="C4745" s="22">
        <v>45413</v>
      </c>
      <c r="D4745" s="22">
        <v>45443</v>
      </c>
      <c r="E4745" s="23">
        <v>31</v>
      </c>
      <c r="F4745" s="3">
        <f t="shared" si="748"/>
        <v>17428551.504629634</v>
      </c>
      <c r="G4745" s="3">
        <f t="shared" ref="G4745:G4765" si="750">-PMT($D$4734/$D$4736,21,$F$4745,,0)</f>
        <v>908111.4613340809</v>
      </c>
      <c r="H4745" s="3">
        <f t="shared" si="745"/>
        <v>145237.92920524694</v>
      </c>
      <c r="I4745" s="3">
        <f t="shared" si="746"/>
        <v>762873.53212883393</v>
      </c>
      <c r="J4745" s="3">
        <f t="shared" si="747"/>
        <v>16665677.972500801</v>
      </c>
      <c r="L4745" s="141">
        <f t="shared" ref="L4745:L4750" si="751">+G4745-K4745+L4744</f>
        <v>908111.4613340809</v>
      </c>
    </row>
    <row r="4746" spans="2:12" x14ac:dyDescent="0.35">
      <c r="B4746" s="1">
        <f t="shared" si="749"/>
        <v>4</v>
      </c>
      <c r="C4746" s="22">
        <v>45444</v>
      </c>
      <c r="D4746" s="22">
        <v>45473</v>
      </c>
      <c r="E4746" s="23">
        <v>30</v>
      </c>
      <c r="F4746" s="3">
        <f t="shared" si="748"/>
        <v>16665677.972500801</v>
      </c>
      <c r="G4746" s="3">
        <f t="shared" si="750"/>
        <v>908111.4613340809</v>
      </c>
      <c r="H4746" s="3">
        <f t="shared" si="745"/>
        <v>138880.64977084001</v>
      </c>
      <c r="I4746" s="3">
        <f t="shared" si="746"/>
        <v>769230.81156324083</v>
      </c>
      <c r="J4746" s="3">
        <f t="shared" si="747"/>
        <v>15896447.160937561</v>
      </c>
      <c r="K4746" s="6">
        <v>908111.46</v>
      </c>
      <c r="L4746" s="141">
        <f t="shared" si="751"/>
        <v>908111.46266816184</v>
      </c>
    </row>
    <row r="4747" spans="2:12" x14ac:dyDescent="0.35">
      <c r="B4747" s="1">
        <f t="shared" si="749"/>
        <v>5</v>
      </c>
      <c r="C4747" s="22">
        <v>45474</v>
      </c>
      <c r="D4747" s="22">
        <v>45504</v>
      </c>
      <c r="E4747" s="23">
        <v>31</v>
      </c>
      <c r="F4747" s="3">
        <f t="shared" si="748"/>
        <v>15896447.160937561</v>
      </c>
      <c r="G4747" s="3">
        <f t="shared" si="750"/>
        <v>908111.4613340809</v>
      </c>
      <c r="H4747" s="3">
        <f t="shared" si="745"/>
        <v>132470.39300781299</v>
      </c>
      <c r="I4747" s="3">
        <f t="shared" si="746"/>
        <v>775641.06832626788</v>
      </c>
      <c r="J4747" s="3">
        <f t="shared" si="747"/>
        <v>15120806.092611292</v>
      </c>
      <c r="K4747" s="6">
        <v>908111.46</v>
      </c>
      <c r="L4747" s="141">
        <f t="shared" si="751"/>
        <v>908111.46400224278</v>
      </c>
    </row>
    <row r="4748" spans="2:12" x14ac:dyDescent="0.35">
      <c r="B4748" s="1">
        <f t="shared" si="749"/>
        <v>6</v>
      </c>
      <c r="C4748" s="22">
        <v>45505</v>
      </c>
      <c r="D4748" s="22">
        <v>45535</v>
      </c>
      <c r="E4748" s="23">
        <v>31</v>
      </c>
      <c r="F4748" s="3">
        <f t="shared" si="748"/>
        <v>15120806.092611292</v>
      </c>
      <c r="G4748" s="3">
        <f t="shared" si="750"/>
        <v>908111.4613340809</v>
      </c>
      <c r="H4748" s="3">
        <f t="shared" si="745"/>
        <v>126006.71743842744</v>
      </c>
      <c r="I4748" s="3">
        <f t="shared" si="746"/>
        <v>782104.7438956534</v>
      </c>
      <c r="J4748" s="3">
        <f t="shared" si="747"/>
        <v>14338701.348715639</v>
      </c>
      <c r="K4748" s="392">
        <f>908111.46+908111.46</f>
        <v>1816222.92</v>
      </c>
      <c r="L4748" s="141">
        <f t="shared" si="751"/>
        <v>5.3363237529993057E-3</v>
      </c>
    </row>
    <row r="4749" spans="2:12" x14ac:dyDescent="0.35">
      <c r="B4749" s="1">
        <f t="shared" si="749"/>
        <v>7</v>
      </c>
      <c r="C4749" s="22">
        <v>45536</v>
      </c>
      <c r="D4749" s="22">
        <v>45565</v>
      </c>
      <c r="E4749" s="23">
        <v>30</v>
      </c>
      <c r="F4749" s="3">
        <f t="shared" si="748"/>
        <v>14338701.348715639</v>
      </c>
      <c r="G4749" s="3">
        <f t="shared" si="750"/>
        <v>908111.4613340809</v>
      </c>
      <c r="H4749" s="3">
        <f t="shared" si="745"/>
        <v>119489.17790596366</v>
      </c>
      <c r="I4749" s="3">
        <f t="shared" si="746"/>
        <v>788622.28342811728</v>
      </c>
      <c r="J4749" s="3">
        <f t="shared" si="747"/>
        <v>13550079.065287521</v>
      </c>
      <c r="L4749" s="141">
        <f t="shared" si="751"/>
        <v>908111.46667040465</v>
      </c>
    </row>
    <row r="4750" spans="2:12" x14ac:dyDescent="0.35">
      <c r="B4750" s="1">
        <f t="shared" si="749"/>
        <v>8</v>
      </c>
      <c r="C4750" s="22">
        <v>45566</v>
      </c>
      <c r="D4750" s="22">
        <v>45596</v>
      </c>
      <c r="E4750" s="23">
        <v>31</v>
      </c>
      <c r="F4750" s="3">
        <f t="shared" si="748"/>
        <v>13550079.065287521</v>
      </c>
      <c r="G4750" s="3">
        <f t="shared" si="750"/>
        <v>908111.4613340809</v>
      </c>
      <c r="H4750" s="3">
        <f t="shared" si="745"/>
        <v>112917.32554406267</v>
      </c>
      <c r="I4750" s="3">
        <f t="shared" si="746"/>
        <v>795194.13579001825</v>
      </c>
      <c r="J4750" s="3">
        <f t="shared" si="747"/>
        <v>12754884.929497503</v>
      </c>
      <c r="K4750" s="392">
        <f>908111.46+908111.46</f>
        <v>1816222.92</v>
      </c>
      <c r="L4750" s="360">
        <f t="shared" si="751"/>
        <v>8.0044856294989586E-3</v>
      </c>
    </row>
    <row r="4751" spans="2:12" x14ac:dyDescent="0.35">
      <c r="B4751" s="1">
        <f t="shared" si="749"/>
        <v>9</v>
      </c>
      <c r="C4751" s="22">
        <v>45597</v>
      </c>
      <c r="D4751" s="22">
        <v>45626</v>
      </c>
      <c r="E4751" s="23">
        <v>30</v>
      </c>
      <c r="F4751" s="3">
        <f t="shared" si="748"/>
        <v>12754884.929497503</v>
      </c>
      <c r="G4751" s="3">
        <f t="shared" si="750"/>
        <v>908111.4613340809</v>
      </c>
      <c r="H4751" s="3">
        <f t="shared" si="745"/>
        <v>106290.70774581253</v>
      </c>
      <c r="I4751" s="3">
        <f t="shared" si="746"/>
        <v>801820.75358826842</v>
      </c>
      <c r="J4751" s="3">
        <f t="shared" si="747"/>
        <v>11953064.175909234</v>
      </c>
      <c r="K4751" s="392"/>
    </row>
    <row r="4752" spans="2:12" x14ac:dyDescent="0.35">
      <c r="B4752" s="1">
        <f t="shared" si="749"/>
        <v>10</v>
      </c>
      <c r="C4752" s="22">
        <v>45627</v>
      </c>
      <c r="D4752" s="22">
        <v>45657</v>
      </c>
      <c r="E4752" s="23">
        <v>31</v>
      </c>
      <c r="F4752" s="3">
        <f t="shared" si="748"/>
        <v>11953064.175909234</v>
      </c>
      <c r="G4752" s="3">
        <f t="shared" si="750"/>
        <v>908111.4613340809</v>
      </c>
      <c r="H4752" s="3">
        <f t="shared" si="745"/>
        <v>99608.868132576958</v>
      </c>
      <c r="I4752" s="3">
        <f t="shared" si="746"/>
        <v>808502.59320150397</v>
      </c>
      <c r="J4752" s="3">
        <f t="shared" si="747"/>
        <v>11144561.582707731</v>
      </c>
    </row>
    <row r="4753" spans="2:10" x14ac:dyDescent="0.35">
      <c r="B4753" s="1">
        <f t="shared" si="749"/>
        <v>11</v>
      </c>
      <c r="C4753" s="22">
        <v>45658</v>
      </c>
      <c r="D4753" s="22">
        <v>45688</v>
      </c>
      <c r="E4753" s="23">
        <v>31</v>
      </c>
      <c r="F4753" s="3">
        <f t="shared" si="748"/>
        <v>11144561.582707731</v>
      </c>
      <c r="G4753" s="3">
        <f t="shared" si="750"/>
        <v>908111.4613340809</v>
      </c>
      <c r="H4753" s="3">
        <f t="shared" si="745"/>
        <v>92871.346522564418</v>
      </c>
      <c r="I4753" s="3">
        <f t="shared" si="746"/>
        <v>815240.11481151648</v>
      </c>
      <c r="J4753" s="3">
        <f t="shared" si="747"/>
        <v>10329321.467896214</v>
      </c>
    </row>
    <row r="4754" spans="2:10" x14ac:dyDescent="0.35">
      <c r="B4754" s="1">
        <f t="shared" si="749"/>
        <v>12</v>
      </c>
      <c r="C4754" s="22">
        <v>45689</v>
      </c>
      <c r="D4754" s="22">
        <v>45716</v>
      </c>
      <c r="E4754" s="23">
        <v>28</v>
      </c>
      <c r="F4754" s="3">
        <f t="shared" si="748"/>
        <v>10329321.467896214</v>
      </c>
      <c r="G4754" s="3">
        <f t="shared" si="750"/>
        <v>908111.4613340809</v>
      </c>
      <c r="H4754" s="3">
        <f t="shared" si="745"/>
        <v>86077.67889913512</v>
      </c>
      <c r="I4754" s="3">
        <f t="shared" si="746"/>
        <v>822033.78243494581</v>
      </c>
      <c r="J4754" s="3">
        <f t="shared" si="747"/>
        <v>9507287.6854612678</v>
      </c>
    </row>
    <row r="4755" spans="2:10" x14ac:dyDescent="0.35">
      <c r="B4755" s="1">
        <f t="shared" si="749"/>
        <v>13</v>
      </c>
      <c r="C4755" s="22">
        <v>45717</v>
      </c>
      <c r="D4755" s="22">
        <v>45747</v>
      </c>
      <c r="E4755" s="23">
        <v>31</v>
      </c>
      <c r="F4755" s="3">
        <f t="shared" si="748"/>
        <v>9507287.6854612678</v>
      </c>
      <c r="G4755" s="3">
        <f t="shared" si="750"/>
        <v>908111.4613340809</v>
      </c>
      <c r="H4755" s="3">
        <f t="shared" si="745"/>
        <v>79227.397378843903</v>
      </c>
      <c r="I4755" s="3">
        <f t="shared" si="746"/>
        <v>828884.06395523704</v>
      </c>
      <c r="J4755" s="3">
        <f t="shared" si="747"/>
        <v>8678403.6215060316</v>
      </c>
    </row>
    <row r="4756" spans="2:10" x14ac:dyDescent="0.35">
      <c r="B4756" s="1">
        <f t="shared" si="749"/>
        <v>14</v>
      </c>
      <c r="C4756" s="22">
        <v>45748</v>
      </c>
      <c r="D4756" s="22">
        <v>45777</v>
      </c>
      <c r="E4756" s="23">
        <v>30</v>
      </c>
      <c r="F4756" s="3">
        <f t="shared" si="748"/>
        <v>8678403.6215060316</v>
      </c>
      <c r="G4756" s="3">
        <f t="shared" si="750"/>
        <v>908111.4613340809</v>
      </c>
      <c r="H4756" s="3">
        <f t="shared" si="745"/>
        <v>72320.030179216934</v>
      </c>
      <c r="I4756" s="3">
        <f t="shared" si="746"/>
        <v>835791.43115486391</v>
      </c>
      <c r="J4756" s="3">
        <f t="shared" si="747"/>
        <v>7842612.1903511677</v>
      </c>
    </row>
    <row r="4757" spans="2:10" x14ac:dyDescent="0.35">
      <c r="B4757" s="1">
        <f t="shared" si="749"/>
        <v>15</v>
      </c>
      <c r="C4757" s="22">
        <v>45778</v>
      </c>
      <c r="D4757" s="22">
        <v>45808</v>
      </c>
      <c r="E4757" s="23">
        <v>31</v>
      </c>
      <c r="F4757" s="3">
        <f t="shared" si="748"/>
        <v>7842612.1903511677</v>
      </c>
      <c r="G4757" s="3">
        <f t="shared" si="750"/>
        <v>908111.4613340809</v>
      </c>
      <c r="H4757" s="3">
        <f t="shared" si="745"/>
        <v>65355.101586259727</v>
      </c>
      <c r="I4757" s="3">
        <f t="shared" si="746"/>
        <v>842756.35974782123</v>
      </c>
      <c r="J4757" s="3">
        <f t="shared" si="747"/>
        <v>6999855.8306033462</v>
      </c>
    </row>
    <row r="4758" spans="2:10" x14ac:dyDescent="0.35">
      <c r="B4758" s="1">
        <f t="shared" si="749"/>
        <v>16</v>
      </c>
      <c r="C4758" s="22">
        <v>45809</v>
      </c>
      <c r="D4758" s="22">
        <v>45838</v>
      </c>
      <c r="E4758" s="23">
        <v>30</v>
      </c>
      <c r="F4758" s="3">
        <f t="shared" si="748"/>
        <v>6999855.8306033462</v>
      </c>
      <c r="G4758" s="3">
        <f t="shared" si="750"/>
        <v>908111.4613340809</v>
      </c>
      <c r="H4758" s="3">
        <f t="shared" si="745"/>
        <v>58332.131921694549</v>
      </c>
      <c r="I4758" s="3">
        <f t="shared" si="746"/>
        <v>849779.3294123864</v>
      </c>
      <c r="J4758" s="3">
        <f t="shared" si="747"/>
        <v>6150076.5011909595</v>
      </c>
    </row>
    <row r="4759" spans="2:10" x14ac:dyDescent="0.35">
      <c r="B4759" s="1">
        <f t="shared" si="749"/>
        <v>17</v>
      </c>
      <c r="C4759" s="22">
        <v>45839</v>
      </c>
      <c r="D4759" s="22">
        <v>45868</v>
      </c>
      <c r="E4759" s="23">
        <v>30</v>
      </c>
      <c r="F4759" s="3">
        <f t="shared" si="748"/>
        <v>6150076.5011909595</v>
      </c>
      <c r="G4759" s="3">
        <f t="shared" si="750"/>
        <v>908111.4613340809</v>
      </c>
      <c r="H4759" s="3">
        <f t="shared" si="745"/>
        <v>51250.637509924665</v>
      </c>
      <c r="I4759" s="3">
        <f t="shared" si="746"/>
        <v>856860.82382415619</v>
      </c>
      <c r="J4759" s="3">
        <f t="shared" si="747"/>
        <v>5293215.6773668034</v>
      </c>
    </row>
    <row r="4760" spans="2:10" x14ac:dyDescent="0.35">
      <c r="B4760" s="1">
        <f t="shared" si="749"/>
        <v>18</v>
      </c>
      <c r="C4760" s="22">
        <v>45870</v>
      </c>
      <c r="D4760" s="22">
        <v>45899</v>
      </c>
      <c r="E4760" s="23">
        <v>30</v>
      </c>
      <c r="F4760" s="3">
        <f t="shared" si="748"/>
        <v>5293215.6773668034</v>
      </c>
      <c r="G4760" s="3">
        <f t="shared" si="750"/>
        <v>908111.4613340809</v>
      </c>
      <c r="H4760" s="3">
        <f t="shared" si="745"/>
        <v>44110.130644723358</v>
      </c>
      <c r="I4760" s="3">
        <f t="shared" si="746"/>
        <v>864001.33068935759</v>
      </c>
      <c r="J4760" s="3">
        <f t="shared" si="747"/>
        <v>4429214.3466774458</v>
      </c>
    </row>
    <row r="4761" spans="2:10" x14ac:dyDescent="0.35">
      <c r="B4761" s="1">
        <f t="shared" si="749"/>
        <v>19</v>
      </c>
      <c r="C4761" s="22">
        <v>45901</v>
      </c>
      <c r="D4761" s="22">
        <v>45930</v>
      </c>
      <c r="E4761" s="23">
        <v>30</v>
      </c>
      <c r="F4761" s="3">
        <f t="shared" si="748"/>
        <v>4429214.3466774458</v>
      </c>
      <c r="G4761" s="3">
        <f t="shared" si="750"/>
        <v>908111.4613340809</v>
      </c>
      <c r="H4761" s="3">
        <f t="shared" si="745"/>
        <v>36910.119555645382</v>
      </c>
      <c r="I4761" s="3">
        <f t="shared" si="746"/>
        <v>871201.34177843551</v>
      </c>
      <c r="J4761" s="3">
        <f t="shared" si="747"/>
        <v>3558013.0048990101</v>
      </c>
    </row>
    <row r="4762" spans="2:10" x14ac:dyDescent="0.35">
      <c r="B4762" s="1">
        <f t="shared" si="749"/>
        <v>20</v>
      </c>
      <c r="C4762" s="22">
        <v>45931</v>
      </c>
      <c r="D4762" s="22">
        <v>45961</v>
      </c>
      <c r="E4762" s="23">
        <v>31</v>
      </c>
      <c r="F4762" s="3">
        <f t="shared" si="748"/>
        <v>3558013.0048990101</v>
      </c>
      <c r="G4762" s="3">
        <f t="shared" si="750"/>
        <v>908111.4613340809</v>
      </c>
      <c r="H4762" s="3">
        <f t="shared" si="745"/>
        <v>29650.108374158415</v>
      </c>
      <c r="I4762" s="3">
        <f t="shared" si="746"/>
        <v>878461.35295992251</v>
      </c>
      <c r="J4762" s="3">
        <f t="shared" si="747"/>
        <v>2679551.6519390875</v>
      </c>
    </row>
    <row r="4763" spans="2:10" x14ac:dyDescent="0.35">
      <c r="B4763" s="1">
        <f t="shared" si="749"/>
        <v>21</v>
      </c>
      <c r="C4763" s="22">
        <v>45962</v>
      </c>
      <c r="D4763" s="22">
        <v>45991</v>
      </c>
      <c r="E4763" s="23">
        <v>30</v>
      </c>
      <c r="F4763" s="3">
        <f t="shared" si="748"/>
        <v>2679551.6519390875</v>
      </c>
      <c r="G4763" s="3">
        <f t="shared" si="750"/>
        <v>908111.4613340809</v>
      </c>
      <c r="H4763" s="3">
        <f t="shared" si="745"/>
        <v>22329.597099492396</v>
      </c>
      <c r="I4763" s="3">
        <f t="shared" si="746"/>
        <v>885781.86423458846</v>
      </c>
      <c r="J4763" s="3">
        <f t="shared" si="747"/>
        <v>1793769.787704499</v>
      </c>
    </row>
    <row r="4764" spans="2:10" x14ac:dyDescent="0.35">
      <c r="B4764" s="1">
        <f t="shared" si="749"/>
        <v>22</v>
      </c>
      <c r="C4764" s="22">
        <v>45992</v>
      </c>
      <c r="D4764" s="22">
        <v>46022</v>
      </c>
      <c r="E4764" s="23">
        <v>31</v>
      </c>
      <c r="F4764" s="3">
        <f t="shared" si="748"/>
        <v>1793769.787704499</v>
      </c>
      <c r="G4764" s="3">
        <f t="shared" si="750"/>
        <v>908111.4613340809</v>
      </c>
      <c r="H4764" s="3">
        <f t="shared" si="745"/>
        <v>14948.081564204158</v>
      </c>
      <c r="I4764" s="3">
        <f t="shared" si="746"/>
        <v>893163.37976987672</v>
      </c>
      <c r="J4764" s="3">
        <f t="shared" si="747"/>
        <v>900606.40793462226</v>
      </c>
    </row>
    <row r="4765" spans="2:10" x14ac:dyDescent="0.35">
      <c r="B4765" s="1">
        <f t="shared" si="749"/>
        <v>23</v>
      </c>
      <c r="C4765" s="22">
        <v>46023</v>
      </c>
      <c r="D4765" s="22">
        <v>46053</v>
      </c>
      <c r="E4765" s="23">
        <v>31</v>
      </c>
      <c r="F4765" s="3">
        <f t="shared" si="748"/>
        <v>900606.40793462226</v>
      </c>
      <c r="G4765" s="3">
        <f t="shared" si="750"/>
        <v>908111.4613340809</v>
      </c>
      <c r="H4765" s="3">
        <f t="shared" si="745"/>
        <v>7505.0533994551852</v>
      </c>
      <c r="I4765" s="3">
        <f t="shared" si="746"/>
        <v>900606.40793462575</v>
      </c>
      <c r="J4765" s="3">
        <f t="shared" si="747"/>
        <v>-3.4924596548080444E-9</v>
      </c>
    </row>
    <row r="4766" spans="2:10" x14ac:dyDescent="0.35">
      <c r="B4766" s="1"/>
      <c r="C4766" s="22"/>
      <c r="D4766" s="22"/>
      <c r="E4766" s="23"/>
      <c r="F4766" s="3"/>
      <c r="G4766" s="3"/>
      <c r="H4766" s="3"/>
      <c r="I4766" s="3"/>
      <c r="J4766" s="3"/>
    </row>
    <row r="4767" spans="2:10" x14ac:dyDescent="0.35">
      <c r="B4767" s="1"/>
      <c r="C4767" s="22"/>
      <c r="D4767" s="22"/>
      <c r="E4767" s="23"/>
      <c r="F4767" s="3"/>
      <c r="G4767" s="298"/>
      <c r="H4767" s="3"/>
      <c r="I4767" s="3"/>
      <c r="J4767" s="3"/>
    </row>
    <row r="4768" spans="2:10" x14ac:dyDescent="0.35">
      <c r="B4768" s="1"/>
      <c r="C4768" s="22"/>
      <c r="D4768" s="22"/>
      <c r="E4768" s="23"/>
      <c r="F4768" s="3"/>
      <c r="G4768" s="298"/>
      <c r="H4768" s="3"/>
      <c r="I4768" s="3"/>
      <c r="J4768" s="3"/>
    </row>
    <row r="4769" spans="2:19" x14ac:dyDescent="0.35">
      <c r="B4769" s="1"/>
      <c r="C4769" s="8" t="s">
        <v>656</v>
      </c>
      <c r="D4769" s="3"/>
      <c r="E4769" s="3"/>
      <c r="F4769" s="3"/>
      <c r="G4769" s="3"/>
      <c r="H4769" s="3"/>
      <c r="I4769" s="3"/>
      <c r="J4769" s="3"/>
      <c r="R4769" s="438" t="s">
        <v>832</v>
      </c>
      <c r="S4769" s="432" t="str">
        <f>IFERROR(INDEX(Blocks!$I$2:$I$101,MATCH(87,Blocks!$A$2:$A$101,0)),"")</f>
        <v>000104460000089</v>
      </c>
    </row>
    <row r="4770" spans="2:19" x14ac:dyDescent="0.35">
      <c r="B4770" s="1"/>
      <c r="C4770" s="1"/>
      <c r="D4770" s="3"/>
      <c r="E4770" s="3"/>
      <c r="F4770" s="3"/>
      <c r="G4770" s="3"/>
      <c r="H4770" s="3"/>
      <c r="I4770" s="3"/>
      <c r="J4770" s="3"/>
      <c r="R4770" s="438" t="s">
        <v>834</v>
      </c>
      <c r="S4770" s="432" t="str">
        <f>IFERROR(INDEX(Blocks!$H$2:$H$101,MATCH(87,Blocks!$A$2:$A$101,0)),"")</f>
        <v>Lehome Investment Limited</v>
      </c>
    </row>
    <row r="4771" spans="2:19" x14ac:dyDescent="0.35">
      <c r="B4771" s="1"/>
      <c r="C4771" s="9" t="s">
        <v>835</v>
      </c>
      <c r="D4771" s="10">
        <v>150000000</v>
      </c>
      <c r="E4771" s="3"/>
      <c r="F4771" s="3"/>
      <c r="G4771" s="3"/>
      <c r="H4771" s="3"/>
      <c r="I4771" s="3"/>
      <c r="J4771" s="3"/>
      <c r="R4771" s="438" t="s">
        <v>223</v>
      </c>
      <c r="S4771" s="433">
        <f>IFERROR(INDEX('E-Banker master'!$N$2:$N$186,MATCH(S4769,'E-Banker master'!$A$2:$A$186,0)),"")</f>
        <v>150000000</v>
      </c>
    </row>
    <row r="4772" spans="2:19" x14ac:dyDescent="0.35">
      <c r="B4772" s="1"/>
      <c r="C4772" s="11" t="s">
        <v>837</v>
      </c>
      <c r="D4772" s="12">
        <v>0.1</v>
      </c>
      <c r="E4772" s="13"/>
      <c r="F4772" s="3"/>
      <c r="G4772" s="3"/>
      <c r="H4772" s="3"/>
      <c r="I4772" s="3"/>
      <c r="J4772" s="3"/>
      <c r="R4772" s="438" t="s">
        <v>52</v>
      </c>
      <c r="S4772" s="433">
        <f>IFERROR(INDEX('E-Banker master'!$P$2:$P$186,MATCH(S4769,'E-Banker master'!$A$2:$A$186,0)),"")</f>
        <v>147295308.09</v>
      </c>
    </row>
    <row r="4773" spans="2:19" x14ac:dyDescent="0.35">
      <c r="B4773" s="1"/>
      <c r="C4773" s="11" t="s">
        <v>838</v>
      </c>
      <c r="D4773" s="14">
        <v>4</v>
      </c>
      <c r="E4773" s="1"/>
      <c r="F4773" s="3"/>
      <c r="G4773" s="3"/>
      <c r="H4773" s="3"/>
      <c r="I4773" s="3"/>
      <c r="J4773" s="3"/>
    </row>
    <row r="4774" spans="2:19" x14ac:dyDescent="0.35">
      <c r="B4774" s="1"/>
      <c r="C4774" s="11" t="s">
        <v>839</v>
      </c>
      <c r="D4774" s="14">
        <v>12</v>
      </c>
      <c r="E4774" s="1"/>
      <c r="F4774" s="3"/>
      <c r="G4774" s="3"/>
      <c r="H4774" s="3"/>
      <c r="I4774" s="3"/>
      <c r="J4774" s="3"/>
    </row>
    <row r="4775" spans="2:19" x14ac:dyDescent="0.35">
      <c r="B4775" s="1"/>
      <c r="C4775" s="11" t="s">
        <v>843</v>
      </c>
      <c r="D4775" s="15">
        <f>+D4774*D4773</f>
        <v>48</v>
      </c>
      <c r="E4775" s="1"/>
      <c r="F4775" s="3"/>
      <c r="G4775" s="3"/>
      <c r="H4775" s="3"/>
      <c r="I4775" s="3"/>
      <c r="J4775" s="3"/>
    </row>
    <row r="4776" spans="2:19" x14ac:dyDescent="0.35">
      <c r="B4776" s="1"/>
      <c r="C4776" s="11" t="s">
        <v>844</v>
      </c>
      <c r="D4776" s="16">
        <v>365</v>
      </c>
      <c r="E4776" s="1"/>
      <c r="F4776" s="3"/>
      <c r="G4776" s="3"/>
      <c r="H4776" s="3"/>
      <c r="I4776" s="3"/>
      <c r="J4776" s="3"/>
    </row>
    <row r="4777" spans="2:19" x14ac:dyDescent="0.35">
      <c r="B4777" s="1"/>
      <c r="C4777" s="17" t="s">
        <v>845</v>
      </c>
      <c r="D4777" s="220">
        <f>-PMT(D4772/D4774,D4775,D4771,0,0)</f>
        <v>3804387.5152120781</v>
      </c>
      <c r="E4777" s="3"/>
      <c r="F4777" s="3"/>
      <c r="G4777" s="3"/>
      <c r="H4777" s="3"/>
      <c r="I4777" s="3"/>
      <c r="J4777" s="3"/>
    </row>
    <row r="4778" spans="2:19" x14ac:dyDescent="0.35">
      <c r="B4778" s="1"/>
      <c r="C4778" s="1"/>
      <c r="D4778" s="3"/>
      <c r="E4778" s="3"/>
      <c r="F4778" s="3"/>
      <c r="G4778" s="3"/>
      <c r="H4778" s="3"/>
      <c r="I4778" s="3"/>
      <c r="J4778" s="3"/>
    </row>
    <row r="4779" spans="2:19" x14ac:dyDescent="0.35">
      <c r="B4779" s="1"/>
      <c r="C4779" s="19" t="s">
        <v>846</v>
      </c>
      <c r="D4779" s="20" t="s">
        <v>847</v>
      </c>
      <c r="E4779" s="20" t="s">
        <v>764</v>
      </c>
      <c r="F4779" s="270" t="s">
        <v>848</v>
      </c>
      <c r="G4779" s="270" t="s">
        <v>849</v>
      </c>
      <c r="H4779" s="270" t="s">
        <v>742</v>
      </c>
      <c r="I4779" s="270" t="s">
        <v>740</v>
      </c>
      <c r="J4779" s="270" t="s">
        <v>850</v>
      </c>
      <c r="K4779" s="21" t="s">
        <v>851</v>
      </c>
      <c r="L4779" s="21" t="s">
        <v>852</v>
      </c>
    </row>
    <row r="4780" spans="2:19" x14ac:dyDescent="0.35">
      <c r="B4780" s="1">
        <v>0</v>
      </c>
      <c r="C4780" s="22">
        <v>45342</v>
      </c>
      <c r="D4780" s="22">
        <v>45351</v>
      </c>
      <c r="E4780" s="310">
        <v>9</v>
      </c>
      <c r="F4780" s="3">
        <f>D4771</f>
        <v>150000000</v>
      </c>
      <c r="G4780" s="3"/>
      <c r="H4780" s="3">
        <f>($D$4772/$D$4774*F4780*E4780/31)</f>
        <v>362903.22580645164</v>
      </c>
      <c r="I4780" s="3">
        <f t="shared" ref="I4780:I4827" si="752">G4780-H4780</f>
        <v>-362903.22580645164</v>
      </c>
      <c r="J4780" s="3">
        <f t="shared" ref="J4780:J4827" si="753">F4780-I4780</f>
        <v>150362903.22580644</v>
      </c>
    </row>
    <row r="4781" spans="2:19" x14ac:dyDescent="0.35">
      <c r="B4781" s="1">
        <v>1</v>
      </c>
      <c r="C4781" s="22">
        <v>45352</v>
      </c>
      <c r="D4781" s="22">
        <v>45382</v>
      </c>
      <c r="E4781" s="23">
        <v>31</v>
      </c>
      <c r="F4781" s="3">
        <f t="shared" ref="F4781:F4827" si="754">J4780</f>
        <v>150362903.22580644</v>
      </c>
      <c r="G4781" s="3"/>
      <c r="H4781" s="3">
        <f t="shared" ref="H4781:H4827" si="755">($D$4772/$D$4774*F4781)</f>
        <v>1253024.1935483869</v>
      </c>
      <c r="I4781" s="3">
        <f t="shared" si="752"/>
        <v>-1253024.1935483869</v>
      </c>
      <c r="J4781" s="3">
        <f t="shared" si="753"/>
        <v>151615927.41935483</v>
      </c>
    </row>
    <row r="4782" spans="2:19" x14ac:dyDescent="0.35">
      <c r="B4782" s="1">
        <v>2</v>
      </c>
      <c r="C4782" s="22">
        <v>45383</v>
      </c>
      <c r="D4782" s="22">
        <v>45412</v>
      </c>
      <c r="E4782" s="23">
        <v>30</v>
      </c>
      <c r="F4782" s="3">
        <f t="shared" si="754"/>
        <v>151615927.41935483</v>
      </c>
      <c r="G4782" s="3"/>
      <c r="H4782" s="3">
        <f t="shared" si="755"/>
        <v>1263466.0618279569</v>
      </c>
      <c r="I4782" s="3">
        <f t="shared" si="752"/>
        <v>-1263466.0618279569</v>
      </c>
      <c r="J4782" s="3">
        <f t="shared" si="753"/>
        <v>152879393.48118278</v>
      </c>
    </row>
    <row r="4783" spans="2:19" x14ac:dyDescent="0.35">
      <c r="B4783" s="1">
        <f t="shared" ref="B4783:B4827" si="756">+B4782+1</f>
        <v>3</v>
      </c>
      <c r="C4783" s="22">
        <v>45413</v>
      </c>
      <c r="D4783" s="22">
        <v>45443</v>
      </c>
      <c r="E4783" s="23">
        <v>31</v>
      </c>
      <c r="F4783" s="3">
        <f t="shared" si="754"/>
        <v>152879393.48118278</v>
      </c>
      <c r="G4783" s="3"/>
      <c r="H4783" s="3">
        <f t="shared" si="755"/>
        <v>1273994.9456765233</v>
      </c>
      <c r="I4783" s="3">
        <f t="shared" si="752"/>
        <v>-1273994.9456765233</v>
      </c>
      <c r="J4783" s="3">
        <f t="shared" si="753"/>
        <v>154153388.42685932</v>
      </c>
      <c r="L4783" s="141">
        <f>+G4783-K4783+L4782</f>
        <v>0</v>
      </c>
    </row>
    <row r="4784" spans="2:19" x14ac:dyDescent="0.35">
      <c r="B4784" s="1">
        <f t="shared" si="756"/>
        <v>4</v>
      </c>
      <c r="C4784" s="22">
        <v>45444</v>
      </c>
      <c r="D4784" s="22">
        <v>45473</v>
      </c>
      <c r="E4784" s="23">
        <v>30</v>
      </c>
      <c r="F4784" s="3">
        <f t="shared" si="754"/>
        <v>154153388.42685932</v>
      </c>
      <c r="G4784" s="3"/>
      <c r="H4784" s="3">
        <f t="shared" si="755"/>
        <v>1284611.5702238276</v>
      </c>
      <c r="I4784" s="3">
        <f t="shared" si="752"/>
        <v>-1284611.5702238276</v>
      </c>
      <c r="J4784" s="3">
        <f t="shared" si="753"/>
        <v>155437999.99708316</v>
      </c>
    </row>
    <row r="4785" spans="2:12" x14ac:dyDescent="0.35">
      <c r="B4785" s="1">
        <f t="shared" si="756"/>
        <v>5</v>
      </c>
      <c r="C4785" s="22">
        <v>45474</v>
      </c>
      <c r="D4785" s="22">
        <v>45504</v>
      </c>
      <c r="E4785" s="23">
        <v>31</v>
      </c>
      <c r="F4785" s="3">
        <f t="shared" si="754"/>
        <v>155437999.99708316</v>
      </c>
      <c r="G4785" s="3"/>
      <c r="H4785" s="3">
        <f t="shared" si="755"/>
        <v>1295316.6666423597</v>
      </c>
      <c r="I4785" s="3">
        <f t="shared" si="752"/>
        <v>-1295316.6666423597</v>
      </c>
      <c r="J4785" s="3">
        <f t="shared" si="753"/>
        <v>156733316.66372553</v>
      </c>
      <c r="L4785" s="141">
        <f>+G4785-K4785+L4784</f>
        <v>0</v>
      </c>
    </row>
    <row r="4786" spans="2:12" x14ac:dyDescent="0.35">
      <c r="B4786" s="1">
        <f t="shared" si="756"/>
        <v>6</v>
      </c>
      <c r="C4786" s="22">
        <v>45505</v>
      </c>
      <c r="D4786" s="22">
        <v>45535</v>
      </c>
      <c r="E4786" s="23">
        <v>31</v>
      </c>
      <c r="F4786" s="3">
        <f t="shared" si="754"/>
        <v>156733316.66372553</v>
      </c>
      <c r="G4786" s="3">
        <f t="shared" ref="G4786:G4827" si="757">-PMT($D$4772/$D$4774,42,$F$4786,,0)</f>
        <v>4438189.0130648427</v>
      </c>
      <c r="H4786" s="3">
        <f t="shared" si="755"/>
        <v>1306110.9721977126</v>
      </c>
      <c r="I4786" s="3">
        <f t="shared" si="752"/>
        <v>3132078.0408671303</v>
      </c>
      <c r="J4786" s="3">
        <f t="shared" si="753"/>
        <v>153601238.62285841</v>
      </c>
      <c r="L4786" s="141">
        <f>+G4786-K4786+L4785</f>
        <v>4438189.0130648427</v>
      </c>
    </row>
    <row r="4787" spans="2:12" x14ac:dyDescent="0.35">
      <c r="B4787" s="1">
        <f t="shared" si="756"/>
        <v>7</v>
      </c>
      <c r="C4787" s="22">
        <v>45536</v>
      </c>
      <c r="D4787" s="22">
        <v>45565</v>
      </c>
      <c r="E4787" s="23">
        <v>30</v>
      </c>
      <c r="F4787" s="3">
        <f t="shared" si="754"/>
        <v>153601238.62285841</v>
      </c>
      <c r="G4787" s="3">
        <f t="shared" si="757"/>
        <v>4438189.0130648427</v>
      </c>
      <c r="H4787" s="3">
        <f t="shared" si="755"/>
        <v>1280010.3218571534</v>
      </c>
      <c r="I4787" s="3">
        <f t="shared" si="752"/>
        <v>3158178.6912076892</v>
      </c>
      <c r="J4787" s="3">
        <f t="shared" si="753"/>
        <v>150443059.93165073</v>
      </c>
      <c r="K4787" s="7">
        <f>4439000+4439000</f>
        <v>8878000</v>
      </c>
      <c r="L4787" s="141">
        <f>+G4787-K4787+L4786</f>
        <v>-1621.9738703146577</v>
      </c>
    </row>
    <row r="4788" spans="2:12" x14ac:dyDescent="0.35">
      <c r="B4788" s="1">
        <f t="shared" si="756"/>
        <v>8</v>
      </c>
      <c r="C4788" s="22">
        <v>45566</v>
      </c>
      <c r="D4788" s="22">
        <v>45596</v>
      </c>
      <c r="E4788" s="23">
        <v>31</v>
      </c>
      <c r="F4788" s="3">
        <f t="shared" si="754"/>
        <v>150443059.93165073</v>
      </c>
      <c r="G4788" s="3">
        <f t="shared" si="757"/>
        <v>4438189.0130648427</v>
      </c>
      <c r="H4788" s="3">
        <f t="shared" si="755"/>
        <v>1253692.1660970894</v>
      </c>
      <c r="I4788" s="3">
        <f t="shared" si="752"/>
        <v>3184496.846967753</v>
      </c>
      <c r="J4788" s="3">
        <f t="shared" si="753"/>
        <v>147258563.08468297</v>
      </c>
      <c r="K4788" s="392">
        <v>4439000</v>
      </c>
      <c r="L4788" s="360">
        <f>+G4788-K4788+L4787</f>
        <v>-2432.9608054719865</v>
      </c>
    </row>
    <row r="4789" spans="2:12" x14ac:dyDescent="0.35">
      <c r="B4789" s="1">
        <f t="shared" si="756"/>
        <v>9</v>
      </c>
      <c r="C4789" s="22">
        <v>45597</v>
      </c>
      <c r="D4789" s="22">
        <v>45626</v>
      </c>
      <c r="E4789" s="23">
        <v>30</v>
      </c>
      <c r="F4789" s="3">
        <f t="shared" si="754"/>
        <v>147258563.08468297</v>
      </c>
      <c r="G4789" s="3">
        <f t="shared" si="757"/>
        <v>4438189.0130648427</v>
      </c>
      <c r="H4789" s="3">
        <f t="shared" si="755"/>
        <v>1227154.6923723582</v>
      </c>
      <c r="I4789" s="3">
        <f t="shared" si="752"/>
        <v>3211034.3206924843</v>
      </c>
      <c r="J4789" s="3">
        <f t="shared" si="753"/>
        <v>144047528.76399049</v>
      </c>
    </row>
    <row r="4790" spans="2:12" x14ac:dyDescent="0.35">
      <c r="B4790" s="1">
        <f t="shared" si="756"/>
        <v>10</v>
      </c>
      <c r="C4790" s="22">
        <v>45627</v>
      </c>
      <c r="D4790" s="22">
        <v>45657</v>
      </c>
      <c r="E4790" s="23">
        <v>31</v>
      </c>
      <c r="F4790" s="3">
        <f t="shared" si="754"/>
        <v>144047528.76399049</v>
      </c>
      <c r="G4790" s="3">
        <f t="shared" si="757"/>
        <v>4438189.0130648427</v>
      </c>
      <c r="H4790" s="3">
        <f t="shared" si="755"/>
        <v>1200396.0730332541</v>
      </c>
      <c r="I4790" s="3">
        <f t="shared" si="752"/>
        <v>3237792.9400315885</v>
      </c>
      <c r="J4790" s="3">
        <f t="shared" si="753"/>
        <v>140809735.8239589</v>
      </c>
    </row>
    <row r="4791" spans="2:12" x14ac:dyDescent="0.35">
      <c r="B4791" s="1">
        <f t="shared" si="756"/>
        <v>11</v>
      </c>
      <c r="C4791" s="22">
        <v>45658</v>
      </c>
      <c r="D4791" s="22">
        <v>45688</v>
      </c>
      <c r="E4791" s="23">
        <v>31</v>
      </c>
      <c r="F4791" s="3">
        <f t="shared" si="754"/>
        <v>140809735.8239589</v>
      </c>
      <c r="G4791" s="3">
        <f t="shared" si="757"/>
        <v>4438189.0130648427</v>
      </c>
      <c r="H4791" s="3">
        <f t="shared" si="755"/>
        <v>1173414.4651996575</v>
      </c>
      <c r="I4791" s="3">
        <f t="shared" si="752"/>
        <v>3264774.547865185</v>
      </c>
      <c r="J4791" s="3">
        <f t="shared" si="753"/>
        <v>137544961.27609372</v>
      </c>
    </row>
    <row r="4792" spans="2:12" x14ac:dyDescent="0.35">
      <c r="B4792" s="1">
        <f t="shared" si="756"/>
        <v>12</v>
      </c>
      <c r="C4792" s="22">
        <v>45689</v>
      </c>
      <c r="D4792" s="22">
        <v>45716</v>
      </c>
      <c r="E4792" s="23">
        <v>28</v>
      </c>
      <c r="F4792" s="3">
        <f t="shared" si="754"/>
        <v>137544961.27609372</v>
      </c>
      <c r="G4792" s="3">
        <f t="shared" si="757"/>
        <v>4438189.0130648427</v>
      </c>
      <c r="H4792" s="3">
        <f t="shared" si="755"/>
        <v>1146208.0106341143</v>
      </c>
      <c r="I4792" s="3">
        <f t="shared" si="752"/>
        <v>3291981.0024307286</v>
      </c>
      <c r="J4792" s="3">
        <f t="shared" si="753"/>
        <v>134252980.27366298</v>
      </c>
    </row>
    <row r="4793" spans="2:12" x14ac:dyDescent="0.35">
      <c r="B4793" s="1">
        <f t="shared" si="756"/>
        <v>13</v>
      </c>
      <c r="C4793" s="22">
        <v>45717</v>
      </c>
      <c r="D4793" s="22">
        <v>45747</v>
      </c>
      <c r="E4793" s="23">
        <v>31</v>
      </c>
      <c r="F4793" s="3">
        <f t="shared" si="754"/>
        <v>134252980.27366298</v>
      </c>
      <c r="G4793" s="3">
        <f t="shared" si="757"/>
        <v>4438189.0130648427</v>
      </c>
      <c r="H4793" s="3">
        <f t="shared" si="755"/>
        <v>1118774.8356138582</v>
      </c>
      <c r="I4793" s="3">
        <f t="shared" si="752"/>
        <v>3319414.1774509847</v>
      </c>
      <c r="J4793" s="3">
        <f t="shared" si="753"/>
        <v>130933566.096212</v>
      </c>
    </row>
    <row r="4794" spans="2:12" x14ac:dyDescent="0.35">
      <c r="B4794" s="1">
        <f t="shared" si="756"/>
        <v>14</v>
      </c>
      <c r="C4794" s="22">
        <v>45748</v>
      </c>
      <c r="D4794" s="22">
        <v>45777</v>
      </c>
      <c r="E4794" s="23">
        <v>30</v>
      </c>
      <c r="F4794" s="3">
        <f t="shared" si="754"/>
        <v>130933566.096212</v>
      </c>
      <c r="G4794" s="3">
        <f t="shared" si="757"/>
        <v>4438189.0130648427</v>
      </c>
      <c r="H4794" s="3">
        <f t="shared" si="755"/>
        <v>1091113.0508017666</v>
      </c>
      <c r="I4794" s="3">
        <f t="shared" si="752"/>
        <v>3347075.9622630761</v>
      </c>
      <c r="J4794" s="3">
        <f t="shared" si="753"/>
        <v>127586490.13394892</v>
      </c>
    </row>
    <row r="4795" spans="2:12" x14ac:dyDescent="0.35">
      <c r="B4795" s="1">
        <f t="shared" si="756"/>
        <v>15</v>
      </c>
      <c r="C4795" s="22">
        <v>45778</v>
      </c>
      <c r="D4795" s="22">
        <v>45808</v>
      </c>
      <c r="E4795" s="23">
        <v>31</v>
      </c>
      <c r="F4795" s="3">
        <f t="shared" si="754"/>
        <v>127586490.13394892</v>
      </c>
      <c r="G4795" s="3">
        <f t="shared" si="757"/>
        <v>4438189.0130648427</v>
      </c>
      <c r="H4795" s="3">
        <f t="shared" si="755"/>
        <v>1063220.7511162411</v>
      </c>
      <c r="I4795" s="3">
        <f t="shared" si="752"/>
        <v>3374968.2619486013</v>
      </c>
      <c r="J4795" s="3">
        <f t="shared" si="753"/>
        <v>124211521.87200032</v>
      </c>
    </row>
    <row r="4796" spans="2:12" x14ac:dyDescent="0.35">
      <c r="B4796" s="1">
        <f t="shared" si="756"/>
        <v>16</v>
      </c>
      <c r="C4796" s="22">
        <v>45809</v>
      </c>
      <c r="D4796" s="22">
        <v>45838</v>
      </c>
      <c r="E4796" s="23">
        <v>30</v>
      </c>
      <c r="F4796" s="3">
        <f t="shared" si="754"/>
        <v>124211521.87200032</v>
      </c>
      <c r="G4796" s="3">
        <f t="shared" si="757"/>
        <v>4438189.0130648427</v>
      </c>
      <c r="H4796" s="3">
        <f t="shared" si="755"/>
        <v>1035096.0156000027</v>
      </c>
      <c r="I4796" s="3">
        <f t="shared" si="752"/>
        <v>3403092.9974648398</v>
      </c>
      <c r="J4796" s="3">
        <f t="shared" si="753"/>
        <v>120808428.87453549</v>
      </c>
    </row>
    <row r="4797" spans="2:12" x14ac:dyDescent="0.35">
      <c r="B4797" s="1">
        <f t="shared" si="756"/>
        <v>17</v>
      </c>
      <c r="C4797" s="22">
        <v>45839</v>
      </c>
      <c r="D4797" s="22">
        <v>45868</v>
      </c>
      <c r="E4797" s="23">
        <v>30</v>
      </c>
      <c r="F4797" s="3">
        <f t="shared" si="754"/>
        <v>120808428.87453549</v>
      </c>
      <c r="G4797" s="3">
        <f t="shared" si="757"/>
        <v>4438189.0130648427</v>
      </c>
      <c r="H4797" s="3">
        <f t="shared" si="755"/>
        <v>1006736.9072877957</v>
      </c>
      <c r="I4797" s="3">
        <f t="shared" si="752"/>
        <v>3431452.1057770471</v>
      </c>
      <c r="J4797" s="3">
        <f t="shared" si="753"/>
        <v>117376976.76875845</v>
      </c>
    </row>
    <row r="4798" spans="2:12" x14ac:dyDescent="0.35">
      <c r="B4798" s="1">
        <f t="shared" si="756"/>
        <v>18</v>
      </c>
      <c r="C4798" s="22">
        <v>45870</v>
      </c>
      <c r="D4798" s="22">
        <v>45899</v>
      </c>
      <c r="E4798" s="23">
        <v>30</v>
      </c>
      <c r="F4798" s="3">
        <f t="shared" si="754"/>
        <v>117376976.76875845</v>
      </c>
      <c r="G4798" s="3">
        <f t="shared" si="757"/>
        <v>4438189.0130648427</v>
      </c>
      <c r="H4798" s="3">
        <f t="shared" si="755"/>
        <v>978141.47307298705</v>
      </c>
      <c r="I4798" s="3">
        <f t="shared" si="752"/>
        <v>3460047.5399918556</v>
      </c>
      <c r="J4798" s="3">
        <f t="shared" si="753"/>
        <v>113916929.22876659</v>
      </c>
    </row>
    <row r="4799" spans="2:12" x14ac:dyDescent="0.35">
      <c r="B4799" s="1">
        <f t="shared" si="756"/>
        <v>19</v>
      </c>
      <c r="C4799" s="22">
        <v>45901</v>
      </c>
      <c r="D4799" s="22">
        <v>45930</v>
      </c>
      <c r="E4799" s="23">
        <v>30</v>
      </c>
      <c r="F4799" s="3">
        <f t="shared" si="754"/>
        <v>113916929.22876659</v>
      </c>
      <c r="G4799" s="3">
        <f t="shared" si="757"/>
        <v>4438189.0130648427</v>
      </c>
      <c r="H4799" s="3">
        <f t="shared" si="755"/>
        <v>949307.7435730549</v>
      </c>
      <c r="I4799" s="3">
        <f t="shared" si="752"/>
        <v>3488881.269491788</v>
      </c>
      <c r="J4799" s="3">
        <f t="shared" si="753"/>
        <v>110428047.9592748</v>
      </c>
    </row>
    <row r="4800" spans="2:12" x14ac:dyDescent="0.35">
      <c r="B4800" s="1">
        <f t="shared" si="756"/>
        <v>20</v>
      </c>
      <c r="C4800" s="22">
        <v>45931</v>
      </c>
      <c r="D4800" s="22">
        <v>45961</v>
      </c>
      <c r="E4800" s="23">
        <v>31</v>
      </c>
      <c r="F4800" s="3">
        <f t="shared" si="754"/>
        <v>110428047.9592748</v>
      </c>
      <c r="G4800" s="3">
        <f t="shared" si="757"/>
        <v>4438189.0130648427</v>
      </c>
      <c r="H4800" s="3">
        <f t="shared" si="755"/>
        <v>920233.73299395666</v>
      </c>
      <c r="I4800" s="3">
        <f t="shared" si="752"/>
        <v>3517955.280070886</v>
      </c>
      <c r="J4800" s="3">
        <f t="shared" si="753"/>
        <v>106910092.67920391</v>
      </c>
    </row>
    <row r="4801" spans="2:10" x14ac:dyDescent="0.35">
      <c r="B4801" s="1">
        <f t="shared" si="756"/>
        <v>21</v>
      </c>
      <c r="C4801" s="22">
        <v>45962</v>
      </c>
      <c r="D4801" s="22">
        <v>45991</v>
      </c>
      <c r="E4801" s="23">
        <v>30</v>
      </c>
      <c r="F4801" s="3">
        <f t="shared" si="754"/>
        <v>106910092.67920391</v>
      </c>
      <c r="G4801" s="3">
        <f t="shared" si="757"/>
        <v>4438189.0130648427</v>
      </c>
      <c r="H4801" s="3">
        <f t="shared" si="755"/>
        <v>890917.43899336597</v>
      </c>
      <c r="I4801" s="3">
        <f t="shared" si="752"/>
        <v>3547271.5740714767</v>
      </c>
      <c r="J4801" s="3">
        <f t="shared" si="753"/>
        <v>103362821.10513243</v>
      </c>
    </row>
    <row r="4802" spans="2:10" x14ac:dyDescent="0.35">
      <c r="B4802" s="1">
        <f t="shared" si="756"/>
        <v>22</v>
      </c>
      <c r="C4802" s="22">
        <v>45992</v>
      </c>
      <c r="D4802" s="22">
        <v>46022</v>
      </c>
      <c r="E4802" s="23">
        <v>31</v>
      </c>
      <c r="F4802" s="3">
        <f t="shared" si="754"/>
        <v>103362821.10513243</v>
      </c>
      <c r="G4802" s="3">
        <f t="shared" si="757"/>
        <v>4438189.0130648427</v>
      </c>
      <c r="H4802" s="3">
        <f t="shared" si="755"/>
        <v>861356.8425427702</v>
      </c>
      <c r="I4802" s="3">
        <f t="shared" si="752"/>
        <v>3576832.1705220724</v>
      </c>
      <c r="J4802" s="3">
        <f t="shared" si="753"/>
        <v>99785988.934610352</v>
      </c>
    </row>
    <row r="4803" spans="2:10" x14ac:dyDescent="0.35">
      <c r="B4803" s="1">
        <f t="shared" si="756"/>
        <v>23</v>
      </c>
      <c r="C4803" s="22">
        <v>46023</v>
      </c>
      <c r="D4803" s="22">
        <v>46053</v>
      </c>
      <c r="E4803" s="23">
        <v>31</v>
      </c>
      <c r="F4803" s="3">
        <f t="shared" si="754"/>
        <v>99785988.934610352</v>
      </c>
      <c r="G4803" s="3">
        <f t="shared" si="757"/>
        <v>4438189.0130648427</v>
      </c>
      <c r="H4803" s="3">
        <f t="shared" si="755"/>
        <v>831549.90778841963</v>
      </c>
      <c r="I4803" s="3">
        <f t="shared" si="752"/>
        <v>3606639.105276423</v>
      </c>
      <c r="J4803" s="3">
        <f t="shared" si="753"/>
        <v>96179349.829333931</v>
      </c>
    </row>
    <row r="4804" spans="2:10" x14ac:dyDescent="0.35">
      <c r="B4804" s="1">
        <f t="shared" si="756"/>
        <v>24</v>
      </c>
      <c r="C4804" s="22">
        <v>46054</v>
      </c>
      <c r="D4804" s="22">
        <v>46081</v>
      </c>
      <c r="E4804" s="23">
        <v>28</v>
      </c>
      <c r="F4804" s="3">
        <f t="shared" si="754"/>
        <v>96179349.829333931</v>
      </c>
      <c r="G4804" s="3">
        <f t="shared" si="757"/>
        <v>4438189.0130648427</v>
      </c>
      <c r="H4804" s="3">
        <f t="shared" si="755"/>
        <v>801494.58191111614</v>
      </c>
      <c r="I4804" s="3">
        <f t="shared" si="752"/>
        <v>3636694.4311537268</v>
      </c>
      <c r="J4804" s="3">
        <f t="shared" si="753"/>
        <v>92542655.398180202</v>
      </c>
    </row>
    <row r="4805" spans="2:10" x14ac:dyDescent="0.35">
      <c r="B4805" s="1">
        <f t="shared" si="756"/>
        <v>25</v>
      </c>
      <c r="C4805" s="22">
        <v>46082</v>
      </c>
      <c r="D4805" s="22">
        <v>46112</v>
      </c>
      <c r="E4805" s="23">
        <v>31</v>
      </c>
      <c r="F4805" s="3">
        <f t="shared" si="754"/>
        <v>92542655.398180202</v>
      </c>
      <c r="G4805" s="3">
        <f t="shared" si="757"/>
        <v>4438189.0130648427</v>
      </c>
      <c r="H4805" s="3">
        <f t="shared" si="755"/>
        <v>771188.79498483497</v>
      </c>
      <c r="I4805" s="3">
        <f t="shared" si="752"/>
        <v>3667000.2180800075</v>
      </c>
      <c r="J4805" s="3">
        <f t="shared" si="753"/>
        <v>88875655.180100188</v>
      </c>
    </row>
    <row r="4806" spans="2:10" x14ac:dyDescent="0.35">
      <c r="B4806" s="1">
        <f t="shared" si="756"/>
        <v>26</v>
      </c>
      <c r="C4806" s="22">
        <v>46113</v>
      </c>
      <c r="D4806" s="22">
        <v>46142</v>
      </c>
      <c r="E4806" s="23">
        <v>30</v>
      </c>
      <c r="F4806" s="3">
        <f t="shared" si="754"/>
        <v>88875655.180100188</v>
      </c>
      <c r="G4806" s="3">
        <f t="shared" si="757"/>
        <v>4438189.0130648427</v>
      </c>
      <c r="H4806" s="3">
        <f t="shared" si="755"/>
        <v>740630.4598341682</v>
      </c>
      <c r="I4806" s="3">
        <f t="shared" si="752"/>
        <v>3697558.5532306745</v>
      </c>
      <c r="J4806" s="3">
        <f t="shared" si="753"/>
        <v>85178096.626869515</v>
      </c>
    </row>
    <row r="4807" spans="2:10" x14ac:dyDescent="0.35">
      <c r="B4807" s="1">
        <f t="shared" si="756"/>
        <v>27</v>
      </c>
      <c r="C4807" s="22">
        <v>46143</v>
      </c>
      <c r="D4807" s="22">
        <v>46173</v>
      </c>
      <c r="E4807" s="23">
        <v>31</v>
      </c>
      <c r="F4807" s="3">
        <f t="shared" si="754"/>
        <v>85178096.626869515</v>
      </c>
      <c r="G4807" s="3">
        <f t="shared" si="757"/>
        <v>4438189.0130648427</v>
      </c>
      <c r="H4807" s="3">
        <f t="shared" si="755"/>
        <v>709817.47189057933</v>
      </c>
      <c r="I4807" s="3">
        <f t="shared" si="752"/>
        <v>3728371.5411742632</v>
      </c>
      <c r="J4807" s="3">
        <f t="shared" si="753"/>
        <v>81449725.085695252</v>
      </c>
    </row>
    <row r="4808" spans="2:10" x14ac:dyDescent="0.35">
      <c r="B4808" s="1">
        <f t="shared" si="756"/>
        <v>28</v>
      </c>
      <c r="C4808" s="22">
        <v>46174</v>
      </c>
      <c r="D4808" s="22">
        <v>46203</v>
      </c>
      <c r="E4808" s="23">
        <v>30</v>
      </c>
      <c r="F4808" s="3">
        <f t="shared" si="754"/>
        <v>81449725.085695252</v>
      </c>
      <c r="G4808" s="3">
        <f t="shared" si="757"/>
        <v>4438189.0130648427</v>
      </c>
      <c r="H4808" s="3">
        <f t="shared" si="755"/>
        <v>678747.70904746046</v>
      </c>
      <c r="I4808" s="3">
        <f t="shared" si="752"/>
        <v>3759441.3040173822</v>
      </c>
      <c r="J4808" s="3">
        <f t="shared" si="753"/>
        <v>77690283.781677872</v>
      </c>
    </row>
    <row r="4809" spans="2:10" x14ac:dyDescent="0.35">
      <c r="B4809" s="1">
        <f t="shared" si="756"/>
        <v>29</v>
      </c>
      <c r="C4809" s="22">
        <v>46204</v>
      </c>
      <c r="D4809" s="22">
        <v>46234</v>
      </c>
      <c r="E4809" s="23">
        <v>31</v>
      </c>
      <c r="F4809" s="3">
        <f t="shared" si="754"/>
        <v>77690283.781677872</v>
      </c>
      <c r="G4809" s="3">
        <f t="shared" si="757"/>
        <v>4438189.0130648427</v>
      </c>
      <c r="H4809" s="3">
        <f t="shared" si="755"/>
        <v>647419.03151398222</v>
      </c>
      <c r="I4809" s="3">
        <f t="shared" si="752"/>
        <v>3790769.9815508602</v>
      </c>
      <c r="J4809" s="3">
        <f t="shared" si="753"/>
        <v>73899513.800127015</v>
      </c>
    </row>
    <row r="4810" spans="2:10" x14ac:dyDescent="0.35">
      <c r="B4810" s="1">
        <f t="shared" si="756"/>
        <v>30</v>
      </c>
      <c r="C4810" s="22">
        <v>46235</v>
      </c>
      <c r="D4810" s="22">
        <v>46265</v>
      </c>
      <c r="E4810" s="23">
        <v>31</v>
      </c>
      <c r="F4810" s="3">
        <f t="shared" si="754"/>
        <v>73899513.800127015</v>
      </c>
      <c r="G4810" s="3">
        <f t="shared" si="757"/>
        <v>4438189.0130648427</v>
      </c>
      <c r="H4810" s="3">
        <f t="shared" si="755"/>
        <v>615829.28166772507</v>
      </c>
      <c r="I4810" s="3">
        <f t="shared" si="752"/>
        <v>3822359.7313971175</v>
      </c>
      <c r="J4810" s="3">
        <f t="shared" si="753"/>
        <v>70077154.068729892</v>
      </c>
    </row>
    <row r="4811" spans="2:10" x14ac:dyDescent="0.35">
      <c r="B4811" s="1">
        <f t="shared" si="756"/>
        <v>31</v>
      </c>
      <c r="C4811" s="22">
        <v>46266</v>
      </c>
      <c r="D4811" s="22">
        <v>46295</v>
      </c>
      <c r="E4811" s="23">
        <v>30</v>
      </c>
      <c r="F4811" s="3">
        <f t="shared" si="754"/>
        <v>70077154.068729892</v>
      </c>
      <c r="G4811" s="3">
        <f t="shared" si="757"/>
        <v>4438189.0130648427</v>
      </c>
      <c r="H4811" s="3">
        <f t="shared" si="755"/>
        <v>583976.28390608239</v>
      </c>
      <c r="I4811" s="3">
        <f t="shared" si="752"/>
        <v>3854212.72915876</v>
      </c>
      <c r="J4811" s="3">
        <f t="shared" si="753"/>
        <v>66222941.339571133</v>
      </c>
    </row>
    <row r="4812" spans="2:10" x14ac:dyDescent="0.35">
      <c r="B4812" s="1">
        <f t="shared" si="756"/>
        <v>32</v>
      </c>
      <c r="C4812" s="22">
        <v>46296</v>
      </c>
      <c r="D4812" s="22">
        <v>46326</v>
      </c>
      <c r="E4812" s="23">
        <v>31</v>
      </c>
      <c r="F4812" s="3">
        <f t="shared" si="754"/>
        <v>66222941.339571133</v>
      </c>
      <c r="G4812" s="3">
        <f t="shared" si="757"/>
        <v>4438189.0130648427</v>
      </c>
      <c r="H4812" s="3">
        <f t="shared" si="755"/>
        <v>551857.84449642606</v>
      </c>
      <c r="I4812" s="3">
        <f t="shared" si="752"/>
        <v>3886331.1685684165</v>
      </c>
      <c r="J4812" s="3">
        <f t="shared" si="753"/>
        <v>62336610.171002716</v>
      </c>
    </row>
    <row r="4813" spans="2:10" x14ac:dyDescent="0.35">
      <c r="B4813" s="1">
        <f t="shared" si="756"/>
        <v>33</v>
      </c>
      <c r="C4813" s="22">
        <v>46327</v>
      </c>
      <c r="D4813" s="22">
        <v>46356</v>
      </c>
      <c r="E4813" s="23">
        <v>30</v>
      </c>
      <c r="F4813" s="3">
        <f t="shared" si="754"/>
        <v>62336610.171002716</v>
      </c>
      <c r="G4813" s="3">
        <f t="shared" si="757"/>
        <v>4438189.0130648427</v>
      </c>
      <c r="H4813" s="3">
        <f t="shared" si="755"/>
        <v>519471.75142502261</v>
      </c>
      <c r="I4813" s="3">
        <f t="shared" si="752"/>
        <v>3918717.2616398199</v>
      </c>
      <c r="J4813" s="3">
        <f t="shared" si="753"/>
        <v>58417892.909362897</v>
      </c>
    </row>
    <row r="4814" spans="2:10" x14ac:dyDescent="0.35">
      <c r="B4814" s="1">
        <f t="shared" si="756"/>
        <v>34</v>
      </c>
      <c r="C4814" s="22">
        <v>46357</v>
      </c>
      <c r="D4814" s="22">
        <v>46387</v>
      </c>
      <c r="E4814" s="23">
        <v>31</v>
      </c>
      <c r="F4814" s="3">
        <f t="shared" si="754"/>
        <v>58417892.909362897</v>
      </c>
      <c r="G4814" s="3">
        <f t="shared" si="757"/>
        <v>4438189.0130648427</v>
      </c>
      <c r="H4814" s="3">
        <f t="shared" si="755"/>
        <v>486815.77424469078</v>
      </c>
      <c r="I4814" s="3">
        <f t="shared" si="752"/>
        <v>3951373.2388201519</v>
      </c>
      <c r="J4814" s="3">
        <f t="shared" si="753"/>
        <v>54466519.670542747</v>
      </c>
    </row>
    <row r="4815" spans="2:10" x14ac:dyDescent="0.35">
      <c r="B4815" s="1">
        <f t="shared" si="756"/>
        <v>35</v>
      </c>
      <c r="C4815" s="22">
        <v>46388</v>
      </c>
      <c r="D4815" s="22">
        <v>46418</v>
      </c>
      <c r="E4815" s="23">
        <v>31</v>
      </c>
      <c r="F4815" s="3">
        <f t="shared" si="754"/>
        <v>54466519.670542747</v>
      </c>
      <c r="G4815" s="3">
        <f t="shared" si="757"/>
        <v>4438189.0130648427</v>
      </c>
      <c r="H4815" s="3">
        <f t="shared" si="755"/>
        <v>453887.66392118955</v>
      </c>
      <c r="I4815" s="3">
        <f t="shared" si="752"/>
        <v>3984301.3491436532</v>
      </c>
      <c r="J4815" s="3">
        <f t="shared" si="753"/>
        <v>50482218.321399093</v>
      </c>
    </row>
    <row r="4816" spans="2:10" x14ac:dyDescent="0.35">
      <c r="B4816" s="1">
        <f t="shared" si="756"/>
        <v>36</v>
      </c>
      <c r="C4816" s="22">
        <v>46419</v>
      </c>
      <c r="D4816" s="22">
        <v>46446</v>
      </c>
      <c r="E4816" s="23">
        <f t="shared" ref="E4816:E4827" si="758">D4816-C4816+1</f>
        <v>28</v>
      </c>
      <c r="F4816" s="3">
        <f t="shared" si="754"/>
        <v>50482218.321399093</v>
      </c>
      <c r="G4816" s="3">
        <f t="shared" si="757"/>
        <v>4438189.0130648427</v>
      </c>
      <c r="H4816" s="3">
        <f t="shared" si="755"/>
        <v>420685.15267832577</v>
      </c>
      <c r="I4816" s="3">
        <f t="shared" si="752"/>
        <v>4017503.8603865169</v>
      </c>
      <c r="J4816" s="3">
        <f t="shared" si="753"/>
        <v>46464714.461012572</v>
      </c>
    </row>
    <row r="4817" spans="2:10" x14ac:dyDescent="0.35">
      <c r="B4817" s="1">
        <f t="shared" si="756"/>
        <v>37</v>
      </c>
      <c r="C4817" s="22">
        <v>46447</v>
      </c>
      <c r="D4817" s="22">
        <v>46477</v>
      </c>
      <c r="E4817" s="23">
        <f t="shared" si="758"/>
        <v>31</v>
      </c>
      <c r="F4817" s="3">
        <f t="shared" si="754"/>
        <v>46464714.461012572</v>
      </c>
      <c r="G4817" s="3">
        <f t="shared" si="757"/>
        <v>4438189.0130648427</v>
      </c>
      <c r="H4817" s="3">
        <f t="shared" si="755"/>
        <v>387205.95384177141</v>
      </c>
      <c r="I4817" s="3">
        <f t="shared" si="752"/>
        <v>4050983.0592230712</v>
      </c>
      <c r="J4817" s="3">
        <f t="shared" si="753"/>
        <v>42413731.401789501</v>
      </c>
    </row>
    <row r="4818" spans="2:10" x14ac:dyDescent="0.35">
      <c r="B4818" s="1">
        <f t="shared" si="756"/>
        <v>38</v>
      </c>
      <c r="C4818" s="22">
        <v>46478</v>
      </c>
      <c r="D4818" s="22">
        <v>46507</v>
      </c>
      <c r="E4818" s="23">
        <f t="shared" si="758"/>
        <v>30</v>
      </c>
      <c r="F4818" s="3">
        <f t="shared" si="754"/>
        <v>42413731.401789501</v>
      </c>
      <c r="G4818" s="3">
        <f t="shared" si="757"/>
        <v>4438189.0130648427</v>
      </c>
      <c r="H4818" s="3">
        <f t="shared" si="755"/>
        <v>353447.76168157917</v>
      </c>
      <c r="I4818" s="3">
        <f t="shared" si="752"/>
        <v>4084741.2513832636</v>
      </c>
      <c r="J4818" s="3">
        <f t="shared" si="753"/>
        <v>38328990.150406241</v>
      </c>
    </row>
    <row r="4819" spans="2:10" x14ac:dyDescent="0.35">
      <c r="B4819" s="1">
        <f t="shared" si="756"/>
        <v>39</v>
      </c>
      <c r="C4819" s="22">
        <v>46508</v>
      </c>
      <c r="D4819" s="22">
        <v>46538</v>
      </c>
      <c r="E4819" s="23">
        <f t="shared" si="758"/>
        <v>31</v>
      </c>
      <c r="F4819" s="3">
        <f t="shared" si="754"/>
        <v>38328990.150406241</v>
      </c>
      <c r="G4819" s="3">
        <f t="shared" si="757"/>
        <v>4438189.0130648427</v>
      </c>
      <c r="H4819" s="3">
        <f t="shared" si="755"/>
        <v>319408.25125338533</v>
      </c>
      <c r="I4819" s="3">
        <f t="shared" si="752"/>
        <v>4118780.7618114576</v>
      </c>
      <c r="J4819" s="3">
        <f t="shared" si="753"/>
        <v>34210209.388594784</v>
      </c>
    </row>
    <row r="4820" spans="2:10" x14ac:dyDescent="0.35">
      <c r="B4820" s="1">
        <f t="shared" si="756"/>
        <v>40</v>
      </c>
      <c r="C4820" s="22">
        <v>46539</v>
      </c>
      <c r="D4820" s="22">
        <v>46568</v>
      </c>
      <c r="E4820" s="23">
        <f t="shared" si="758"/>
        <v>30</v>
      </c>
      <c r="F4820" s="3">
        <f t="shared" si="754"/>
        <v>34210209.388594784</v>
      </c>
      <c r="G4820" s="3">
        <f t="shared" si="757"/>
        <v>4438189.0130648427</v>
      </c>
      <c r="H4820" s="3">
        <f t="shared" si="755"/>
        <v>285085.07823828986</v>
      </c>
      <c r="I4820" s="3">
        <f t="shared" si="752"/>
        <v>4153103.9348265529</v>
      </c>
      <c r="J4820" s="3">
        <f t="shared" si="753"/>
        <v>30057105.453768231</v>
      </c>
    </row>
    <row r="4821" spans="2:10" x14ac:dyDescent="0.35">
      <c r="B4821" s="1">
        <f t="shared" si="756"/>
        <v>41</v>
      </c>
      <c r="C4821" s="22">
        <v>46569</v>
      </c>
      <c r="D4821" s="22">
        <v>46599</v>
      </c>
      <c r="E4821" s="23">
        <f t="shared" si="758"/>
        <v>31</v>
      </c>
      <c r="F4821" s="3">
        <f t="shared" si="754"/>
        <v>30057105.453768231</v>
      </c>
      <c r="G4821" s="3">
        <f t="shared" si="757"/>
        <v>4438189.0130648427</v>
      </c>
      <c r="H4821" s="3">
        <f t="shared" si="755"/>
        <v>250475.87878140193</v>
      </c>
      <c r="I4821" s="3">
        <f t="shared" si="752"/>
        <v>4187713.1342834407</v>
      </c>
      <c r="J4821" s="3">
        <f t="shared" si="753"/>
        <v>25869392.319484789</v>
      </c>
    </row>
    <row r="4822" spans="2:10" x14ac:dyDescent="0.35">
      <c r="B4822" s="1">
        <f t="shared" si="756"/>
        <v>42</v>
      </c>
      <c r="C4822" s="22">
        <v>46600</v>
      </c>
      <c r="D4822" s="22">
        <v>46630</v>
      </c>
      <c r="E4822" s="23">
        <f t="shared" si="758"/>
        <v>31</v>
      </c>
      <c r="F4822" s="3">
        <f t="shared" si="754"/>
        <v>25869392.319484789</v>
      </c>
      <c r="G4822" s="3">
        <f t="shared" si="757"/>
        <v>4438189.0130648427</v>
      </c>
      <c r="H4822" s="3">
        <f t="shared" si="755"/>
        <v>215578.2693290399</v>
      </c>
      <c r="I4822" s="3">
        <f t="shared" si="752"/>
        <v>4222610.7437358024</v>
      </c>
      <c r="J4822" s="3">
        <f t="shared" si="753"/>
        <v>21646781.575748987</v>
      </c>
    </row>
    <row r="4823" spans="2:10" x14ac:dyDescent="0.35">
      <c r="B4823" s="1">
        <f t="shared" si="756"/>
        <v>43</v>
      </c>
      <c r="C4823" s="22">
        <v>46631</v>
      </c>
      <c r="D4823" s="22">
        <v>46660</v>
      </c>
      <c r="E4823" s="23">
        <f t="shared" si="758"/>
        <v>30</v>
      </c>
      <c r="F4823" s="3">
        <f t="shared" si="754"/>
        <v>21646781.575748987</v>
      </c>
      <c r="G4823" s="3">
        <f t="shared" si="757"/>
        <v>4438189.0130648427</v>
      </c>
      <c r="H4823" s="3">
        <f t="shared" si="755"/>
        <v>180389.84646457489</v>
      </c>
      <c r="I4823" s="3">
        <f t="shared" si="752"/>
        <v>4257799.1666002674</v>
      </c>
      <c r="J4823" s="3">
        <f t="shared" si="753"/>
        <v>17388982.409148719</v>
      </c>
    </row>
    <row r="4824" spans="2:10" x14ac:dyDescent="0.35">
      <c r="B4824" s="1">
        <f t="shared" si="756"/>
        <v>44</v>
      </c>
      <c r="C4824" s="22">
        <v>46661</v>
      </c>
      <c r="D4824" s="22">
        <v>46691</v>
      </c>
      <c r="E4824" s="23">
        <f t="shared" si="758"/>
        <v>31</v>
      </c>
      <c r="F4824" s="3">
        <f t="shared" si="754"/>
        <v>17388982.409148719</v>
      </c>
      <c r="G4824" s="3">
        <f t="shared" si="757"/>
        <v>4438189.0130648427</v>
      </c>
      <c r="H4824" s="3">
        <f t="shared" si="755"/>
        <v>144908.18674290599</v>
      </c>
      <c r="I4824" s="3">
        <f t="shared" si="752"/>
        <v>4293280.8263219371</v>
      </c>
      <c r="J4824" s="3">
        <f t="shared" si="753"/>
        <v>13095701.582826782</v>
      </c>
    </row>
    <row r="4825" spans="2:10" x14ac:dyDescent="0.35">
      <c r="B4825" s="1">
        <f t="shared" si="756"/>
        <v>45</v>
      </c>
      <c r="C4825" s="22">
        <v>46692</v>
      </c>
      <c r="D4825" s="22">
        <v>46721</v>
      </c>
      <c r="E4825" s="23">
        <f t="shared" si="758"/>
        <v>30</v>
      </c>
      <c r="F4825" s="3">
        <f t="shared" si="754"/>
        <v>13095701.582826782</v>
      </c>
      <c r="G4825" s="3">
        <f t="shared" si="757"/>
        <v>4438189.0130648427</v>
      </c>
      <c r="H4825" s="3">
        <f t="shared" si="755"/>
        <v>109130.84652355651</v>
      </c>
      <c r="I4825" s="3">
        <f t="shared" si="752"/>
        <v>4329058.1665412858</v>
      </c>
      <c r="J4825" s="3">
        <f t="shared" si="753"/>
        <v>8766643.4162854962</v>
      </c>
    </row>
    <row r="4826" spans="2:10" x14ac:dyDescent="0.35">
      <c r="B4826" s="1">
        <f t="shared" si="756"/>
        <v>46</v>
      </c>
      <c r="C4826" s="22">
        <v>46722</v>
      </c>
      <c r="D4826" s="22">
        <v>46752</v>
      </c>
      <c r="E4826" s="23">
        <f t="shared" si="758"/>
        <v>31</v>
      </c>
      <c r="F4826" s="3">
        <f t="shared" si="754"/>
        <v>8766643.4162854962</v>
      </c>
      <c r="G4826" s="3">
        <f t="shared" si="757"/>
        <v>4438189.0130648427</v>
      </c>
      <c r="H4826" s="3">
        <f t="shared" si="755"/>
        <v>73055.361802379135</v>
      </c>
      <c r="I4826" s="3">
        <f t="shared" si="752"/>
        <v>4365133.651262464</v>
      </c>
      <c r="J4826" s="3">
        <f t="shared" si="753"/>
        <v>4401509.7650230322</v>
      </c>
    </row>
    <row r="4827" spans="2:10" x14ac:dyDescent="0.35">
      <c r="B4827" s="1">
        <f t="shared" si="756"/>
        <v>47</v>
      </c>
      <c r="C4827" s="22">
        <v>46753</v>
      </c>
      <c r="D4827" s="22">
        <v>46783</v>
      </c>
      <c r="E4827" s="23">
        <f t="shared" si="758"/>
        <v>31</v>
      </c>
      <c r="F4827" s="3">
        <f t="shared" si="754"/>
        <v>4401509.7650230322</v>
      </c>
      <c r="G4827" s="3">
        <f t="shared" si="757"/>
        <v>4438189.0130648427</v>
      </c>
      <c r="H4827" s="3">
        <f t="shared" si="755"/>
        <v>36679.248041858598</v>
      </c>
      <c r="I4827" s="3">
        <f t="shared" si="752"/>
        <v>4401509.7650229838</v>
      </c>
      <c r="J4827" s="3">
        <f t="shared" si="753"/>
        <v>4.8428773880004883E-8</v>
      </c>
    </row>
    <row r="4834" spans="2:19" x14ac:dyDescent="0.35">
      <c r="B4834" s="1"/>
      <c r="C4834" s="8" t="s">
        <v>612</v>
      </c>
      <c r="D4834" s="3"/>
      <c r="E4834" s="3"/>
      <c r="F4834" s="3"/>
      <c r="G4834" s="3"/>
      <c r="H4834" s="3"/>
      <c r="I4834" s="3"/>
      <c r="J4834" s="3"/>
      <c r="R4834" s="438" t="s">
        <v>832</v>
      </c>
      <c r="S4834" s="432" t="str">
        <f>IFERROR(INDEX(Blocks!$I$2:$I$101,MATCH(88,Blocks!$A$2:$A$101,0)),"")</f>
        <v>000104450000090</v>
      </c>
    </row>
    <row r="4835" spans="2:19" x14ac:dyDescent="0.35">
      <c r="B4835" s="1"/>
      <c r="C4835" s="1"/>
      <c r="D4835" s="3"/>
      <c r="E4835" s="3"/>
      <c r="F4835" s="3"/>
      <c r="G4835" s="3"/>
      <c r="H4835" s="3"/>
      <c r="I4835" s="3"/>
      <c r="J4835" s="3"/>
      <c r="R4835" s="438" t="s">
        <v>834</v>
      </c>
      <c r="S4835" s="432" t="str">
        <f>IFERROR(INDEX(Blocks!$H$2:$H$101,MATCH(88,Blocks!$A$2:$A$101,0)),"")</f>
        <v>JAT Investments</v>
      </c>
    </row>
    <row r="4836" spans="2:19" x14ac:dyDescent="0.35">
      <c r="B4836" s="1"/>
      <c r="C4836" s="9" t="s">
        <v>835</v>
      </c>
      <c r="D4836" s="10">
        <v>130000000</v>
      </c>
      <c r="E4836" s="3"/>
      <c r="F4836" s="3"/>
      <c r="G4836" s="3"/>
      <c r="H4836" s="3"/>
      <c r="I4836" s="3"/>
      <c r="J4836" s="3"/>
      <c r="R4836" s="438" t="s">
        <v>223</v>
      </c>
      <c r="S4836" s="433">
        <f>IFERROR(INDEX('E-Banker master'!$N$2:$N$186,MATCH(S4834,'E-Banker master'!$A$2:$A$186,0)),"")</f>
        <v>130000000</v>
      </c>
    </row>
    <row r="4837" spans="2:19" x14ac:dyDescent="0.35">
      <c r="B4837" s="1"/>
      <c r="C4837" s="11" t="s">
        <v>837</v>
      </c>
      <c r="D4837" s="12">
        <v>0.1</v>
      </c>
      <c r="E4837" s="13"/>
      <c r="F4837" s="3"/>
      <c r="G4837" s="3"/>
      <c r="H4837" s="3"/>
      <c r="I4837" s="3"/>
      <c r="J4837" s="3"/>
      <c r="R4837" s="438" t="s">
        <v>52</v>
      </c>
      <c r="S4837" s="433">
        <f>IFERROR(INDEX('E-Banker master'!$P$2:$P$186,MATCH(S4834,'E-Banker master'!$A$2:$A$186,0)),"")</f>
        <v>124893754.23</v>
      </c>
    </row>
    <row r="4838" spans="2:19" x14ac:dyDescent="0.35">
      <c r="B4838" s="1"/>
      <c r="C4838" s="11" t="s">
        <v>838</v>
      </c>
      <c r="D4838" s="14">
        <v>4</v>
      </c>
      <c r="E4838" s="1"/>
      <c r="F4838" s="3"/>
      <c r="G4838" s="3"/>
      <c r="H4838" s="3"/>
      <c r="I4838" s="3"/>
      <c r="J4838" s="3"/>
    </row>
    <row r="4839" spans="2:19" x14ac:dyDescent="0.35">
      <c r="B4839" s="1"/>
      <c r="C4839" s="11" t="s">
        <v>839</v>
      </c>
      <c r="D4839" s="14">
        <v>12</v>
      </c>
      <c r="E4839" s="1"/>
      <c r="F4839" s="3"/>
      <c r="G4839" s="3"/>
      <c r="H4839" s="3"/>
      <c r="I4839" s="3"/>
      <c r="J4839" s="3"/>
    </row>
    <row r="4840" spans="2:19" x14ac:dyDescent="0.35">
      <c r="B4840" s="1"/>
      <c r="C4840" s="11" t="s">
        <v>843</v>
      </c>
      <c r="D4840" s="15">
        <f>+D4839*D4838</f>
        <v>48</v>
      </c>
      <c r="E4840" s="1"/>
      <c r="F4840" s="3"/>
      <c r="G4840" s="3"/>
      <c r="H4840" s="3"/>
      <c r="I4840" s="3"/>
      <c r="J4840" s="3"/>
    </row>
    <row r="4841" spans="2:19" x14ac:dyDescent="0.35">
      <c r="B4841" s="1"/>
      <c r="C4841" s="11" t="s">
        <v>844</v>
      </c>
      <c r="D4841" s="16">
        <v>365</v>
      </c>
      <c r="E4841" s="1"/>
      <c r="F4841" s="3"/>
      <c r="G4841" s="3"/>
      <c r="H4841" s="3"/>
      <c r="I4841" s="3"/>
      <c r="J4841" s="3"/>
    </row>
    <row r="4842" spans="2:19" x14ac:dyDescent="0.35">
      <c r="B4842" s="1"/>
      <c r="C4842" s="17" t="s">
        <v>845</v>
      </c>
      <c r="D4842" s="220">
        <f>-PMT(D4837/D4839,D4840,D4836,0,0)</f>
        <v>3297135.8465171345</v>
      </c>
      <c r="E4842" s="3"/>
      <c r="F4842" s="3"/>
      <c r="G4842" s="3"/>
      <c r="H4842" s="3"/>
      <c r="I4842" s="3"/>
      <c r="J4842" s="3"/>
    </row>
    <row r="4843" spans="2:19" x14ac:dyDescent="0.35">
      <c r="B4843" s="1"/>
      <c r="C4843" s="1"/>
      <c r="D4843" s="3"/>
      <c r="E4843" s="3"/>
      <c r="F4843" s="3"/>
      <c r="G4843" s="3"/>
      <c r="H4843" s="3"/>
      <c r="I4843" s="3"/>
      <c r="J4843" s="3"/>
    </row>
    <row r="4844" spans="2:19" x14ac:dyDescent="0.35">
      <c r="B4844" s="1"/>
      <c r="C4844" s="19" t="s">
        <v>846</v>
      </c>
      <c r="D4844" s="20" t="s">
        <v>847</v>
      </c>
      <c r="E4844" s="20" t="s">
        <v>764</v>
      </c>
      <c r="F4844" s="270" t="s">
        <v>848</v>
      </c>
      <c r="G4844" s="270" t="s">
        <v>849</v>
      </c>
      <c r="H4844" s="270" t="s">
        <v>742</v>
      </c>
      <c r="I4844" s="270" t="s">
        <v>740</v>
      </c>
      <c r="J4844" s="270" t="s">
        <v>850</v>
      </c>
      <c r="K4844" s="21" t="s">
        <v>851</v>
      </c>
      <c r="L4844" s="21" t="s">
        <v>852</v>
      </c>
    </row>
    <row r="4845" spans="2:19" x14ac:dyDescent="0.35">
      <c r="B4845" s="1">
        <v>0</v>
      </c>
      <c r="C4845" s="22">
        <v>45330</v>
      </c>
      <c r="D4845" s="22">
        <v>45351</v>
      </c>
      <c r="E4845" s="310">
        <v>21</v>
      </c>
      <c r="F4845" s="3">
        <f>D4836</f>
        <v>130000000</v>
      </c>
      <c r="G4845" s="3"/>
      <c r="H4845" s="3">
        <f>($D$4837/$D$4839*F4845*E4845/31)</f>
        <v>733870.96774193551</v>
      </c>
      <c r="I4845" s="3">
        <f t="shared" ref="I4845:I4892" si="759">G4845-H4845</f>
        <v>-733870.96774193551</v>
      </c>
      <c r="J4845" s="3">
        <f t="shared" ref="J4845:J4892" si="760">F4845-I4845</f>
        <v>130733870.96774194</v>
      </c>
    </row>
    <row r="4846" spans="2:19" x14ac:dyDescent="0.35">
      <c r="B4846" s="1">
        <v>1</v>
      </c>
      <c r="C4846" s="22">
        <v>45352</v>
      </c>
      <c r="D4846" s="22">
        <v>45382</v>
      </c>
      <c r="E4846" s="23">
        <v>31</v>
      </c>
      <c r="F4846" s="3">
        <f t="shared" ref="F4846:F4892" si="761">J4845</f>
        <v>130733870.96774194</v>
      </c>
      <c r="G4846" s="3"/>
      <c r="H4846" s="3">
        <f t="shared" ref="H4846:H4892" si="762">($D$4837/$D$4839*F4846)</f>
        <v>1089448.9247311829</v>
      </c>
      <c r="I4846" s="3">
        <f t="shared" si="759"/>
        <v>-1089448.9247311829</v>
      </c>
      <c r="J4846" s="3">
        <f t="shared" si="760"/>
        <v>131823319.89247312</v>
      </c>
    </row>
    <row r="4847" spans="2:19" x14ac:dyDescent="0.35">
      <c r="B4847" s="1">
        <v>2</v>
      </c>
      <c r="C4847" s="22">
        <v>45383</v>
      </c>
      <c r="D4847" s="22">
        <v>45412</v>
      </c>
      <c r="E4847" s="23">
        <v>30</v>
      </c>
      <c r="F4847" s="3">
        <f t="shared" si="761"/>
        <v>131823319.89247312</v>
      </c>
      <c r="G4847" s="3"/>
      <c r="H4847" s="3">
        <f t="shared" si="762"/>
        <v>1098527.6657706094</v>
      </c>
      <c r="I4847" s="3">
        <f t="shared" si="759"/>
        <v>-1098527.6657706094</v>
      </c>
      <c r="J4847" s="3">
        <f t="shared" si="760"/>
        <v>132921847.55824372</v>
      </c>
    </row>
    <row r="4848" spans="2:19" x14ac:dyDescent="0.35">
      <c r="B4848" s="1">
        <f t="shared" ref="B4848:B4892" si="763">+B4847+1</f>
        <v>3</v>
      </c>
      <c r="C4848" s="22">
        <v>45413</v>
      </c>
      <c r="D4848" s="22">
        <v>45443</v>
      </c>
      <c r="E4848" s="23">
        <v>31</v>
      </c>
      <c r="F4848" s="3">
        <f t="shared" si="761"/>
        <v>132921847.55824372</v>
      </c>
      <c r="G4848" s="3"/>
      <c r="H4848" s="3">
        <f t="shared" si="762"/>
        <v>1107682.0629853643</v>
      </c>
      <c r="I4848" s="3">
        <f t="shared" si="759"/>
        <v>-1107682.0629853643</v>
      </c>
      <c r="J4848" s="3">
        <f t="shared" si="760"/>
        <v>134029529.62122908</v>
      </c>
      <c r="L4848" s="141">
        <f t="shared" ref="L4848:L4853" si="764">+G4848-K4848+L4847</f>
        <v>0</v>
      </c>
    </row>
    <row r="4849" spans="2:12" x14ac:dyDescent="0.35">
      <c r="B4849" s="1">
        <f t="shared" si="763"/>
        <v>4</v>
      </c>
      <c r="C4849" s="22">
        <v>45444</v>
      </c>
      <c r="D4849" s="22">
        <v>45473</v>
      </c>
      <c r="E4849" s="23">
        <v>30</v>
      </c>
      <c r="F4849" s="3">
        <f t="shared" si="761"/>
        <v>134029529.62122908</v>
      </c>
      <c r="G4849" s="3">
        <f t="shared" ref="G4849:G4892" si="765">-PMT($D$4837/$D$4839,44,$F$4849,,0)</f>
        <v>3651167.8708968866</v>
      </c>
      <c r="H4849" s="3">
        <f t="shared" si="762"/>
        <v>1116912.7468435757</v>
      </c>
      <c r="I4849" s="3">
        <f t="shared" si="759"/>
        <v>2534255.1240533106</v>
      </c>
      <c r="J4849" s="3">
        <f t="shared" si="760"/>
        <v>131495274.49717577</v>
      </c>
      <c r="L4849" s="141">
        <f t="shared" si="764"/>
        <v>3651167.8708968866</v>
      </c>
    </row>
    <row r="4850" spans="2:12" x14ac:dyDescent="0.35">
      <c r="B4850" s="1">
        <f t="shared" si="763"/>
        <v>5</v>
      </c>
      <c r="C4850" s="22">
        <v>45474</v>
      </c>
      <c r="D4850" s="22">
        <v>45504</v>
      </c>
      <c r="E4850" s="23">
        <v>31</v>
      </c>
      <c r="F4850" s="3">
        <f t="shared" si="761"/>
        <v>131495274.49717577</v>
      </c>
      <c r="G4850" s="3">
        <f t="shared" si="765"/>
        <v>3651167.8708968866</v>
      </c>
      <c r="H4850" s="3">
        <f t="shared" si="762"/>
        <v>1095793.9541431314</v>
      </c>
      <c r="I4850" s="3">
        <f t="shared" si="759"/>
        <v>2555373.916753755</v>
      </c>
      <c r="J4850" s="3">
        <f t="shared" si="760"/>
        <v>128939900.58042201</v>
      </c>
      <c r="K4850" s="7">
        <v>3650200</v>
      </c>
      <c r="L4850" s="141">
        <f t="shared" si="764"/>
        <v>3652135.7417937731</v>
      </c>
    </row>
    <row r="4851" spans="2:12" x14ac:dyDescent="0.35">
      <c r="B4851" s="1">
        <f t="shared" si="763"/>
        <v>6</v>
      </c>
      <c r="C4851" s="22">
        <v>45505</v>
      </c>
      <c r="D4851" s="22">
        <v>45535</v>
      </c>
      <c r="E4851" s="23">
        <v>31</v>
      </c>
      <c r="F4851" s="3">
        <f t="shared" si="761"/>
        <v>128939900.58042201</v>
      </c>
      <c r="G4851" s="3">
        <f t="shared" si="765"/>
        <v>3651167.8708968866</v>
      </c>
      <c r="H4851" s="3">
        <f t="shared" si="762"/>
        <v>1074499.1715035168</v>
      </c>
      <c r="I4851" s="3">
        <f t="shared" si="759"/>
        <v>2576668.6993933697</v>
      </c>
      <c r="J4851" s="3">
        <f t="shared" si="760"/>
        <v>126363231.88102864</v>
      </c>
      <c r="K4851" s="7">
        <v>3650200</v>
      </c>
      <c r="L4851" s="141">
        <f t="shared" si="764"/>
        <v>3653103.6126906597</v>
      </c>
    </row>
    <row r="4852" spans="2:12" x14ac:dyDescent="0.35">
      <c r="B4852" s="1">
        <f t="shared" si="763"/>
        <v>7</v>
      </c>
      <c r="C4852" s="22">
        <v>45536</v>
      </c>
      <c r="D4852" s="22">
        <v>45565</v>
      </c>
      <c r="E4852" s="23">
        <v>30</v>
      </c>
      <c r="F4852" s="3">
        <f t="shared" si="761"/>
        <v>126363231.88102864</v>
      </c>
      <c r="G4852" s="3">
        <f t="shared" si="765"/>
        <v>3651167.8708968866</v>
      </c>
      <c r="H4852" s="3">
        <f t="shared" si="762"/>
        <v>1053026.9323419053</v>
      </c>
      <c r="I4852" s="3">
        <f t="shared" si="759"/>
        <v>2598140.9385549813</v>
      </c>
      <c r="J4852" s="3">
        <f t="shared" si="760"/>
        <v>123765090.94247365</v>
      </c>
      <c r="K4852" s="7">
        <v>3650500</v>
      </c>
      <c r="L4852" s="141">
        <f t="shared" si="764"/>
        <v>3653771.4835875463</v>
      </c>
    </row>
    <row r="4853" spans="2:12" x14ac:dyDescent="0.35">
      <c r="B4853" s="1">
        <f t="shared" si="763"/>
        <v>8</v>
      </c>
      <c r="C4853" s="22">
        <v>45566</v>
      </c>
      <c r="D4853" s="22">
        <v>45596</v>
      </c>
      <c r="E4853" s="23">
        <v>31</v>
      </c>
      <c r="F4853" s="3">
        <f t="shared" si="761"/>
        <v>123765090.94247365</v>
      </c>
      <c r="G4853" s="3">
        <f t="shared" si="765"/>
        <v>3651167.8708968866</v>
      </c>
      <c r="H4853" s="3">
        <f t="shared" si="762"/>
        <v>1031375.7578539471</v>
      </c>
      <c r="I4853" s="3">
        <f t="shared" si="759"/>
        <v>2619792.1130429395</v>
      </c>
      <c r="J4853" s="3">
        <f t="shared" si="760"/>
        <v>121145298.82943071</v>
      </c>
      <c r="K4853" s="7">
        <v>3650500</v>
      </c>
      <c r="L4853" s="360">
        <f t="shared" si="764"/>
        <v>3654439.3544844328</v>
      </c>
    </row>
    <row r="4854" spans="2:12" x14ac:dyDescent="0.35">
      <c r="B4854" s="1">
        <f t="shared" si="763"/>
        <v>9</v>
      </c>
      <c r="C4854" s="22">
        <v>45597</v>
      </c>
      <c r="D4854" s="22">
        <v>45626</v>
      </c>
      <c r="E4854" s="23">
        <v>30</v>
      </c>
      <c r="F4854" s="3">
        <f t="shared" si="761"/>
        <v>121145298.82943071</v>
      </c>
      <c r="G4854" s="3">
        <f t="shared" si="765"/>
        <v>3651167.8708968866</v>
      </c>
      <c r="H4854" s="3">
        <f t="shared" si="762"/>
        <v>1009544.1569119226</v>
      </c>
      <c r="I4854" s="3">
        <f t="shared" si="759"/>
        <v>2641623.7139849639</v>
      </c>
      <c r="J4854" s="3">
        <f t="shared" si="760"/>
        <v>118503675.11544575</v>
      </c>
    </row>
    <row r="4855" spans="2:12" x14ac:dyDescent="0.35">
      <c r="B4855" s="1">
        <f t="shared" si="763"/>
        <v>10</v>
      </c>
      <c r="C4855" s="22">
        <v>45627</v>
      </c>
      <c r="D4855" s="22">
        <v>45657</v>
      </c>
      <c r="E4855" s="23">
        <v>31</v>
      </c>
      <c r="F4855" s="3">
        <f t="shared" si="761"/>
        <v>118503675.11544575</v>
      </c>
      <c r="G4855" s="3">
        <f t="shared" si="765"/>
        <v>3651167.8708968866</v>
      </c>
      <c r="H4855" s="3">
        <f t="shared" si="762"/>
        <v>987530.62596204784</v>
      </c>
      <c r="I4855" s="3">
        <f t="shared" si="759"/>
        <v>2663637.2449348387</v>
      </c>
      <c r="J4855" s="3">
        <f t="shared" si="760"/>
        <v>115840037.87051091</v>
      </c>
    </row>
    <row r="4856" spans="2:12" x14ac:dyDescent="0.35">
      <c r="B4856" s="1">
        <f t="shared" si="763"/>
        <v>11</v>
      </c>
      <c r="C4856" s="22">
        <v>45658</v>
      </c>
      <c r="D4856" s="22">
        <v>45688</v>
      </c>
      <c r="E4856" s="23">
        <v>31</v>
      </c>
      <c r="F4856" s="3">
        <f t="shared" si="761"/>
        <v>115840037.87051091</v>
      </c>
      <c r="G4856" s="3">
        <f t="shared" si="765"/>
        <v>3651167.8708968866</v>
      </c>
      <c r="H4856" s="3">
        <f t="shared" si="762"/>
        <v>965333.64892092417</v>
      </c>
      <c r="I4856" s="3">
        <f t="shared" si="759"/>
        <v>2685834.2219759626</v>
      </c>
      <c r="J4856" s="3">
        <f t="shared" si="760"/>
        <v>113154203.64853494</v>
      </c>
    </row>
    <row r="4857" spans="2:12" x14ac:dyDescent="0.35">
      <c r="B4857" s="1">
        <f t="shared" si="763"/>
        <v>12</v>
      </c>
      <c r="C4857" s="22">
        <v>45689</v>
      </c>
      <c r="D4857" s="22">
        <v>45716</v>
      </c>
      <c r="E4857" s="23">
        <v>28</v>
      </c>
      <c r="F4857" s="3">
        <f t="shared" si="761"/>
        <v>113154203.64853494</v>
      </c>
      <c r="G4857" s="3">
        <f t="shared" si="765"/>
        <v>3651167.8708968866</v>
      </c>
      <c r="H4857" s="3">
        <f t="shared" si="762"/>
        <v>942951.69707112445</v>
      </c>
      <c r="I4857" s="3">
        <f t="shared" si="759"/>
        <v>2708216.1738257622</v>
      </c>
      <c r="J4857" s="3">
        <f t="shared" si="760"/>
        <v>110445987.47470918</v>
      </c>
    </row>
    <row r="4858" spans="2:12" x14ac:dyDescent="0.35">
      <c r="B4858" s="1">
        <f t="shared" si="763"/>
        <v>13</v>
      </c>
      <c r="C4858" s="22">
        <v>45717</v>
      </c>
      <c r="D4858" s="22">
        <v>45747</v>
      </c>
      <c r="E4858" s="23">
        <v>31</v>
      </c>
      <c r="F4858" s="3">
        <f t="shared" si="761"/>
        <v>110445987.47470918</v>
      </c>
      <c r="G4858" s="3">
        <f t="shared" si="765"/>
        <v>3651167.8708968866</v>
      </c>
      <c r="H4858" s="3">
        <f t="shared" si="762"/>
        <v>920383.22895590984</v>
      </c>
      <c r="I4858" s="3">
        <f t="shared" si="759"/>
        <v>2730784.6419409765</v>
      </c>
      <c r="J4858" s="3">
        <f t="shared" si="760"/>
        <v>107715202.8327682</v>
      </c>
    </row>
    <row r="4859" spans="2:12" x14ac:dyDescent="0.35">
      <c r="B4859" s="1">
        <f t="shared" si="763"/>
        <v>14</v>
      </c>
      <c r="C4859" s="22">
        <v>45748</v>
      </c>
      <c r="D4859" s="22">
        <v>45777</v>
      </c>
      <c r="E4859" s="23">
        <v>30</v>
      </c>
      <c r="F4859" s="3">
        <f t="shared" si="761"/>
        <v>107715202.8327682</v>
      </c>
      <c r="G4859" s="3">
        <f t="shared" si="765"/>
        <v>3651167.8708968866</v>
      </c>
      <c r="H4859" s="3">
        <f t="shared" si="762"/>
        <v>897626.69027306838</v>
      </c>
      <c r="I4859" s="3">
        <f t="shared" si="759"/>
        <v>2753541.1806238182</v>
      </c>
      <c r="J4859" s="3">
        <f t="shared" si="760"/>
        <v>104961661.65214439</v>
      </c>
    </row>
    <row r="4860" spans="2:12" x14ac:dyDescent="0.35">
      <c r="B4860" s="1">
        <f t="shared" si="763"/>
        <v>15</v>
      </c>
      <c r="C4860" s="22">
        <v>45778</v>
      </c>
      <c r="D4860" s="22">
        <v>45808</v>
      </c>
      <c r="E4860" s="23">
        <v>31</v>
      </c>
      <c r="F4860" s="3">
        <f t="shared" si="761"/>
        <v>104961661.65214439</v>
      </c>
      <c r="G4860" s="3">
        <f t="shared" si="765"/>
        <v>3651167.8708968866</v>
      </c>
      <c r="H4860" s="3">
        <f t="shared" si="762"/>
        <v>874680.51376786991</v>
      </c>
      <c r="I4860" s="3">
        <f t="shared" si="759"/>
        <v>2776487.3571290169</v>
      </c>
      <c r="J4860" s="3">
        <f t="shared" si="760"/>
        <v>102185174.29501536</v>
      </c>
    </row>
    <row r="4861" spans="2:12" x14ac:dyDescent="0.35">
      <c r="B4861" s="1">
        <f t="shared" si="763"/>
        <v>16</v>
      </c>
      <c r="C4861" s="22">
        <v>45809</v>
      </c>
      <c r="D4861" s="22">
        <v>45838</v>
      </c>
      <c r="E4861" s="23">
        <v>30</v>
      </c>
      <c r="F4861" s="3">
        <f t="shared" si="761"/>
        <v>102185174.29501536</v>
      </c>
      <c r="G4861" s="3">
        <f t="shared" si="765"/>
        <v>3651167.8708968866</v>
      </c>
      <c r="H4861" s="3">
        <f t="shared" si="762"/>
        <v>851543.11912512803</v>
      </c>
      <c r="I4861" s="3">
        <f t="shared" si="759"/>
        <v>2799624.7517717583</v>
      </c>
      <c r="J4861" s="3">
        <f t="shared" si="760"/>
        <v>99385549.543243602</v>
      </c>
    </row>
    <row r="4862" spans="2:12" x14ac:dyDescent="0.35">
      <c r="B4862" s="1">
        <f t="shared" si="763"/>
        <v>17</v>
      </c>
      <c r="C4862" s="22">
        <v>45839</v>
      </c>
      <c r="D4862" s="22">
        <v>45868</v>
      </c>
      <c r="E4862" s="23">
        <v>30</v>
      </c>
      <c r="F4862" s="3">
        <f t="shared" si="761"/>
        <v>99385549.543243602</v>
      </c>
      <c r="G4862" s="3">
        <f t="shared" si="765"/>
        <v>3651167.8708968866</v>
      </c>
      <c r="H4862" s="3">
        <f t="shared" si="762"/>
        <v>828212.91286036337</v>
      </c>
      <c r="I4862" s="3">
        <f t="shared" si="759"/>
        <v>2822954.9580365233</v>
      </c>
      <c r="J4862" s="3">
        <f t="shared" si="760"/>
        <v>96562594.585207075</v>
      </c>
    </row>
    <row r="4863" spans="2:12" x14ac:dyDescent="0.35">
      <c r="B4863" s="1">
        <f t="shared" si="763"/>
        <v>18</v>
      </c>
      <c r="C4863" s="22">
        <v>45870</v>
      </c>
      <c r="D4863" s="22">
        <v>45899</v>
      </c>
      <c r="E4863" s="23">
        <v>30</v>
      </c>
      <c r="F4863" s="3">
        <f t="shared" si="761"/>
        <v>96562594.585207075</v>
      </c>
      <c r="G4863" s="3">
        <f t="shared" si="765"/>
        <v>3651167.8708968866</v>
      </c>
      <c r="H4863" s="3">
        <f t="shared" si="762"/>
        <v>804688.28821005893</v>
      </c>
      <c r="I4863" s="3">
        <f t="shared" si="759"/>
        <v>2846479.5826868275</v>
      </c>
      <c r="J4863" s="3">
        <f t="shared" si="760"/>
        <v>93716115.002520248</v>
      </c>
    </row>
    <row r="4864" spans="2:12" x14ac:dyDescent="0.35">
      <c r="B4864" s="1">
        <f t="shared" si="763"/>
        <v>19</v>
      </c>
      <c r="C4864" s="22">
        <v>45901</v>
      </c>
      <c r="D4864" s="22">
        <v>45930</v>
      </c>
      <c r="E4864" s="23">
        <v>30</v>
      </c>
      <c r="F4864" s="3">
        <f t="shared" si="761"/>
        <v>93716115.002520248</v>
      </c>
      <c r="G4864" s="3">
        <f t="shared" si="765"/>
        <v>3651167.8708968866</v>
      </c>
      <c r="H4864" s="3">
        <f t="shared" si="762"/>
        <v>780967.62502100202</v>
      </c>
      <c r="I4864" s="3">
        <f t="shared" si="759"/>
        <v>2870200.2458758848</v>
      </c>
      <c r="J4864" s="3">
        <f t="shared" si="760"/>
        <v>90845914.756644368</v>
      </c>
    </row>
    <row r="4865" spans="2:10" x14ac:dyDescent="0.35">
      <c r="B4865" s="1">
        <f t="shared" si="763"/>
        <v>20</v>
      </c>
      <c r="C4865" s="22">
        <v>45931</v>
      </c>
      <c r="D4865" s="22">
        <v>45961</v>
      </c>
      <c r="E4865" s="23">
        <v>31</v>
      </c>
      <c r="F4865" s="3">
        <f t="shared" si="761"/>
        <v>90845914.756644368</v>
      </c>
      <c r="G4865" s="3">
        <f t="shared" si="765"/>
        <v>3651167.8708968866</v>
      </c>
      <c r="H4865" s="3">
        <f t="shared" si="762"/>
        <v>757049.28963870311</v>
      </c>
      <c r="I4865" s="3">
        <f t="shared" si="759"/>
        <v>2894118.5812581833</v>
      </c>
      <c r="J4865" s="3">
        <f t="shared" si="760"/>
        <v>87951796.17538619</v>
      </c>
    </row>
    <row r="4866" spans="2:10" x14ac:dyDescent="0.35">
      <c r="B4866" s="1">
        <f t="shared" si="763"/>
        <v>21</v>
      </c>
      <c r="C4866" s="22">
        <v>45962</v>
      </c>
      <c r="D4866" s="22">
        <v>45991</v>
      </c>
      <c r="E4866" s="23">
        <v>30</v>
      </c>
      <c r="F4866" s="3">
        <f t="shared" si="761"/>
        <v>87951796.17538619</v>
      </c>
      <c r="G4866" s="3">
        <f t="shared" si="765"/>
        <v>3651167.8708968866</v>
      </c>
      <c r="H4866" s="3">
        <f t="shared" si="762"/>
        <v>732931.63479488494</v>
      </c>
      <c r="I4866" s="3">
        <f t="shared" si="759"/>
        <v>2918236.2361020017</v>
      </c>
      <c r="J4866" s="3">
        <f t="shared" si="760"/>
        <v>85033559.939284191</v>
      </c>
    </row>
    <row r="4867" spans="2:10" x14ac:dyDescent="0.35">
      <c r="B4867" s="1">
        <f t="shared" si="763"/>
        <v>22</v>
      </c>
      <c r="C4867" s="22">
        <v>45992</v>
      </c>
      <c r="D4867" s="22">
        <v>46022</v>
      </c>
      <c r="E4867" s="23">
        <v>31</v>
      </c>
      <c r="F4867" s="3">
        <f t="shared" si="761"/>
        <v>85033559.939284191</v>
      </c>
      <c r="G4867" s="3">
        <f t="shared" si="765"/>
        <v>3651167.8708968866</v>
      </c>
      <c r="H4867" s="3">
        <f t="shared" si="762"/>
        <v>708612.99949403491</v>
      </c>
      <c r="I4867" s="3">
        <f t="shared" si="759"/>
        <v>2942554.8714028518</v>
      </c>
      <c r="J4867" s="3">
        <f t="shared" si="760"/>
        <v>82091005.067881346</v>
      </c>
    </row>
    <row r="4868" spans="2:10" x14ac:dyDescent="0.35">
      <c r="B4868" s="1">
        <f t="shared" si="763"/>
        <v>23</v>
      </c>
      <c r="C4868" s="22">
        <v>46023</v>
      </c>
      <c r="D4868" s="22">
        <v>46053</v>
      </c>
      <c r="E4868" s="23">
        <v>31</v>
      </c>
      <c r="F4868" s="3">
        <f t="shared" si="761"/>
        <v>82091005.067881346</v>
      </c>
      <c r="G4868" s="3">
        <f t="shared" si="765"/>
        <v>3651167.8708968866</v>
      </c>
      <c r="H4868" s="3">
        <f t="shared" si="762"/>
        <v>684091.70889901125</v>
      </c>
      <c r="I4868" s="3">
        <f t="shared" si="759"/>
        <v>2967076.1619978752</v>
      </c>
      <c r="J4868" s="3">
        <f t="shared" si="760"/>
        <v>79123928.905883476</v>
      </c>
    </row>
    <row r="4869" spans="2:10" x14ac:dyDescent="0.35">
      <c r="B4869" s="1">
        <f t="shared" si="763"/>
        <v>24</v>
      </c>
      <c r="C4869" s="22">
        <v>46054</v>
      </c>
      <c r="D4869" s="22">
        <v>46081</v>
      </c>
      <c r="E4869" s="23">
        <v>28</v>
      </c>
      <c r="F4869" s="3">
        <f t="shared" si="761"/>
        <v>79123928.905883476</v>
      </c>
      <c r="G4869" s="3">
        <f t="shared" si="765"/>
        <v>3651167.8708968866</v>
      </c>
      <c r="H4869" s="3">
        <f t="shared" si="762"/>
        <v>659366.07421569561</v>
      </c>
      <c r="I4869" s="3">
        <f t="shared" si="759"/>
        <v>2991801.7966811908</v>
      </c>
      <c r="J4869" s="3">
        <f t="shared" si="760"/>
        <v>76132127.109202281</v>
      </c>
    </row>
    <row r="4870" spans="2:10" x14ac:dyDescent="0.35">
      <c r="B4870" s="1">
        <f t="shared" si="763"/>
        <v>25</v>
      </c>
      <c r="C4870" s="22">
        <v>46082</v>
      </c>
      <c r="D4870" s="22">
        <v>46112</v>
      </c>
      <c r="E4870" s="23">
        <v>31</v>
      </c>
      <c r="F4870" s="3">
        <f t="shared" si="761"/>
        <v>76132127.109202281</v>
      </c>
      <c r="G4870" s="3">
        <f t="shared" si="765"/>
        <v>3651167.8708968866</v>
      </c>
      <c r="H4870" s="3">
        <f t="shared" si="762"/>
        <v>634434.39257668564</v>
      </c>
      <c r="I4870" s="3">
        <f t="shared" si="759"/>
        <v>3016733.4783202009</v>
      </c>
      <c r="J4870" s="3">
        <f t="shared" si="760"/>
        <v>73115393.630882084</v>
      </c>
    </row>
    <row r="4871" spans="2:10" x14ac:dyDescent="0.35">
      <c r="B4871" s="1">
        <f t="shared" si="763"/>
        <v>26</v>
      </c>
      <c r="C4871" s="22">
        <v>46113</v>
      </c>
      <c r="D4871" s="22">
        <v>46142</v>
      </c>
      <c r="E4871" s="23">
        <v>30</v>
      </c>
      <c r="F4871" s="3">
        <f t="shared" si="761"/>
        <v>73115393.630882084</v>
      </c>
      <c r="G4871" s="3">
        <f t="shared" si="765"/>
        <v>3651167.8708968866</v>
      </c>
      <c r="H4871" s="3">
        <f t="shared" si="762"/>
        <v>609294.94692401739</v>
      </c>
      <c r="I4871" s="3">
        <f t="shared" si="759"/>
        <v>3041872.9239728693</v>
      </c>
      <c r="J4871" s="3">
        <f t="shared" si="760"/>
        <v>70073520.706909209</v>
      </c>
    </row>
    <row r="4872" spans="2:10" x14ac:dyDescent="0.35">
      <c r="B4872" s="1">
        <f t="shared" si="763"/>
        <v>27</v>
      </c>
      <c r="C4872" s="22">
        <v>46143</v>
      </c>
      <c r="D4872" s="22">
        <v>46173</v>
      </c>
      <c r="E4872" s="23">
        <v>31</v>
      </c>
      <c r="F4872" s="3">
        <f t="shared" si="761"/>
        <v>70073520.706909209</v>
      </c>
      <c r="G4872" s="3">
        <f t="shared" si="765"/>
        <v>3651167.8708968866</v>
      </c>
      <c r="H4872" s="3">
        <f t="shared" si="762"/>
        <v>583946.00589091005</v>
      </c>
      <c r="I4872" s="3">
        <f t="shared" si="759"/>
        <v>3067221.8650059765</v>
      </c>
      <c r="J4872" s="3">
        <f t="shared" si="760"/>
        <v>67006298.841903232</v>
      </c>
    </row>
    <row r="4873" spans="2:10" x14ac:dyDescent="0.35">
      <c r="B4873" s="1">
        <f t="shared" si="763"/>
        <v>28</v>
      </c>
      <c r="C4873" s="22">
        <v>46174</v>
      </c>
      <c r="D4873" s="22">
        <v>46203</v>
      </c>
      <c r="E4873" s="23">
        <v>30</v>
      </c>
      <c r="F4873" s="3">
        <f t="shared" si="761"/>
        <v>67006298.841903232</v>
      </c>
      <c r="G4873" s="3">
        <f t="shared" si="765"/>
        <v>3651167.8708968866</v>
      </c>
      <c r="H4873" s="3">
        <f t="shared" si="762"/>
        <v>558385.82368252694</v>
      </c>
      <c r="I4873" s="3">
        <f t="shared" si="759"/>
        <v>3092782.0472143595</v>
      </c>
      <c r="J4873" s="3">
        <f t="shared" si="760"/>
        <v>63913516.794688873</v>
      </c>
    </row>
    <row r="4874" spans="2:10" x14ac:dyDescent="0.35">
      <c r="B4874" s="1">
        <f t="shared" si="763"/>
        <v>29</v>
      </c>
      <c r="C4874" s="22">
        <v>46204</v>
      </c>
      <c r="D4874" s="22">
        <v>46234</v>
      </c>
      <c r="E4874" s="23">
        <v>31</v>
      </c>
      <c r="F4874" s="3">
        <f t="shared" si="761"/>
        <v>63913516.794688873</v>
      </c>
      <c r="G4874" s="3">
        <f t="shared" si="765"/>
        <v>3651167.8708968866</v>
      </c>
      <c r="H4874" s="3">
        <f t="shared" si="762"/>
        <v>532612.63995574065</v>
      </c>
      <c r="I4874" s="3">
        <f t="shared" si="759"/>
        <v>3118555.2309411457</v>
      </c>
      <c r="J4874" s="3">
        <f t="shared" si="760"/>
        <v>60794961.563747726</v>
      </c>
    </row>
    <row r="4875" spans="2:10" x14ac:dyDescent="0.35">
      <c r="B4875" s="1">
        <f t="shared" si="763"/>
        <v>30</v>
      </c>
      <c r="C4875" s="22">
        <v>46235</v>
      </c>
      <c r="D4875" s="22">
        <v>46265</v>
      </c>
      <c r="E4875" s="23">
        <v>31</v>
      </c>
      <c r="F4875" s="3">
        <f t="shared" si="761"/>
        <v>60794961.563747726</v>
      </c>
      <c r="G4875" s="3">
        <f t="shared" si="765"/>
        <v>3651167.8708968866</v>
      </c>
      <c r="H4875" s="3">
        <f t="shared" si="762"/>
        <v>506624.67969789769</v>
      </c>
      <c r="I4875" s="3">
        <f t="shared" si="759"/>
        <v>3144543.1911989888</v>
      </c>
      <c r="J4875" s="3">
        <f t="shared" si="760"/>
        <v>57650418.372548737</v>
      </c>
    </row>
    <row r="4876" spans="2:10" x14ac:dyDescent="0.35">
      <c r="B4876" s="1">
        <f t="shared" si="763"/>
        <v>31</v>
      </c>
      <c r="C4876" s="22">
        <v>46266</v>
      </c>
      <c r="D4876" s="22">
        <v>46295</v>
      </c>
      <c r="E4876" s="23">
        <v>30</v>
      </c>
      <c r="F4876" s="3">
        <f t="shared" si="761"/>
        <v>57650418.372548737</v>
      </c>
      <c r="G4876" s="3">
        <f t="shared" si="765"/>
        <v>3651167.8708968866</v>
      </c>
      <c r="H4876" s="3">
        <f t="shared" si="762"/>
        <v>480420.15310457279</v>
      </c>
      <c r="I4876" s="3">
        <f t="shared" si="759"/>
        <v>3170747.7177923135</v>
      </c>
      <c r="J4876" s="3">
        <f t="shared" si="760"/>
        <v>54479670.654756427</v>
      </c>
    </row>
    <row r="4877" spans="2:10" x14ac:dyDescent="0.35">
      <c r="B4877" s="1">
        <f t="shared" si="763"/>
        <v>32</v>
      </c>
      <c r="C4877" s="22">
        <v>46296</v>
      </c>
      <c r="D4877" s="22">
        <v>46326</v>
      </c>
      <c r="E4877" s="23">
        <v>31</v>
      </c>
      <c r="F4877" s="3">
        <f t="shared" si="761"/>
        <v>54479670.654756427</v>
      </c>
      <c r="G4877" s="3">
        <f t="shared" si="765"/>
        <v>3651167.8708968866</v>
      </c>
      <c r="H4877" s="3">
        <f t="shared" si="762"/>
        <v>453997.25545630354</v>
      </c>
      <c r="I4877" s="3">
        <f t="shared" si="759"/>
        <v>3197170.6154405829</v>
      </c>
      <c r="J4877" s="3">
        <f t="shared" si="760"/>
        <v>51282500.039315842</v>
      </c>
    </row>
    <row r="4878" spans="2:10" x14ac:dyDescent="0.35">
      <c r="B4878" s="1">
        <f t="shared" si="763"/>
        <v>33</v>
      </c>
      <c r="C4878" s="22">
        <v>46327</v>
      </c>
      <c r="D4878" s="22">
        <v>46356</v>
      </c>
      <c r="E4878" s="23">
        <v>30</v>
      </c>
      <c r="F4878" s="3">
        <f t="shared" si="761"/>
        <v>51282500.039315842</v>
      </c>
      <c r="G4878" s="3">
        <f t="shared" si="765"/>
        <v>3651167.8708968866</v>
      </c>
      <c r="H4878" s="3">
        <f t="shared" si="762"/>
        <v>427354.16699429869</v>
      </c>
      <c r="I4878" s="3">
        <f t="shared" si="759"/>
        <v>3223813.7039025878</v>
      </c>
      <c r="J4878" s="3">
        <f t="shared" si="760"/>
        <v>48058686.335413255</v>
      </c>
    </row>
    <row r="4879" spans="2:10" x14ac:dyDescent="0.35">
      <c r="B4879" s="1">
        <f t="shared" si="763"/>
        <v>34</v>
      </c>
      <c r="C4879" s="22">
        <v>46357</v>
      </c>
      <c r="D4879" s="22">
        <v>46387</v>
      </c>
      <c r="E4879" s="23">
        <v>31</v>
      </c>
      <c r="F4879" s="3">
        <f t="shared" si="761"/>
        <v>48058686.335413255</v>
      </c>
      <c r="G4879" s="3">
        <f t="shared" si="765"/>
        <v>3651167.8708968866</v>
      </c>
      <c r="H4879" s="3">
        <f t="shared" si="762"/>
        <v>400489.05279511045</v>
      </c>
      <c r="I4879" s="3">
        <f t="shared" si="759"/>
        <v>3250678.8181017763</v>
      </c>
      <c r="J4879" s="3">
        <f t="shared" si="760"/>
        <v>44808007.517311476</v>
      </c>
    </row>
    <row r="4880" spans="2:10" x14ac:dyDescent="0.35">
      <c r="B4880" s="1">
        <f t="shared" si="763"/>
        <v>35</v>
      </c>
      <c r="C4880" s="22">
        <v>46388</v>
      </c>
      <c r="D4880" s="22">
        <v>46418</v>
      </c>
      <c r="E4880" s="23">
        <v>31</v>
      </c>
      <c r="F4880" s="3">
        <f t="shared" si="761"/>
        <v>44808007.517311476</v>
      </c>
      <c r="G4880" s="3">
        <f t="shared" si="765"/>
        <v>3651167.8708968866</v>
      </c>
      <c r="H4880" s="3">
        <f t="shared" si="762"/>
        <v>373400.06264426227</v>
      </c>
      <c r="I4880" s="3">
        <f t="shared" si="759"/>
        <v>3277767.8082526242</v>
      </c>
      <c r="J4880" s="3">
        <f t="shared" si="760"/>
        <v>41530239.709058851</v>
      </c>
    </row>
    <row r="4881" spans="2:19" x14ac:dyDescent="0.35">
      <c r="B4881" s="1">
        <f t="shared" si="763"/>
        <v>36</v>
      </c>
      <c r="C4881" s="22">
        <v>46419</v>
      </c>
      <c r="D4881" s="22">
        <v>46446</v>
      </c>
      <c r="E4881" s="23">
        <f t="shared" ref="E4881:E4892" si="766">D4881-C4881+1</f>
        <v>28</v>
      </c>
      <c r="F4881" s="3">
        <f t="shared" si="761"/>
        <v>41530239.709058851</v>
      </c>
      <c r="G4881" s="3">
        <f t="shared" si="765"/>
        <v>3651167.8708968866</v>
      </c>
      <c r="H4881" s="3">
        <f t="shared" si="762"/>
        <v>346085.33090882376</v>
      </c>
      <c r="I4881" s="3">
        <f t="shared" si="759"/>
        <v>3305082.5399880628</v>
      </c>
      <c r="J4881" s="3">
        <f t="shared" si="760"/>
        <v>38225157.169070788</v>
      </c>
    </row>
    <row r="4882" spans="2:19" x14ac:dyDescent="0.35">
      <c r="B4882" s="1">
        <f t="shared" si="763"/>
        <v>37</v>
      </c>
      <c r="C4882" s="22">
        <v>46447</v>
      </c>
      <c r="D4882" s="22">
        <v>46477</v>
      </c>
      <c r="E4882" s="23">
        <f t="shared" si="766"/>
        <v>31</v>
      </c>
      <c r="F4882" s="3">
        <f t="shared" si="761"/>
        <v>38225157.169070788</v>
      </c>
      <c r="G4882" s="3">
        <f t="shared" si="765"/>
        <v>3651167.8708968866</v>
      </c>
      <c r="H4882" s="3">
        <f t="shared" si="762"/>
        <v>318542.97640892322</v>
      </c>
      <c r="I4882" s="3">
        <f t="shared" si="759"/>
        <v>3332624.8944879635</v>
      </c>
      <c r="J4882" s="3">
        <f t="shared" si="760"/>
        <v>34892532.274582826</v>
      </c>
    </row>
    <row r="4883" spans="2:19" x14ac:dyDescent="0.35">
      <c r="B4883" s="1">
        <f t="shared" si="763"/>
        <v>38</v>
      </c>
      <c r="C4883" s="22">
        <v>46478</v>
      </c>
      <c r="D4883" s="22">
        <v>46507</v>
      </c>
      <c r="E4883" s="23">
        <f t="shared" si="766"/>
        <v>30</v>
      </c>
      <c r="F4883" s="3">
        <f t="shared" si="761"/>
        <v>34892532.274582826</v>
      </c>
      <c r="G4883" s="3">
        <f t="shared" si="765"/>
        <v>3651167.8708968866</v>
      </c>
      <c r="H4883" s="3">
        <f t="shared" si="762"/>
        <v>290771.10228819022</v>
      </c>
      <c r="I4883" s="3">
        <f t="shared" si="759"/>
        <v>3360396.7686086963</v>
      </c>
      <c r="J4883" s="3">
        <f t="shared" si="760"/>
        <v>31532135.505974129</v>
      </c>
    </row>
    <row r="4884" spans="2:19" x14ac:dyDescent="0.35">
      <c r="B4884" s="1">
        <f t="shared" si="763"/>
        <v>39</v>
      </c>
      <c r="C4884" s="22">
        <v>46508</v>
      </c>
      <c r="D4884" s="22">
        <v>46538</v>
      </c>
      <c r="E4884" s="23">
        <f t="shared" si="766"/>
        <v>31</v>
      </c>
      <c r="F4884" s="3">
        <f t="shared" si="761"/>
        <v>31532135.505974129</v>
      </c>
      <c r="G4884" s="3">
        <f t="shared" si="765"/>
        <v>3651167.8708968866</v>
      </c>
      <c r="H4884" s="3">
        <f t="shared" si="762"/>
        <v>262767.79588311771</v>
      </c>
      <c r="I4884" s="3">
        <f t="shared" si="759"/>
        <v>3388400.0750137689</v>
      </c>
      <c r="J4884" s="3">
        <f t="shared" si="760"/>
        <v>28143735.430960361</v>
      </c>
    </row>
    <row r="4885" spans="2:19" x14ac:dyDescent="0.35">
      <c r="B4885" s="1">
        <f t="shared" si="763"/>
        <v>40</v>
      </c>
      <c r="C4885" s="22">
        <v>46539</v>
      </c>
      <c r="D4885" s="22">
        <v>46568</v>
      </c>
      <c r="E4885" s="23">
        <f t="shared" si="766"/>
        <v>30</v>
      </c>
      <c r="F4885" s="3">
        <f t="shared" si="761"/>
        <v>28143735.430960361</v>
      </c>
      <c r="G4885" s="3">
        <f t="shared" si="765"/>
        <v>3651167.8708968866</v>
      </c>
      <c r="H4885" s="3">
        <f t="shared" si="762"/>
        <v>234531.12859133634</v>
      </c>
      <c r="I4885" s="3">
        <f t="shared" si="759"/>
        <v>3416636.7423055503</v>
      </c>
      <c r="J4885" s="3">
        <f t="shared" si="760"/>
        <v>24727098.68865481</v>
      </c>
    </row>
    <row r="4886" spans="2:19" x14ac:dyDescent="0.35">
      <c r="B4886" s="1">
        <f t="shared" si="763"/>
        <v>41</v>
      </c>
      <c r="C4886" s="22">
        <v>46569</v>
      </c>
      <c r="D4886" s="22">
        <v>46599</v>
      </c>
      <c r="E4886" s="23">
        <f t="shared" si="766"/>
        <v>31</v>
      </c>
      <c r="F4886" s="3">
        <f t="shared" si="761"/>
        <v>24727098.68865481</v>
      </c>
      <c r="G4886" s="3">
        <f t="shared" si="765"/>
        <v>3651167.8708968866</v>
      </c>
      <c r="H4886" s="3">
        <f t="shared" si="762"/>
        <v>206059.15573879008</v>
      </c>
      <c r="I4886" s="3">
        <f t="shared" si="759"/>
        <v>3445108.7151580965</v>
      </c>
      <c r="J4886" s="3">
        <f t="shared" si="760"/>
        <v>21281989.973496713</v>
      </c>
    </row>
    <row r="4887" spans="2:19" x14ac:dyDescent="0.35">
      <c r="B4887" s="1">
        <f t="shared" si="763"/>
        <v>42</v>
      </c>
      <c r="C4887" s="22">
        <v>46600</v>
      </c>
      <c r="D4887" s="22">
        <v>46630</v>
      </c>
      <c r="E4887" s="23">
        <f t="shared" si="766"/>
        <v>31</v>
      </c>
      <c r="F4887" s="3">
        <f t="shared" si="761"/>
        <v>21281989.973496713</v>
      </c>
      <c r="G4887" s="3">
        <f t="shared" si="765"/>
        <v>3651167.8708968866</v>
      </c>
      <c r="H4887" s="3">
        <f t="shared" si="762"/>
        <v>177349.91644580592</v>
      </c>
      <c r="I4887" s="3">
        <f t="shared" si="759"/>
        <v>3473817.9544510804</v>
      </c>
      <c r="J4887" s="3">
        <f t="shared" si="760"/>
        <v>17808172.019045632</v>
      </c>
    </row>
    <row r="4888" spans="2:19" x14ac:dyDescent="0.35">
      <c r="B4888" s="1">
        <f t="shared" si="763"/>
        <v>43</v>
      </c>
      <c r="C4888" s="22">
        <v>46631</v>
      </c>
      <c r="D4888" s="22">
        <v>46660</v>
      </c>
      <c r="E4888" s="23">
        <f t="shared" si="766"/>
        <v>30</v>
      </c>
      <c r="F4888" s="3">
        <f t="shared" si="761"/>
        <v>17808172.019045632</v>
      </c>
      <c r="G4888" s="3">
        <f t="shared" si="765"/>
        <v>3651167.8708968866</v>
      </c>
      <c r="H4888" s="3">
        <f t="shared" si="762"/>
        <v>148401.43349204693</v>
      </c>
      <c r="I4888" s="3">
        <f t="shared" si="759"/>
        <v>3502766.4374048398</v>
      </c>
      <c r="J4888" s="3">
        <f t="shared" si="760"/>
        <v>14305405.581640793</v>
      </c>
    </row>
    <row r="4889" spans="2:19" x14ac:dyDescent="0.35">
      <c r="B4889" s="1">
        <f t="shared" si="763"/>
        <v>44</v>
      </c>
      <c r="C4889" s="22">
        <v>46661</v>
      </c>
      <c r="D4889" s="22">
        <v>46691</v>
      </c>
      <c r="E4889" s="23">
        <f t="shared" si="766"/>
        <v>31</v>
      </c>
      <c r="F4889" s="3">
        <f t="shared" si="761"/>
        <v>14305405.581640793</v>
      </c>
      <c r="G4889" s="3">
        <f t="shared" si="765"/>
        <v>3651167.8708968866</v>
      </c>
      <c r="H4889" s="3">
        <f t="shared" si="762"/>
        <v>119211.71318033994</v>
      </c>
      <c r="I4889" s="3">
        <f t="shared" si="759"/>
        <v>3531956.1577165467</v>
      </c>
      <c r="J4889" s="3">
        <f t="shared" si="760"/>
        <v>10773449.423924247</v>
      </c>
    </row>
    <row r="4890" spans="2:19" x14ac:dyDescent="0.35">
      <c r="B4890" s="1">
        <f t="shared" si="763"/>
        <v>45</v>
      </c>
      <c r="C4890" s="22">
        <v>46692</v>
      </c>
      <c r="D4890" s="22">
        <v>46721</v>
      </c>
      <c r="E4890" s="23">
        <f t="shared" si="766"/>
        <v>30</v>
      </c>
      <c r="F4890" s="3">
        <f t="shared" si="761"/>
        <v>10773449.423924247</v>
      </c>
      <c r="G4890" s="3">
        <f t="shared" si="765"/>
        <v>3651167.8708968866</v>
      </c>
      <c r="H4890" s="3">
        <f t="shared" si="762"/>
        <v>89778.745199368728</v>
      </c>
      <c r="I4890" s="3">
        <f t="shared" si="759"/>
        <v>3561389.1256975178</v>
      </c>
      <c r="J4890" s="3">
        <f t="shared" si="760"/>
        <v>7212060.298226729</v>
      </c>
    </row>
    <row r="4891" spans="2:19" x14ac:dyDescent="0.35">
      <c r="B4891" s="1">
        <f t="shared" si="763"/>
        <v>46</v>
      </c>
      <c r="C4891" s="22">
        <v>46722</v>
      </c>
      <c r="D4891" s="22">
        <v>46752</v>
      </c>
      <c r="E4891" s="23">
        <f t="shared" si="766"/>
        <v>31</v>
      </c>
      <c r="F4891" s="3">
        <f t="shared" si="761"/>
        <v>7212060.298226729</v>
      </c>
      <c r="G4891" s="3">
        <f t="shared" si="765"/>
        <v>3651167.8708968866</v>
      </c>
      <c r="H4891" s="3">
        <f t="shared" si="762"/>
        <v>60100.502485222743</v>
      </c>
      <c r="I4891" s="3">
        <f t="shared" si="759"/>
        <v>3591067.3684116639</v>
      </c>
      <c r="J4891" s="3">
        <f t="shared" si="760"/>
        <v>3620992.9298150651</v>
      </c>
    </row>
    <row r="4892" spans="2:19" x14ac:dyDescent="0.35">
      <c r="B4892" s="1">
        <f t="shared" si="763"/>
        <v>47</v>
      </c>
      <c r="C4892" s="22">
        <v>46753</v>
      </c>
      <c r="D4892" s="22">
        <v>46783</v>
      </c>
      <c r="E4892" s="23">
        <f t="shared" si="766"/>
        <v>31</v>
      </c>
      <c r="F4892" s="3">
        <f t="shared" si="761"/>
        <v>3620992.9298150651</v>
      </c>
      <c r="G4892" s="3">
        <f t="shared" si="765"/>
        <v>3651167.8708968866</v>
      </c>
      <c r="H4892" s="3">
        <f t="shared" si="762"/>
        <v>30174.941081792207</v>
      </c>
      <c r="I4892" s="3">
        <f t="shared" si="759"/>
        <v>3620992.9298150945</v>
      </c>
      <c r="J4892" s="3">
        <f t="shared" si="760"/>
        <v>-2.9336661100387573E-8</v>
      </c>
    </row>
    <row r="4896" spans="2:19" x14ac:dyDescent="0.35">
      <c r="B4896" s="1"/>
      <c r="C4896" s="8" t="s">
        <v>625</v>
      </c>
      <c r="D4896" s="3"/>
      <c r="E4896" s="3"/>
      <c r="F4896" s="3"/>
      <c r="G4896" s="3"/>
      <c r="H4896" s="3"/>
      <c r="I4896" s="3"/>
      <c r="J4896" s="3"/>
      <c r="R4896" s="438" t="s">
        <v>832</v>
      </c>
      <c r="S4896" s="432" t="str">
        <f>IFERROR(INDEX(Blocks!$I$2:$I$101,MATCH(89,Blocks!$A$2:$A$101,0)),"")</f>
        <v>000104450000091</v>
      </c>
    </row>
    <row r="4897" spans="2:19" x14ac:dyDescent="0.35">
      <c r="B4897" s="1"/>
      <c r="C4897" s="1"/>
      <c r="D4897" s="3"/>
      <c r="E4897" s="3"/>
      <c r="F4897" s="3"/>
      <c r="G4897" s="3"/>
      <c r="H4897" s="3"/>
      <c r="I4897" s="3"/>
      <c r="J4897" s="3"/>
      <c r="R4897" s="438" t="s">
        <v>834</v>
      </c>
      <c r="S4897" s="432" t="str">
        <f>IFERROR(INDEX(Blocks!$H$2:$H$101,MATCH(89,Blocks!$A$2:$A$101,0)),"")</f>
        <v>Chanje Investments</v>
      </c>
    </row>
    <row r="4898" spans="2:19" x14ac:dyDescent="0.35">
      <c r="B4898" s="1"/>
      <c r="C4898" s="9" t="s">
        <v>835</v>
      </c>
      <c r="D4898" s="10">
        <v>200000000</v>
      </c>
      <c r="E4898" s="3"/>
      <c r="F4898" s="3"/>
      <c r="G4898" s="3"/>
      <c r="H4898" s="3"/>
      <c r="I4898" s="3"/>
      <c r="J4898" s="3"/>
      <c r="R4898" s="438" t="s">
        <v>223</v>
      </c>
      <c r="S4898" s="433">
        <f>IFERROR(INDEX('E-Banker master'!$N$2:$N$186,MATCH(S4896,'E-Banker master'!$A$2:$A$186,0)),"")</f>
        <v>200000000</v>
      </c>
    </row>
    <row r="4899" spans="2:19" x14ac:dyDescent="0.35">
      <c r="B4899" s="1"/>
      <c r="C4899" s="11" t="s">
        <v>837</v>
      </c>
      <c r="D4899" s="12">
        <v>0.1</v>
      </c>
      <c r="E4899" s="13"/>
      <c r="F4899" s="3"/>
      <c r="G4899" s="3"/>
      <c r="H4899" s="3"/>
      <c r="I4899" s="3"/>
      <c r="J4899" s="3"/>
      <c r="R4899" s="438" t="s">
        <v>52</v>
      </c>
      <c r="S4899" s="433">
        <f>IFERROR(INDEX('E-Banker master'!$P$2:$P$186,MATCH(S4896,'E-Banker master'!$A$2:$A$186,0)),"")</f>
        <v>213772323.30000001</v>
      </c>
    </row>
    <row r="4900" spans="2:19" x14ac:dyDescent="0.35">
      <c r="B4900" s="1"/>
      <c r="C4900" s="11" t="s">
        <v>838</v>
      </c>
      <c r="D4900" s="14">
        <v>4</v>
      </c>
      <c r="E4900" s="1"/>
      <c r="F4900" s="3"/>
      <c r="G4900" s="3"/>
      <c r="H4900" s="3"/>
      <c r="I4900" s="3"/>
      <c r="J4900" s="3"/>
    </row>
    <row r="4901" spans="2:19" x14ac:dyDescent="0.35">
      <c r="B4901" s="1"/>
      <c r="C4901" s="11" t="s">
        <v>839</v>
      </c>
      <c r="D4901" s="14">
        <v>12</v>
      </c>
      <c r="E4901" s="1"/>
      <c r="F4901" s="3"/>
      <c r="G4901" s="3"/>
      <c r="H4901" s="3"/>
      <c r="I4901" s="3"/>
      <c r="J4901" s="3"/>
    </row>
    <row r="4902" spans="2:19" x14ac:dyDescent="0.35">
      <c r="B4902" s="1"/>
      <c r="C4902" s="11" t="s">
        <v>843</v>
      </c>
      <c r="D4902" s="15">
        <f>+D4901*D4900</f>
        <v>48</v>
      </c>
      <c r="E4902" s="1"/>
      <c r="F4902" s="3"/>
      <c r="G4902" s="3"/>
      <c r="H4902" s="3"/>
      <c r="I4902" s="3"/>
      <c r="J4902" s="3"/>
    </row>
    <row r="4903" spans="2:19" x14ac:dyDescent="0.35">
      <c r="B4903" s="1"/>
      <c r="C4903" s="11" t="s">
        <v>844</v>
      </c>
      <c r="D4903" s="16">
        <v>365</v>
      </c>
      <c r="E4903" s="1"/>
      <c r="F4903" s="3"/>
      <c r="G4903" s="3"/>
      <c r="H4903" s="3"/>
      <c r="I4903" s="3"/>
      <c r="J4903" s="3"/>
    </row>
    <row r="4904" spans="2:19" x14ac:dyDescent="0.35">
      <c r="B4904" s="1"/>
      <c r="C4904" s="17" t="s">
        <v>845</v>
      </c>
      <c r="D4904" s="220">
        <f>-PMT(D4899/D4901,D4902,D4898,0,0)</f>
        <v>5072516.6869494375</v>
      </c>
      <c r="E4904" s="3"/>
      <c r="F4904" s="3"/>
      <c r="G4904" s="3"/>
      <c r="H4904" s="3"/>
      <c r="I4904" s="3"/>
      <c r="J4904" s="3"/>
    </row>
    <row r="4905" spans="2:19" x14ac:dyDescent="0.35">
      <c r="B4905" s="1"/>
      <c r="C4905" s="1"/>
      <c r="D4905" s="3"/>
      <c r="E4905" s="3"/>
      <c r="F4905" s="3"/>
      <c r="G4905" s="3"/>
      <c r="H4905" s="3"/>
      <c r="I4905" s="3"/>
      <c r="J4905" s="3"/>
    </row>
    <row r="4906" spans="2:19" x14ac:dyDescent="0.35">
      <c r="B4906" s="1"/>
      <c r="C4906" s="19" t="s">
        <v>846</v>
      </c>
      <c r="D4906" s="20" t="s">
        <v>847</v>
      </c>
      <c r="E4906" s="20" t="s">
        <v>764</v>
      </c>
      <c r="F4906" s="270" t="s">
        <v>848</v>
      </c>
      <c r="G4906" s="270" t="s">
        <v>849</v>
      </c>
      <c r="H4906" s="270" t="s">
        <v>742</v>
      </c>
      <c r="I4906" s="270" t="s">
        <v>740</v>
      </c>
      <c r="J4906" s="270" t="s">
        <v>850</v>
      </c>
      <c r="K4906" s="21" t="s">
        <v>851</v>
      </c>
      <c r="L4906" s="21" t="s">
        <v>852</v>
      </c>
    </row>
    <row r="4907" spans="2:19" x14ac:dyDescent="0.35">
      <c r="B4907" s="1">
        <v>0</v>
      </c>
      <c r="C4907" s="22">
        <v>45351</v>
      </c>
      <c r="D4907" s="22">
        <v>45351</v>
      </c>
      <c r="E4907" s="310">
        <v>0</v>
      </c>
      <c r="F4907" s="3">
        <f>D4898</f>
        <v>200000000</v>
      </c>
      <c r="G4907" s="3"/>
      <c r="H4907" s="3">
        <f>($D$4837/$D$4839*F4907*E4907/31)</f>
        <v>0</v>
      </c>
      <c r="I4907" s="3">
        <f t="shared" ref="I4907:I4938" si="767">G4907-H4907</f>
        <v>0</v>
      </c>
      <c r="J4907" s="3">
        <f t="shared" ref="J4907:J4938" si="768">F4907-I4907</f>
        <v>200000000</v>
      </c>
    </row>
    <row r="4908" spans="2:19" x14ac:dyDescent="0.35">
      <c r="B4908" s="1">
        <v>1</v>
      </c>
      <c r="C4908" s="22">
        <v>45352</v>
      </c>
      <c r="D4908" s="22">
        <v>45382</v>
      </c>
      <c r="E4908" s="23">
        <v>31</v>
      </c>
      <c r="F4908" s="3">
        <f t="shared" ref="F4908:F4955" si="769">J4907</f>
        <v>200000000</v>
      </c>
      <c r="G4908" s="3"/>
      <c r="H4908" s="3">
        <f t="shared" ref="H4908:H4955" si="770">($D$4899/$D$4901*F4908)</f>
        <v>1666666.6666666667</v>
      </c>
      <c r="I4908" s="3">
        <f t="shared" si="767"/>
        <v>-1666666.6666666667</v>
      </c>
      <c r="J4908" s="3">
        <f t="shared" si="768"/>
        <v>201666666.66666666</v>
      </c>
    </row>
    <row r="4909" spans="2:19" x14ac:dyDescent="0.35">
      <c r="B4909" s="1">
        <v>2</v>
      </c>
      <c r="C4909" s="22">
        <v>45383</v>
      </c>
      <c r="D4909" s="22">
        <v>45412</v>
      </c>
      <c r="E4909" s="23">
        <v>30</v>
      </c>
      <c r="F4909" s="3">
        <f t="shared" si="769"/>
        <v>201666666.66666666</v>
      </c>
      <c r="G4909" s="3"/>
      <c r="H4909" s="3">
        <f t="shared" si="770"/>
        <v>1680555.5555555555</v>
      </c>
      <c r="I4909" s="3">
        <f t="shared" si="767"/>
        <v>-1680555.5555555555</v>
      </c>
      <c r="J4909" s="3">
        <f t="shared" si="768"/>
        <v>203347222.22222221</v>
      </c>
    </row>
    <row r="4910" spans="2:19" x14ac:dyDescent="0.35">
      <c r="B4910" s="1">
        <f t="shared" ref="B4910:B4954" si="771">+B4909+1</f>
        <v>3</v>
      </c>
      <c r="C4910" s="22">
        <v>45413</v>
      </c>
      <c r="D4910" s="22">
        <v>45443</v>
      </c>
      <c r="E4910" s="23">
        <v>31</v>
      </c>
      <c r="F4910" s="3">
        <f t="shared" si="769"/>
        <v>203347222.22222221</v>
      </c>
      <c r="G4910" s="3"/>
      <c r="H4910" s="3">
        <f t="shared" si="770"/>
        <v>1694560.1851851849</v>
      </c>
      <c r="I4910" s="3">
        <f t="shared" si="767"/>
        <v>-1694560.1851851849</v>
      </c>
      <c r="J4910" s="3">
        <f t="shared" si="768"/>
        <v>205041782.4074074</v>
      </c>
      <c r="L4910" s="141">
        <f t="shared" ref="L4910:L4915" si="772">+G4910-K4910+L4909</f>
        <v>0</v>
      </c>
    </row>
    <row r="4911" spans="2:19" x14ac:dyDescent="0.35">
      <c r="B4911" s="1">
        <f t="shared" si="771"/>
        <v>4</v>
      </c>
      <c r="C4911" s="22">
        <v>45444</v>
      </c>
      <c r="D4911" s="22">
        <v>45473</v>
      </c>
      <c r="E4911" s="23">
        <v>30</v>
      </c>
      <c r="F4911" s="3">
        <f t="shared" si="769"/>
        <v>205041782.4074074</v>
      </c>
      <c r="G4911" s="3"/>
      <c r="H4911" s="3">
        <f t="shared" si="770"/>
        <v>1708681.5200617283</v>
      </c>
      <c r="I4911" s="3">
        <f t="shared" si="767"/>
        <v>-1708681.5200617283</v>
      </c>
      <c r="J4911" s="3">
        <f t="shared" si="768"/>
        <v>206750463.92746913</v>
      </c>
      <c r="L4911" s="141">
        <f t="shared" si="772"/>
        <v>0</v>
      </c>
    </row>
    <row r="4912" spans="2:19" x14ac:dyDescent="0.35">
      <c r="B4912" s="1">
        <f t="shared" si="771"/>
        <v>5</v>
      </c>
      <c r="C4912" s="22">
        <v>45474</v>
      </c>
      <c r="D4912" s="22">
        <v>45504</v>
      </c>
      <c r="E4912" s="23">
        <v>31</v>
      </c>
      <c r="F4912" s="3">
        <f t="shared" si="769"/>
        <v>206750463.92746913</v>
      </c>
      <c r="G4912" s="3"/>
      <c r="H4912" s="3">
        <f t="shared" si="770"/>
        <v>1722920.5327289095</v>
      </c>
      <c r="I4912" s="3">
        <f t="shared" si="767"/>
        <v>-1722920.5327289095</v>
      </c>
      <c r="J4912" s="3">
        <f t="shared" si="768"/>
        <v>208473384.46019804</v>
      </c>
      <c r="L4912" s="141">
        <f t="shared" si="772"/>
        <v>0</v>
      </c>
    </row>
    <row r="4913" spans="2:12" x14ac:dyDescent="0.35">
      <c r="B4913" s="1">
        <f t="shared" si="771"/>
        <v>6</v>
      </c>
      <c r="C4913" s="22">
        <v>45505</v>
      </c>
      <c r="D4913" s="22">
        <v>45535</v>
      </c>
      <c r="E4913" s="23">
        <v>31</v>
      </c>
      <c r="F4913" s="3">
        <f t="shared" si="769"/>
        <v>208473384.46019804</v>
      </c>
      <c r="G4913" s="3"/>
      <c r="H4913" s="3">
        <f t="shared" si="770"/>
        <v>1737278.2038349838</v>
      </c>
      <c r="I4913" s="3">
        <f t="shared" si="767"/>
        <v>-1737278.2038349838</v>
      </c>
      <c r="J4913" s="3">
        <f t="shared" si="768"/>
        <v>210210662.66403303</v>
      </c>
      <c r="L4913" s="141">
        <f t="shared" si="772"/>
        <v>0</v>
      </c>
    </row>
    <row r="4914" spans="2:12" x14ac:dyDescent="0.35">
      <c r="B4914" s="1">
        <f t="shared" si="771"/>
        <v>7</v>
      </c>
      <c r="C4914" s="22">
        <v>45536</v>
      </c>
      <c r="D4914" s="22">
        <v>45565</v>
      </c>
      <c r="E4914" s="23">
        <v>30</v>
      </c>
      <c r="F4914" s="3">
        <f t="shared" si="769"/>
        <v>210210662.66403303</v>
      </c>
      <c r="G4914" s="3">
        <f t="shared" ref="G4914:G4955" si="773">-PMT($D$4899/$D$4901,42,$F$4914,,0)</f>
        <v>5952497.358722168</v>
      </c>
      <c r="H4914" s="3">
        <f t="shared" si="770"/>
        <v>1751755.5222002752</v>
      </c>
      <c r="I4914" s="3">
        <f t="shared" si="767"/>
        <v>4200741.8365218928</v>
      </c>
      <c r="J4914" s="3">
        <f t="shared" si="768"/>
        <v>206009920.82751113</v>
      </c>
      <c r="L4914" s="141">
        <f t="shared" si="772"/>
        <v>5952497.358722168</v>
      </c>
    </row>
    <row r="4915" spans="2:12" x14ac:dyDescent="0.35">
      <c r="B4915" s="1">
        <f t="shared" si="771"/>
        <v>8</v>
      </c>
      <c r="C4915" s="22">
        <v>45566</v>
      </c>
      <c r="D4915" s="22">
        <v>45596</v>
      </c>
      <c r="E4915" s="23">
        <v>31</v>
      </c>
      <c r="F4915" s="3">
        <f t="shared" si="769"/>
        <v>206009920.82751113</v>
      </c>
      <c r="G4915" s="3">
        <f t="shared" si="773"/>
        <v>5952497.358722168</v>
      </c>
      <c r="H4915" s="3">
        <f t="shared" si="770"/>
        <v>1716749.3402292593</v>
      </c>
      <c r="I4915" s="3">
        <f t="shared" si="767"/>
        <v>4235748.0184929091</v>
      </c>
      <c r="J4915" s="3">
        <f t="shared" si="768"/>
        <v>201774172.80901822</v>
      </c>
      <c r="L4915" s="360">
        <f t="shared" si="772"/>
        <v>11904994.717444336</v>
      </c>
    </row>
    <row r="4916" spans="2:12" x14ac:dyDescent="0.35">
      <c r="B4916" s="1">
        <f t="shared" si="771"/>
        <v>9</v>
      </c>
      <c r="C4916" s="22">
        <v>45597</v>
      </c>
      <c r="D4916" s="22">
        <v>45626</v>
      </c>
      <c r="E4916" s="23">
        <v>30</v>
      </c>
      <c r="F4916" s="3">
        <f t="shared" si="769"/>
        <v>201774172.80901822</v>
      </c>
      <c r="G4916" s="3">
        <f t="shared" si="773"/>
        <v>5952497.358722168</v>
      </c>
      <c r="H4916" s="3">
        <f t="shared" si="770"/>
        <v>1681451.4400751519</v>
      </c>
      <c r="I4916" s="3">
        <f t="shared" si="767"/>
        <v>4271045.9186470164</v>
      </c>
      <c r="J4916" s="3">
        <f t="shared" si="768"/>
        <v>197503126.8903712</v>
      </c>
    </row>
    <row r="4917" spans="2:12" x14ac:dyDescent="0.35">
      <c r="B4917" s="1">
        <f t="shared" si="771"/>
        <v>10</v>
      </c>
      <c r="C4917" s="22">
        <v>45627</v>
      </c>
      <c r="D4917" s="22">
        <v>45657</v>
      </c>
      <c r="E4917" s="23">
        <v>31</v>
      </c>
      <c r="F4917" s="3">
        <f t="shared" si="769"/>
        <v>197503126.8903712</v>
      </c>
      <c r="G4917" s="3">
        <f t="shared" si="773"/>
        <v>5952497.358722168</v>
      </c>
      <c r="H4917" s="3">
        <f t="shared" si="770"/>
        <v>1645859.3907530934</v>
      </c>
      <c r="I4917" s="3">
        <f t="shared" si="767"/>
        <v>4306637.9679690748</v>
      </c>
      <c r="J4917" s="3">
        <f t="shared" si="768"/>
        <v>193196488.92240214</v>
      </c>
    </row>
    <row r="4918" spans="2:12" x14ac:dyDescent="0.35">
      <c r="B4918" s="1">
        <f t="shared" si="771"/>
        <v>11</v>
      </c>
      <c r="C4918" s="22">
        <v>45658</v>
      </c>
      <c r="D4918" s="22">
        <v>45688</v>
      </c>
      <c r="E4918" s="23">
        <v>31</v>
      </c>
      <c r="F4918" s="3">
        <f t="shared" si="769"/>
        <v>193196488.92240214</v>
      </c>
      <c r="G4918" s="3">
        <f t="shared" si="773"/>
        <v>5952497.358722168</v>
      </c>
      <c r="H4918" s="3">
        <f t="shared" si="770"/>
        <v>1609970.7410200178</v>
      </c>
      <c r="I4918" s="3">
        <f t="shared" si="767"/>
        <v>4342526.6177021507</v>
      </c>
      <c r="J4918" s="3">
        <f t="shared" si="768"/>
        <v>188853962.30469999</v>
      </c>
    </row>
    <row r="4919" spans="2:12" x14ac:dyDescent="0.35">
      <c r="B4919" s="1">
        <f t="shared" si="771"/>
        <v>12</v>
      </c>
      <c r="C4919" s="22">
        <v>45689</v>
      </c>
      <c r="D4919" s="22">
        <v>45716</v>
      </c>
      <c r="E4919" s="23">
        <v>28</v>
      </c>
      <c r="F4919" s="3">
        <f t="shared" si="769"/>
        <v>188853962.30469999</v>
      </c>
      <c r="G4919" s="3">
        <f t="shared" si="773"/>
        <v>5952497.358722168</v>
      </c>
      <c r="H4919" s="3">
        <f t="shared" si="770"/>
        <v>1573783.0192058333</v>
      </c>
      <c r="I4919" s="3">
        <f t="shared" si="767"/>
        <v>4378714.3395163342</v>
      </c>
      <c r="J4919" s="3">
        <f t="shared" si="768"/>
        <v>184475247.96518365</v>
      </c>
    </row>
    <row r="4920" spans="2:12" x14ac:dyDescent="0.35">
      <c r="B4920" s="1">
        <f t="shared" si="771"/>
        <v>13</v>
      </c>
      <c r="C4920" s="22">
        <v>45717</v>
      </c>
      <c r="D4920" s="22">
        <v>45747</v>
      </c>
      <c r="E4920" s="23">
        <v>31</v>
      </c>
      <c r="F4920" s="3">
        <f t="shared" si="769"/>
        <v>184475247.96518365</v>
      </c>
      <c r="G4920" s="3">
        <f t="shared" si="773"/>
        <v>5952497.358722168</v>
      </c>
      <c r="H4920" s="3">
        <f t="shared" si="770"/>
        <v>1537293.7330431971</v>
      </c>
      <c r="I4920" s="3">
        <f t="shared" si="767"/>
        <v>4415203.6256789714</v>
      </c>
      <c r="J4920" s="3">
        <f t="shared" si="768"/>
        <v>180060044.33950466</v>
      </c>
    </row>
    <row r="4921" spans="2:12" x14ac:dyDescent="0.35">
      <c r="B4921" s="1">
        <f t="shared" si="771"/>
        <v>14</v>
      </c>
      <c r="C4921" s="22">
        <v>45748</v>
      </c>
      <c r="D4921" s="22">
        <v>45777</v>
      </c>
      <c r="E4921" s="23">
        <v>30</v>
      </c>
      <c r="F4921" s="3">
        <f t="shared" si="769"/>
        <v>180060044.33950466</v>
      </c>
      <c r="G4921" s="3">
        <f t="shared" si="773"/>
        <v>5952497.358722168</v>
      </c>
      <c r="H4921" s="3">
        <f t="shared" si="770"/>
        <v>1500500.3694958722</v>
      </c>
      <c r="I4921" s="3">
        <f t="shared" si="767"/>
        <v>4451996.9892262956</v>
      </c>
      <c r="J4921" s="3">
        <f t="shared" si="768"/>
        <v>175608047.35027838</v>
      </c>
    </row>
    <row r="4922" spans="2:12" x14ac:dyDescent="0.35">
      <c r="B4922" s="1">
        <f t="shared" si="771"/>
        <v>15</v>
      </c>
      <c r="C4922" s="22">
        <v>45778</v>
      </c>
      <c r="D4922" s="22">
        <v>45808</v>
      </c>
      <c r="E4922" s="23">
        <v>31</v>
      </c>
      <c r="F4922" s="3">
        <f t="shared" si="769"/>
        <v>175608047.35027838</v>
      </c>
      <c r="G4922" s="3">
        <f t="shared" si="773"/>
        <v>5952497.358722168</v>
      </c>
      <c r="H4922" s="3">
        <f t="shared" si="770"/>
        <v>1463400.3945856532</v>
      </c>
      <c r="I4922" s="3">
        <f t="shared" si="767"/>
        <v>4489096.9641365148</v>
      </c>
      <c r="J4922" s="3">
        <f t="shared" si="768"/>
        <v>171118950.38614187</v>
      </c>
    </row>
    <row r="4923" spans="2:12" x14ac:dyDescent="0.35">
      <c r="B4923" s="1">
        <f t="shared" si="771"/>
        <v>16</v>
      </c>
      <c r="C4923" s="22">
        <v>45809</v>
      </c>
      <c r="D4923" s="22">
        <v>45838</v>
      </c>
      <c r="E4923" s="23">
        <v>30</v>
      </c>
      <c r="F4923" s="3">
        <f t="shared" si="769"/>
        <v>171118950.38614187</v>
      </c>
      <c r="G4923" s="3">
        <f t="shared" si="773"/>
        <v>5952497.358722168</v>
      </c>
      <c r="H4923" s="3">
        <f t="shared" si="770"/>
        <v>1425991.2532178489</v>
      </c>
      <c r="I4923" s="3">
        <f t="shared" si="767"/>
        <v>4526506.1055043191</v>
      </c>
      <c r="J4923" s="3">
        <f t="shared" si="768"/>
        <v>166592444.28063756</v>
      </c>
    </row>
    <row r="4924" spans="2:12" x14ac:dyDescent="0.35">
      <c r="B4924" s="1">
        <f t="shared" si="771"/>
        <v>17</v>
      </c>
      <c r="C4924" s="22">
        <v>45839</v>
      </c>
      <c r="D4924" s="22">
        <v>45868</v>
      </c>
      <c r="E4924" s="23">
        <v>30</v>
      </c>
      <c r="F4924" s="3">
        <f t="shared" si="769"/>
        <v>166592444.28063756</v>
      </c>
      <c r="G4924" s="3">
        <f t="shared" si="773"/>
        <v>5952497.358722168</v>
      </c>
      <c r="H4924" s="3">
        <f t="shared" si="770"/>
        <v>1388270.3690053129</v>
      </c>
      <c r="I4924" s="3">
        <f t="shared" si="767"/>
        <v>4564226.9897168549</v>
      </c>
      <c r="J4924" s="3">
        <f t="shared" si="768"/>
        <v>162028217.2909207</v>
      </c>
    </row>
    <row r="4925" spans="2:12" x14ac:dyDescent="0.35">
      <c r="B4925" s="1">
        <f t="shared" si="771"/>
        <v>18</v>
      </c>
      <c r="C4925" s="22">
        <v>45870</v>
      </c>
      <c r="D4925" s="22">
        <v>45899</v>
      </c>
      <c r="E4925" s="23">
        <v>30</v>
      </c>
      <c r="F4925" s="3">
        <f t="shared" si="769"/>
        <v>162028217.2909207</v>
      </c>
      <c r="G4925" s="3">
        <f t="shared" si="773"/>
        <v>5952497.358722168</v>
      </c>
      <c r="H4925" s="3">
        <f t="shared" si="770"/>
        <v>1350235.1440910059</v>
      </c>
      <c r="I4925" s="3">
        <f t="shared" si="767"/>
        <v>4602262.2146311626</v>
      </c>
      <c r="J4925" s="3">
        <f t="shared" si="768"/>
        <v>157425955.07628953</v>
      </c>
    </row>
    <row r="4926" spans="2:12" x14ac:dyDescent="0.35">
      <c r="B4926" s="1">
        <f t="shared" si="771"/>
        <v>19</v>
      </c>
      <c r="C4926" s="22">
        <v>45901</v>
      </c>
      <c r="D4926" s="22">
        <v>45930</v>
      </c>
      <c r="E4926" s="23">
        <v>30</v>
      </c>
      <c r="F4926" s="3">
        <f t="shared" si="769"/>
        <v>157425955.07628953</v>
      </c>
      <c r="G4926" s="3">
        <f t="shared" si="773"/>
        <v>5952497.358722168</v>
      </c>
      <c r="H4926" s="3">
        <f t="shared" si="770"/>
        <v>1311882.9589690794</v>
      </c>
      <c r="I4926" s="3">
        <f t="shared" si="767"/>
        <v>4640614.3997530881</v>
      </c>
      <c r="J4926" s="3">
        <f t="shared" si="768"/>
        <v>152785340.67653644</v>
      </c>
    </row>
    <row r="4927" spans="2:12" x14ac:dyDescent="0.35">
      <c r="B4927" s="1">
        <f t="shared" si="771"/>
        <v>20</v>
      </c>
      <c r="C4927" s="22">
        <v>45931</v>
      </c>
      <c r="D4927" s="22">
        <v>45961</v>
      </c>
      <c r="E4927" s="23">
        <v>31</v>
      </c>
      <c r="F4927" s="3">
        <f t="shared" si="769"/>
        <v>152785340.67653644</v>
      </c>
      <c r="G4927" s="3">
        <f t="shared" si="773"/>
        <v>5952497.358722168</v>
      </c>
      <c r="H4927" s="3">
        <f t="shared" si="770"/>
        <v>1273211.1723044703</v>
      </c>
      <c r="I4927" s="3">
        <f t="shared" si="767"/>
        <v>4679286.1864176979</v>
      </c>
      <c r="J4927" s="3">
        <f t="shared" si="768"/>
        <v>148106054.49011874</v>
      </c>
    </row>
    <row r="4928" spans="2:12" x14ac:dyDescent="0.35">
      <c r="B4928" s="1">
        <f t="shared" si="771"/>
        <v>21</v>
      </c>
      <c r="C4928" s="22">
        <v>45962</v>
      </c>
      <c r="D4928" s="22">
        <v>45991</v>
      </c>
      <c r="E4928" s="23">
        <v>30</v>
      </c>
      <c r="F4928" s="3">
        <f t="shared" si="769"/>
        <v>148106054.49011874</v>
      </c>
      <c r="G4928" s="3">
        <f t="shared" si="773"/>
        <v>5952497.358722168</v>
      </c>
      <c r="H4928" s="3">
        <f t="shared" si="770"/>
        <v>1234217.1207509895</v>
      </c>
      <c r="I4928" s="3">
        <f t="shared" si="767"/>
        <v>4718280.2379711783</v>
      </c>
      <c r="J4928" s="3">
        <f t="shared" si="768"/>
        <v>143387774.25214756</v>
      </c>
    </row>
    <row r="4929" spans="2:10" x14ac:dyDescent="0.35">
      <c r="B4929" s="1">
        <f t="shared" si="771"/>
        <v>22</v>
      </c>
      <c r="C4929" s="22">
        <v>45992</v>
      </c>
      <c r="D4929" s="22">
        <v>46022</v>
      </c>
      <c r="E4929" s="23">
        <v>31</v>
      </c>
      <c r="F4929" s="3">
        <f t="shared" si="769"/>
        <v>143387774.25214756</v>
      </c>
      <c r="G4929" s="3">
        <f t="shared" si="773"/>
        <v>5952497.358722168</v>
      </c>
      <c r="H4929" s="3">
        <f t="shared" si="770"/>
        <v>1194898.1187678962</v>
      </c>
      <c r="I4929" s="3">
        <f t="shared" si="767"/>
        <v>4757599.2399542723</v>
      </c>
      <c r="J4929" s="3">
        <f t="shared" si="768"/>
        <v>138630175.01219329</v>
      </c>
    </row>
    <row r="4930" spans="2:10" x14ac:dyDescent="0.35">
      <c r="B4930" s="1">
        <f t="shared" si="771"/>
        <v>23</v>
      </c>
      <c r="C4930" s="22">
        <v>46023</v>
      </c>
      <c r="D4930" s="22">
        <v>46053</v>
      </c>
      <c r="E4930" s="23">
        <v>31</v>
      </c>
      <c r="F4930" s="3">
        <f t="shared" si="769"/>
        <v>138630175.01219329</v>
      </c>
      <c r="G4930" s="3">
        <f t="shared" si="773"/>
        <v>5952497.358722168</v>
      </c>
      <c r="H4930" s="3">
        <f t="shared" si="770"/>
        <v>1155251.458434944</v>
      </c>
      <c r="I4930" s="3">
        <f t="shared" si="767"/>
        <v>4797245.900287224</v>
      </c>
      <c r="J4930" s="3">
        <f t="shared" si="768"/>
        <v>133832929.11190607</v>
      </c>
    </row>
    <row r="4931" spans="2:10" x14ac:dyDescent="0.35">
      <c r="B4931" s="1">
        <f t="shared" si="771"/>
        <v>24</v>
      </c>
      <c r="C4931" s="22">
        <v>46054</v>
      </c>
      <c r="D4931" s="22">
        <v>46081</v>
      </c>
      <c r="E4931" s="23">
        <v>28</v>
      </c>
      <c r="F4931" s="3">
        <f t="shared" si="769"/>
        <v>133832929.11190607</v>
      </c>
      <c r="G4931" s="3">
        <f t="shared" si="773"/>
        <v>5952497.358722168</v>
      </c>
      <c r="H4931" s="3">
        <f t="shared" si="770"/>
        <v>1115274.409265884</v>
      </c>
      <c r="I4931" s="3">
        <f t="shared" si="767"/>
        <v>4837222.9494562838</v>
      </c>
      <c r="J4931" s="3">
        <f t="shared" si="768"/>
        <v>128995706.16244978</v>
      </c>
    </row>
    <row r="4932" spans="2:10" x14ac:dyDescent="0.35">
      <c r="B4932" s="1">
        <f t="shared" si="771"/>
        <v>25</v>
      </c>
      <c r="C4932" s="22">
        <v>46082</v>
      </c>
      <c r="D4932" s="22">
        <v>46112</v>
      </c>
      <c r="E4932" s="23">
        <v>31</v>
      </c>
      <c r="F4932" s="3">
        <f t="shared" si="769"/>
        <v>128995706.16244978</v>
      </c>
      <c r="G4932" s="3">
        <f t="shared" si="773"/>
        <v>5952497.358722168</v>
      </c>
      <c r="H4932" s="3">
        <f t="shared" si="770"/>
        <v>1074964.2180204147</v>
      </c>
      <c r="I4932" s="3">
        <f t="shared" si="767"/>
        <v>4877533.1407017531</v>
      </c>
      <c r="J4932" s="3">
        <f t="shared" si="768"/>
        <v>124118173.02174802</v>
      </c>
    </row>
    <row r="4933" spans="2:10" x14ac:dyDescent="0.35">
      <c r="B4933" s="1">
        <f t="shared" si="771"/>
        <v>26</v>
      </c>
      <c r="C4933" s="22">
        <v>46113</v>
      </c>
      <c r="D4933" s="22">
        <v>46142</v>
      </c>
      <c r="E4933" s="23">
        <v>30</v>
      </c>
      <c r="F4933" s="3">
        <f t="shared" si="769"/>
        <v>124118173.02174802</v>
      </c>
      <c r="G4933" s="3">
        <f t="shared" si="773"/>
        <v>5952497.358722168</v>
      </c>
      <c r="H4933" s="3">
        <f t="shared" si="770"/>
        <v>1034318.1085145668</v>
      </c>
      <c r="I4933" s="3">
        <f t="shared" si="767"/>
        <v>4918179.2502076011</v>
      </c>
      <c r="J4933" s="3">
        <f t="shared" si="768"/>
        <v>119199993.77154042</v>
      </c>
    </row>
    <row r="4934" spans="2:10" x14ac:dyDescent="0.35">
      <c r="B4934" s="1">
        <f t="shared" si="771"/>
        <v>27</v>
      </c>
      <c r="C4934" s="22">
        <v>46143</v>
      </c>
      <c r="D4934" s="22">
        <v>46173</v>
      </c>
      <c r="E4934" s="23">
        <v>31</v>
      </c>
      <c r="F4934" s="3">
        <f t="shared" si="769"/>
        <v>119199993.77154042</v>
      </c>
      <c r="G4934" s="3">
        <f t="shared" si="773"/>
        <v>5952497.358722168</v>
      </c>
      <c r="H4934" s="3">
        <f t="shared" si="770"/>
        <v>993333.28142950346</v>
      </c>
      <c r="I4934" s="3">
        <f t="shared" si="767"/>
        <v>4959164.0772926649</v>
      </c>
      <c r="J4934" s="3">
        <f t="shared" si="768"/>
        <v>114240829.69424775</v>
      </c>
    </row>
    <row r="4935" spans="2:10" x14ac:dyDescent="0.35">
      <c r="B4935" s="1">
        <f t="shared" si="771"/>
        <v>28</v>
      </c>
      <c r="C4935" s="22">
        <v>46174</v>
      </c>
      <c r="D4935" s="22">
        <v>46203</v>
      </c>
      <c r="E4935" s="23">
        <v>30</v>
      </c>
      <c r="F4935" s="3">
        <f t="shared" si="769"/>
        <v>114240829.69424775</v>
      </c>
      <c r="G4935" s="3">
        <f t="shared" si="773"/>
        <v>5952497.358722168</v>
      </c>
      <c r="H4935" s="3">
        <f t="shared" si="770"/>
        <v>952006.91411873128</v>
      </c>
      <c r="I4935" s="3">
        <f t="shared" si="767"/>
        <v>5000490.4446034366</v>
      </c>
      <c r="J4935" s="3">
        <f t="shared" si="768"/>
        <v>109240339.24964431</v>
      </c>
    </row>
    <row r="4936" spans="2:10" x14ac:dyDescent="0.35">
      <c r="B4936" s="1">
        <f t="shared" si="771"/>
        <v>29</v>
      </c>
      <c r="C4936" s="22">
        <v>46204</v>
      </c>
      <c r="D4936" s="22">
        <v>46234</v>
      </c>
      <c r="E4936" s="23">
        <v>31</v>
      </c>
      <c r="F4936" s="3">
        <f t="shared" si="769"/>
        <v>109240339.24964431</v>
      </c>
      <c r="G4936" s="3">
        <f t="shared" si="773"/>
        <v>5952497.358722168</v>
      </c>
      <c r="H4936" s="3">
        <f t="shared" si="770"/>
        <v>910336.1604137026</v>
      </c>
      <c r="I4936" s="3">
        <f t="shared" si="767"/>
        <v>5042161.1983084651</v>
      </c>
      <c r="J4936" s="3">
        <f t="shared" si="768"/>
        <v>104198178.05133584</v>
      </c>
    </row>
    <row r="4937" spans="2:10" x14ac:dyDescent="0.35">
      <c r="B4937" s="1">
        <f t="shared" si="771"/>
        <v>30</v>
      </c>
      <c r="C4937" s="22">
        <v>46235</v>
      </c>
      <c r="D4937" s="22">
        <v>46265</v>
      </c>
      <c r="E4937" s="23">
        <v>31</v>
      </c>
      <c r="F4937" s="3">
        <f t="shared" si="769"/>
        <v>104198178.05133584</v>
      </c>
      <c r="G4937" s="3">
        <f t="shared" si="773"/>
        <v>5952497.358722168</v>
      </c>
      <c r="H4937" s="3">
        <f t="shared" si="770"/>
        <v>868318.15042779862</v>
      </c>
      <c r="I4937" s="3">
        <f t="shared" si="767"/>
        <v>5084179.2082943693</v>
      </c>
      <c r="J4937" s="3">
        <f t="shared" si="768"/>
        <v>99113998.84304148</v>
      </c>
    </row>
    <row r="4938" spans="2:10" x14ac:dyDescent="0.35">
      <c r="B4938" s="1">
        <f t="shared" si="771"/>
        <v>31</v>
      </c>
      <c r="C4938" s="22">
        <v>46266</v>
      </c>
      <c r="D4938" s="22">
        <v>46295</v>
      </c>
      <c r="E4938" s="23">
        <v>30</v>
      </c>
      <c r="F4938" s="3">
        <f t="shared" si="769"/>
        <v>99113998.84304148</v>
      </c>
      <c r="G4938" s="3">
        <f t="shared" si="773"/>
        <v>5952497.358722168</v>
      </c>
      <c r="H4938" s="3">
        <f t="shared" si="770"/>
        <v>825949.99035867897</v>
      </c>
      <c r="I4938" s="3">
        <f t="shared" si="767"/>
        <v>5126547.3683634894</v>
      </c>
      <c r="J4938" s="3">
        <f t="shared" si="768"/>
        <v>93987451.474677995</v>
      </c>
    </row>
    <row r="4939" spans="2:10" x14ac:dyDescent="0.35">
      <c r="B4939" s="1">
        <f t="shared" si="771"/>
        <v>32</v>
      </c>
      <c r="C4939" s="22">
        <v>46296</v>
      </c>
      <c r="D4939" s="22">
        <v>46326</v>
      </c>
      <c r="E4939" s="23">
        <v>31</v>
      </c>
      <c r="F4939" s="3">
        <f t="shared" si="769"/>
        <v>93987451.474677995</v>
      </c>
      <c r="G4939" s="3">
        <f t="shared" si="773"/>
        <v>5952497.358722168</v>
      </c>
      <c r="H4939" s="3">
        <f t="shared" si="770"/>
        <v>783228.76228898333</v>
      </c>
      <c r="I4939" s="3">
        <f t="shared" ref="I4939:I4955" si="774">G4939-H4939</f>
        <v>5169268.596433185</v>
      </c>
      <c r="J4939" s="3">
        <f t="shared" ref="J4939:J4955" si="775">F4939-I4939</f>
        <v>88818182.878244817</v>
      </c>
    </row>
    <row r="4940" spans="2:10" x14ac:dyDescent="0.35">
      <c r="B4940" s="1">
        <f t="shared" si="771"/>
        <v>33</v>
      </c>
      <c r="C4940" s="22">
        <v>46327</v>
      </c>
      <c r="D4940" s="22">
        <v>46356</v>
      </c>
      <c r="E4940" s="23">
        <v>30</v>
      </c>
      <c r="F4940" s="3">
        <f t="shared" si="769"/>
        <v>88818182.878244817</v>
      </c>
      <c r="G4940" s="3">
        <f t="shared" si="773"/>
        <v>5952497.358722168</v>
      </c>
      <c r="H4940" s="3">
        <f t="shared" si="770"/>
        <v>740151.52398537344</v>
      </c>
      <c r="I4940" s="3">
        <f t="shared" si="774"/>
        <v>5212345.8347367942</v>
      </c>
      <c r="J4940" s="3">
        <f t="shared" si="775"/>
        <v>83605837.043508023</v>
      </c>
    </row>
    <row r="4941" spans="2:10" x14ac:dyDescent="0.35">
      <c r="B4941" s="1">
        <f t="shared" si="771"/>
        <v>34</v>
      </c>
      <c r="C4941" s="22">
        <v>46357</v>
      </c>
      <c r="D4941" s="22">
        <v>46387</v>
      </c>
      <c r="E4941" s="23">
        <v>31</v>
      </c>
      <c r="F4941" s="3">
        <f t="shared" si="769"/>
        <v>83605837.043508023</v>
      </c>
      <c r="G4941" s="3">
        <f t="shared" si="773"/>
        <v>5952497.358722168</v>
      </c>
      <c r="H4941" s="3">
        <f t="shared" si="770"/>
        <v>696715.30869590014</v>
      </c>
      <c r="I4941" s="3">
        <f t="shared" si="774"/>
        <v>5255782.0500262678</v>
      </c>
      <c r="J4941" s="3">
        <f t="shared" si="775"/>
        <v>78350054.993481755</v>
      </c>
    </row>
    <row r="4942" spans="2:10" x14ac:dyDescent="0.35">
      <c r="B4942" s="1">
        <f t="shared" si="771"/>
        <v>35</v>
      </c>
      <c r="C4942" s="22">
        <v>46388</v>
      </c>
      <c r="D4942" s="22">
        <v>46418</v>
      </c>
      <c r="E4942" s="23">
        <v>31</v>
      </c>
      <c r="F4942" s="3">
        <f t="shared" si="769"/>
        <v>78350054.993481755</v>
      </c>
      <c r="G4942" s="3">
        <f t="shared" si="773"/>
        <v>5952497.358722168</v>
      </c>
      <c r="H4942" s="3">
        <f t="shared" si="770"/>
        <v>652917.12494568131</v>
      </c>
      <c r="I4942" s="3">
        <f t="shared" si="774"/>
        <v>5299580.2337764865</v>
      </c>
      <c r="J4942" s="3">
        <f t="shared" si="775"/>
        <v>73050474.759705275</v>
      </c>
    </row>
    <row r="4943" spans="2:10" x14ac:dyDescent="0.35">
      <c r="B4943" s="1">
        <f t="shared" si="771"/>
        <v>36</v>
      </c>
      <c r="C4943" s="22">
        <v>46419</v>
      </c>
      <c r="D4943" s="22">
        <v>46446</v>
      </c>
      <c r="E4943" s="23">
        <f t="shared" ref="E4943:E4954" si="776">D4943-C4943+1</f>
        <v>28</v>
      </c>
      <c r="F4943" s="3">
        <f t="shared" si="769"/>
        <v>73050474.759705275</v>
      </c>
      <c r="G4943" s="3">
        <f t="shared" si="773"/>
        <v>5952497.358722168</v>
      </c>
      <c r="H4943" s="3">
        <f t="shared" si="770"/>
        <v>608753.95633087726</v>
      </c>
      <c r="I4943" s="3">
        <f t="shared" si="774"/>
        <v>5343743.4023912903</v>
      </c>
      <c r="J4943" s="3">
        <f t="shared" si="775"/>
        <v>67706731.357313991</v>
      </c>
    </row>
    <row r="4944" spans="2:10" x14ac:dyDescent="0.35">
      <c r="B4944" s="1">
        <f t="shared" si="771"/>
        <v>37</v>
      </c>
      <c r="C4944" s="22">
        <v>46447</v>
      </c>
      <c r="D4944" s="22">
        <v>46477</v>
      </c>
      <c r="E4944" s="23">
        <f t="shared" si="776"/>
        <v>31</v>
      </c>
      <c r="F4944" s="3">
        <f t="shared" si="769"/>
        <v>67706731.357313991</v>
      </c>
      <c r="G4944" s="3">
        <f t="shared" si="773"/>
        <v>5952497.358722168</v>
      </c>
      <c r="H4944" s="3">
        <f t="shared" si="770"/>
        <v>564222.76131094992</v>
      </c>
      <c r="I4944" s="3">
        <f t="shared" si="774"/>
        <v>5388274.5974112181</v>
      </c>
      <c r="J4944" s="3">
        <f t="shared" si="775"/>
        <v>62318456.759902775</v>
      </c>
    </row>
    <row r="4945" spans="2:10" x14ac:dyDescent="0.35">
      <c r="B4945" s="1">
        <f t="shared" si="771"/>
        <v>38</v>
      </c>
      <c r="C4945" s="22">
        <v>46478</v>
      </c>
      <c r="D4945" s="22">
        <v>46507</v>
      </c>
      <c r="E4945" s="23">
        <f t="shared" si="776"/>
        <v>30</v>
      </c>
      <c r="F4945" s="3">
        <f t="shared" si="769"/>
        <v>62318456.759902775</v>
      </c>
      <c r="G4945" s="3">
        <f t="shared" si="773"/>
        <v>5952497.358722168</v>
      </c>
      <c r="H4945" s="3">
        <f t="shared" si="770"/>
        <v>519320.47299918981</v>
      </c>
      <c r="I4945" s="3">
        <f t="shared" si="774"/>
        <v>5433176.885722978</v>
      </c>
      <c r="J4945" s="3">
        <f t="shared" si="775"/>
        <v>56885279.874179795</v>
      </c>
    </row>
    <row r="4946" spans="2:10" x14ac:dyDescent="0.35">
      <c r="B4946" s="1">
        <f t="shared" si="771"/>
        <v>39</v>
      </c>
      <c r="C4946" s="22">
        <v>46508</v>
      </c>
      <c r="D4946" s="22">
        <v>46538</v>
      </c>
      <c r="E4946" s="23">
        <f t="shared" si="776"/>
        <v>31</v>
      </c>
      <c r="F4946" s="3">
        <f t="shared" si="769"/>
        <v>56885279.874179795</v>
      </c>
      <c r="G4946" s="3">
        <f t="shared" si="773"/>
        <v>5952497.358722168</v>
      </c>
      <c r="H4946" s="3">
        <f t="shared" si="770"/>
        <v>474043.9989514983</v>
      </c>
      <c r="I4946" s="3">
        <f t="shared" si="774"/>
        <v>5478453.3597706696</v>
      </c>
      <c r="J4946" s="3">
        <f t="shared" si="775"/>
        <v>51406826.514409125</v>
      </c>
    </row>
    <row r="4947" spans="2:10" x14ac:dyDescent="0.35">
      <c r="B4947" s="1">
        <f t="shared" si="771"/>
        <v>40</v>
      </c>
      <c r="C4947" s="22">
        <v>46539</v>
      </c>
      <c r="D4947" s="22">
        <v>46568</v>
      </c>
      <c r="E4947" s="23">
        <f t="shared" si="776"/>
        <v>30</v>
      </c>
      <c r="F4947" s="3">
        <f t="shared" si="769"/>
        <v>51406826.514409125</v>
      </c>
      <c r="G4947" s="3">
        <f t="shared" si="773"/>
        <v>5952497.358722168</v>
      </c>
      <c r="H4947" s="3">
        <f t="shared" si="770"/>
        <v>428390.22095340939</v>
      </c>
      <c r="I4947" s="3">
        <f t="shared" si="774"/>
        <v>5524107.1377687585</v>
      </c>
      <c r="J4947" s="3">
        <f t="shared" si="775"/>
        <v>45882719.376640365</v>
      </c>
    </row>
    <row r="4948" spans="2:10" x14ac:dyDescent="0.35">
      <c r="B4948" s="1">
        <f t="shared" si="771"/>
        <v>41</v>
      </c>
      <c r="C4948" s="22">
        <v>46569</v>
      </c>
      <c r="D4948" s="22">
        <v>46599</v>
      </c>
      <c r="E4948" s="23">
        <f t="shared" si="776"/>
        <v>31</v>
      </c>
      <c r="F4948" s="3">
        <f t="shared" si="769"/>
        <v>45882719.376640365</v>
      </c>
      <c r="G4948" s="3">
        <f t="shared" si="773"/>
        <v>5952497.358722168</v>
      </c>
      <c r="H4948" s="3">
        <f t="shared" si="770"/>
        <v>382355.99480533635</v>
      </c>
      <c r="I4948" s="3">
        <f t="shared" si="774"/>
        <v>5570141.363916832</v>
      </c>
      <c r="J4948" s="3">
        <f t="shared" si="775"/>
        <v>40312578.012723535</v>
      </c>
    </row>
    <row r="4949" spans="2:10" x14ac:dyDescent="0.35">
      <c r="B4949" s="1">
        <f t="shared" si="771"/>
        <v>42</v>
      </c>
      <c r="C4949" s="22">
        <v>46600</v>
      </c>
      <c r="D4949" s="22">
        <v>46630</v>
      </c>
      <c r="E4949" s="23">
        <f t="shared" si="776"/>
        <v>31</v>
      </c>
      <c r="F4949" s="3">
        <f t="shared" si="769"/>
        <v>40312578.012723535</v>
      </c>
      <c r="G4949" s="3">
        <f t="shared" si="773"/>
        <v>5952497.358722168</v>
      </c>
      <c r="H4949" s="3">
        <f t="shared" si="770"/>
        <v>335938.15010602947</v>
      </c>
      <c r="I4949" s="3">
        <f t="shared" si="774"/>
        <v>5616559.2086161384</v>
      </c>
      <c r="J4949" s="3">
        <f t="shared" si="775"/>
        <v>34696018.804107398</v>
      </c>
    </row>
    <row r="4950" spans="2:10" x14ac:dyDescent="0.35">
      <c r="B4950" s="1">
        <f t="shared" si="771"/>
        <v>43</v>
      </c>
      <c r="C4950" s="22">
        <v>46631</v>
      </c>
      <c r="D4950" s="22">
        <v>46660</v>
      </c>
      <c r="E4950" s="23">
        <f t="shared" si="776"/>
        <v>30</v>
      </c>
      <c r="F4950" s="3">
        <f t="shared" si="769"/>
        <v>34696018.804107398</v>
      </c>
      <c r="G4950" s="3">
        <f t="shared" si="773"/>
        <v>5952497.358722168</v>
      </c>
      <c r="H4950" s="3">
        <f t="shared" si="770"/>
        <v>289133.49003422831</v>
      </c>
      <c r="I4950" s="3">
        <f t="shared" si="774"/>
        <v>5663363.8686879398</v>
      </c>
      <c r="J4950" s="3">
        <f t="shared" si="775"/>
        <v>29032654.935419459</v>
      </c>
    </row>
    <row r="4951" spans="2:10" x14ac:dyDescent="0.35">
      <c r="B4951" s="1">
        <f t="shared" si="771"/>
        <v>44</v>
      </c>
      <c r="C4951" s="22">
        <v>46661</v>
      </c>
      <c r="D4951" s="22">
        <v>46691</v>
      </c>
      <c r="E4951" s="23">
        <f t="shared" si="776"/>
        <v>31</v>
      </c>
      <c r="F4951" s="3">
        <f t="shared" si="769"/>
        <v>29032654.935419459</v>
      </c>
      <c r="G4951" s="3">
        <f t="shared" si="773"/>
        <v>5952497.358722168</v>
      </c>
      <c r="H4951" s="3">
        <f t="shared" si="770"/>
        <v>241938.79112849548</v>
      </c>
      <c r="I4951" s="3">
        <f t="shared" si="774"/>
        <v>5710558.5675936723</v>
      </c>
      <c r="J4951" s="3">
        <f t="shared" si="775"/>
        <v>23322096.367825788</v>
      </c>
    </row>
    <row r="4952" spans="2:10" x14ac:dyDescent="0.35">
      <c r="B4952" s="1">
        <f t="shared" si="771"/>
        <v>45</v>
      </c>
      <c r="C4952" s="22">
        <v>46692</v>
      </c>
      <c r="D4952" s="22">
        <v>46721</v>
      </c>
      <c r="E4952" s="23">
        <f t="shared" si="776"/>
        <v>30</v>
      </c>
      <c r="F4952" s="3">
        <f t="shared" si="769"/>
        <v>23322096.367825788</v>
      </c>
      <c r="G4952" s="3">
        <f t="shared" si="773"/>
        <v>5952497.358722168</v>
      </c>
      <c r="H4952" s="3">
        <f t="shared" si="770"/>
        <v>194350.80306521489</v>
      </c>
      <c r="I4952" s="3">
        <f t="shared" si="774"/>
        <v>5758146.5556569528</v>
      </c>
      <c r="J4952" s="3">
        <f t="shared" si="775"/>
        <v>17563949.812168837</v>
      </c>
    </row>
    <row r="4953" spans="2:10" x14ac:dyDescent="0.35">
      <c r="B4953" s="1">
        <f t="shared" si="771"/>
        <v>46</v>
      </c>
      <c r="C4953" s="22">
        <v>46722</v>
      </c>
      <c r="D4953" s="22">
        <v>46752</v>
      </c>
      <c r="E4953" s="23">
        <f t="shared" si="776"/>
        <v>31</v>
      </c>
      <c r="F4953" s="3">
        <f t="shared" si="769"/>
        <v>17563949.812168837</v>
      </c>
      <c r="G4953" s="3">
        <f t="shared" si="773"/>
        <v>5952497.358722168</v>
      </c>
      <c r="H4953" s="3">
        <f t="shared" si="770"/>
        <v>146366.24843474029</v>
      </c>
      <c r="I4953" s="3">
        <f t="shared" si="774"/>
        <v>5806131.1102874279</v>
      </c>
      <c r="J4953" s="3">
        <f t="shared" si="775"/>
        <v>11757818.701881409</v>
      </c>
    </row>
    <row r="4954" spans="2:10" x14ac:dyDescent="0.35">
      <c r="B4954" s="1">
        <f t="shared" si="771"/>
        <v>47</v>
      </c>
      <c r="C4954" s="22">
        <v>46753</v>
      </c>
      <c r="D4954" s="22">
        <v>46783</v>
      </c>
      <c r="E4954" s="23">
        <f t="shared" si="776"/>
        <v>31</v>
      </c>
      <c r="F4954" s="3">
        <f t="shared" si="769"/>
        <v>11757818.701881409</v>
      </c>
      <c r="G4954" s="3">
        <f t="shared" si="773"/>
        <v>5952497.358722168</v>
      </c>
      <c r="H4954" s="3">
        <f t="shared" si="770"/>
        <v>97981.822515678403</v>
      </c>
      <c r="I4954" s="3">
        <f t="shared" si="774"/>
        <v>5854515.5362064894</v>
      </c>
      <c r="J4954" s="3">
        <f t="shared" si="775"/>
        <v>5903303.1656749193</v>
      </c>
    </row>
    <row r="4955" spans="2:10" x14ac:dyDescent="0.35">
      <c r="B4955" s="6">
        <v>48</v>
      </c>
      <c r="C4955" s="308">
        <f>+D4954+1</f>
        <v>46784</v>
      </c>
      <c r="D4955" s="308">
        <f>+C4955+28</f>
        <v>46812</v>
      </c>
      <c r="E4955" s="309">
        <v>29</v>
      </c>
      <c r="F4955" s="3">
        <f t="shared" si="769"/>
        <v>5903303.1656749193</v>
      </c>
      <c r="G4955" s="3">
        <f t="shared" si="773"/>
        <v>5952497.358722168</v>
      </c>
      <c r="H4955" s="3">
        <f t="shared" si="770"/>
        <v>49194.193047290995</v>
      </c>
      <c r="I4955" s="3">
        <f t="shared" si="774"/>
        <v>5903303.1656748774</v>
      </c>
      <c r="J4955" s="3">
        <f t="shared" si="775"/>
        <v>4.1909515857696533E-8</v>
      </c>
    </row>
    <row r="4962" spans="2:19" x14ac:dyDescent="0.35">
      <c r="B4962" s="1"/>
      <c r="C4962" s="8" t="s">
        <v>949</v>
      </c>
      <c r="D4962" s="3"/>
      <c r="E4962" s="3"/>
      <c r="F4962" s="3"/>
      <c r="G4962" s="3"/>
      <c r="H4962" s="3"/>
      <c r="I4962" s="3"/>
      <c r="J4962" s="3"/>
      <c r="R4962" s="438" t="s">
        <v>832</v>
      </c>
      <c r="S4962" s="432" t="str">
        <f>IFERROR(INDEX(Blocks!$I$2:$I$101,MATCH(90,Blocks!$A$2:$A$101,0)),"")</f>
        <v>000104460000092</v>
      </c>
    </row>
    <row r="4963" spans="2:19" x14ac:dyDescent="0.35">
      <c r="B4963" s="1"/>
      <c r="C4963" s="1"/>
      <c r="D4963" s="3"/>
      <c r="E4963" s="3"/>
      <c r="F4963" s="3"/>
      <c r="G4963" s="3"/>
      <c r="H4963" s="3"/>
      <c r="I4963" s="3"/>
      <c r="J4963" s="3"/>
      <c r="R4963" s="438" t="s">
        <v>834</v>
      </c>
      <c r="S4963" s="432" t="str">
        <f>IFERROR(INDEX(Blocks!$H$2:$H$101,MATCH(90,Blocks!$A$2:$A$101,0)),"")</f>
        <v>FAVOA Innovation &amp; Investments Group</v>
      </c>
    </row>
    <row r="4964" spans="2:19" x14ac:dyDescent="0.35">
      <c r="B4964" s="1"/>
      <c r="C4964" s="9" t="s">
        <v>835</v>
      </c>
      <c r="D4964" s="10">
        <v>30000000</v>
      </c>
      <c r="E4964" s="3"/>
      <c r="F4964" s="3"/>
      <c r="G4964" s="3"/>
      <c r="H4964" s="3"/>
      <c r="I4964" s="3"/>
      <c r="J4964" s="3"/>
      <c r="R4964" s="438" t="s">
        <v>223</v>
      </c>
      <c r="S4964" s="433">
        <f>IFERROR(INDEX('E-Banker master'!$N$2:$N$186,MATCH(S4962,'E-Banker master'!$A$2:$A$186,0)),"")</f>
        <v>30000000</v>
      </c>
    </row>
    <row r="4965" spans="2:19" x14ac:dyDescent="0.35">
      <c r="B4965" s="1"/>
      <c r="C4965" s="11" t="s">
        <v>837</v>
      </c>
      <c r="D4965" s="12">
        <v>0.1</v>
      </c>
      <c r="E4965" s="13"/>
      <c r="F4965" s="3"/>
      <c r="G4965" s="3"/>
      <c r="H4965" s="3"/>
      <c r="I4965" s="3"/>
      <c r="J4965" s="3"/>
      <c r="R4965" s="438" t="s">
        <v>52</v>
      </c>
      <c r="S4965" s="433">
        <f>IFERROR(INDEX('E-Banker master'!$P$2:$P$186,MATCH(S4962,'E-Banker master'!$A$2:$A$186,0)),"")</f>
        <v>26961470.879999999</v>
      </c>
    </row>
    <row r="4966" spans="2:19" x14ac:dyDescent="0.35">
      <c r="B4966" s="1"/>
      <c r="C4966" s="11" t="s">
        <v>838</v>
      </c>
      <c r="D4966" s="14">
        <v>2</v>
      </c>
      <c r="E4966" s="1"/>
      <c r="F4966" s="3"/>
      <c r="G4966" s="3"/>
      <c r="H4966" s="3"/>
      <c r="I4966" s="3"/>
      <c r="J4966" s="3"/>
    </row>
    <row r="4967" spans="2:19" x14ac:dyDescent="0.35">
      <c r="B4967" s="1"/>
      <c r="C4967" s="11" t="s">
        <v>839</v>
      </c>
      <c r="D4967" s="14">
        <v>12</v>
      </c>
      <c r="E4967" s="1"/>
      <c r="F4967" s="3"/>
      <c r="G4967" s="3"/>
      <c r="H4967" s="3"/>
      <c r="I4967" s="3"/>
      <c r="J4967" s="3"/>
    </row>
    <row r="4968" spans="2:19" x14ac:dyDescent="0.35">
      <c r="B4968" s="1"/>
      <c r="C4968" s="11" t="s">
        <v>843</v>
      </c>
      <c r="D4968" s="15">
        <f>+D4967*D4966</f>
        <v>24</v>
      </c>
      <c r="E4968" s="1"/>
      <c r="F4968" s="3"/>
      <c r="G4968" s="3"/>
      <c r="H4968" s="3"/>
      <c r="I4968" s="3"/>
      <c r="J4968" s="3"/>
    </row>
    <row r="4969" spans="2:19" x14ac:dyDescent="0.35">
      <c r="B4969" s="1"/>
      <c r="C4969" s="11" t="s">
        <v>844</v>
      </c>
      <c r="D4969" s="16">
        <v>365</v>
      </c>
      <c r="E4969" s="1"/>
      <c r="F4969" s="3"/>
      <c r="G4969" s="3"/>
      <c r="H4969" s="3"/>
      <c r="I4969" s="3"/>
      <c r="J4969" s="3"/>
    </row>
    <row r="4970" spans="2:19" x14ac:dyDescent="0.35">
      <c r="B4970" s="1"/>
      <c r="C4970" s="17" t="s">
        <v>845</v>
      </c>
      <c r="D4970" s="220">
        <f>-PMT(D4965/D4967,D4968,D4964,0,0)</f>
        <v>1384347.7901254953</v>
      </c>
      <c r="E4970" s="3"/>
      <c r="F4970" s="3"/>
      <c r="G4970" s="3"/>
      <c r="H4970" s="3"/>
      <c r="I4970" s="3"/>
      <c r="J4970" s="3"/>
    </row>
    <row r="4971" spans="2:19" x14ac:dyDescent="0.35">
      <c r="B4971" s="1"/>
      <c r="C4971" s="1"/>
      <c r="D4971" s="3"/>
      <c r="E4971" s="3"/>
      <c r="F4971" s="3"/>
      <c r="G4971" s="3"/>
      <c r="H4971" s="3"/>
      <c r="I4971" s="3"/>
      <c r="J4971" s="3"/>
    </row>
    <row r="4972" spans="2:19" x14ac:dyDescent="0.35">
      <c r="B4972" s="1"/>
      <c r="C4972" s="19" t="s">
        <v>846</v>
      </c>
      <c r="D4972" s="20" t="s">
        <v>847</v>
      </c>
      <c r="E4972" s="20" t="s">
        <v>764</v>
      </c>
      <c r="F4972" s="270" t="s">
        <v>848</v>
      </c>
      <c r="G4972" s="270" t="s">
        <v>849</v>
      </c>
      <c r="H4972" s="270" t="s">
        <v>742</v>
      </c>
      <c r="I4972" s="270" t="s">
        <v>740</v>
      </c>
      <c r="J4972" s="270" t="s">
        <v>850</v>
      </c>
      <c r="K4972" s="21" t="s">
        <v>851</v>
      </c>
      <c r="L4972" s="21" t="s">
        <v>852</v>
      </c>
    </row>
    <row r="4973" spans="2:19" x14ac:dyDescent="0.35">
      <c r="B4973" s="1">
        <v>0</v>
      </c>
      <c r="C4973" s="22">
        <v>45376</v>
      </c>
      <c r="D4973" s="22">
        <v>45382</v>
      </c>
      <c r="E4973" s="23">
        <v>6</v>
      </c>
      <c r="F4973" s="3">
        <f>D4964</f>
        <v>30000000</v>
      </c>
      <c r="G4973" s="3"/>
      <c r="H4973" s="3">
        <f>($D$4965/$D$4967*F4973*E4973/31)</f>
        <v>48387.096774193546</v>
      </c>
      <c r="I4973" s="3">
        <f t="shared" ref="I4973:I4997" si="777">G4973-H4973</f>
        <v>-48387.096774193546</v>
      </c>
      <c r="J4973" s="3">
        <f t="shared" ref="J4973:J4997" si="778">F4973-I4973</f>
        <v>30048387.096774194</v>
      </c>
    </row>
    <row r="4974" spans="2:19" x14ac:dyDescent="0.35">
      <c r="B4974" s="1">
        <v>1</v>
      </c>
      <c r="C4974" s="22">
        <v>45383</v>
      </c>
      <c r="D4974" s="22">
        <v>45412</v>
      </c>
      <c r="E4974" s="23">
        <v>30</v>
      </c>
      <c r="F4974" s="3">
        <f t="shared" ref="F4974:F4997" si="779">J4973</f>
        <v>30048387.096774194</v>
      </c>
      <c r="G4974" s="3"/>
      <c r="H4974" s="3">
        <f t="shared" ref="H4974:H4997" si="780">($D$4965/$D$4967*F4974)</f>
        <v>250403.22580645161</v>
      </c>
      <c r="I4974" s="3">
        <f t="shared" si="777"/>
        <v>-250403.22580645161</v>
      </c>
      <c r="J4974" s="3">
        <f t="shared" si="778"/>
        <v>30298790.322580647</v>
      </c>
    </row>
    <row r="4975" spans="2:19" x14ac:dyDescent="0.35">
      <c r="B4975" s="1">
        <v>2</v>
      </c>
      <c r="C4975" s="22">
        <v>45413</v>
      </c>
      <c r="D4975" s="22">
        <v>45443</v>
      </c>
      <c r="E4975" s="23">
        <v>31</v>
      </c>
      <c r="F4975" s="3">
        <f t="shared" si="779"/>
        <v>30298790.322580647</v>
      </c>
      <c r="G4975" s="3"/>
      <c r="H4975" s="3">
        <f t="shared" si="780"/>
        <v>252489.91935483873</v>
      </c>
      <c r="I4975" s="3">
        <f t="shared" si="777"/>
        <v>-252489.91935483873</v>
      </c>
      <c r="J4975" s="3">
        <f t="shared" si="778"/>
        <v>30551280.241935484</v>
      </c>
    </row>
    <row r="4976" spans="2:19" x14ac:dyDescent="0.35">
      <c r="B4976" s="1">
        <f t="shared" ref="B4976:B4997" si="781">+B4975+1</f>
        <v>3</v>
      </c>
      <c r="C4976" s="22">
        <v>45444</v>
      </c>
      <c r="D4976" s="22">
        <v>45473</v>
      </c>
      <c r="E4976" s="23">
        <v>30</v>
      </c>
      <c r="F4976" s="3">
        <f t="shared" si="779"/>
        <v>30551280.241935484</v>
      </c>
      <c r="G4976" s="298"/>
      <c r="H4976" s="3">
        <f t="shared" si="780"/>
        <v>254594.00201612903</v>
      </c>
      <c r="I4976" s="3">
        <f t="shared" si="777"/>
        <v>-254594.00201612903</v>
      </c>
      <c r="J4976" s="3">
        <f t="shared" si="778"/>
        <v>30805874.243951615</v>
      </c>
      <c r="L4976" s="141">
        <f>+G4976-K4976+L4975</f>
        <v>0</v>
      </c>
    </row>
    <row r="4977" spans="2:12" x14ac:dyDescent="0.35">
      <c r="B4977" s="1">
        <f t="shared" si="781"/>
        <v>4</v>
      </c>
      <c r="C4977" s="22">
        <v>45474</v>
      </c>
      <c r="D4977" s="22">
        <v>45504</v>
      </c>
      <c r="E4977" s="23">
        <v>31</v>
      </c>
      <c r="F4977" s="3">
        <f t="shared" si="779"/>
        <v>30805874.243951615</v>
      </c>
      <c r="G4977" s="298">
        <f t="shared" ref="G4977:G4997" si="782">-PMT($D$4965/$D$4967,21,$F$4977,,0)</f>
        <v>1605134.3951284557</v>
      </c>
      <c r="H4977" s="3">
        <f t="shared" si="780"/>
        <v>256715.61869959679</v>
      </c>
      <c r="I4977" s="3">
        <f t="shared" si="777"/>
        <v>1348418.776428859</v>
      </c>
      <c r="J4977" s="3">
        <f t="shared" si="778"/>
        <v>29457455.467522755</v>
      </c>
      <c r="K4977" s="7">
        <v>1602550</v>
      </c>
      <c r="L4977" s="141">
        <f>+G4977-K4977+L4976</f>
        <v>2584.3951284557115</v>
      </c>
    </row>
    <row r="4978" spans="2:12" x14ac:dyDescent="0.35">
      <c r="B4978" s="1">
        <f t="shared" si="781"/>
        <v>5</v>
      </c>
      <c r="C4978" s="22">
        <v>45505</v>
      </c>
      <c r="D4978" s="22">
        <v>45535</v>
      </c>
      <c r="E4978" s="23">
        <v>31</v>
      </c>
      <c r="F4978" s="3">
        <f t="shared" si="779"/>
        <v>29457455.467522755</v>
      </c>
      <c r="G4978" s="298">
        <f t="shared" si="782"/>
        <v>1605134.3951284557</v>
      </c>
      <c r="H4978" s="3">
        <f t="shared" si="780"/>
        <v>245478.79556268963</v>
      </c>
      <c r="I4978" s="3">
        <f t="shared" si="777"/>
        <v>1359655.5995657661</v>
      </c>
      <c r="J4978" s="3">
        <f t="shared" si="778"/>
        <v>28097799.867956989</v>
      </c>
      <c r="K4978" s="7">
        <v>1602549.64</v>
      </c>
      <c r="L4978" s="141">
        <f>+G4978-K4978+L4977</f>
        <v>5169.1502569115255</v>
      </c>
    </row>
    <row r="4979" spans="2:12" x14ac:dyDescent="0.35">
      <c r="B4979" s="1">
        <f t="shared" si="781"/>
        <v>6</v>
      </c>
      <c r="C4979" s="22">
        <v>45536</v>
      </c>
      <c r="D4979" s="22">
        <v>45565</v>
      </c>
      <c r="E4979" s="23">
        <v>30</v>
      </c>
      <c r="F4979" s="3">
        <f t="shared" si="779"/>
        <v>28097799.867956989</v>
      </c>
      <c r="G4979" s="298">
        <f t="shared" si="782"/>
        <v>1605134.3951284557</v>
      </c>
      <c r="H4979" s="3">
        <f t="shared" si="780"/>
        <v>234148.33223297491</v>
      </c>
      <c r="I4979" s="3">
        <f t="shared" si="777"/>
        <v>1370986.0628954808</v>
      </c>
      <c r="J4979" s="3">
        <f t="shared" si="778"/>
        <v>26726813.805061508</v>
      </c>
      <c r="K4979" s="7">
        <v>1602549.64</v>
      </c>
      <c r="L4979" s="141">
        <f>+G4979-K4979+L4978</f>
        <v>7753.9053853673395</v>
      </c>
    </row>
    <row r="4980" spans="2:12" x14ac:dyDescent="0.35">
      <c r="B4980" s="1">
        <f t="shared" si="781"/>
        <v>7</v>
      </c>
      <c r="C4980" s="22">
        <v>45566</v>
      </c>
      <c r="D4980" s="22">
        <v>45596</v>
      </c>
      <c r="E4980" s="23">
        <v>31</v>
      </c>
      <c r="F4980" s="3">
        <f t="shared" si="779"/>
        <v>26726813.805061508</v>
      </c>
      <c r="G4980" s="298">
        <f t="shared" si="782"/>
        <v>1605134.3951284557</v>
      </c>
      <c r="H4980" s="3">
        <f t="shared" si="780"/>
        <v>222723.44837551255</v>
      </c>
      <c r="I4980" s="3">
        <f t="shared" si="777"/>
        <v>1382410.9467529431</v>
      </c>
      <c r="J4980" s="3">
        <f t="shared" si="778"/>
        <v>25344402.858308565</v>
      </c>
      <c r="L4980" s="360">
        <f>+G4980-K4980+L4979</f>
        <v>1612888.3005138231</v>
      </c>
    </row>
    <row r="4981" spans="2:12" x14ac:dyDescent="0.35">
      <c r="B4981" s="1">
        <f t="shared" si="781"/>
        <v>8</v>
      </c>
      <c r="C4981" s="22">
        <v>45597</v>
      </c>
      <c r="D4981" s="22">
        <v>45626</v>
      </c>
      <c r="E4981" s="23">
        <v>30</v>
      </c>
      <c r="F4981" s="3">
        <f t="shared" si="779"/>
        <v>25344402.858308565</v>
      </c>
      <c r="G4981" s="298">
        <f t="shared" si="782"/>
        <v>1605134.3951284557</v>
      </c>
      <c r="H4981" s="3">
        <f t="shared" si="780"/>
        <v>211203.35715257138</v>
      </c>
      <c r="I4981" s="3">
        <f t="shared" si="777"/>
        <v>1393931.0379758843</v>
      </c>
      <c r="J4981" s="3">
        <f t="shared" si="778"/>
        <v>23950471.82033268</v>
      </c>
    </row>
    <row r="4982" spans="2:12" x14ac:dyDescent="0.35">
      <c r="B4982" s="1">
        <f t="shared" si="781"/>
        <v>9</v>
      </c>
      <c r="C4982" s="22">
        <v>45627</v>
      </c>
      <c r="D4982" s="22">
        <v>45657</v>
      </c>
      <c r="E4982" s="23">
        <v>31</v>
      </c>
      <c r="F4982" s="3">
        <f t="shared" si="779"/>
        <v>23950471.82033268</v>
      </c>
      <c r="G4982" s="298">
        <f t="shared" si="782"/>
        <v>1605134.3951284557</v>
      </c>
      <c r="H4982" s="3">
        <f t="shared" si="780"/>
        <v>199587.26516943899</v>
      </c>
      <c r="I4982" s="3">
        <f t="shared" si="777"/>
        <v>1405547.1299590168</v>
      </c>
      <c r="J4982" s="3">
        <f t="shared" si="778"/>
        <v>22544924.690373663</v>
      </c>
    </row>
    <row r="4983" spans="2:12" x14ac:dyDescent="0.35">
      <c r="B4983" s="1">
        <f t="shared" si="781"/>
        <v>10</v>
      </c>
      <c r="C4983" s="22">
        <v>45658</v>
      </c>
      <c r="D4983" s="22">
        <v>45688</v>
      </c>
      <c r="E4983" s="23">
        <v>31</v>
      </c>
      <c r="F4983" s="3">
        <f t="shared" si="779"/>
        <v>22544924.690373663</v>
      </c>
      <c r="G4983" s="298">
        <f t="shared" si="782"/>
        <v>1605134.3951284557</v>
      </c>
      <c r="H4983" s="3">
        <f t="shared" si="780"/>
        <v>187874.37241978053</v>
      </c>
      <c r="I4983" s="3">
        <f t="shared" si="777"/>
        <v>1417260.0227086751</v>
      </c>
      <c r="J4983" s="3">
        <f t="shared" si="778"/>
        <v>21127664.667664986</v>
      </c>
    </row>
    <row r="4984" spans="2:12" x14ac:dyDescent="0.35">
      <c r="B4984" s="1">
        <f t="shared" si="781"/>
        <v>11</v>
      </c>
      <c r="C4984" s="22">
        <v>45689</v>
      </c>
      <c r="D4984" s="22">
        <v>45716</v>
      </c>
      <c r="E4984" s="23">
        <v>28</v>
      </c>
      <c r="F4984" s="3">
        <f t="shared" si="779"/>
        <v>21127664.667664986</v>
      </c>
      <c r="G4984" s="298">
        <f t="shared" si="782"/>
        <v>1605134.3951284557</v>
      </c>
      <c r="H4984" s="3">
        <f t="shared" si="780"/>
        <v>176063.87223054154</v>
      </c>
      <c r="I4984" s="3">
        <f t="shared" si="777"/>
        <v>1429070.5228979141</v>
      </c>
      <c r="J4984" s="3">
        <f t="shared" si="778"/>
        <v>19698594.144767072</v>
      </c>
    </row>
    <row r="4985" spans="2:12" x14ac:dyDescent="0.35">
      <c r="B4985" s="1">
        <f t="shared" si="781"/>
        <v>12</v>
      </c>
      <c r="C4985" s="22">
        <v>45717</v>
      </c>
      <c r="D4985" s="22">
        <v>45747</v>
      </c>
      <c r="E4985" s="23">
        <v>31</v>
      </c>
      <c r="F4985" s="3">
        <f t="shared" si="779"/>
        <v>19698594.144767072</v>
      </c>
      <c r="G4985" s="298">
        <f t="shared" si="782"/>
        <v>1605134.3951284557</v>
      </c>
      <c r="H4985" s="3">
        <f t="shared" si="780"/>
        <v>164154.95120639226</v>
      </c>
      <c r="I4985" s="3">
        <f t="shared" si="777"/>
        <v>1440979.4439220633</v>
      </c>
      <c r="J4985" s="3">
        <f t="shared" si="778"/>
        <v>18257614.700845011</v>
      </c>
    </row>
    <row r="4986" spans="2:12" x14ac:dyDescent="0.35">
      <c r="B4986" s="1">
        <f t="shared" si="781"/>
        <v>13</v>
      </c>
      <c r="C4986" s="22">
        <v>45748</v>
      </c>
      <c r="D4986" s="22">
        <v>45777</v>
      </c>
      <c r="E4986" s="23">
        <v>30</v>
      </c>
      <c r="F4986" s="3">
        <f t="shared" si="779"/>
        <v>18257614.700845011</v>
      </c>
      <c r="G4986" s="298">
        <f t="shared" si="782"/>
        <v>1605134.3951284557</v>
      </c>
      <c r="H4986" s="3">
        <f t="shared" si="780"/>
        <v>152146.78917370841</v>
      </c>
      <c r="I4986" s="3">
        <f t="shared" si="777"/>
        <v>1452987.6059547472</v>
      </c>
      <c r="J4986" s="3">
        <f t="shared" si="778"/>
        <v>16804627.094890263</v>
      </c>
    </row>
    <row r="4987" spans="2:12" x14ac:dyDescent="0.35">
      <c r="B4987" s="1">
        <f t="shared" si="781"/>
        <v>14</v>
      </c>
      <c r="C4987" s="22">
        <v>45778</v>
      </c>
      <c r="D4987" s="22">
        <v>45808</v>
      </c>
      <c r="E4987" s="23">
        <v>31</v>
      </c>
      <c r="F4987" s="3">
        <f t="shared" si="779"/>
        <v>16804627.094890263</v>
      </c>
      <c r="G4987" s="298">
        <f t="shared" si="782"/>
        <v>1605134.3951284557</v>
      </c>
      <c r="H4987" s="3">
        <f t="shared" si="780"/>
        <v>140038.55912408553</v>
      </c>
      <c r="I4987" s="3">
        <f t="shared" si="777"/>
        <v>1465095.8360043701</v>
      </c>
      <c r="J4987" s="3">
        <f t="shared" si="778"/>
        <v>15339531.258885892</v>
      </c>
    </row>
    <row r="4988" spans="2:12" x14ac:dyDescent="0.35">
      <c r="B4988" s="1">
        <f t="shared" si="781"/>
        <v>15</v>
      </c>
      <c r="C4988" s="22">
        <v>45809</v>
      </c>
      <c r="D4988" s="22">
        <v>45838</v>
      </c>
      <c r="E4988" s="23">
        <v>30</v>
      </c>
      <c r="F4988" s="3">
        <f t="shared" si="779"/>
        <v>15339531.258885892</v>
      </c>
      <c r="G4988" s="298">
        <f t="shared" si="782"/>
        <v>1605134.3951284557</v>
      </c>
      <c r="H4988" s="3">
        <f t="shared" si="780"/>
        <v>127829.42715738244</v>
      </c>
      <c r="I4988" s="3">
        <f t="shared" si="777"/>
        <v>1477304.9679710732</v>
      </c>
      <c r="J4988" s="3">
        <f t="shared" si="778"/>
        <v>13862226.290914819</v>
      </c>
    </row>
    <row r="4989" spans="2:12" x14ac:dyDescent="0.35">
      <c r="B4989" s="1">
        <f t="shared" si="781"/>
        <v>16</v>
      </c>
      <c r="C4989" s="22">
        <v>45839</v>
      </c>
      <c r="D4989" s="22">
        <v>45868</v>
      </c>
      <c r="E4989" s="23">
        <v>30</v>
      </c>
      <c r="F4989" s="3">
        <f t="shared" si="779"/>
        <v>13862226.290914819</v>
      </c>
      <c r="G4989" s="298">
        <f t="shared" si="782"/>
        <v>1605134.3951284557</v>
      </c>
      <c r="H4989" s="3">
        <f t="shared" si="780"/>
        <v>115518.55242429016</v>
      </c>
      <c r="I4989" s="3">
        <f t="shared" si="777"/>
        <v>1489615.8427041655</v>
      </c>
      <c r="J4989" s="3">
        <f t="shared" si="778"/>
        <v>12372610.448210653</v>
      </c>
    </row>
    <row r="4990" spans="2:12" x14ac:dyDescent="0.35">
      <c r="B4990" s="1">
        <f t="shared" si="781"/>
        <v>17</v>
      </c>
      <c r="C4990" s="22">
        <v>45870</v>
      </c>
      <c r="D4990" s="22">
        <v>45899</v>
      </c>
      <c r="E4990" s="23">
        <v>30</v>
      </c>
      <c r="F4990" s="3">
        <f t="shared" si="779"/>
        <v>12372610.448210653</v>
      </c>
      <c r="G4990" s="298">
        <f t="shared" si="782"/>
        <v>1605134.3951284557</v>
      </c>
      <c r="H4990" s="3">
        <f t="shared" si="780"/>
        <v>103105.0870684221</v>
      </c>
      <c r="I4990" s="3">
        <f t="shared" si="777"/>
        <v>1502029.3080600337</v>
      </c>
      <c r="J4990" s="3">
        <f t="shared" si="778"/>
        <v>10870581.14015062</v>
      </c>
    </row>
    <row r="4991" spans="2:12" x14ac:dyDescent="0.35">
      <c r="B4991" s="1">
        <f t="shared" si="781"/>
        <v>18</v>
      </c>
      <c r="C4991" s="22">
        <v>45901</v>
      </c>
      <c r="D4991" s="22">
        <v>45930</v>
      </c>
      <c r="E4991" s="23">
        <v>30</v>
      </c>
      <c r="F4991" s="3">
        <f t="shared" si="779"/>
        <v>10870581.14015062</v>
      </c>
      <c r="G4991" s="298">
        <f t="shared" si="782"/>
        <v>1605134.3951284557</v>
      </c>
      <c r="H4991" s="3">
        <f t="shared" si="780"/>
        <v>90588.176167921833</v>
      </c>
      <c r="I4991" s="3">
        <f t="shared" si="777"/>
        <v>1514546.2189605338</v>
      </c>
      <c r="J4991" s="3">
        <f t="shared" si="778"/>
        <v>9356034.9211900868</v>
      </c>
    </row>
    <row r="4992" spans="2:12" x14ac:dyDescent="0.35">
      <c r="B4992" s="1">
        <f t="shared" si="781"/>
        <v>19</v>
      </c>
      <c r="C4992" s="22">
        <v>45931</v>
      </c>
      <c r="D4992" s="22">
        <v>45961</v>
      </c>
      <c r="E4992" s="23">
        <v>31</v>
      </c>
      <c r="F4992" s="3">
        <f t="shared" si="779"/>
        <v>9356034.9211900868</v>
      </c>
      <c r="G4992" s="298">
        <f t="shared" si="782"/>
        <v>1605134.3951284557</v>
      </c>
      <c r="H4992" s="3">
        <f t="shared" si="780"/>
        <v>77966.957676584061</v>
      </c>
      <c r="I4992" s="3">
        <f t="shared" si="777"/>
        <v>1527167.4374518716</v>
      </c>
      <c r="J4992" s="3">
        <f t="shared" si="778"/>
        <v>7828867.4837382156</v>
      </c>
    </row>
    <row r="4993" spans="2:19" x14ac:dyDescent="0.35">
      <c r="B4993" s="1">
        <f t="shared" si="781"/>
        <v>20</v>
      </c>
      <c r="C4993" s="22">
        <v>45962</v>
      </c>
      <c r="D4993" s="22">
        <v>45991</v>
      </c>
      <c r="E4993" s="23">
        <v>30</v>
      </c>
      <c r="F4993" s="3">
        <f t="shared" si="779"/>
        <v>7828867.4837382156</v>
      </c>
      <c r="G4993" s="298">
        <f t="shared" si="782"/>
        <v>1605134.3951284557</v>
      </c>
      <c r="H4993" s="3">
        <f t="shared" si="780"/>
        <v>65240.562364485129</v>
      </c>
      <c r="I4993" s="3">
        <f t="shared" si="777"/>
        <v>1539893.8327639706</v>
      </c>
      <c r="J4993" s="3">
        <f t="shared" si="778"/>
        <v>6288973.6509742448</v>
      </c>
    </row>
    <row r="4994" spans="2:19" x14ac:dyDescent="0.35">
      <c r="B4994" s="1">
        <f t="shared" si="781"/>
        <v>21</v>
      </c>
      <c r="C4994" s="22">
        <v>45992</v>
      </c>
      <c r="D4994" s="22">
        <v>46022</v>
      </c>
      <c r="E4994" s="23">
        <v>31</v>
      </c>
      <c r="F4994" s="3">
        <f t="shared" si="779"/>
        <v>6288973.6509742448</v>
      </c>
      <c r="G4994" s="298">
        <f t="shared" si="782"/>
        <v>1605134.3951284557</v>
      </c>
      <c r="H4994" s="3">
        <f t="shared" si="780"/>
        <v>52408.113758118707</v>
      </c>
      <c r="I4994" s="3">
        <f t="shared" si="777"/>
        <v>1552726.2813703371</v>
      </c>
      <c r="J4994" s="3">
        <f t="shared" si="778"/>
        <v>4736247.3696039077</v>
      </c>
    </row>
    <row r="4995" spans="2:19" x14ac:dyDescent="0.35">
      <c r="B4995" s="1">
        <f t="shared" si="781"/>
        <v>22</v>
      </c>
      <c r="C4995" s="22">
        <v>46023</v>
      </c>
      <c r="D4995" s="22">
        <v>46053</v>
      </c>
      <c r="E4995" s="23">
        <v>31</v>
      </c>
      <c r="F4995" s="3">
        <f t="shared" si="779"/>
        <v>4736247.3696039077</v>
      </c>
      <c r="G4995" s="298">
        <f t="shared" si="782"/>
        <v>1605134.3951284557</v>
      </c>
      <c r="H4995" s="3">
        <f t="shared" si="780"/>
        <v>39468.728080032561</v>
      </c>
      <c r="I4995" s="3">
        <f t="shared" si="777"/>
        <v>1565665.6670484231</v>
      </c>
      <c r="J4995" s="3">
        <f t="shared" si="778"/>
        <v>3170581.7025554846</v>
      </c>
    </row>
    <row r="4996" spans="2:19" x14ac:dyDescent="0.35">
      <c r="B4996" s="1">
        <f t="shared" si="781"/>
        <v>23</v>
      </c>
      <c r="C4996" s="22">
        <v>46054</v>
      </c>
      <c r="D4996" s="22">
        <v>46081</v>
      </c>
      <c r="E4996" s="23">
        <v>28</v>
      </c>
      <c r="F4996" s="3">
        <f t="shared" si="779"/>
        <v>3170581.7025554846</v>
      </c>
      <c r="G4996" s="298">
        <f t="shared" si="782"/>
        <v>1605134.3951284557</v>
      </c>
      <c r="H4996" s="3">
        <f t="shared" si="780"/>
        <v>26421.51418796237</v>
      </c>
      <c r="I4996" s="3">
        <f t="shared" si="777"/>
        <v>1578712.8809404934</v>
      </c>
      <c r="J4996" s="3">
        <f t="shared" si="778"/>
        <v>1591868.8216149912</v>
      </c>
    </row>
    <row r="4997" spans="2:19" x14ac:dyDescent="0.35">
      <c r="B4997" s="1">
        <f t="shared" si="781"/>
        <v>24</v>
      </c>
      <c r="C4997" s="22">
        <v>46082</v>
      </c>
      <c r="D4997" s="22">
        <v>46112</v>
      </c>
      <c r="E4997" s="23">
        <v>31</v>
      </c>
      <c r="F4997" s="3">
        <f t="shared" si="779"/>
        <v>1591868.8216149912</v>
      </c>
      <c r="G4997" s="298">
        <f t="shared" si="782"/>
        <v>1605134.3951284557</v>
      </c>
      <c r="H4997" s="3">
        <f t="shared" si="780"/>
        <v>13265.573513458259</v>
      </c>
      <c r="I4997" s="3">
        <f t="shared" si="777"/>
        <v>1591868.8216149975</v>
      </c>
      <c r="J4997" s="3">
        <f t="shared" si="778"/>
        <v>-6.28642737865448E-9</v>
      </c>
    </row>
    <row r="5002" spans="2:19" x14ac:dyDescent="0.35">
      <c r="B5002" s="1"/>
      <c r="C5002" s="8" t="s">
        <v>950</v>
      </c>
      <c r="D5002" s="3"/>
      <c r="E5002" s="3"/>
      <c r="F5002" s="3"/>
      <c r="G5002" s="3"/>
      <c r="H5002" s="3"/>
      <c r="I5002" s="3"/>
      <c r="J5002" s="3"/>
      <c r="R5002" s="438" t="s">
        <v>832</v>
      </c>
      <c r="S5002" s="432" t="str">
        <f>IFERROR(INDEX(Blocks!$I$2:$I$101,MATCH(91,Blocks!$A$2:$A$101,0)),"")</f>
        <v>000104460000093</v>
      </c>
    </row>
    <row r="5003" spans="2:19" x14ac:dyDescent="0.35">
      <c r="B5003" s="1"/>
      <c r="C5003" s="1"/>
      <c r="D5003" s="3"/>
      <c r="E5003" s="3"/>
      <c r="F5003" s="3"/>
      <c r="G5003" s="3"/>
      <c r="H5003" s="3"/>
      <c r="I5003" s="3"/>
      <c r="J5003" s="3"/>
      <c r="R5003" s="438" t="s">
        <v>834</v>
      </c>
      <c r="S5003" s="432" t="str">
        <f>IFERROR(INDEX(Blocks!$H$2:$H$101,MATCH(91,Blocks!$A$2:$A$101,0)),"")</f>
        <v>Difference Construction</v>
      </c>
    </row>
    <row r="5004" spans="2:19" x14ac:dyDescent="0.35">
      <c r="B5004" s="1"/>
      <c r="C5004" s="9" t="s">
        <v>835</v>
      </c>
      <c r="D5004" s="10">
        <v>120000000</v>
      </c>
      <c r="E5004" s="3"/>
      <c r="F5004" s="3"/>
      <c r="G5004" s="3"/>
      <c r="H5004" s="3"/>
      <c r="I5004" s="3"/>
      <c r="J5004" s="3"/>
      <c r="R5004" s="438" t="s">
        <v>223</v>
      </c>
      <c r="S5004" s="433">
        <f>IFERROR(INDEX('E-Banker master'!$N$2:$N$186,MATCH(S5002,'E-Banker master'!$A$2:$A$186,0)),"")</f>
        <v>120000000</v>
      </c>
    </row>
    <row r="5005" spans="2:19" x14ac:dyDescent="0.35">
      <c r="B5005" s="1"/>
      <c r="C5005" s="11" t="s">
        <v>837</v>
      </c>
      <c r="D5005" s="12">
        <v>0.1</v>
      </c>
      <c r="E5005" s="13"/>
      <c r="F5005" s="3"/>
      <c r="G5005" s="3"/>
      <c r="H5005" s="3"/>
      <c r="I5005" s="3"/>
      <c r="J5005" s="3"/>
      <c r="R5005" s="438" t="s">
        <v>52</v>
      </c>
      <c r="S5005" s="433">
        <f>IFERROR(INDEX('E-Banker master'!$P$2:$P$186,MATCH(S5002,'E-Banker master'!$A$2:$A$186,0)),"")</f>
        <v>123213189.98</v>
      </c>
    </row>
    <row r="5006" spans="2:19" x14ac:dyDescent="0.35">
      <c r="B5006" s="1"/>
      <c r="C5006" s="11" t="s">
        <v>838</v>
      </c>
      <c r="D5006" s="14">
        <v>3</v>
      </c>
      <c r="E5006" s="1"/>
      <c r="F5006" s="3"/>
      <c r="G5006" s="3"/>
      <c r="H5006" s="3"/>
      <c r="I5006" s="3"/>
      <c r="J5006" s="3"/>
    </row>
    <row r="5007" spans="2:19" x14ac:dyDescent="0.35">
      <c r="B5007" s="1"/>
      <c r="C5007" s="11" t="s">
        <v>839</v>
      </c>
      <c r="D5007" s="14">
        <v>12</v>
      </c>
      <c r="E5007" s="1"/>
      <c r="F5007" s="3"/>
      <c r="G5007" s="3"/>
      <c r="H5007" s="3"/>
      <c r="I5007" s="3"/>
      <c r="J5007" s="3"/>
    </row>
    <row r="5008" spans="2:19" x14ac:dyDescent="0.35">
      <c r="B5008" s="1"/>
      <c r="C5008" s="11" t="s">
        <v>843</v>
      </c>
      <c r="D5008" s="15">
        <f>+D5007*D5006</f>
        <v>36</v>
      </c>
      <c r="E5008" s="1"/>
      <c r="F5008" s="3"/>
      <c r="G5008" s="3"/>
      <c r="H5008" s="3"/>
      <c r="I5008" s="3"/>
      <c r="J5008" s="3"/>
    </row>
    <row r="5009" spans="2:12" x14ac:dyDescent="0.35">
      <c r="B5009" s="1"/>
      <c r="C5009" s="11" t="s">
        <v>844</v>
      </c>
      <c r="D5009" s="16">
        <v>365</v>
      </c>
      <c r="E5009" s="1"/>
      <c r="F5009" s="3"/>
      <c r="G5009" s="3"/>
      <c r="H5009" s="3"/>
      <c r="I5009" s="3"/>
      <c r="J5009" s="3"/>
    </row>
    <row r="5010" spans="2:12" x14ac:dyDescent="0.35">
      <c r="B5010" s="1"/>
      <c r="C5010" s="17" t="s">
        <v>845</v>
      </c>
      <c r="D5010" s="220">
        <f>-PMT(D5005/D5007,D5008,D5004,0,0)</f>
        <v>3872062.4632604979</v>
      </c>
      <c r="E5010" s="3"/>
      <c r="F5010" s="3"/>
      <c r="G5010" s="3"/>
      <c r="H5010" s="3"/>
      <c r="I5010" s="3"/>
      <c r="J5010" s="3"/>
    </row>
    <row r="5011" spans="2:12" x14ac:dyDescent="0.35">
      <c r="B5011" s="1"/>
      <c r="C5011" s="1"/>
      <c r="D5011" s="3"/>
      <c r="E5011" s="3"/>
      <c r="F5011" s="3"/>
      <c r="G5011" s="3"/>
      <c r="H5011" s="3"/>
      <c r="I5011" s="3"/>
      <c r="J5011" s="3"/>
    </row>
    <row r="5012" spans="2:12" x14ac:dyDescent="0.35">
      <c r="B5012" s="1"/>
      <c r="C5012" s="19" t="s">
        <v>846</v>
      </c>
      <c r="D5012" s="20" t="s">
        <v>847</v>
      </c>
      <c r="E5012" s="20" t="s">
        <v>764</v>
      </c>
      <c r="F5012" s="270" t="s">
        <v>848</v>
      </c>
      <c r="G5012" s="270" t="s">
        <v>849</v>
      </c>
      <c r="H5012" s="270" t="s">
        <v>742</v>
      </c>
      <c r="I5012" s="270" t="s">
        <v>740</v>
      </c>
      <c r="J5012" s="270" t="s">
        <v>850</v>
      </c>
      <c r="K5012" s="21" t="s">
        <v>851</v>
      </c>
      <c r="L5012" s="21" t="s">
        <v>852</v>
      </c>
    </row>
    <row r="5013" spans="2:12" x14ac:dyDescent="0.35">
      <c r="B5013" s="1">
        <v>0</v>
      </c>
      <c r="C5013" s="22">
        <v>45379</v>
      </c>
      <c r="D5013" s="22">
        <v>45382</v>
      </c>
      <c r="E5013" s="23">
        <v>3</v>
      </c>
      <c r="F5013" s="3">
        <f>D5004</f>
        <v>120000000</v>
      </c>
      <c r="G5013" s="3"/>
      <c r="H5013" s="3">
        <f>($D$4837/$D$4839*F5013*E5013/31)</f>
        <v>96774.193548387091</v>
      </c>
      <c r="I5013" s="3">
        <f t="shared" ref="I5013:I5049" si="783">G5013-H5013</f>
        <v>-96774.193548387091</v>
      </c>
      <c r="J5013" s="3">
        <f t="shared" ref="J5013:J5049" si="784">F5013-I5013</f>
        <v>120096774.19354838</v>
      </c>
    </row>
    <row r="5014" spans="2:12" x14ac:dyDescent="0.35">
      <c r="B5014" s="1">
        <v>1</v>
      </c>
      <c r="C5014" s="22">
        <v>45383</v>
      </c>
      <c r="D5014" s="22">
        <v>45412</v>
      </c>
      <c r="E5014" s="23">
        <v>30</v>
      </c>
      <c r="F5014" s="3">
        <f t="shared" ref="F5014:F5049" si="785">J5013</f>
        <v>120096774.19354838</v>
      </c>
      <c r="G5014" s="3"/>
      <c r="H5014" s="3">
        <f t="shared" ref="H5014:H5049" si="786">($D$5005/$D$5007*F5014)</f>
        <v>1000806.4516129032</v>
      </c>
      <c r="I5014" s="3">
        <f t="shared" si="783"/>
        <v>-1000806.4516129032</v>
      </c>
      <c r="J5014" s="3">
        <f t="shared" si="784"/>
        <v>121097580.64516129</v>
      </c>
      <c r="K5014" s="7">
        <v>1000000</v>
      </c>
    </row>
    <row r="5015" spans="2:12" x14ac:dyDescent="0.35">
      <c r="B5015" s="1">
        <v>2</v>
      </c>
      <c r="C5015" s="22">
        <v>45413</v>
      </c>
      <c r="D5015" s="22">
        <v>45443</v>
      </c>
      <c r="E5015" s="23">
        <v>31</v>
      </c>
      <c r="F5015" s="3">
        <f t="shared" si="785"/>
        <v>121097580.64516129</v>
      </c>
      <c r="G5015" s="3"/>
      <c r="H5015" s="3">
        <f t="shared" si="786"/>
        <v>1009146.5053763441</v>
      </c>
      <c r="I5015" s="3">
        <f t="shared" si="783"/>
        <v>-1009146.5053763441</v>
      </c>
      <c r="J5015" s="3">
        <f t="shared" si="784"/>
        <v>122106727.15053762</v>
      </c>
    </row>
    <row r="5016" spans="2:12" x14ac:dyDescent="0.35">
      <c r="B5016" s="1">
        <f t="shared" ref="B5016:B5049" si="787">+B5015+1</f>
        <v>3</v>
      </c>
      <c r="C5016" s="22">
        <v>45444</v>
      </c>
      <c r="D5016" s="22">
        <v>45473</v>
      </c>
      <c r="E5016" s="23">
        <v>30</v>
      </c>
      <c r="F5016" s="3">
        <f t="shared" si="785"/>
        <v>122106727.15053762</v>
      </c>
      <c r="G5016" s="3"/>
      <c r="H5016" s="3">
        <f t="shared" si="786"/>
        <v>1017556.0595878136</v>
      </c>
      <c r="I5016" s="3">
        <f t="shared" si="783"/>
        <v>-1017556.0595878136</v>
      </c>
      <c r="J5016" s="3">
        <f t="shared" si="784"/>
        <v>123124283.21012543</v>
      </c>
      <c r="K5016" s="7">
        <v>1000000</v>
      </c>
      <c r="L5016" s="141"/>
    </row>
    <row r="5017" spans="2:12" x14ac:dyDescent="0.35">
      <c r="B5017" s="1">
        <f t="shared" si="787"/>
        <v>4</v>
      </c>
      <c r="C5017" s="22">
        <v>45474</v>
      </c>
      <c r="D5017" s="22">
        <v>45504</v>
      </c>
      <c r="E5017" s="23">
        <v>31</v>
      </c>
      <c r="F5017" s="3">
        <f t="shared" si="785"/>
        <v>123124283.21012543</v>
      </c>
      <c r="G5017" s="3"/>
      <c r="H5017" s="3">
        <f t="shared" si="786"/>
        <v>1026035.6934177119</v>
      </c>
      <c r="I5017" s="3">
        <f t="shared" si="783"/>
        <v>-1026035.6934177119</v>
      </c>
      <c r="J5017" s="3">
        <f t="shared" si="784"/>
        <v>124150318.90354314</v>
      </c>
      <c r="K5017" s="7">
        <v>1000000</v>
      </c>
    </row>
    <row r="5018" spans="2:12" x14ac:dyDescent="0.35">
      <c r="B5018" s="1">
        <f t="shared" si="787"/>
        <v>5</v>
      </c>
      <c r="C5018" s="22">
        <v>45505</v>
      </c>
      <c r="D5018" s="22">
        <v>45535</v>
      </c>
      <c r="E5018" s="23">
        <v>31</v>
      </c>
      <c r="F5018" s="3">
        <f t="shared" si="785"/>
        <v>124150318.90354314</v>
      </c>
      <c r="G5018" s="3"/>
      <c r="H5018" s="3">
        <f t="shared" si="786"/>
        <v>1034585.9908628595</v>
      </c>
      <c r="I5018" s="3">
        <f t="shared" si="783"/>
        <v>-1034585.9908628595</v>
      </c>
      <c r="J5018" s="3">
        <f t="shared" si="784"/>
        <v>125184904.89440601</v>
      </c>
    </row>
    <row r="5019" spans="2:12" x14ac:dyDescent="0.35">
      <c r="B5019" s="1">
        <f t="shared" si="787"/>
        <v>6</v>
      </c>
      <c r="C5019" s="22">
        <v>45536</v>
      </c>
      <c r="D5019" s="22">
        <v>45565</v>
      </c>
      <c r="E5019" s="23">
        <v>30</v>
      </c>
      <c r="F5019" s="3">
        <f t="shared" si="785"/>
        <v>125184904.89440601</v>
      </c>
      <c r="G5019" s="3"/>
      <c r="H5019" s="3">
        <f t="shared" si="786"/>
        <v>1043207.5407867167</v>
      </c>
      <c r="I5019" s="3">
        <f t="shared" si="783"/>
        <v>-1043207.5407867167</v>
      </c>
      <c r="J5019" s="3">
        <f t="shared" si="784"/>
        <v>126228112.43519272</v>
      </c>
      <c r="K5019" s="7">
        <v>1000000</v>
      </c>
    </row>
    <row r="5020" spans="2:12" x14ac:dyDescent="0.35">
      <c r="B5020" s="1">
        <f t="shared" si="787"/>
        <v>7</v>
      </c>
      <c r="C5020" s="22">
        <v>45566</v>
      </c>
      <c r="D5020" s="22">
        <v>45596</v>
      </c>
      <c r="E5020" s="23">
        <v>31</v>
      </c>
      <c r="F5020" s="3">
        <f t="shared" si="785"/>
        <v>126228112.43519272</v>
      </c>
      <c r="G5020" s="3">
        <f t="shared" ref="G5020:G5049" si="788">-PMT($D$5005/$D$5007,30,$F$5020,,0)</f>
        <v>4772862.9342146935</v>
      </c>
      <c r="H5020" s="3">
        <f t="shared" si="786"/>
        <v>1051900.9369599393</v>
      </c>
      <c r="I5020" s="3">
        <f t="shared" si="783"/>
        <v>3720961.9972547544</v>
      </c>
      <c r="J5020" s="3">
        <f t="shared" si="784"/>
        <v>122507150.43793796</v>
      </c>
      <c r="L5020" s="360">
        <f>G5020-SUM(K5014:K5019)</f>
        <v>772862.93421469349</v>
      </c>
    </row>
    <row r="5021" spans="2:12" x14ac:dyDescent="0.35">
      <c r="B5021" s="1">
        <f t="shared" si="787"/>
        <v>8</v>
      </c>
      <c r="C5021" s="22">
        <v>45597</v>
      </c>
      <c r="D5021" s="22">
        <v>45626</v>
      </c>
      <c r="E5021" s="23">
        <v>30</v>
      </c>
      <c r="F5021" s="3">
        <f t="shared" si="785"/>
        <v>122507150.43793796</v>
      </c>
      <c r="G5021" s="3">
        <f t="shared" si="788"/>
        <v>4772862.9342146935</v>
      </c>
      <c r="H5021" s="3">
        <f t="shared" si="786"/>
        <v>1020892.9203161496</v>
      </c>
      <c r="I5021" s="3">
        <f t="shared" si="783"/>
        <v>3751970.013898544</v>
      </c>
      <c r="J5021" s="3">
        <f t="shared" si="784"/>
        <v>118755180.42403942</v>
      </c>
    </row>
    <row r="5022" spans="2:12" x14ac:dyDescent="0.35">
      <c r="B5022" s="1">
        <f t="shared" si="787"/>
        <v>9</v>
      </c>
      <c r="C5022" s="22">
        <v>45627</v>
      </c>
      <c r="D5022" s="22">
        <v>45657</v>
      </c>
      <c r="E5022" s="23">
        <v>31</v>
      </c>
      <c r="F5022" s="3">
        <f t="shared" si="785"/>
        <v>118755180.42403942</v>
      </c>
      <c r="G5022" s="3">
        <f t="shared" si="788"/>
        <v>4772862.9342146935</v>
      </c>
      <c r="H5022" s="3">
        <f t="shared" si="786"/>
        <v>989626.50353366183</v>
      </c>
      <c r="I5022" s="3">
        <f t="shared" si="783"/>
        <v>3783236.4306810317</v>
      </c>
      <c r="J5022" s="3">
        <f t="shared" si="784"/>
        <v>114971943.99335839</v>
      </c>
    </row>
    <row r="5023" spans="2:12" x14ac:dyDescent="0.35">
      <c r="B5023" s="1">
        <f t="shared" si="787"/>
        <v>10</v>
      </c>
      <c r="C5023" s="22">
        <v>45658</v>
      </c>
      <c r="D5023" s="22">
        <v>45688</v>
      </c>
      <c r="E5023" s="23">
        <v>31</v>
      </c>
      <c r="F5023" s="3">
        <f t="shared" si="785"/>
        <v>114971943.99335839</v>
      </c>
      <c r="G5023" s="3">
        <f t="shared" si="788"/>
        <v>4772862.9342146935</v>
      </c>
      <c r="H5023" s="3">
        <f t="shared" si="786"/>
        <v>958099.53327798657</v>
      </c>
      <c r="I5023" s="3">
        <f t="shared" si="783"/>
        <v>3814763.4009367069</v>
      </c>
      <c r="J5023" s="3">
        <f t="shared" si="784"/>
        <v>111157180.59242168</v>
      </c>
    </row>
    <row r="5024" spans="2:12" x14ac:dyDescent="0.35">
      <c r="B5024" s="1">
        <f t="shared" si="787"/>
        <v>11</v>
      </c>
      <c r="C5024" s="22">
        <v>45689</v>
      </c>
      <c r="D5024" s="22">
        <v>45716</v>
      </c>
      <c r="E5024" s="23">
        <v>28</v>
      </c>
      <c r="F5024" s="3">
        <f t="shared" si="785"/>
        <v>111157180.59242168</v>
      </c>
      <c r="G5024" s="3">
        <f t="shared" si="788"/>
        <v>4772862.9342146935</v>
      </c>
      <c r="H5024" s="3">
        <f t="shared" si="786"/>
        <v>926309.83827018063</v>
      </c>
      <c r="I5024" s="3">
        <f t="shared" si="783"/>
        <v>3846553.0959445126</v>
      </c>
      <c r="J5024" s="3">
        <f t="shared" si="784"/>
        <v>107310627.49647717</v>
      </c>
    </row>
    <row r="5025" spans="2:10" x14ac:dyDescent="0.35">
      <c r="B5025" s="1">
        <f t="shared" si="787"/>
        <v>12</v>
      </c>
      <c r="C5025" s="22">
        <v>45717</v>
      </c>
      <c r="D5025" s="22">
        <v>45747</v>
      </c>
      <c r="E5025" s="23">
        <v>31</v>
      </c>
      <c r="F5025" s="3">
        <f t="shared" si="785"/>
        <v>107310627.49647717</v>
      </c>
      <c r="G5025" s="3">
        <f t="shared" si="788"/>
        <v>4772862.9342146935</v>
      </c>
      <c r="H5025" s="3">
        <f t="shared" si="786"/>
        <v>894255.22913730971</v>
      </c>
      <c r="I5025" s="3">
        <f t="shared" si="783"/>
        <v>3878607.7050773837</v>
      </c>
      <c r="J5025" s="3">
        <f t="shared" si="784"/>
        <v>103432019.79139979</v>
      </c>
    </row>
    <row r="5026" spans="2:10" x14ac:dyDescent="0.35">
      <c r="B5026" s="1">
        <f t="shared" si="787"/>
        <v>13</v>
      </c>
      <c r="C5026" s="22">
        <v>45748</v>
      </c>
      <c r="D5026" s="22">
        <v>45777</v>
      </c>
      <c r="E5026" s="23">
        <v>30</v>
      </c>
      <c r="F5026" s="3">
        <f t="shared" si="785"/>
        <v>103432019.79139979</v>
      </c>
      <c r="G5026" s="3">
        <f t="shared" si="788"/>
        <v>4772862.9342146935</v>
      </c>
      <c r="H5026" s="3">
        <f t="shared" si="786"/>
        <v>861933.49826166488</v>
      </c>
      <c r="I5026" s="3">
        <f t="shared" si="783"/>
        <v>3910929.4359530285</v>
      </c>
      <c r="J5026" s="3">
        <f t="shared" si="784"/>
        <v>99521090.355446756</v>
      </c>
    </row>
    <row r="5027" spans="2:10" x14ac:dyDescent="0.35">
      <c r="B5027" s="1">
        <f t="shared" si="787"/>
        <v>14</v>
      </c>
      <c r="C5027" s="22">
        <v>45778</v>
      </c>
      <c r="D5027" s="22">
        <v>45808</v>
      </c>
      <c r="E5027" s="23">
        <v>31</v>
      </c>
      <c r="F5027" s="3">
        <f t="shared" si="785"/>
        <v>99521090.355446756</v>
      </c>
      <c r="G5027" s="3">
        <f t="shared" si="788"/>
        <v>4772862.9342146935</v>
      </c>
      <c r="H5027" s="3">
        <f t="shared" si="786"/>
        <v>829342.41962872294</v>
      </c>
      <c r="I5027" s="3">
        <f t="shared" si="783"/>
        <v>3943520.5145859704</v>
      </c>
      <c r="J5027" s="3">
        <f t="shared" si="784"/>
        <v>95577569.840860784</v>
      </c>
    </row>
    <row r="5028" spans="2:10" x14ac:dyDescent="0.35">
      <c r="B5028" s="1">
        <f t="shared" si="787"/>
        <v>15</v>
      </c>
      <c r="C5028" s="22">
        <v>45809</v>
      </c>
      <c r="D5028" s="22">
        <v>45838</v>
      </c>
      <c r="E5028" s="23">
        <v>30</v>
      </c>
      <c r="F5028" s="3">
        <f t="shared" si="785"/>
        <v>95577569.840860784</v>
      </c>
      <c r="G5028" s="3">
        <f t="shared" si="788"/>
        <v>4772862.9342146935</v>
      </c>
      <c r="H5028" s="3">
        <f t="shared" si="786"/>
        <v>796479.74867383984</v>
      </c>
      <c r="I5028" s="3">
        <f t="shared" si="783"/>
        <v>3976383.1855408535</v>
      </c>
      <c r="J5028" s="3">
        <f t="shared" si="784"/>
        <v>91601186.655319929</v>
      </c>
    </row>
    <row r="5029" spans="2:10" x14ac:dyDescent="0.35">
      <c r="B5029" s="1">
        <f t="shared" si="787"/>
        <v>16</v>
      </c>
      <c r="C5029" s="22">
        <v>45839</v>
      </c>
      <c r="D5029" s="22">
        <v>45868</v>
      </c>
      <c r="E5029" s="23">
        <v>30</v>
      </c>
      <c r="F5029" s="3">
        <f t="shared" si="785"/>
        <v>91601186.655319929</v>
      </c>
      <c r="G5029" s="3">
        <f t="shared" si="788"/>
        <v>4772862.9342146935</v>
      </c>
      <c r="H5029" s="3">
        <f t="shared" si="786"/>
        <v>763343.22212766611</v>
      </c>
      <c r="I5029" s="3">
        <f t="shared" si="783"/>
        <v>4009519.7120870273</v>
      </c>
      <c r="J5029" s="3">
        <f t="shared" si="784"/>
        <v>87591666.943232909</v>
      </c>
    </row>
    <row r="5030" spans="2:10" x14ac:dyDescent="0.35">
      <c r="B5030" s="1">
        <f t="shared" si="787"/>
        <v>17</v>
      </c>
      <c r="C5030" s="22">
        <v>45870</v>
      </c>
      <c r="D5030" s="22">
        <v>45899</v>
      </c>
      <c r="E5030" s="23">
        <v>30</v>
      </c>
      <c r="F5030" s="3">
        <f t="shared" si="785"/>
        <v>87591666.943232909</v>
      </c>
      <c r="G5030" s="3">
        <f t="shared" si="788"/>
        <v>4772862.9342146935</v>
      </c>
      <c r="H5030" s="3">
        <f t="shared" si="786"/>
        <v>729930.55786027422</v>
      </c>
      <c r="I5030" s="3">
        <f t="shared" si="783"/>
        <v>4042932.3763544192</v>
      </c>
      <c r="J5030" s="3">
        <f t="shared" si="784"/>
        <v>83548734.566878483</v>
      </c>
    </row>
    <row r="5031" spans="2:10" x14ac:dyDescent="0.35">
      <c r="B5031" s="1">
        <f t="shared" si="787"/>
        <v>18</v>
      </c>
      <c r="C5031" s="22">
        <v>45901</v>
      </c>
      <c r="D5031" s="22">
        <v>45930</v>
      </c>
      <c r="E5031" s="23">
        <v>30</v>
      </c>
      <c r="F5031" s="3">
        <f t="shared" si="785"/>
        <v>83548734.566878483</v>
      </c>
      <c r="G5031" s="3">
        <f t="shared" si="788"/>
        <v>4772862.9342146935</v>
      </c>
      <c r="H5031" s="3">
        <f t="shared" si="786"/>
        <v>696239.45472398738</v>
      </c>
      <c r="I5031" s="3">
        <f t="shared" si="783"/>
        <v>4076623.4794907062</v>
      </c>
      <c r="J5031" s="3">
        <f t="shared" si="784"/>
        <v>79472111.08738777</v>
      </c>
    </row>
    <row r="5032" spans="2:10" x14ac:dyDescent="0.35">
      <c r="B5032" s="1">
        <f t="shared" si="787"/>
        <v>19</v>
      </c>
      <c r="C5032" s="22">
        <v>45931</v>
      </c>
      <c r="D5032" s="22">
        <v>45961</v>
      </c>
      <c r="E5032" s="23">
        <v>31</v>
      </c>
      <c r="F5032" s="3">
        <f t="shared" si="785"/>
        <v>79472111.08738777</v>
      </c>
      <c r="G5032" s="3">
        <f t="shared" si="788"/>
        <v>4772862.9342146935</v>
      </c>
      <c r="H5032" s="3">
        <f t="shared" si="786"/>
        <v>662267.59239489806</v>
      </c>
      <c r="I5032" s="3">
        <f t="shared" si="783"/>
        <v>4110595.3418197953</v>
      </c>
      <c r="J5032" s="3">
        <f t="shared" si="784"/>
        <v>75361515.745567977</v>
      </c>
    </row>
    <row r="5033" spans="2:10" x14ac:dyDescent="0.35">
      <c r="B5033" s="1">
        <f t="shared" si="787"/>
        <v>20</v>
      </c>
      <c r="C5033" s="22">
        <v>45962</v>
      </c>
      <c r="D5033" s="22">
        <v>45991</v>
      </c>
      <c r="E5033" s="23">
        <v>30</v>
      </c>
      <c r="F5033" s="3">
        <f t="shared" si="785"/>
        <v>75361515.745567977</v>
      </c>
      <c r="G5033" s="3">
        <f t="shared" si="788"/>
        <v>4772862.9342146935</v>
      </c>
      <c r="H5033" s="3">
        <f t="shared" si="786"/>
        <v>628012.63121306652</v>
      </c>
      <c r="I5033" s="3">
        <f t="shared" si="783"/>
        <v>4144850.3030016269</v>
      </c>
      <c r="J5033" s="3">
        <f t="shared" si="784"/>
        <v>71216665.44256635</v>
      </c>
    </row>
    <row r="5034" spans="2:10" x14ac:dyDescent="0.35">
      <c r="B5034" s="1">
        <f t="shared" si="787"/>
        <v>21</v>
      </c>
      <c r="C5034" s="22">
        <v>45992</v>
      </c>
      <c r="D5034" s="22">
        <v>46022</v>
      </c>
      <c r="E5034" s="23">
        <v>31</v>
      </c>
      <c r="F5034" s="3">
        <f t="shared" si="785"/>
        <v>71216665.44256635</v>
      </c>
      <c r="G5034" s="3">
        <f t="shared" si="788"/>
        <v>4772862.9342146935</v>
      </c>
      <c r="H5034" s="3">
        <f t="shared" si="786"/>
        <v>593472.21202138625</v>
      </c>
      <c r="I5034" s="3">
        <f t="shared" si="783"/>
        <v>4179390.7221933072</v>
      </c>
      <c r="J5034" s="3">
        <f t="shared" si="784"/>
        <v>67037274.720373042</v>
      </c>
    </row>
    <row r="5035" spans="2:10" x14ac:dyDescent="0.35">
      <c r="B5035" s="1">
        <f t="shared" si="787"/>
        <v>22</v>
      </c>
      <c r="C5035" s="22">
        <v>46023</v>
      </c>
      <c r="D5035" s="22">
        <v>46053</v>
      </c>
      <c r="E5035" s="23">
        <v>31</v>
      </c>
      <c r="F5035" s="3">
        <f t="shared" si="785"/>
        <v>67037274.720373042</v>
      </c>
      <c r="G5035" s="3">
        <f t="shared" si="788"/>
        <v>4772862.9342146935</v>
      </c>
      <c r="H5035" s="3">
        <f t="shared" si="786"/>
        <v>558643.95600310864</v>
      </c>
      <c r="I5035" s="3">
        <f t="shared" si="783"/>
        <v>4214218.9782115845</v>
      </c>
      <c r="J5035" s="3">
        <f t="shared" si="784"/>
        <v>62823055.74216146</v>
      </c>
    </row>
    <row r="5036" spans="2:10" x14ac:dyDescent="0.35">
      <c r="B5036" s="1">
        <f t="shared" si="787"/>
        <v>23</v>
      </c>
      <c r="C5036" s="22">
        <v>46054</v>
      </c>
      <c r="D5036" s="22">
        <v>46081</v>
      </c>
      <c r="E5036" s="23">
        <v>28</v>
      </c>
      <c r="F5036" s="3">
        <f t="shared" si="785"/>
        <v>62823055.74216146</v>
      </c>
      <c r="G5036" s="3">
        <f t="shared" si="788"/>
        <v>4772862.9342146935</v>
      </c>
      <c r="H5036" s="3">
        <f t="shared" si="786"/>
        <v>523525.46451801219</v>
      </c>
      <c r="I5036" s="3">
        <f t="shared" si="783"/>
        <v>4249337.469696681</v>
      </c>
      <c r="J5036" s="3">
        <f t="shared" si="784"/>
        <v>58573718.272464782</v>
      </c>
    </row>
    <row r="5037" spans="2:10" x14ac:dyDescent="0.35">
      <c r="B5037" s="1">
        <f t="shared" si="787"/>
        <v>24</v>
      </c>
      <c r="C5037" s="22">
        <v>46082</v>
      </c>
      <c r="D5037" s="22">
        <v>46112</v>
      </c>
      <c r="E5037" s="23">
        <v>31</v>
      </c>
      <c r="F5037" s="3">
        <f t="shared" si="785"/>
        <v>58573718.272464782</v>
      </c>
      <c r="G5037" s="3">
        <f t="shared" si="788"/>
        <v>4772862.9342146935</v>
      </c>
      <c r="H5037" s="3">
        <f t="shared" si="786"/>
        <v>488114.31893720652</v>
      </c>
      <c r="I5037" s="3">
        <f t="shared" si="783"/>
        <v>4284748.6152774869</v>
      </c>
      <c r="J5037" s="3">
        <f t="shared" si="784"/>
        <v>54288969.657187298</v>
      </c>
    </row>
    <row r="5038" spans="2:10" x14ac:dyDescent="0.35">
      <c r="B5038" s="1">
        <f t="shared" si="787"/>
        <v>25</v>
      </c>
      <c r="C5038" s="22">
        <v>46113</v>
      </c>
      <c r="D5038" s="22">
        <v>46142</v>
      </c>
      <c r="E5038" s="23">
        <v>30</v>
      </c>
      <c r="F5038" s="3">
        <f t="shared" si="785"/>
        <v>54288969.657187298</v>
      </c>
      <c r="G5038" s="3">
        <f t="shared" si="788"/>
        <v>4772862.9342146935</v>
      </c>
      <c r="H5038" s="3">
        <f t="shared" si="786"/>
        <v>452408.0804765608</v>
      </c>
      <c r="I5038" s="3">
        <f t="shared" si="783"/>
        <v>4320454.8537381329</v>
      </c>
      <c r="J5038" s="3">
        <f t="shared" si="784"/>
        <v>49968514.803449169</v>
      </c>
    </row>
    <row r="5039" spans="2:10" x14ac:dyDescent="0.35">
      <c r="B5039" s="1">
        <f t="shared" si="787"/>
        <v>26</v>
      </c>
      <c r="C5039" s="22">
        <v>46143</v>
      </c>
      <c r="D5039" s="22">
        <v>46173</v>
      </c>
      <c r="E5039" s="23">
        <v>31</v>
      </c>
      <c r="F5039" s="3">
        <f t="shared" si="785"/>
        <v>49968514.803449169</v>
      </c>
      <c r="G5039" s="3">
        <f t="shared" si="788"/>
        <v>4772862.9342146935</v>
      </c>
      <c r="H5039" s="3">
        <f t="shared" si="786"/>
        <v>416404.2900287431</v>
      </c>
      <c r="I5039" s="3">
        <f t="shared" si="783"/>
        <v>4356458.64418595</v>
      </c>
      <c r="J5039" s="3">
        <f t="shared" si="784"/>
        <v>45612056.159263216</v>
      </c>
    </row>
    <row r="5040" spans="2:10" x14ac:dyDescent="0.35">
      <c r="B5040" s="1">
        <f t="shared" si="787"/>
        <v>27</v>
      </c>
      <c r="C5040" s="22">
        <v>46174</v>
      </c>
      <c r="D5040" s="22">
        <v>46203</v>
      </c>
      <c r="E5040" s="23">
        <v>30</v>
      </c>
      <c r="F5040" s="3">
        <f t="shared" si="785"/>
        <v>45612056.159263216</v>
      </c>
      <c r="G5040" s="3">
        <f t="shared" si="788"/>
        <v>4772862.9342146935</v>
      </c>
      <c r="H5040" s="3">
        <f t="shared" si="786"/>
        <v>380100.46799386013</v>
      </c>
      <c r="I5040" s="3">
        <f t="shared" si="783"/>
        <v>4392762.4662208334</v>
      </c>
      <c r="J5040" s="3">
        <f t="shared" si="784"/>
        <v>41219293.693042383</v>
      </c>
    </row>
    <row r="5041" spans="2:19" x14ac:dyDescent="0.35">
      <c r="B5041" s="1">
        <f t="shared" si="787"/>
        <v>28</v>
      </c>
      <c r="C5041" s="22">
        <v>46204</v>
      </c>
      <c r="D5041" s="22">
        <v>46234</v>
      </c>
      <c r="E5041" s="23">
        <v>31</v>
      </c>
      <c r="F5041" s="3">
        <f t="shared" si="785"/>
        <v>41219293.693042383</v>
      </c>
      <c r="G5041" s="3">
        <f t="shared" si="788"/>
        <v>4772862.9342146935</v>
      </c>
      <c r="H5041" s="3">
        <f t="shared" si="786"/>
        <v>343494.11410868651</v>
      </c>
      <c r="I5041" s="3">
        <f t="shared" si="783"/>
        <v>4429368.8201060072</v>
      </c>
      <c r="J5041" s="3">
        <f t="shared" si="784"/>
        <v>36789924.872936375</v>
      </c>
    </row>
    <row r="5042" spans="2:19" x14ac:dyDescent="0.35">
      <c r="B5042" s="1">
        <f t="shared" si="787"/>
        <v>29</v>
      </c>
      <c r="C5042" s="22">
        <v>46235</v>
      </c>
      <c r="D5042" s="22">
        <v>46265</v>
      </c>
      <c r="E5042" s="23">
        <v>31</v>
      </c>
      <c r="F5042" s="3">
        <f t="shared" si="785"/>
        <v>36789924.872936375</v>
      </c>
      <c r="G5042" s="3">
        <f t="shared" si="788"/>
        <v>4772862.9342146935</v>
      </c>
      <c r="H5042" s="3">
        <f t="shared" si="786"/>
        <v>306582.70727446978</v>
      </c>
      <c r="I5042" s="3">
        <f t="shared" si="783"/>
        <v>4466280.2269402239</v>
      </c>
      <c r="J5042" s="3">
        <f t="shared" si="784"/>
        <v>32323644.645996153</v>
      </c>
    </row>
    <row r="5043" spans="2:19" x14ac:dyDescent="0.35">
      <c r="B5043" s="1">
        <f t="shared" si="787"/>
        <v>30</v>
      </c>
      <c r="C5043" s="22">
        <v>46266</v>
      </c>
      <c r="D5043" s="22">
        <v>46295</v>
      </c>
      <c r="E5043" s="23">
        <v>30</v>
      </c>
      <c r="F5043" s="3">
        <f t="shared" si="785"/>
        <v>32323644.645996153</v>
      </c>
      <c r="G5043" s="3">
        <f t="shared" si="788"/>
        <v>4772862.9342146935</v>
      </c>
      <c r="H5043" s="3">
        <f t="shared" si="786"/>
        <v>269363.70538330125</v>
      </c>
      <c r="I5043" s="3">
        <f t="shared" si="783"/>
        <v>4503499.2288313918</v>
      </c>
      <c r="J5043" s="3">
        <f t="shared" si="784"/>
        <v>27820145.417164762</v>
      </c>
    </row>
    <row r="5044" spans="2:19" x14ac:dyDescent="0.35">
      <c r="B5044" s="1">
        <f t="shared" si="787"/>
        <v>31</v>
      </c>
      <c r="C5044" s="22">
        <v>46296</v>
      </c>
      <c r="D5044" s="22">
        <v>46326</v>
      </c>
      <c r="E5044" s="23">
        <v>31</v>
      </c>
      <c r="F5044" s="3">
        <f t="shared" si="785"/>
        <v>27820145.417164762</v>
      </c>
      <c r="G5044" s="3">
        <f t="shared" si="788"/>
        <v>4772862.9342146935</v>
      </c>
      <c r="H5044" s="3">
        <f t="shared" si="786"/>
        <v>231834.54514303966</v>
      </c>
      <c r="I5044" s="3">
        <f t="shared" si="783"/>
        <v>4541028.3890716536</v>
      </c>
      <c r="J5044" s="3">
        <f t="shared" si="784"/>
        <v>23279117.028093107</v>
      </c>
    </row>
    <row r="5045" spans="2:19" x14ac:dyDescent="0.35">
      <c r="B5045" s="1">
        <f t="shared" si="787"/>
        <v>32</v>
      </c>
      <c r="C5045" s="22">
        <v>46327</v>
      </c>
      <c r="D5045" s="22">
        <v>46356</v>
      </c>
      <c r="E5045" s="23">
        <v>30</v>
      </c>
      <c r="F5045" s="3">
        <f t="shared" si="785"/>
        <v>23279117.028093107</v>
      </c>
      <c r="G5045" s="3">
        <f t="shared" si="788"/>
        <v>4772862.9342146935</v>
      </c>
      <c r="H5045" s="3">
        <f t="shared" si="786"/>
        <v>193992.6419007759</v>
      </c>
      <c r="I5045" s="3">
        <f t="shared" si="783"/>
        <v>4578870.2923139175</v>
      </c>
      <c r="J5045" s="3">
        <f t="shared" si="784"/>
        <v>18700246.735779189</v>
      </c>
    </row>
    <row r="5046" spans="2:19" x14ac:dyDescent="0.35">
      <c r="B5046" s="1">
        <f t="shared" si="787"/>
        <v>33</v>
      </c>
      <c r="C5046" s="22">
        <v>46357</v>
      </c>
      <c r="D5046" s="22">
        <v>46387</v>
      </c>
      <c r="E5046" s="23">
        <v>31</v>
      </c>
      <c r="F5046" s="3">
        <f t="shared" si="785"/>
        <v>18700246.735779189</v>
      </c>
      <c r="G5046" s="3">
        <f t="shared" si="788"/>
        <v>4772862.9342146935</v>
      </c>
      <c r="H5046" s="3">
        <f t="shared" si="786"/>
        <v>155835.38946482656</v>
      </c>
      <c r="I5046" s="3">
        <f t="shared" si="783"/>
        <v>4617027.5447498672</v>
      </c>
      <c r="J5046" s="3">
        <f t="shared" si="784"/>
        <v>14083219.191029321</v>
      </c>
    </row>
    <row r="5047" spans="2:19" x14ac:dyDescent="0.35">
      <c r="B5047" s="1">
        <f t="shared" si="787"/>
        <v>34</v>
      </c>
      <c r="C5047" s="22">
        <v>46388</v>
      </c>
      <c r="D5047" s="22">
        <v>46418</v>
      </c>
      <c r="E5047" s="23">
        <v>31</v>
      </c>
      <c r="F5047" s="3">
        <f t="shared" si="785"/>
        <v>14083219.191029321</v>
      </c>
      <c r="G5047" s="3">
        <f t="shared" si="788"/>
        <v>4772862.9342146935</v>
      </c>
      <c r="H5047" s="3">
        <f t="shared" si="786"/>
        <v>117360.15992524434</v>
      </c>
      <c r="I5047" s="3">
        <f t="shared" si="783"/>
        <v>4655502.7742894487</v>
      </c>
      <c r="J5047" s="3">
        <f t="shared" si="784"/>
        <v>9427716.4167398736</v>
      </c>
    </row>
    <row r="5048" spans="2:19" x14ac:dyDescent="0.35">
      <c r="B5048" s="1">
        <f t="shared" si="787"/>
        <v>35</v>
      </c>
      <c r="C5048" s="22">
        <v>46419</v>
      </c>
      <c r="D5048" s="22">
        <v>46446</v>
      </c>
      <c r="E5048" s="23">
        <f>D5048-C5048+1</f>
        <v>28</v>
      </c>
      <c r="F5048" s="3">
        <f t="shared" si="785"/>
        <v>9427716.4167398736</v>
      </c>
      <c r="G5048" s="3">
        <f t="shared" si="788"/>
        <v>4772862.9342146935</v>
      </c>
      <c r="H5048" s="3">
        <f t="shared" si="786"/>
        <v>78564.303472832282</v>
      </c>
      <c r="I5048" s="3">
        <f t="shared" si="783"/>
        <v>4694298.6307418616</v>
      </c>
      <c r="J5048" s="3">
        <f t="shared" si="784"/>
        <v>4733417.7859980119</v>
      </c>
    </row>
    <row r="5049" spans="2:19" x14ac:dyDescent="0.35">
      <c r="B5049" s="1">
        <f t="shared" si="787"/>
        <v>36</v>
      </c>
      <c r="C5049" s="22">
        <v>46447</v>
      </c>
      <c r="D5049" s="22">
        <v>46477</v>
      </c>
      <c r="E5049" s="23">
        <f>D5049-C5049+1</f>
        <v>31</v>
      </c>
      <c r="F5049" s="3">
        <f t="shared" si="785"/>
        <v>4733417.7859980119</v>
      </c>
      <c r="G5049" s="3">
        <f t="shared" si="788"/>
        <v>4772862.9342146935</v>
      </c>
      <c r="H5049" s="3">
        <f t="shared" si="786"/>
        <v>39445.148216650101</v>
      </c>
      <c r="I5049" s="3">
        <f t="shared" si="783"/>
        <v>4733417.7859980436</v>
      </c>
      <c r="J5049" s="3">
        <f t="shared" si="784"/>
        <v>-3.166496753692627E-8</v>
      </c>
    </row>
    <row r="5054" spans="2:19" x14ac:dyDescent="0.35">
      <c r="B5054" s="1"/>
      <c r="C5054" s="8" t="s">
        <v>177</v>
      </c>
      <c r="D5054" s="3"/>
      <c r="E5054" s="3"/>
      <c r="F5054" s="3"/>
      <c r="G5054" s="3"/>
      <c r="H5054" s="3"/>
      <c r="I5054" s="3"/>
      <c r="J5054" s="3"/>
      <c r="R5054" s="438" t="s">
        <v>832</v>
      </c>
      <c r="S5054" s="432" t="str">
        <f>IFERROR(INDEX(Blocks!$I$2:$I$101,MATCH(92,Blocks!$A$2:$A$101,0)),"")</f>
        <v>000104450000037</v>
      </c>
    </row>
    <row r="5055" spans="2:19" x14ac:dyDescent="0.35">
      <c r="B5055" s="1"/>
      <c r="C5055" s="1"/>
      <c r="D5055" s="3"/>
      <c r="E5055" s="3"/>
      <c r="F5055" s="3"/>
      <c r="G5055" s="3"/>
      <c r="H5055" s="3"/>
      <c r="I5055" s="3"/>
      <c r="J5055" s="3"/>
      <c r="R5055" s="438" t="s">
        <v>834</v>
      </c>
      <c r="S5055" s="432" t="str">
        <f>IFERROR(INDEX(Blocks!$H$2:$H$101,MATCH(92,Blocks!$A$2:$A$101,0)),"")</f>
        <v>Favoured Farms</v>
      </c>
    </row>
    <row r="5056" spans="2:19" x14ac:dyDescent="0.35">
      <c r="B5056" s="1"/>
      <c r="C5056" s="9" t="s">
        <v>835</v>
      </c>
      <c r="D5056" s="10">
        <v>30000000</v>
      </c>
      <c r="E5056" s="3"/>
      <c r="F5056" s="3"/>
      <c r="G5056" s="3"/>
      <c r="H5056" s="3"/>
      <c r="I5056" s="3"/>
      <c r="J5056" s="3"/>
      <c r="R5056" s="438" t="s">
        <v>223</v>
      </c>
      <c r="S5056" s="433">
        <f>IFERROR(INDEX('E-Banker master'!$N$2:$N$186,MATCH(S5054,'E-Banker master'!$A$2:$A$186,0)),"")</f>
        <v>30000000</v>
      </c>
    </row>
    <row r="5057" spans="2:19" x14ac:dyDescent="0.35">
      <c r="B5057" s="1"/>
      <c r="C5057" s="11" t="s">
        <v>837</v>
      </c>
      <c r="D5057" s="12">
        <v>0.1</v>
      </c>
      <c r="E5057" s="13"/>
      <c r="F5057" s="3"/>
      <c r="G5057" s="3"/>
      <c r="H5057" s="3"/>
      <c r="I5057" s="3"/>
      <c r="J5057" s="3"/>
      <c r="R5057" s="438" t="s">
        <v>52</v>
      </c>
      <c r="S5057" s="433">
        <f>IFERROR(INDEX('E-Banker master'!$P$2:$P$186,MATCH(S5054,'E-Banker master'!$A$2:$A$186,0)),"")</f>
        <v>27353908.27</v>
      </c>
    </row>
    <row r="5058" spans="2:19" x14ac:dyDescent="0.35">
      <c r="B5058" s="1"/>
      <c r="C5058" s="11" t="s">
        <v>838</v>
      </c>
      <c r="D5058" s="14">
        <v>2</v>
      </c>
      <c r="E5058" s="1"/>
      <c r="F5058" s="3"/>
      <c r="G5058" s="3"/>
      <c r="H5058" s="3"/>
      <c r="I5058" s="3"/>
      <c r="J5058" s="3"/>
    </row>
    <row r="5059" spans="2:19" x14ac:dyDescent="0.35">
      <c r="B5059" s="1"/>
      <c r="C5059" s="11" t="s">
        <v>839</v>
      </c>
      <c r="D5059" s="14">
        <v>12</v>
      </c>
      <c r="E5059" s="1"/>
      <c r="F5059" s="3"/>
      <c r="G5059" s="3"/>
      <c r="H5059" s="3"/>
      <c r="I5059" s="3"/>
      <c r="J5059" s="3"/>
    </row>
    <row r="5060" spans="2:19" x14ac:dyDescent="0.35">
      <c r="B5060" s="1"/>
      <c r="C5060" s="11" t="s">
        <v>843</v>
      </c>
      <c r="D5060" s="15">
        <f>+D5059*D5058</f>
        <v>24</v>
      </c>
      <c r="E5060" s="1"/>
      <c r="F5060" s="3"/>
      <c r="G5060" s="3"/>
      <c r="H5060" s="3"/>
      <c r="I5060" s="3"/>
      <c r="J5060" s="3"/>
    </row>
    <row r="5061" spans="2:19" x14ac:dyDescent="0.35">
      <c r="B5061" s="1"/>
      <c r="C5061" s="11" t="s">
        <v>844</v>
      </c>
      <c r="D5061" s="16">
        <v>365</v>
      </c>
      <c r="E5061" s="1"/>
      <c r="F5061" s="3"/>
      <c r="G5061" s="3"/>
      <c r="H5061" s="3"/>
      <c r="I5061" s="3"/>
      <c r="J5061" s="3"/>
    </row>
    <row r="5062" spans="2:19" x14ac:dyDescent="0.35">
      <c r="B5062" s="1"/>
      <c r="C5062" s="17" t="s">
        <v>845</v>
      </c>
      <c r="D5062" s="220">
        <f>-PMT(D5057/D5059,D5060,D5056,0,0)</f>
        <v>1384347.7901254953</v>
      </c>
      <c r="E5062" s="3"/>
      <c r="F5062" s="3"/>
      <c r="G5062" s="3"/>
      <c r="H5062" s="3"/>
      <c r="I5062" s="3"/>
      <c r="J5062" s="3"/>
    </row>
    <row r="5063" spans="2:19" x14ac:dyDescent="0.35">
      <c r="B5063" s="1"/>
      <c r="C5063" s="1"/>
      <c r="D5063" s="3"/>
      <c r="E5063" s="3"/>
      <c r="F5063" s="3"/>
      <c r="G5063" s="3"/>
      <c r="H5063" s="3"/>
      <c r="I5063" s="3"/>
      <c r="J5063" s="3"/>
    </row>
    <row r="5064" spans="2:19" x14ac:dyDescent="0.35">
      <c r="B5064" s="1"/>
      <c r="C5064" s="19" t="s">
        <v>846</v>
      </c>
      <c r="D5064" s="20" t="s">
        <v>847</v>
      </c>
      <c r="E5064" s="20" t="s">
        <v>764</v>
      </c>
      <c r="F5064" s="270" t="s">
        <v>848</v>
      </c>
      <c r="G5064" s="270" t="s">
        <v>849</v>
      </c>
      <c r="H5064" s="270" t="s">
        <v>742</v>
      </c>
      <c r="I5064" s="270" t="s">
        <v>740</v>
      </c>
      <c r="J5064" s="270" t="s">
        <v>850</v>
      </c>
      <c r="K5064" s="21" t="s">
        <v>851</v>
      </c>
      <c r="L5064" s="21" t="s">
        <v>852</v>
      </c>
    </row>
    <row r="5065" spans="2:19" x14ac:dyDescent="0.35">
      <c r="B5065" s="1">
        <v>0</v>
      </c>
      <c r="C5065" s="22">
        <v>45407</v>
      </c>
      <c r="D5065" s="22">
        <v>45412</v>
      </c>
      <c r="E5065" s="23">
        <v>6</v>
      </c>
      <c r="F5065" s="3">
        <f>D5056</f>
        <v>30000000</v>
      </c>
      <c r="G5065" s="3"/>
      <c r="H5065" s="3">
        <f>($D$5057/$D$5059*F5065*E5065/30)</f>
        <v>50000</v>
      </c>
      <c r="I5065" s="3">
        <f t="shared" ref="I5065:I5089" si="789">G5065-H5065</f>
        <v>-50000</v>
      </c>
      <c r="J5065" s="3">
        <f t="shared" ref="J5065:J5089" si="790">F5065-I5065</f>
        <v>30050000</v>
      </c>
    </row>
    <row r="5066" spans="2:19" x14ac:dyDescent="0.35">
      <c r="B5066" s="1">
        <v>1</v>
      </c>
      <c r="C5066" s="22">
        <v>45413</v>
      </c>
      <c r="D5066" s="22">
        <v>45443</v>
      </c>
      <c r="E5066" s="23">
        <v>30</v>
      </c>
      <c r="F5066" s="3">
        <f t="shared" ref="F5066:F5089" si="791">J5065</f>
        <v>30050000</v>
      </c>
      <c r="G5066" s="3"/>
      <c r="H5066" s="3">
        <f t="shared" ref="H5066:H5089" si="792">($D$5057/$D$5059*F5066)</f>
        <v>250416.66666666666</v>
      </c>
      <c r="I5066" s="3">
        <f t="shared" si="789"/>
        <v>-250416.66666666666</v>
      </c>
      <c r="J5066" s="3">
        <f t="shared" si="790"/>
        <v>30300416.666666668</v>
      </c>
      <c r="K5066" s="7"/>
    </row>
    <row r="5067" spans="2:19" x14ac:dyDescent="0.35">
      <c r="B5067" s="1">
        <v>2</v>
      </c>
      <c r="C5067" s="22">
        <v>45444</v>
      </c>
      <c r="D5067" s="22">
        <v>45473</v>
      </c>
      <c r="E5067" s="23">
        <v>31</v>
      </c>
      <c r="F5067" s="3">
        <f t="shared" si="791"/>
        <v>30300416.666666668</v>
      </c>
      <c r="G5067" s="3"/>
      <c r="H5067" s="3">
        <f t="shared" si="792"/>
        <v>252503.47222222222</v>
      </c>
      <c r="I5067" s="3">
        <f t="shared" si="789"/>
        <v>-252503.47222222222</v>
      </c>
      <c r="J5067" s="3">
        <f t="shared" si="790"/>
        <v>30552920.138888892</v>
      </c>
    </row>
    <row r="5068" spans="2:19" x14ac:dyDescent="0.35">
      <c r="B5068" s="1">
        <f t="shared" ref="B5068:B5089" si="793">+B5067+1</f>
        <v>3</v>
      </c>
      <c r="C5068" s="22">
        <v>45474</v>
      </c>
      <c r="D5068" s="22">
        <v>45504</v>
      </c>
      <c r="E5068" s="23">
        <v>30</v>
      </c>
      <c r="F5068" s="3">
        <f t="shared" si="791"/>
        <v>30552920.138888892</v>
      </c>
      <c r="G5068" s="298"/>
      <c r="H5068" s="3">
        <f t="shared" si="792"/>
        <v>254607.6678240741</v>
      </c>
      <c r="I5068" s="3">
        <f t="shared" si="789"/>
        <v>-254607.6678240741</v>
      </c>
      <c r="J5068" s="3">
        <f t="shared" si="790"/>
        <v>30807527.806712966</v>
      </c>
      <c r="L5068" s="141">
        <f>+G5068-K5068+L5067</f>
        <v>0</v>
      </c>
    </row>
    <row r="5069" spans="2:19" x14ac:dyDescent="0.35">
      <c r="B5069" s="1">
        <f t="shared" si="793"/>
        <v>4</v>
      </c>
      <c r="C5069" s="22">
        <v>45505</v>
      </c>
      <c r="D5069" s="22">
        <v>45535</v>
      </c>
      <c r="E5069" s="23">
        <v>31</v>
      </c>
      <c r="F5069" s="3">
        <f t="shared" si="791"/>
        <v>30807527.806712966</v>
      </c>
      <c r="G5069" s="3">
        <f t="shared" ref="G5069:G5089" si="794">-PMT($D$5057/$D$5059,21,$F$5069,,0)</f>
        <v>1605220.5537111249</v>
      </c>
      <c r="H5069" s="3">
        <f t="shared" si="792"/>
        <v>256729.39838927472</v>
      </c>
      <c r="I5069" s="3">
        <f t="shared" si="789"/>
        <v>1348491.1553218502</v>
      </c>
      <c r="J5069" s="3">
        <f t="shared" si="790"/>
        <v>29459036.651391115</v>
      </c>
      <c r="L5069" s="141">
        <f>+G5069-K5069+L5068</f>
        <v>1605220.5537111249</v>
      </c>
    </row>
    <row r="5070" spans="2:19" x14ac:dyDescent="0.35">
      <c r="B5070" s="1">
        <f t="shared" si="793"/>
        <v>5</v>
      </c>
      <c r="C5070" s="22">
        <v>45536</v>
      </c>
      <c r="D5070" s="22">
        <v>45565</v>
      </c>
      <c r="E5070" s="23">
        <v>31</v>
      </c>
      <c r="F5070" s="3">
        <f t="shared" si="791"/>
        <v>29459036.651391115</v>
      </c>
      <c r="G5070" s="3">
        <f t="shared" si="794"/>
        <v>1605220.5537111249</v>
      </c>
      <c r="H5070" s="3">
        <f t="shared" si="792"/>
        <v>245491.97209492596</v>
      </c>
      <c r="I5070" s="3">
        <f t="shared" si="789"/>
        <v>1359728.5816161989</v>
      </c>
      <c r="J5070" s="3">
        <f t="shared" si="790"/>
        <v>28099308.069774915</v>
      </c>
      <c r="K5070" s="7">
        <f>1603000+1000000</f>
        <v>2603000</v>
      </c>
      <c r="L5070" s="141">
        <f>+G5070-K5070+L5069</f>
        <v>607441.10742224986</v>
      </c>
    </row>
    <row r="5071" spans="2:19" x14ac:dyDescent="0.35">
      <c r="B5071" s="1">
        <f t="shared" si="793"/>
        <v>6</v>
      </c>
      <c r="C5071" s="22">
        <v>45566</v>
      </c>
      <c r="D5071" s="22">
        <v>45596</v>
      </c>
      <c r="E5071" s="23">
        <v>30</v>
      </c>
      <c r="F5071" s="3">
        <f t="shared" si="791"/>
        <v>28099308.069774915</v>
      </c>
      <c r="G5071" s="3">
        <f t="shared" si="794"/>
        <v>1605220.5537111249</v>
      </c>
      <c r="H5071" s="3">
        <f t="shared" si="792"/>
        <v>234160.90058145762</v>
      </c>
      <c r="I5071" s="3">
        <f t="shared" si="789"/>
        <v>1371059.6531296673</v>
      </c>
      <c r="J5071" s="3">
        <f t="shared" si="790"/>
        <v>26728248.416645247</v>
      </c>
      <c r="K5071" s="392">
        <v>1605000</v>
      </c>
      <c r="L5071" s="360">
        <f>+G5071-K5071+L5070</f>
        <v>607661.66113337479</v>
      </c>
    </row>
    <row r="5072" spans="2:19" x14ac:dyDescent="0.35">
      <c r="B5072" s="1">
        <f t="shared" si="793"/>
        <v>7</v>
      </c>
      <c r="C5072" s="22">
        <v>45597</v>
      </c>
      <c r="D5072" s="22">
        <v>45626</v>
      </c>
      <c r="E5072" s="23">
        <v>31</v>
      </c>
      <c r="F5072" s="3">
        <f t="shared" si="791"/>
        <v>26728248.416645247</v>
      </c>
      <c r="G5072" s="3">
        <f t="shared" si="794"/>
        <v>1605220.5537111249</v>
      </c>
      <c r="H5072" s="3">
        <f t="shared" si="792"/>
        <v>222735.40347204372</v>
      </c>
      <c r="I5072" s="3">
        <f t="shared" si="789"/>
        <v>1382485.1502390811</v>
      </c>
      <c r="J5072" s="3">
        <f t="shared" si="790"/>
        <v>25345763.266406167</v>
      </c>
    </row>
    <row r="5073" spans="2:10" x14ac:dyDescent="0.35">
      <c r="B5073" s="1">
        <f t="shared" si="793"/>
        <v>8</v>
      </c>
      <c r="C5073" s="22">
        <v>45627</v>
      </c>
      <c r="D5073" s="22">
        <v>45657</v>
      </c>
      <c r="E5073" s="23">
        <v>30</v>
      </c>
      <c r="F5073" s="3">
        <f t="shared" si="791"/>
        <v>25345763.266406167</v>
      </c>
      <c r="G5073" s="3">
        <f t="shared" si="794"/>
        <v>1605220.5537111249</v>
      </c>
      <c r="H5073" s="3">
        <f t="shared" si="792"/>
        <v>211214.69388671804</v>
      </c>
      <c r="I5073" s="3">
        <f t="shared" si="789"/>
        <v>1394005.8598244069</v>
      </c>
      <c r="J5073" s="3">
        <f t="shared" si="790"/>
        <v>23951757.406581759</v>
      </c>
    </row>
    <row r="5074" spans="2:10" x14ac:dyDescent="0.35">
      <c r="B5074" s="1">
        <f t="shared" si="793"/>
        <v>9</v>
      </c>
      <c r="C5074" s="22">
        <v>45658</v>
      </c>
      <c r="D5074" s="22">
        <v>45688</v>
      </c>
      <c r="E5074" s="23">
        <v>31</v>
      </c>
      <c r="F5074" s="3">
        <f t="shared" si="791"/>
        <v>23951757.406581759</v>
      </c>
      <c r="G5074" s="3">
        <f t="shared" si="794"/>
        <v>1605220.5537111249</v>
      </c>
      <c r="H5074" s="3">
        <f t="shared" si="792"/>
        <v>199597.97838818133</v>
      </c>
      <c r="I5074" s="3">
        <f t="shared" si="789"/>
        <v>1405622.5753229435</v>
      </c>
      <c r="J5074" s="3">
        <f t="shared" si="790"/>
        <v>22546134.831258815</v>
      </c>
    </row>
    <row r="5075" spans="2:10" x14ac:dyDescent="0.35">
      <c r="B5075" s="1">
        <f t="shared" si="793"/>
        <v>10</v>
      </c>
      <c r="C5075" s="22">
        <v>45689</v>
      </c>
      <c r="D5075" s="22">
        <v>45716</v>
      </c>
      <c r="E5075" s="23">
        <v>31</v>
      </c>
      <c r="F5075" s="3">
        <f t="shared" si="791"/>
        <v>22546134.831258815</v>
      </c>
      <c r="G5075" s="3">
        <f t="shared" si="794"/>
        <v>1605220.5537111249</v>
      </c>
      <c r="H5075" s="3">
        <f t="shared" si="792"/>
        <v>187884.45692715677</v>
      </c>
      <c r="I5075" s="3">
        <f t="shared" si="789"/>
        <v>1417336.0967839682</v>
      </c>
      <c r="J5075" s="3">
        <f t="shared" si="790"/>
        <v>21128798.734474845</v>
      </c>
    </row>
    <row r="5076" spans="2:10" x14ac:dyDescent="0.35">
      <c r="B5076" s="1">
        <f t="shared" si="793"/>
        <v>11</v>
      </c>
      <c r="C5076" s="22">
        <v>45717</v>
      </c>
      <c r="D5076" s="22">
        <v>45747</v>
      </c>
      <c r="E5076" s="23">
        <v>28</v>
      </c>
      <c r="F5076" s="3">
        <f t="shared" si="791"/>
        <v>21128798.734474845</v>
      </c>
      <c r="G5076" s="3">
        <f t="shared" si="794"/>
        <v>1605220.5537111249</v>
      </c>
      <c r="H5076" s="3">
        <f t="shared" si="792"/>
        <v>176073.32278729038</v>
      </c>
      <c r="I5076" s="3">
        <f t="shared" si="789"/>
        <v>1429147.2309238345</v>
      </c>
      <c r="J5076" s="3">
        <f t="shared" si="790"/>
        <v>19699651.50355101</v>
      </c>
    </row>
    <row r="5077" spans="2:10" x14ac:dyDescent="0.35">
      <c r="B5077" s="1">
        <f t="shared" si="793"/>
        <v>12</v>
      </c>
      <c r="C5077" s="22">
        <v>45748</v>
      </c>
      <c r="D5077" s="22">
        <v>45777</v>
      </c>
      <c r="E5077" s="23">
        <v>31</v>
      </c>
      <c r="F5077" s="3">
        <f t="shared" si="791"/>
        <v>19699651.50355101</v>
      </c>
      <c r="G5077" s="3">
        <f t="shared" si="794"/>
        <v>1605220.5537111249</v>
      </c>
      <c r="H5077" s="3">
        <f t="shared" si="792"/>
        <v>164163.76252959174</v>
      </c>
      <c r="I5077" s="3">
        <f t="shared" si="789"/>
        <v>1441056.7911815331</v>
      </c>
      <c r="J5077" s="3">
        <f t="shared" si="790"/>
        <v>18258594.712369476</v>
      </c>
    </row>
    <row r="5078" spans="2:10" x14ac:dyDescent="0.35">
      <c r="B5078" s="1">
        <f t="shared" si="793"/>
        <v>13</v>
      </c>
      <c r="C5078" s="22">
        <v>45778</v>
      </c>
      <c r="D5078" s="22">
        <v>45808</v>
      </c>
      <c r="E5078" s="23">
        <v>30</v>
      </c>
      <c r="F5078" s="3">
        <f t="shared" si="791"/>
        <v>18258594.712369476</v>
      </c>
      <c r="G5078" s="3">
        <f t="shared" si="794"/>
        <v>1605220.5537111249</v>
      </c>
      <c r="H5078" s="3">
        <f t="shared" si="792"/>
        <v>152154.9559364123</v>
      </c>
      <c r="I5078" s="3">
        <f t="shared" si="789"/>
        <v>1453065.5977747126</v>
      </c>
      <c r="J5078" s="3">
        <f t="shared" si="790"/>
        <v>16805529.114594761</v>
      </c>
    </row>
    <row r="5079" spans="2:10" x14ac:dyDescent="0.35">
      <c r="B5079" s="1">
        <f t="shared" si="793"/>
        <v>14</v>
      </c>
      <c r="C5079" s="22">
        <v>45809</v>
      </c>
      <c r="D5079" s="22">
        <v>45838</v>
      </c>
      <c r="E5079" s="23">
        <v>31</v>
      </c>
      <c r="F5079" s="3">
        <f t="shared" si="791"/>
        <v>16805529.114594761</v>
      </c>
      <c r="G5079" s="3">
        <f t="shared" si="794"/>
        <v>1605220.5537111249</v>
      </c>
      <c r="H5079" s="3">
        <f t="shared" si="792"/>
        <v>140046.07595495635</v>
      </c>
      <c r="I5079" s="3">
        <f t="shared" si="789"/>
        <v>1465174.4777561687</v>
      </c>
      <c r="J5079" s="3">
        <f t="shared" si="790"/>
        <v>15340354.636838593</v>
      </c>
    </row>
    <row r="5080" spans="2:10" x14ac:dyDescent="0.35">
      <c r="B5080" s="1">
        <f t="shared" si="793"/>
        <v>15</v>
      </c>
      <c r="C5080" s="22">
        <v>45839</v>
      </c>
      <c r="D5080" s="22">
        <v>45868</v>
      </c>
      <c r="E5080" s="23">
        <v>30</v>
      </c>
      <c r="F5080" s="3">
        <f t="shared" si="791"/>
        <v>15340354.636838593</v>
      </c>
      <c r="G5080" s="3">
        <f t="shared" si="794"/>
        <v>1605220.5537111249</v>
      </c>
      <c r="H5080" s="3">
        <f t="shared" si="792"/>
        <v>127836.2886403216</v>
      </c>
      <c r="I5080" s="3">
        <f t="shared" si="789"/>
        <v>1477384.2650708032</v>
      </c>
      <c r="J5080" s="3">
        <f t="shared" si="790"/>
        <v>13862970.371767789</v>
      </c>
    </row>
    <row r="5081" spans="2:10" x14ac:dyDescent="0.35">
      <c r="B5081" s="1">
        <f t="shared" si="793"/>
        <v>16</v>
      </c>
      <c r="C5081" s="22">
        <v>45870</v>
      </c>
      <c r="D5081" s="22">
        <v>45899</v>
      </c>
      <c r="E5081" s="23">
        <v>30</v>
      </c>
      <c r="F5081" s="3">
        <f t="shared" si="791"/>
        <v>13862970.371767789</v>
      </c>
      <c r="G5081" s="3">
        <f t="shared" si="794"/>
        <v>1605220.5537111249</v>
      </c>
      <c r="H5081" s="3">
        <f t="shared" si="792"/>
        <v>115524.7530980649</v>
      </c>
      <c r="I5081" s="3">
        <f t="shared" si="789"/>
        <v>1489695.8006130601</v>
      </c>
      <c r="J5081" s="3">
        <f t="shared" si="790"/>
        <v>12373274.571154729</v>
      </c>
    </row>
    <row r="5082" spans="2:10" x14ac:dyDescent="0.35">
      <c r="B5082" s="1">
        <f t="shared" si="793"/>
        <v>17</v>
      </c>
      <c r="C5082" s="22">
        <v>45901</v>
      </c>
      <c r="D5082" s="22">
        <v>45930</v>
      </c>
      <c r="E5082" s="23">
        <v>30</v>
      </c>
      <c r="F5082" s="3">
        <f t="shared" si="791"/>
        <v>12373274.571154729</v>
      </c>
      <c r="G5082" s="3">
        <f t="shared" si="794"/>
        <v>1605220.5537111249</v>
      </c>
      <c r="H5082" s="3">
        <f t="shared" si="792"/>
        <v>103110.62142628941</v>
      </c>
      <c r="I5082" s="3">
        <f t="shared" si="789"/>
        <v>1502109.9322848355</v>
      </c>
      <c r="J5082" s="3">
        <f t="shared" si="790"/>
        <v>10871164.638869893</v>
      </c>
    </row>
    <row r="5083" spans="2:10" x14ac:dyDescent="0.35">
      <c r="B5083" s="1">
        <f t="shared" si="793"/>
        <v>18</v>
      </c>
      <c r="C5083" s="22">
        <v>45931</v>
      </c>
      <c r="D5083" s="22">
        <v>45961</v>
      </c>
      <c r="E5083" s="23">
        <v>30</v>
      </c>
      <c r="F5083" s="3">
        <f t="shared" si="791"/>
        <v>10871164.638869893</v>
      </c>
      <c r="G5083" s="3">
        <f t="shared" si="794"/>
        <v>1605220.5537111249</v>
      </c>
      <c r="H5083" s="3">
        <f t="shared" si="792"/>
        <v>90593.038657249112</v>
      </c>
      <c r="I5083" s="3">
        <f t="shared" si="789"/>
        <v>1514627.5150538757</v>
      </c>
      <c r="J5083" s="3">
        <f t="shared" si="790"/>
        <v>9356537.1238160171</v>
      </c>
    </row>
    <row r="5084" spans="2:10" x14ac:dyDescent="0.35">
      <c r="B5084" s="1">
        <f t="shared" si="793"/>
        <v>19</v>
      </c>
      <c r="C5084" s="22">
        <v>45962</v>
      </c>
      <c r="D5084" s="22">
        <v>45991</v>
      </c>
      <c r="E5084" s="23">
        <v>31</v>
      </c>
      <c r="F5084" s="3">
        <f t="shared" si="791"/>
        <v>9356537.1238160171</v>
      </c>
      <c r="G5084" s="3">
        <f t="shared" si="794"/>
        <v>1605220.5537111249</v>
      </c>
      <c r="H5084" s="3">
        <f t="shared" si="792"/>
        <v>77971.142698466807</v>
      </c>
      <c r="I5084" s="3">
        <f t="shared" si="789"/>
        <v>1527249.4110126582</v>
      </c>
      <c r="J5084" s="3">
        <f t="shared" si="790"/>
        <v>7829287.7128033591</v>
      </c>
    </row>
    <row r="5085" spans="2:10" x14ac:dyDescent="0.35">
      <c r="B5085" s="1">
        <f t="shared" si="793"/>
        <v>20</v>
      </c>
      <c r="C5085" s="22">
        <v>45992</v>
      </c>
      <c r="D5085" s="22">
        <v>46022</v>
      </c>
      <c r="E5085" s="23">
        <v>30</v>
      </c>
      <c r="F5085" s="3">
        <f t="shared" si="791"/>
        <v>7829287.7128033591</v>
      </c>
      <c r="G5085" s="3">
        <f t="shared" si="794"/>
        <v>1605220.5537111249</v>
      </c>
      <c r="H5085" s="3">
        <f t="shared" si="792"/>
        <v>65244.064273361328</v>
      </c>
      <c r="I5085" s="3">
        <f t="shared" si="789"/>
        <v>1539976.4894377636</v>
      </c>
      <c r="J5085" s="3">
        <f t="shared" si="790"/>
        <v>6289311.2233655956</v>
      </c>
    </row>
    <row r="5086" spans="2:10" x14ac:dyDescent="0.35">
      <c r="B5086" s="1">
        <f t="shared" si="793"/>
        <v>21</v>
      </c>
      <c r="C5086" s="22">
        <v>46023</v>
      </c>
      <c r="D5086" s="22">
        <v>46053</v>
      </c>
      <c r="E5086" s="23">
        <v>31</v>
      </c>
      <c r="F5086" s="3">
        <f t="shared" si="791"/>
        <v>6289311.2233655956</v>
      </c>
      <c r="G5086" s="3">
        <f t="shared" si="794"/>
        <v>1605220.5537111249</v>
      </c>
      <c r="H5086" s="3">
        <f t="shared" si="792"/>
        <v>52410.926861379965</v>
      </c>
      <c r="I5086" s="3">
        <f t="shared" si="789"/>
        <v>1552809.6268497449</v>
      </c>
      <c r="J5086" s="3">
        <f t="shared" si="790"/>
        <v>4736501.5965158511</v>
      </c>
    </row>
    <row r="5087" spans="2:10" x14ac:dyDescent="0.35">
      <c r="B5087" s="1">
        <f t="shared" si="793"/>
        <v>22</v>
      </c>
      <c r="C5087" s="22">
        <v>46054</v>
      </c>
      <c r="D5087" s="22">
        <v>46081</v>
      </c>
      <c r="E5087" s="23">
        <v>31</v>
      </c>
      <c r="F5087" s="3">
        <f t="shared" si="791"/>
        <v>4736501.5965158511</v>
      </c>
      <c r="G5087" s="3">
        <f t="shared" si="794"/>
        <v>1605220.5537111249</v>
      </c>
      <c r="H5087" s="3">
        <f t="shared" si="792"/>
        <v>39470.846637632094</v>
      </c>
      <c r="I5087" s="3">
        <f t="shared" si="789"/>
        <v>1565749.7070734929</v>
      </c>
      <c r="J5087" s="3">
        <f t="shared" si="790"/>
        <v>3170751.8894423582</v>
      </c>
    </row>
    <row r="5088" spans="2:10" x14ac:dyDescent="0.35">
      <c r="B5088" s="1">
        <f t="shared" si="793"/>
        <v>23</v>
      </c>
      <c r="C5088" s="22">
        <v>46082</v>
      </c>
      <c r="D5088" s="22">
        <v>46112</v>
      </c>
      <c r="E5088" s="23">
        <v>28</v>
      </c>
      <c r="F5088" s="3">
        <f t="shared" si="791"/>
        <v>3170751.8894423582</v>
      </c>
      <c r="G5088" s="3">
        <f t="shared" si="794"/>
        <v>1605220.5537111249</v>
      </c>
      <c r="H5088" s="3">
        <f t="shared" si="792"/>
        <v>26422.932412019651</v>
      </c>
      <c r="I5088" s="3">
        <f t="shared" si="789"/>
        <v>1578797.6212991052</v>
      </c>
      <c r="J5088" s="3">
        <f t="shared" si="790"/>
        <v>1591954.2681432529</v>
      </c>
    </row>
    <row r="5089" spans="2:19" x14ac:dyDescent="0.35">
      <c r="B5089" s="1">
        <f t="shared" si="793"/>
        <v>24</v>
      </c>
      <c r="C5089" s="22">
        <v>46113</v>
      </c>
      <c r="D5089" s="22">
        <v>46142</v>
      </c>
      <c r="E5089" s="23">
        <v>31</v>
      </c>
      <c r="F5089" s="3">
        <f t="shared" si="791"/>
        <v>1591954.2681432529</v>
      </c>
      <c r="G5089" s="3">
        <f t="shared" si="794"/>
        <v>1605220.5537111249</v>
      </c>
      <c r="H5089" s="3">
        <f t="shared" si="792"/>
        <v>13266.285567860441</v>
      </c>
      <c r="I5089" s="3">
        <f t="shared" si="789"/>
        <v>1591954.2681432646</v>
      </c>
      <c r="J5089" s="3">
        <f t="shared" si="790"/>
        <v>-1.1641532182693481E-8</v>
      </c>
    </row>
    <row r="5090" spans="2:19" x14ac:dyDescent="0.35">
      <c r="B5090" s="1"/>
      <c r="C5090" s="22"/>
      <c r="D5090" s="22"/>
      <c r="E5090" s="23"/>
      <c r="F5090" s="3"/>
      <c r="G5090" s="298"/>
      <c r="H5090" s="3"/>
      <c r="I5090" s="3"/>
      <c r="J5090" s="3"/>
    </row>
    <row r="5091" spans="2:19" x14ac:dyDescent="0.35">
      <c r="B5091" s="1"/>
      <c r="C5091" s="22"/>
      <c r="D5091" s="22"/>
      <c r="E5091" s="23"/>
      <c r="F5091" s="3"/>
      <c r="G5091" s="298"/>
      <c r="H5091" s="3"/>
      <c r="I5091" s="3"/>
      <c r="J5091" s="3"/>
    </row>
    <row r="5092" spans="2:19" x14ac:dyDescent="0.35">
      <c r="B5092" s="1"/>
      <c r="C5092" s="22"/>
      <c r="D5092" s="22"/>
      <c r="E5092" s="23"/>
      <c r="F5092" s="3"/>
      <c r="G5092" s="298"/>
      <c r="H5092" s="3"/>
      <c r="I5092" s="3"/>
      <c r="J5092" s="3"/>
    </row>
    <row r="5093" spans="2:19" x14ac:dyDescent="0.35">
      <c r="B5093" s="1"/>
      <c r="C5093" s="22"/>
      <c r="D5093" s="22"/>
      <c r="E5093" s="23"/>
      <c r="F5093" s="3"/>
      <c r="G5093" s="298"/>
      <c r="H5093" s="3"/>
      <c r="I5093" s="3"/>
      <c r="J5093" s="3"/>
    </row>
    <row r="5094" spans="2:19" x14ac:dyDescent="0.35">
      <c r="B5094" s="1"/>
      <c r="C5094" s="8" t="s">
        <v>951</v>
      </c>
      <c r="D5094" s="3"/>
      <c r="E5094" s="3"/>
      <c r="F5094" s="3"/>
      <c r="G5094" s="3"/>
      <c r="H5094" s="3"/>
      <c r="I5094" s="3"/>
      <c r="J5094" s="3"/>
      <c r="R5094" s="438" t="s">
        <v>832</v>
      </c>
      <c r="S5094" s="432" t="str">
        <f>IFERROR(INDEX(Blocks!$I$2:$I$101,MATCH(93,Blocks!$A$2:$A$101,0)),"")</f>
        <v>000104450000095</v>
      </c>
    </row>
    <row r="5095" spans="2:19" x14ac:dyDescent="0.35">
      <c r="B5095" s="1"/>
      <c r="C5095" s="1"/>
      <c r="D5095" s="3"/>
      <c r="E5095" s="3"/>
      <c r="F5095" s="3"/>
      <c r="G5095" s="3"/>
      <c r="H5095" s="3"/>
      <c r="I5095" s="3"/>
      <c r="J5095" s="3"/>
      <c r="R5095" s="438" t="s">
        <v>834</v>
      </c>
      <c r="S5095" s="432" t="str">
        <f>IFERROR(INDEX(Blocks!$H$2:$H$101,MATCH(93,Blocks!$A$2:$A$101,0)),"")</f>
        <v>Hortinet Foods Limited</v>
      </c>
    </row>
    <row r="5096" spans="2:19" x14ac:dyDescent="0.35">
      <c r="B5096" s="1"/>
      <c r="C5096" s="9" t="s">
        <v>835</v>
      </c>
      <c r="D5096" s="10">
        <v>50000000</v>
      </c>
      <c r="E5096" s="3"/>
      <c r="F5096" s="3"/>
      <c r="G5096" s="3"/>
      <c r="H5096" s="3"/>
      <c r="I5096" s="3"/>
      <c r="J5096" s="3"/>
      <c r="R5096" s="438" t="s">
        <v>223</v>
      </c>
      <c r="S5096" s="433">
        <f>IFERROR(INDEX('E-Banker master'!$N$2:$N$186,MATCH(S5094,'E-Banker master'!$A$2:$A$186,0)),"")</f>
        <v>50000000</v>
      </c>
    </row>
    <row r="5097" spans="2:19" x14ac:dyDescent="0.35">
      <c r="B5097" s="1"/>
      <c r="C5097" s="11" t="s">
        <v>837</v>
      </c>
      <c r="D5097" s="12">
        <v>0.1</v>
      </c>
      <c r="E5097" s="13"/>
      <c r="F5097" s="3"/>
      <c r="G5097" s="3"/>
      <c r="H5097" s="3"/>
      <c r="I5097" s="3"/>
      <c r="J5097" s="3"/>
      <c r="R5097" s="438" t="s">
        <v>52</v>
      </c>
      <c r="S5097" s="433">
        <f>IFERROR(INDEX('E-Banker master'!$P$2:$P$186,MATCH(S5094,'E-Banker master'!$A$2:$A$186,0)),"")</f>
        <v>43437806.509999998</v>
      </c>
    </row>
    <row r="5098" spans="2:19" x14ac:dyDescent="0.35">
      <c r="B5098" s="1"/>
      <c r="C5098" s="11" t="s">
        <v>838</v>
      </c>
      <c r="D5098" s="14">
        <v>2</v>
      </c>
      <c r="E5098" s="1"/>
      <c r="F5098" s="3"/>
      <c r="G5098" s="3"/>
      <c r="H5098" s="3"/>
      <c r="I5098" s="3"/>
      <c r="J5098" s="3"/>
    </row>
    <row r="5099" spans="2:19" x14ac:dyDescent="0.35">
      <c r="B5099" s="1"/>
      <c r="C5099" s="11" t="s">
        <v>839</v>
      </c>
      <c r="D5099" s="14">
        <v>12</v>
      </c>
      <c r="E5099" s="1"/>
      <c r="F5099" s="3"/>
      <c r="G5099" s="3"/>
      <c r="H5099" s="3"/>
      <c r="I5099" s="3"/>
      <c r="J5099" s="3"/>
    </row>
    <row r="5100" spans="2:19" x14ac:dyDescent="0.35">
      <c r="B5100" s="1"/>
      <c r="C5100" s="11" t="s">
        <v>843</v>
      </c>
      <c r="D5100" s="15">
        <f>+D5099*D5098</f>
        <v>24</v>
      </c>
      <c r="E5100" s="1"/>
      <c r="F5100" s="3"/>
      <c r="G5100" s="3"/>
      <c r="H5100" s="3"/>
      <c r="I5100" s="3"/>
      <c r="J5100" s="3"/>
    </row>
    <row r="5101" spans="2:19" x14ac:dyDescent="0.35">
      <c r="B5101" s="1"/>
      <c r="C5101" s="11" t="s">
        <v>844</v>
      </c>
      <c r="D5101" s="16">
        <v>365</v>
      </c>
      <c r="E5101" s="1"/>
      <c r="F5101" s="3"/>
      <c r="G5101" s="3"/>
      <c r="H5101" s="3"/>
      <c r="I5101" s="3"/>
      <c r="J5101" s="3"/>
    </row>
    <row r="5102" spans="2:19" x14ac:dyDescent="0.35">
      <c r="B5102" s="1"/>
      <c r="C5102" s="17" t="s">
        <v>845</v>
      </c>
      <c r="D5102" s="220">
        <f>-PMT(D5097/D5099,D5100,D5096,0,0)</f>
        <v>2307246.3168758252</v>
      </c>
      <c r="E5102" s="3"/>
      <c r="F5102" s="3"/>
      <c r="G5102" s="3"/>
      <c r="H5102" s="3"/>
      <c r="I5102" s="3"/>
      <c r="J5102" s="3"/>
    </row>
    <row r="5103" spans="2:19" x14ac:dyDescent="0.35">
      <c r="B5103" s="1"/>
      <c r="C5103" s="1"/>
      <c r="D5103" s="3"/>
      <c r="E5103" s="3"/>
      <c r="F5103" s="3"/>
      <c r="G5103" s="3"/>
      <c r="H5103" s="3"/>
      <c r="I5103" s="3"/>
      <c r="J5103" s="3"/>
    </row>
    <row r="5104" spans="2:19" x14ac:dyDescent="0.35">
      <c r="B5104" s="1"/>
      <c r="C5104" s="19" t="s">
        <v>846</v>
      </c>
      <c r="D5104" s="20" t="s">
        <v>847</v>
      </c>
      <c r="E5104" s="20" t="s">
        <v>764</v>
      </c>
      <c r="F5104" s="270" t="s">
        <v>848</v>
      </c>
      <c r="G5104" s="270" t="s">
        <v>849</v>
      </c>
      <c r="H5104" s="270" t="s">
        <v>742</v>
      </c>
      <c r="I5104" s="270" t="s">
        <v>740</v>
      </c>
      <c r="J5104" s="270" t="s">
        <v>850</v>
      </c>
      <c r="K5104" s="21" t="s">
        <v>851</v>
      </c>
      <c r="L5104" s="21" t="s">
        <v>852</v>
      </c>
    </row>
    <row r="5105" spans="2:12" x14ac:dyDescent="0.35">
      <c r="B5105" s="1">
        <v>0</v>
      </c>
      <c r="C5105" s="22">
        <v>45412</v>
      </c>
      <c r="D5105" s="22">
        <v>45412</v>
      </c>
      <c r="E5105" s="23">
        <v>1</v>
      </c>
      <c r="F5105" s="3">
        <f>D5096</f>
        <v>50000000</v>
      </c>
      <c r="G5105" s="3">
        <v>13888.89</v>
      </c>
      <c r="H5105" s="3">
        <f>($D$5097/$D$5099*F5105*E5105/30)</f>
        <v>13888.888888888889</v>
      </c>
      <c r="I5105" s="3">
        <f t="shared" ref="I5105:I5129" si="795">G5105-H5105</f>
        <v>1.1111111107311444E-3</v>
      </c>
      <c r="J5105" s="3">
        <f t="shared" ref="J5105:J5129" si="796">F5105-I5105</f>
        <v>49999999.998888887</v>
      </c>
      <c r="L5105" s="141">
        <f>+G5105</f>
        <v>13888.89</v>
      </c>
    </row>
    <row r="5106" spans="2:12" x14ac:dyDescent="0.35">
      <c r="B5106" s="1">
        <v>1</v>
      </c>
      <c r="C5106" s="22">
        <v>45413</v>
      </c>
      <c r="D5106" s="22">
        <v>45443</v>
      </c>
      <c r="E5106" s="23">
        <v>30</v>
      </c>
      <c r="F5106" s="3">
        <f t="shared" ref="F5106:F5129" si="797">J5105</f>
        <v>49999999.998888887</v>
      </c>
      <c r="G5106" s="3">
        <v>416666.67</v>
      </c>
      <c r="H5106" s="3">
        <f t="shared" ref="H5106:H5129" si="798">($D$5097/$D$5099*F5106)</f>
        <v>416666.66665740742</v>
      </c>
      <c r="I5106" s="3">
        <f t="shared" si="795"/>
        <v>3.3425925648771226E-3</v>
      </c>
      <c r="J5106" s="3">
        <f t="shared" si="796"/>
        <v>49999999.995546296</v>
      </c>
      <c r="K5106" s="7"/>
      <c r="L5106" s="141">
        <f t="shared" ref="L5106:L5111" si="799">+G5106-K5106+L5105</f>
        <v>430555.56</v>
      </c>
    </row>
    <row r="5107" spans="2:12" x14ac:dyDescent="0.35">
      <c r="B5107" s="1">
        <v>2</v>
      </c>
      <c r="C5107" s="22">
        <v>45444</v>
      </c>
      <c r="D5107" s="22">
        <v>45473</v>
      </c>
      <c r="E5107" s="23">
        <v>31</v>
      </c>
      <c r="F5107" s="3">
        <f t="shared" si="797"/>
        <v>49999999.995546296</v>
      </c>
      <c r="G5107" s="3">
        <v>416666.67</v>
      </c>
      <c r="H5107" s="3">
        <f t="shared" si="798"/>
        <v>416666.66662955249</v>
      </c>
      <c r="I5107" s="3">
        <f t="shared" si="795"/>
        <v>3.370447491761297E-3</v>
      </c>
      <c r="J5107" s="3">
        <f t="shared" si="796"/>
        <v>49999999.992175847</v>
      </c>
      <c r="K5107" s="7">
        <v>1200000</v>
      </c>
      <c r="L5107" s="141">
        <f t="shared" si="799"/>
        <v>-352777.77000000008</v>
      </c>
    </row>
    <row r="5108" spans="2:12" x14ac:dyDescent="0.35">
      <c r="B5108" s="1">
        <f t="shared" ref="B5108:B5129" si="800">+B5107+1</f>
        <v>3</v>
      </c>
      <c r="C5108" s="22">
        <v>45474</v>
      </c>
      <c r="D5108" s="22">
        <v>45504</v>
      </c>
      <c r="E5108" s="23">
        <v>30</v>
      </c>
      <c r="F5108" s="3">
        <f t="shared" si="797"/>
        <v>49999999.992175847</v>
      </c>
      <c r="G5108" s="3">
        <v>416666.67</v>
      </c>
      <c r="H5108" s="3">
        <f t="shared" si="798"/>
        <v>416666.66660146537</v>
      </c>
      <c r="I5108" s="3">
        <f t="shared" si="795"/>
        <v>3.3985346090048552E-3</v>
      </c>
      <c r="J5108" s="3">
        <f t="shared" si="796"/>
        <v>49999999.98877731</v>
      </c>
      <c r="L5108" s="141">
        <f t="shared" si="799"/>
        <v>63888.899999999907</v>
      </c>
    </row>
    <row r="5109" spans="2:12" x14ac:dyDescent="0.35">
      <c r="B5109" s="1">
        <f t="shared" si="800"/>
        <v>4</v>
      </c>
      <c r="C5109" s="22">
        <v>45505</v>
      </c>
      <c r="D5109" s="22">
        <v>45535</v>
      </c>
      <c r="E5109" s="23">
        <v>31</v>
      </c>
      <c r="F5109" s="3">
        <f t="shared" si="797"/>
        <v>49999999.98877731</v>
      </c>
      <c r="G5109" s="3">
        <f t="shared" ref="G5109:G5129" si="801">-PMT($D$5097/$D$5099,21,$F$5109,,0)</f>
        <v>2605240.7765757972</v>
      </c>
      <c r="H5109" s="3">
        <f t="shared" si="798"/>
        <v>416666.66657314426</v>
      </c>
      <c r="I5109" s="3">
        <f t="shared" si="795"/>
        <v>2188574.1100026527</v>
      </c>
      <c r="J5109" s="3">
        <f t="shared" si="796"/>
        <v>47811425.878774658</v>
      </c>
      <c r="L5109" s="141">
        <f t="shared" si="799"/>
        <v>2669129.6765757971</v>
      </c>
    </row>
    <row r="5110" spans="2:12" x14ac:dyDescent="0.35">
      <c r="B5110" s="1">
        <f t="shared" si="800"/>
        <v>5</v>
      </c>
      <c r="C5110" s="22">
        <v>45536</v>
      </c>
      <c r="D5110" s="22">
        <v>45565</v>
      </c>
      <c r="E5110" s="23">
        <v>31</v>
      </c>
      <c r="F5110" s="3">
        <f t="shared" si="797"/>
        <v>47811425.878774658</v>
      </c>
      <c r="G5110" s="3">
        <f t="shared" si="801"/>
        <v>2605240.7765757972</v>
      </c>
      <c r="H5110" s="3">
        <f t="shared" si="798"/>
        <v>398428.5489897888</v>
      </c>
      <c r="I5110" s="3">
        <f t="shared" si="795"/>
        <v>2206812.2275860086</v>
      </c>
      <c r="J5110" s="3">
        <f t="shared" si="796"/>
        <v>45604613.651188649</v>
      </c>
      <c r="L5110" s="141">
        <f t="shared" si="799"/>
        <v>5274370.4531515948</v>
      </c>
    </row>
    <row r="5111" spans="2:12" x14ac:dyDescent="0.35">
      <c r="B5111" s="1">
        <f t="shared" si="800"/>
        <v>6</v>
      </c>
      <c r="C5111" s="22">
        <v>45566</v>
      </c>
      <c r="D5111" s="22">
        <v>45596</v>
      </c>
      <c r="E5111" s="23">
        <v>30</v>
      </c>
      <c r="F5111" s="3">
        <f t="shared" si="797"/>
        <v>45604613.651188649</v>
      </c>
      <c r="G5111" s="3">
        <f t="shared" si="801"/>
        <v>2605240.7765757972</v>
      </c>
      <c r="H5111" s="3">
        <f t="shared" si="798"/>
        <v>380038.44709323876</v>
      </c>
      <c r="I5111" s="3">
        <f t="shared" si="795"/>
        <v>2225202.3294825586</v>
      </c>
      <c r="J5111" s="3">
        <f t="shared" si="796"/>
        <v>43379411.321706094</v>
      </c>
      <c r="K5111" s="7">
        <f>3880000+4000000</f>
        <v>7880000</v>
      </c>
      <c r="L5111" s="323">
        <f t="shared" si="799"/>
        <v>-388.7702726079151</v>
      </c>
    </row>
    <row r="5112" spans="2:12" x14ac:dyDescent="0.35">
      <c r="B5112" s="1">
        <f t="shared" si="800"/>
        <v>7</v>
      </c>
      <c r="C5112" s="22">
        <v>45597</v>
      </c>
      <c r="D5112" s="22">
        <v>45626</v>
      </c>
      <c r="E5112" s="23">
        <v>31</v>
      </c>
      <c r="F5112" s="3">
        <f t="shared" si="797"/>
        <v>43379411.321706094</v>
      </c>
      <c r="G5112" s="3">
        <f t="shared" si="801"/>
        <v>2605240.7765757972</v>
      </c>
      <c r="H5112" s="3">
        <f t="shared" si="798"/>
        <v>361495.09434755077</v>
      </c>
      <c r="I5112" s="3">
        <f t="shared" si="795"/>
        <v>2243745.6822282467</v>
      </c>
      <c r="J5112" s="3">
        <f t="shared" si="796"/>
        <v>41135665.639477849</v>
      </c>
    </row>
    <row r="5113" spans="2:12" x14ac:dyDescent="0.35">
      <c r="B5113" s="1">
        <f t="shared" si="800"/>
        <v>8</v>
      </c>
      <c r="C5113" s="22">
        <v>45627</v>
      </c>
      <c r="D5113" s="22">
        <v>45657</v>
      </c>
      <c r="E5113" s="23">
        <v>30</v>
      </c>
      <c r="F5113" s="3">
        <f t="shared" si="797"/>
        <v>41135665.639477849</v>
      </c>
      <c r="G5113" s="3">
        <f t="shared" si="801"/>
        <v>2605240.7765757972</v>
      </c>
      <c r="H5113" s="3">
        <f t="shared" si="798"/>
        <v>342797.21366231539</v>
      </c>
      <c r="I5113" s="3">
        <f t="shared" si="795"/>
        <v>2262443.5629134821</v>
      </c>
      <c r="J5113" s="3">
        <f t="shared" si="796"/>
        <v>38873222.076564364</v>
      </c>
    </row>
    <row r="5114" spans="2:12" x14ac:dyDescent="0.35">
      <c r="B5114" s="1">
        <f t="shared" si="800"/>
        <v>9</v>
      </c>
      <c r="C5114" s="22">
        <v>45658</v>
      </c>
      <c r="D5114" s="22">
        <v>45688</v>
      </c>
      <c r="E5114" s="23">
        <v>31</v>
      </c>
      <c r="F5114" s="3">
        <f t="shared" si="797"/>
        <v>38873222.076564364</v>
      </c>
      <c r="G5114" s="3">
        <f t="shared" si="801"/>
        <v>2605240.7765757972</v>
      </c>
      <c r="H5114" s="3">
        <f t="shared" si="798"/>
        <v>323943.51730470301</v>
      </c>
      <c r="I5114" s="3">
        <f t="shared" si="795"/>
        <v>2281297.2592710941</v>
      </c>
      <c r="J5114" s="3">
        <f t="shared" si="796"/>
        <v>36591924.817293271</v>
      </c>
    </row>
    <row r="5115" spans="2:12" x14ac:dyDescent="0.35">
      <c r="B5115" s="1">
        <f t="shared" si="800"/>
        <v>10</v>
      </c>
      <c r="C5115" s="22">
        <v>45689</v>
      </c>
      <c r="D5115" s="22">
        <v>45716</v>
      </c>
      <c r="E5115" s="23">
        <v>31</v>
      </c>
      <c r="F5115" s="3">
        <f t="shared" si="797"/>
        <v>36591924.817293271</v>
      </c>
      <c r="G5115" s="3">
        <f t="shared" si="801"/>
        <v>2605240.7765757972</v>
      </c>
      <c r="H5115" s="3">
        <f t="shared" si="798"/>
        <v>304932.70681077725</v>
      </c>
      <c r="I5115" s="3">
        <f t="shared" si="795"/>
        <v>2300308.0697650202</v>
      </c>
      <c r="J5115" s="3">
        <f t="shared" si="796"/>
        <v>34291616.747528255</v>
      </c>
    </row>
    <row r="5116" spans="2:12" x14ac:dyDescent="0.35">
      <c r="B5116" s="1">
        <f t="shared" si="800"/>
        <v>11</v>
      </c>
      <c r="C5116" s="22">
        <v>45717</v>
      </c>
      <c r="D5116" s="22">
        <v>45747</v>
      </c>
      <c r="E5116" s="23">
        <v>28</v>
      </c>
      <c r="F5116" s="3">
        <f t="shared" si="797"/>
        <v>34291616.747528255</v>
      </c>
      <c r="G5116" s="3">
        <f t="shared" si="801"/>
        <v>2605240.7765757972</v>
      </c>
      <c r="H5116" s="3">
        <f t="shared" si="798"/>
        <v>285763.47289606876</v>
      </c>
      <c r="I5116" s="3">
        <f t="shared" si="795"/>
        <v>2319477.3036797284</v>
      </c>
      <c r="J5116" s="3">
        <f t="shared" si="796"/>
        <v>31972139.443848528</v>
      </c>
    </row>
    <row r="5117" spans="2:12" x14ac:dyDescent="0.35">
      <c r="B5117" s="1">
        <f t="shared" si="800"/>
        <v>12</v>
      </c>
      <c r="C5117" s="22">
        <v>45748</v>
      </c>
      <c r="D5117" s="22">
        <v>45777</v>
      </c>
      <c r="E5117" s="23">
        <v>31</v>
      </c>
      <c r="F5117" s="3">
        <f t="shared" si="797"/>
        <v>31972139.443848528</v>
      </c>
      <c r="G5117" s="3">
        <f t="shared" si="801"/>
        <v>2605240.7765757972</v>
      </c>
      <c r="H5117" s="3">
        <f t="shared" si="798"/>
        <v>266434.49536540441</v>
      </c>
      <c r="I5117" s="3">
        <f t="shared" si="795"/>
        <v>2338806.2812103927</v>
      </c>
      <c r="J5117" s="3">
        <f t="shared" si="796"/>
        <v>29633333.162638135</v>
      </c>
    </row>
    <row r="5118" spans="2:12" x14ac:dyDescent="0.35">
      <c r="B5118" s="1">
        <f t="shared" si="800"/>
        <v>13</v>
      </c>
      <c r="C5118" s="22">
        <v>45778</v>
      </c>
      <c r="D5118" s="22">
        <v>45808</v>
      </c>
      <c r="E5118" s="23">
        <v>30</v>
      </c>
      <c r="F5118" s="3">
        <f t="shared" si="797"/>
        <v>29633333.162638135</v>
      </c>
      <c r="G5118" s="3">
        <f t="shared" si="801"/>
        <v>2605240.7765757972</v>
      </c>
      <c r="H5118" s="3">
        <f t="shared" si="798"/>
        <v>246944.44302198445</v>
      </c>
      <c r="I5118" s="3">
        <f t="shared" si="795"/>
        <v>2358296.3335538129</v>
      </c>
      <c r="J5118" s="3">
        <f t="shared" si="796"/>
        <v>27275036.829084322</v>
      </c>
    </row>
    <row r="5119" spans="2:12" x14ac:dyDescent="0.35">
      <c r="B5119" s="1">
        <f t="shared" si="800"/>
        <v>14</v>
      </c>
      <c r="C5119" s="22">
        <v>45809</v>
      </c>
      <c r="D5119" s="22">
        <v>45838</v>
      </c>
      <c r="E5119" s="23">
        <v>31</v>
      </c>
      <c r="F5119" s="3">
        <f t="shared" si="797"/>
        <v>27275036.829084322</v>
      </c>
      <c r="G5119" s="3">
        <f t="shared" si="801"/>
        <v>2605240.7765757972</v>
      </c>
      <c r="H5119" s="3">
        <f t="shared" si="798"/>
        <v>227291.97357570266</v>
      </c>
      <c r="I5119" s="3">
        <f t="shared" si="795"/>
        <v>2377948.8030000944</v>
      </c>
      <c r="J5119" s="3">
        <f t="shared" si="796"/>
        <v>24897088.026084229</v>
      </c>
    </row>
    <row r="5120" spans="2:12" x14ac:dyDescent="0.35">
      <c r="B5120" s="1">
        <f t="shared" si="800"/>
        <v>15</v>
      </c>
      <c r="C5120" s="22">
        <v>45839</v>
      </c>
      <c r="D5120" s="22">
        <v>45868</v>
      </c>
      <c r="E5120" s="23">
        <v>30</v>
      </c>
      <c r="F5120" s="3">
        <f t="shared" si="797"/>
        <v>24897088.026084229</v>
      </c>
      <c r="G5120" s="3">
        <f t="shared" si="801"/>
        <v>2605240.7765757972</v>
      </c>
      <c r="H5120" s="3">
        <f t="shared" si="798"/>
        <v>207475.7335507019</v>
      </c>
      <c r="I5120" s="3">
        <f t="shared" si="795"/>
        <v>2397765.0430250955</v>
      </c>
      <c r="J5120" s="3">
        <f t="shared" si="796"/>
        <v>22499322.983059134</v>
      </c>
    </row>
    <row r="5121" spans="2:19" x14ac:dyDescent="0.35">
      <c r="B5121" s="1">
        <f t="shared" si="800"/>
        <v>16</v>
      </c>
      <c r="C5121" s="22">
        <v>45870</v>
      </c>
      <c r="D5121" s="22">
        <v>45899</v>
      </c>
      <c r="E5121" s="23">
        <v>30</v>
      </c>
      <c r="F5121" s="3">
        <f t="shared" si="797"/>
        <v>22499322.983059134</v>
      </c>
      <c r="G5121" s="3">
        <f t="shared" si="801"/>
        <v>2605240.7765757972</v>
      </c>
      <c r="H5121" s="3">
        <f t="shared" si="798"/>
        <v>187494.35819215945</v>
      </c>
      <c r="I5121" s="3">
        <f t="shared" si="795"/>
        <v>2417746.4183836379</v>
      </c>
      <c r="J5121" s="3">
        <f t="shared" si="796"/>
        <v>20081576.564675495</v>
      </c>
    </row>
    <row r="5122" spans="2:19" x14ac:dyDescent="0.35">
      <c r="B5122" s="1">
        <f t="shared" si="800"/>
        <v>17</v>
      </c>
      <c r="C5122" s="22">
        <v>45901</v>
      </c>
      <c r="D5122" s="22">
        <v>45930</v>
      </c>
      <c r="E5122" s="23">
        <v>30</v>
      </c>
      <c r="F5122" s="3">
        <f t="shared" si="797"/>
        <v>20081576.564675495</v>
      </c>
      <c r="G5122" s="3">
        <f t="shared" si="801"/>
        <v>2605240.7765757972</v>
      </c>
      <c r="H5122" s="3">
        <f t="shared" si="798"/>
        <v>167346.47137229578</v>
      </c>
      <c r="I5122" s="3">
        <f t="shared" si="795"/>
        <v>2437894.3052035016</v>
      </c>
      <c r="J5122" s="3">
        <f t="shared" si="796"/>
        <v>17643682.259471994</v>
      </c>
    </row>
    <row r="5123" spans="2:19" x14ac:dyDescent="0.35">
      <c r="B5123" s="1">
        <f t="shared" si="800"/>
        <v>18</v>
      </c>
      <c r="C5123" s="22">
        <v>45931</v>
      </c>
      <c r="D5123" s="22">
        <v>45961</v>
      </c>
      <c r="E5123" s="23">
        <v>30</v>
      </c>
      <c r="F5123" s="3">
        <f t="shared" si="797"/>
        <v>17643682.259471994</v>
      </c>
      <c r="G5123" s="3">
        <f t="shared" si="801"/>
        <v>2605240.7765757972</v>
      </c>
      <c r="H5123" s="3">
        <f t="shared" si="798"/>
        <v>147030.68549559996</v>
      </c>
      <c r="I5123" s="3">
        <f t="shared" si="795"/>
        <v>2458210.0910801971</v>
      </c>
      <c r="J5123" s="3">
        <f t="shared" si="796"/>
        <v>15185472.168391798</v>
      </c>
    </row>
    <row r="5124" spans="2:19" x14ac:dyDescent="0.35">
      <c r="B5124" s="1">
        <f t="shared" si="800"/>
        <v>19</v>
      </c>
      <c r="C5124" s="22">
        <v>45962</v>
      </c>
      <c r="D5124" s="22">
        <v>45991</v>
      </c>
      <c r="E5124" s="23">
        <v>31</v>
      </c>
      <c r="F5124" s="3">
        <f t="shared" si="797"/>
        <v>15185472.168391798</v>
      </c>
      <c r="G5124" s="3">
        <f t="shared" si="801"/>
        <v>2605240.7765757972</v>
      </c>
      <c r="H5124" s="3">
        <f t="shared" si="798"/>
        <v>126545.60140326498</v>
      </c>
      <c r="I5124" s="3">
        <f t="shared" si="795"/>
        <v>2478695.1751725324</v>
      </c>
      <c r="J5124" s="3">
        <f t="shared" si="796"/>
        <v>12706776.993219266</v>
      </c>
    </row>
    <row r="5125" spans="2:19" x14ac:dyDescent="0.35">
      <c r="B5125" s="1">
        <f t="shared" si="800"/>
        <v>20</v>
      </c>
      <c r="C5125" s="22">
        <v>45992</v>
      </c>
      <c r="D5125" s="22">
        <v>46022</v>
      </c>
      <c r="E5125" s="23">
        <v>30</v>
      </c>
      <c r="F5125" s="3">
        <f t="shared" si="797"/>
        <v>12706776.993219266</v>
      </c>
      <c r="G5125" s="3">
        <f t="shared" si="801"/>
        <v>2605240.7765757972</v>
      </c>
      <c r="H5125" s="3">
        <f t="shared" si="798"/>
        <v>105889.80827682721</v>
      </c>
      <c r="I5125" s="3">
        <f t="shared" si="795"/>
        <v>2499350.9682989698</v>
      </c>
      <c r="J5125" s="3">
        <f t="shared" si="796"/>
        <v>10207426.024920296</v>
      </c>
    </row>
    <row r="5126" spans="2:19" x14ac:dyDescent="0.35">
      <c r="B5126" s="1">
        <f t="shared" si="800"/>
        <v>21</v>
      </c>
      <c r="C5126" s="22">
        <v>46023</v>
      </c>
      <c r="D5126" s="22">
        <v>46053</v>
      </c>
      <c r="E5126" s="23">
        <v>31</v>
      </c>
      <c r="F5126" s="3">
        <f t="shared" si="797"/>
        <v>10207426.024920296</v>
      </c>
      <c r="G5126" s="3">
        <f t="shared" si="801"/>
        <v>2605240.7765757972</v>
      </c>
      <c r="H5126" s="3">
        <f t="shared" si="798"/>
        <v>85061.883541002462</v>
      </c>
      <c r="I5126" s="3">
        <f t="shared" si="795"/>
        <v>2520178.8930347948</v>
      </c>
      <c r="J5126" s="3">
        <f t="shared" si="796"/>
        <v>7687247.1318855006</v>
      </c>
    </row>
    <row r="5127" spans="2:19" x14ac:dyDescent="0.35">
      <c r="B5127" s="1">
        <f t="shared" si="800"/>
        <v>22</v>
      </c>
      <c r="C5127" s="22">
        <v>46054</v>
      </c>
      <c r="D5127" s="22">
        <v>46081</v>
      </c>
      <c r="E5127" s="23">
        <v>31</v>
      </c>
      <c r="F5127" s="3">
        <f t="shared" si="797"/>
        <v>7687247.1318855006</v>
      </c>
      <c r="G5127" s="3">
        <f t="shared" si="801"/>
        <v>2605240.7765757972</v>
      </c>
      <c r="H5127" s="3">
        <f t="shared" si="798"/>
        <v>64060.392765712502</v>
      </c>
      <c r="I5127" s="3">
        <f t="shared" si="795"/>
        <v>2541180.3838100848</v>
      </c>
      <c r="J5127" s="3">
        <f t="shared" si="796"/>
        <v>5146066.7480754163</v>
      </c>
    </row>
    <row r="5128" spans="2:19" x14ac:dyDescent="0.35">
      <c r="B5128" s="1">
        <f t="shared" si="800"/>
        <v>23</v>
      </c>
      <c r="C5128" s="22">
        <v>46082</v>
      </c>
      <c r="D5128" s="22">
        <v>46112</v>
      </c>
      <c r="E5128" s="23">
        <v>28</v>
      </c>
      <c r="F5128" s="3">
        <f t="shared" si="797"/>
        <v>5146066.7480754163</v>
      </c>
      <c r="G5128" s="3">
        <f t="shared" si="801"/>
        <v>2605240.7765757972</v>
      </c>
      <c r="H5128" s="3">
        <f t="shared" si="798"/>
        <v>42883.889567295133</v>
      </c>
      <c r="I5128" s="3">
        <f t="shared" si="795"/>
        <v>2562356.8870085021</v>
      </c>
      <c r="J5128" s="3">
        <f t="shared" si="796"/>
        <v>2583709.8610669142</v>
      </c>
    </row>
    <row r="5129" spans="2:19" x14ac:dyDescent="0.35">
      <c r="B5129" s="1">
        <f t="shared" si="800"/>
        <v>24</v>
      </c>
      <c r="C5129" s="22">
        <v>46113</v>
      </c>
      <c r="D5129" s="22">
        <v>46142</v>
      </c>
      <c r="E5129" s="23">
        <v>31</v>
      </c>
      <c r="F5129" s="3">
        <f t="shared" si="797"/>
        <v>2583709.8610669142</v>
      </c>
      <c r="G5129" s="3">
        <f t="shared" si="801"/>
        <v>2605240.7765757972</v>
      </c>
      <c r="H5129" s="3">
        <f t="shared" si="798"/>
        <v>21530.91550889095</v>
      </c>
      <c r="I5129" s="3">
        <f t="shared" si="795"/>
        <v>2583709.8610669062</v>
      </c>
      <c r="J5129" s="3">
        <f t="shared" si="796"/>
        <v>7.9162418842315674E-9</v>
      </c>
    </row>
    <row r="5130" spans="2:19" x14ac:dyDescent="0.35">
      <c r="B5130" s="1"/>
      <c r="C5130" s="22"/>
      <c r="D5130" s="22"/>
      <c r="E5130" s="23"/>
      <c r="F5130" s="3"/>
      <c r="G5130" s="298"/>
      <c r="H5130" s="3"/>
      <c r="I5130" s="3"/>
      <c r="J5130" s="3"/>
    </row>
    <row r="5132" spans="2:19" x14ac:dyDescent="0.35">
      <c r="B5132" s="1"/>
      <c r="C5132" s="8" t="s">
        <v>952</v>
      </c>
      <c r="D5132" s="3"/>
      <c r="E5132" s="3"/>
      <c r="F5132" s="3"/>
      <c r="G5132" s="3"/>
      <c r="H5132" s="3"/>
      <c r="I5132" s="3"/>
      <c r="J5132" s="3"/>
      <c r="R5132" s="438" t="s">
        <v>832</v>
      </c>
      <c r="S5132" s="432" t="str">
        <f>IFERROR(INDEX(Blocks!$I$2:$I$101,MATCH(94,Blocks!$A$2:$A$101,0)),"")</f>
        <v>000104460000096</v>
      </c>
    </row>
    <row r="5133" spans="2:19" x14ac:dyDescent="0.35">
      <c r="B5133" s="1"/>
      <c r="C5133" s="1"/>
      <c r="D5133" s="3"/>
      <c r="E5133" s="3"/>
      <c r="F5133" s="3"/>
      <c r="G5133" s="3"/>
      <c r="H5133" s="3"/>
      <c r="I5133" s="3"/>
      <c r="J5133" s="3"/>
      <c r="R5133" s="438" t="s">
        <v>834</v>
      </c>
      <c r="S5133" s="432" t="str">
        <f>IFERROR(INDEX(Blocks!$H$2:$H$101,MATCH(94,Blocks!$A$2:$A$101,0)),"")</f>
        <v>7 Arts Holdings Limited</v>
      </c>
    </row>
    <row r="5134" spans="2:19" x14ac:dyDescent="0.35">
      <c r="B5134" s="1"/>
      <c r="C5134" s="9" t="s">
        <v>835</v>
      </c>
      <c r="D5134" s="10">
        <v>65000000</v>
      </c>
      <c r="E5134" s="3"/>
      <c r="F5134" s="3"/>
      <c r="G5134" s="3"/>
      <c r="H5134" s="3"/>
      <c r="I5134" s="3"/>
      <c r="J5134" s="3"/>
      <c r="R5134" s="438" t="s">
        <v>223</v>
      </c>
      <c r="S5134" s="433">
        <f>IFERROR(INDEX('E-Banker master'!$N$2:$N$186,MATCH(S5132,'E-Banker master'!$A$2:$A$186,0)),"")</f>
        <v>65000000</v>
      </c>
    </row>
    <row r="5135" spans="2:19" x14ac:dyDescent="0.35">
      <c r="B5135" s="1"/>
      <c r="C5135" s="11" t="s">
        <v>837</v>
      </c>
      <c r="D5135" s="12">
        <v>0.1</v>
      </c>
      <c r="E5135" s="13"/>
      <c r="F5135" s="3"/>
      <c r="G5135" s="3"/>
      <c r="H5135" s="3"/>
      <c r="I5135" s="3"/>
      <c r="J5135" s="3"/>
      <c r="R5135" s="438" t="s">
        <v>52</v>
      </c>
      <c r="S5135" s="433">
        <f>IFERROR(INDEX('E-Banker master'!$P$2:$P$186,MATCH(S5132,'E-Banker master'!$A$2:$A$186,0)),"")</f>
        <v>65552342.399999999</v>
      </c>
    </row>
    <row r="5136" spans="2:19" x14ac:dyDescent="0.35">
      <c r="B5136" s="1"/>
      <c r="C5136" s="11" t="s">
        <v>838</v>
      </c>
      <c r="D5136" s="14">
        <v>5</v>
      </c>
      <c r="E5136" s="1"/>
      <c r="F5136" s="3"/>
      <c r="G5136" s="3"/>
      <c r="H5136" s="3"/>
      <c r="I5136" s="3"/>
      <c r="J5136" s="3"/>
    </row>
    <row r="5137" spans="2:12" x14ac:dyDescent="0.35">
      <c r="B5137" s="1"/>
      <c r="C5137" s="11" t="s">
        <v>839</v>
      </c>
      <c r="D5137" s="14">
        <v>12</v>
      </c>
      <c r="E5137" s="1"/>
      <c r="F5137" s="3"/>
      <c r="G5137" s="3"/>
      <c r="H5137" s="3"/>
      <c r="I5137" s="3"/>
      <c r="J5137" s="3"/>
    </row>
    <row r="5138" spans="2:12" x14ac:dyDescent="0.35">
      <c r="B5138" s="1"/>
      <c r="C5138" s="11" t="s">
        <v>843</v>
      </c>
      <c r="D5138" s="15">
        <f>+D5137*D5136</f>
        <v>60</v>
      </c>
      <c r="E5138" s="1"/>
      <c r="F5138" s="3"/>
      <c r="G5138" s="3"/>
      <c r="H5138" s="3"/>
      <c r="I5138" s="3"/>
      <c r="J5138" s="3"/>
    </row>
    <row r="5139" spans="2:12" x14ac:dyDescent="0.35">
      <c r="B5139" s="1"/>
      <c r="C5139" s="11" t="s">
        <v>844</v>
      </c>
      <c r="D5139" s="16">
        <v>365</v>
      </c>
      <c r="E5139" s="1"/>
      <c r="F5139" s="3"/>
      <c r="G5139" s="3"/>
      <c r="H5139" s="3"/>
      <c r="I5139" s="3"/>
      <c r="J5139" s="3"/>
    </row>
    <row r="5140" spans="2:12" x14ac:dyDescent="0.35">
      <c r="B5140" s="1"/>
      <c r="C5140" s="17" t="s">
        <v>845</v>
      </c>
      <c r="D5140" s="220">
        <f>-PMT(D5135/D5137,D5138,D5134,0,0)</f>
        <v>1381057.9062324381</v>
      </c>
      <c r="E5140" s="3"/>
      <c r="F5140" s="3"/>
      <c r="G5140" s="3"/>
      <c r="H5140" s="3"/>
      <c r="I5140" s="3"/>
      <c r="J5140" s="3"/>
    </row>
    <row r="5141" spans="2:12" x14ac:dyDescent="0.35">
      <c r="B5141" s="1"/>
      <c r="C5141" s="1"/>
      <c r="D5141" s="3"/>
      <c r="E5141" s="3"/>
      <c r="F5141" s="3"/>
      <c r="G5141" s="3"/>
      <c r="H5141" s="3"/>
      <c r="I5141" s="3"/>
      <c r="J5141" s="3"/>
    </row>
    <row r="5142" spans="2:12" x14ac:dyDescent="0.35">
      <c r="B5142" s="1"/>
      <c r="C5142" s="19" t="s">
        <v>846</v>
      </c>
      <c r="D5142" s="20" t="s">
        <v>847</v>
      </c>
      <c r="E5142" s="20" t="s">
        <v>764</v>
      </c>
      <c r="F5142" s="270" t="s">
        <v>848</v>
      </c>
      <c r="G5142" s="270" t="s">
        <v>849</v>
      </c>
      <c r="H5142" s="270" t="s">
        <v>742</v>
      </c>
      <c r="I5142" s="270" t="s">
        <v>740</v>
      </c>
      <c r="J5142" s="270" t="s">
        <v>850</v>
      </c>
      <c r="K5142" s="21" t="s">
        <v>851</v>
      </c>
      <c r="L5142" s="21" t="s">
        <v>852</v>
      </c>
    </row>
    <row r="5143" spans="2:12" x14ac:dyDescent="0.35">
      <c r="B5143" s="1">
        <v>0</v>
      </c>
      <c r="C5143" s="22">
        <v>45412</v>
      </c>
      <c r="D5143" s="22">
        <v>45412</v>
      </c>
      <c r="E5143" s="23">
        <v>1</v>
      </c>
      <c r="F5143" s="3">
        <f>D5134</f>
        <v>65000000</v>
      </c>
      <c r="G5143" s="3">
        <f t="shared" ref="G5143:G5149" si="802">H5143</f>
        <v>18055.555555555555</v>
      </c>
      <c r="H5143" s="3">
        <f>($D$5135/$D$5137*F5143*E5143/30)</f>
        <v>18055.555555555555</v>
      </c>
      <c r="I5143" s="3">
        <f t="shared" ref="I5143:I5174" si="803">G5143-H5143</f>
        <v>0</v>
      </c>
      <c r="J5143" s="3">
        <f t="shared" ref="J5143:J5174" si="804">F5143-I5143</f>
        <v>65000000</v>
      </c>
      <c r="L5143" s="141">
        <f>+G5143</f>
        <v>18055.555555555555</v>
      </c>
    </row>
    <row r="5144" spans="2:12" x14ac:dyDescent="0.35">
      <c r="B5144" s="1">
        <v>1</v>
      </c>
      <c r="C5144" s="22">
        <v>45413</v>
      </c>
      <c r="D5144" s="22">
        <v>45443</v>
      </c>
      <c r="E5144" s="23">
        <v>30</v>
      </c>
      <c r="F5144" s="3">
        <f t="shared" ref="F5144:F5175" si="805">J5143</f>
        <v>65000000</v>
      </c>
      <c r="G5144" s="3">
        <f t="shared" si="802"/>
        <v>541666.66666666663</v>
      </c>
      <c r="H5144" s="3">
        <f t="shared" ref="H5144:H5175" si="806">($D$5135/$D$5137*F5144)</f>
        <v>541666.66666666663</v>
      </c>
      <c r="I5144" s="3">
        <f t="shared" si="803"/>
        <v>0</v>
      </c>
      <c r="J5144" s="3">
        <f t="shared" si="804"/>
        <v>65000000</v>
      </c>
      <c r="K5144" s="7">
        <v>559722.22</v>
      </c>
      <c r="L5144" s="141">
        <f t="shared" ref="L5144:L5149" si="807">+G5144-K5144+L5143</f>
        <v>2.2222222105483525E-3</v>
      </c>
    </row>
    <row r="5145" spans="2:12" x14ac:dyDescent="0.35">
      <c r="B5145" s="1">
        <v>2</v>
      </c>
      <c r="C5145" s="22">
        <v>45444</v>
      </c>
      <c r="D5145" s="22">
        <v>45473</v>
      </c>
      <c r="E5145" s="23">
        <v>31</v>
      </c>
      <c r="F5145" s="3">
        <f t="shared" si="805"/>
        <v>65000000</v>
      </c>
      <c r="G5145" s="3">
        <f t="shared" si="802"/>
        <v>541666.66666666663</v>
      </c>
      <c r="H5145" s="3">
        <f t="shared" si="806"/>
        <v>541666.66666666663</v>
      </c>
      <c r="I5145" s="3">
        <f t="shared" si="803"/>
        <v>0</v>
      </c>
      <c r="J5145" s="3">
        <f t="shared" si="804"/>
        <v>65000000</v>
      </c>
      <c r="K5145" s="7"/>
      <c r="L5145" s="141">
        <f t="shared" si="807"/>
        <v>541666.66888888879</v>
      </c>
    </row>
    <row r="5146" spans="2:12" x14ac:dyDescent="0.35">
      <c r="B5146" s="1">
        <f t="shared" ref="B5146:B5177" si="808">+B5145+1</f>
        <v>3</v>
      </c>
      <c r="C5146" s="22">
        <v>45474</v>
      </c>
      <c r="D5146" s="22">
        <v>45504</v>
      </c>
      <c r="E5146" s="23">
        <v>30</v>
      </c>
      <c r="F5146" s="3">
        <f t="shared" si="805"/>
        <v>65000000</v>
      </c>
      <c r="G5146" s="3">
        <f t="shared" si="802"/>
        <v>541666.66666666663</v>
      </c>
      <c r="H5146" s="3">
        <f t="shared" si="806"/>
        <v>541666.66666666663</v>
      </c>
      <c r="I5146" s="3">
        <f t="shared" si="803"/>
        <v>0</v>
      </c>
      <c r="J5146" s="3">
        <f t="shared" si="804"/>
        <v>65000000</v>
      </c>
      <c r="K5146" s="7">
        <v>541666.67000000004</v>
      </c>
      <c r="L5146" s="141">
        <f t="shared" si="807"/>
        <v>541666.66555555537</v>
      </c>
    </row>
    <row r="5147" spans="2:12" x14ac:dyDescent="0.35">
      <c r="B5147" s="1">
        <f t="shared" si="808"/>
        <v>4</v>
      </c>
      <c r="C5147" s="22">
        <v>45505</v>
      </c>
      <c r="D5147" s="22">
        <v>45535</v>
      </c>
      <c r="E5147" s="23">
        <v>31</v>
      </c>
      <c r="F5147" s="3">
        <f t="shared" si="805"/>
        <v>65000000</v>
      </c>
      <c r="G5147" s="3">
        <f t="shared" si="802"/>
        <v>541666.66666666663</v>
      </c>
      <c r="H5147" s="3">
        <f t="shared" si="806"/>
        <v>541666.66666666663</v>
      </c>
      <c r="I5147" s="3">
        <f t="shared" si="803"/>
        <v>0</v>
      </c>
      <c r="J5147" s="3">
        <f t="shared" si="804"/>
        <v>65000000</v>
      </c>
      <c r="K5147" s="7">
        <v>541666.67000000004</v>
      </c>
      <c r="L5147" s="141">
        <f t="shared" si="807"/>
        <v>541666.66222222196</v>
      </c>
    </row>
    <row r="5148" spans="2:12" x14ac:dyDescent="0.35">
      <c r="B5148" s="1">
        <f t="shared" si="808"/>
        <v>5</v>
      </c>
      <c r="C5148" s="22">
        <v>45536</v>
      </c>
      <c r="D5148" s="22">
        <v>45565</v>
      </c>
      <c r="E5148" s="23">
        <v>31</v>
      </c>
      <c r="F5148" s="3">
        <f t="shared" si="805"/>
        <v>65000000</v>
      </c>
      <c r="G5148" s="3">
        <f t="shared" si="802"/>
        <v>541666.66666666663</v>
      </c>
      <c r="H5148" s="3">
        <f t="shared" si="806"/>
        <v>541666.66666666663</v>
      </c>
      <c r="I5148" s="3">
        <f t="shared" si="803"/>
        <v>0</v>
      </c>
      <c r="J5148" s="3">
        <f t="shared" si="804"/>
        <v>65000000</v>
      </c>
      <c r="K5148" s="7">
        <v>541666.67000000004</v>
      </c>
      <c r="L5148" s="141">
        <f t="shared" si="807"/>
        <v>541666.65888888855</v>
      </c>
    </row>
    <row r="5149" spans="2:12" x14ac:dyDescent="0.35">
      <c r="B5149" s="1">
        <f t="shared" si="808"/>
        <v>6</v>
      </c>
      <c r="C5149" s="22">
        <v>45566</v>
      </c>
      <c r="D5149" s="22">
        <v>45596</v>
      </c>
      <c r="E5149" s="23">
        <v>30</v>
      </c>
      <c r="F5149" s="3">
        <f t="shared" si="805"/>
        <v>65000000</v>
      </c>
      <c r="G5149" s="3">
        <f t="shared" si="802"/>
        <v>541666.66666666663</v>
      </c>
      <c r="H5149" s="3">
        <f t="shared" si="806"/>
        <v>541666.66666666663</v>
      </c>
      <c r="I5149" s="3">
        <f t="shared" si="803"/>
        <v>0</v>
      </c>
      <c r="J5149" s="3">
        <f t="shared" si="804"/>
        <v>65000000</v>
      </c>
      <c r="K5149" s="7">
        <v>541666.67000000004</v>
      </c>
      <c r="L5149" s="360">
        <f t="shared" si="807"/>
        <v>541666.65555555513</v>
      </c>
    </row>
    <row r="5150" spans="2:12" x14ac:dyDescent="0.35">
      <c r="B5150" s="1">
        <f t="shared" si="808"/>
        <v>7</v>
      </c>
      <c r="C5150" s="22">
        <v>45597</v>
      </c>
      <c r="D5150" s="22">
        <v>45626</v>
      </c>
      <c r="E5150" s="23">
        <v>31</v>
      </c>
      <c r="F5150" s="3">
        <f t="shared" si="805"/>
        <v>65000000</v>
      </c>
      <c r="G5150" s="3">
        <f t="shared" ref="G5150:G5181" si="809">-PMT($D$5135/$D$5137,54,$F$5150,,0)</f>
        <v>1499706.4801022755</v>
      </c>
      <c r="H5150" s="3">
        <f t="shared" si="806"/>
        <v>541666.66666666663</v>
      </c>
      <c r="I5150" s="3">
        <f t="shared" si="803"/>
        <v>958039.81343560887</v>
      </c>
      <c r="J5150" s="3">
        <f t="shared" si="804"/>
        <v>64041960.186564393</v>
      </c>
    </row>
    <row r="5151" spans="2:12" x14ac:dyDescent="0.35">
      <c r="B5151" s="1">
        <f t="shared" si="808"/>
        <v>8</v>
      </c>
      <c r="C5151" s="22">
        <v>45627</v>
      </c>
      <c r="D5151" s="22">
        <v>45657</v>
      </c>
      <c r="E5151" s="23">
        <v>30</v>
      </c>
      <c r="F5151" s="3">
        <f t="shared" si="805"/>
        <v>64041960.186564393</v>
      </c>
      <c r="G5151" s="3">
        <f t="shared" si="809"/>
        <v>1499706.4801022755</v>
      </c>
      <c r="H5151" s="3">
        <f t="shared" si="806"/>
        <v>533683.00155470322</v>
      </c>
      <c r="I5151" s="3">
        <f t="shared" si="803"/>
        <v>966023.47854757227</v>
      </c>
      <c r="J5151" s="3">
        <f t="shared" si="804"/>
        <v>63075936.70801682</v>
      </c>
    </row>
    <row r="5152" spans="2:12" x14ac:dyDescent="0.35">
      <c r="B5152" s="1">
        <f t="shared" si="808"/>
        <v>9</v>
      </c>
      <c r="C5152" s="22">
        <v>45658</v>
      </c>
      <c r="D5152" s="22">
        <v>45688</v>
      </c>
      <c r="E5152" s="23">
        <v>31</v>
      </c>
      <c r="F5152" s="3">
        <f t="shared" si="805"/>
        <v>63075936.70801682</v>
      </c>
      <c r="G5152" s="3">
        <f t="shared" si="809"/>
        <v>1499706.4801022755</v>
      </c>
      <c r="H5152" s="3">
        <f t="shared" si="806"/>
        <v>525632.8059001402</v>
      </c>
      <c r="I5152" s="3">
        <f t="shared" si="803"/>
        <v>974073.6742021353</v>
      </c>
      <c r="J5152" s="3">
        <f t="shared" si="804"/>
        <v>62101863.033814684</v>
      </c>
    </row>
    <row r="5153" spans="2:10" x14ac:dyDescent="0.35">
      <c r="B5153" s="1">
        <f t="shared" si="808"/>
        <v>10</v>
      </c>
      <c r="C5153" s="22">
        <v>45689</v>
      </c>
      <c r="D5153" s="22">
        <v>45716</v>
      </c>
      <c r="E5153" s="23">
        <v>31</v>
      </c>
      <c r="F5153" s="3">
        <f t="shared" si="805"/>
        <v>62101863.033814684</v>
      </c>
      <c r="G5153" s="3">
        <f t="shared" si="809"/>
        <v>1499706.4801022755</v>
      </c>
      <c r="H5153" s="3">
        <f t="shared" si="806"/>
        <v>517515.52528178901</v>
      </c>
      <c r="I5153" s="3">
        <f t="shared" si="803"/>
        <v>982190.95482048648</v>
      </c>
      <c r="J5153" s="3">
        <f t="shared" si="804"/>
        <v>61119672.0789942</v>
      </c>
    </row>
    <row r="5154" spans="2:10" x14ac:dyDescent="0.35">
      <c r="B5154" s="1">
        <f t="shared" si="808"/>
        <v>11</v>
      </c>
      <c r="C5154" s="22">
        <v>45717</v>
      </c>
      <c r="D5154" s="22">
        <v>45747</v>
      </c>
      <c r="E5154" s="23">
        <v>28</v>
      </c>
      <c r="F5154" s="3">
        <f t="shared" si="805"/>
        <v>61119672.0789942</v>
      </c>
      <c r="G5154" s="3">
        <f t="shared" si="809"/>
        <v>1499706.4801022755</v>
      </c>
      <c r="H5154" s="3">
        <f t="shared" si="806"/>
        <v>509330.60065828497</v>
      </c>
      <c r="I5154" s="3">
        <f t="shared" si="803"/>
        <v>990375.87944399053</v>
      </c>
      <c r="J5154" s="3">
        <f t="shared" si="804"/>
        <v>60129296.199550211</v>
      </c>
    </row>
    <row r="5155" spans="2:10" x14ac:dyDescent="0.35">
      <c r="B5155" s="1">
        <f t="shared" si="808"/>
        <v>12</v>
      </c>
      <c r="C5155" s="22">
        <v>45748</v>
      </c>
      <c r="D5155" s="22">
        <v>45777</v>
      </c>
      <c r="E5155" s="23">
        <v>31</v>
      </c>
      <c r="F5155" s="3">
        <f t="shared" si="805"/>
        <v>60129296.199550211</v>
      </c>
      <c r="G5155" s="3">
        <f t="shared" si="809"/>
        <v>1499706.4801022755</v>
      </c>
      <c r="H5155" s="3">
        <f t="shared" si="806"/>
        <v>501077.4683295851</v>
      </c>
      <c r="I5155" s="3">
        <f t="shared" si="803"/>
        <v>998629.01177269034</v>
      </c>
      <c r="J5155" s="3">
        <f t="shared" si="804"/>
        <v>59130667.187777519</v>
      </c>
    </row>
    <row r="5156" spans="2:10" x14ac:dyDescent="0.35">
      <c r="B5156" s="1">
        <f t="shared" si="808"/>
        <v>13</v>
      </c>
      <c r="C5156" s="22">
        <v>45778</v>
      </c>
      <c r="D5156" s="22">
        <v>45808</v>
      </c>
      <c r="E5156" s="23">
        <v>30</v>
      </c>
      <c r="F5156" s="3">
        <f t="shared" si="805"/>
        <v>59130667.187777519</v>
      </c>
      <c r="G5156" s="3">
        <f t="shared" si="809"/>
        <v>1499706.4801022755</v>
      </c>
      <c r="H5156" s="3">
        <f t="shared" si="806"/>
        <v>492755.55989814596</v>
      </c>
      <c r="I5156" s="3">
        <f t="shared" si="803"/>
        <v>1006950.9202041295</v>
      </c>
      <c r="J5156" s="3">
        <f t="shared" si="804"/>
        <v>58123716.267573386</v>
      </c>
    </row>
    <row r="5157" spans="2:10" x14ac:dyDescent="0.35">
      <c r="B5157" s="1">
        <f t="shared" si="808"/>
        <v>14</v>
      </c>
      <c r="C5157" s="22">
        <v>45809</v>
      </c>
      <c r="D5157" s="22">
        <v>45838</v>
      </c>
      <c r="E5157" s="23">
        <v>31</v>
      </c>
      <c r="F5157" s="3">
        <f t="shared" si="805"/>
        <v>58123716.267573386</v>
      </c>
      <c r="G5157" s="3">
        <f t="shared" si="809"/>
        <v>1499706.4801022755</v>
      </c>
      <c r="H5157" s="3">
        <f t="shared" si="806"/>
        <v>484364.3022297782</v>
      </c>
      <c r="I5157" s="3">
        <f t="shared" si="803"/>
        <v>1015342.1778724974</v>
      </c>
      <c r="J5157" s="3">
        <f t="shared" si="804"/>
        <v>57108374.089700893</v>
      </c>
    </row>
    <row r="5158" spans="2:10" x14ac:dyDescent="0.35">
      <c r="B5158" s="1">
        <f t="shared" si="808"/>
        <v>15</v>
      </c>
      <c r="C5158" s="22">
        <v>45839</v>
      </c>
      <c r="D5158" s="22">
        <v>45868</v>
      </c>
      <c r="E5158" s="23">
        <v>30</v>
      </c>
      <c r="F5158" s="3">
        <f t="shared" si="805"/>
        <v>57108374.089700893</v>
      </c>
      <c r="G5158" s="3">
        <f t="shared" si="809"/>
        <v>1499706.4801022755</v>
      </c>
      <c r="H5158" s="3">
        <f t="shared" si="806"/>
        <v>475903.11741417408</v>
      </c>
      <c r="I5158" s="3">
        <f t="shared" si="803"/>
        <v>1023803.3626881014</v>
      </c>
      <c r="J5158" s="3">
        <f t="shared" si="804"/>
        <v>56084570.727012791</v>
      </c>
    </row>
    <row r="5159" spans="2:10" x14ac:dyDescent="0.35">
      <c r="B5159" s="1">
        <f t="shared" si="808"/>
        <v>16</v>
      </c>
      <c r="C5159" s="22">
        <v>45870</v>
      </c>
      <c r="D5159" s="22">
        <v>45899</v>
      </c>
      <c r="E5159" s="23">
        <v>30</v>
      </c>
      <c r="F5159" s="3">
        <f t="shared" si="805"/>
        <v>56084570.727012791</v>
      </c>
      <c r="G5159" s="3">
        <f t="shared" si="809"/>
        <v>1499706.4801022755</v>
      </c>
      <c r="H5159" s="3">
        <f t="shared" si="806"/>
        <v>467371.42272510659</v>
      </c>
      <c r="I5159" s="3">
        <f t="shared" si="803"/>
        <v>1032335.0573771689</v>
      </c>
      <c r="J5159" s="3">
        <f t="shared" si="804"/>
        <v>55052235.669635624</v>
      </c>
    </row>
    <row r="5160" spans="2:10" x14ac:dyDescent="0.35">
      <c r="B5160" s="1">
        <f t="shared" si="808"/>
        <v>17</v>
      </c>
      <c r="C5160" s="22">
        <v>45901</v>
      </c>
      <c r="D5160" s="22">
        <v>45930</v>
      </c>
      <c r="E5160" s="23">
        <v>30</v>
      </c>
      <c r="F5160" s="3">
        <f t="shared" si="805"/>
        <v>55052235.669635624</v>
      </c>
      <c r="G5160" s="3">
        <f t="shared" si="809"/>
        <v>1499706.4801022755</v>
      </c>
      <c r="H5160" s="3">
        <f t="shared" si="806"/>
        <v>458768.63058029686</v>
      </c>
      <c r="I5160" s="3">
        <f t="shared" si="803"/>
        <v>1040937.8495219786</v>
      </c>
      <c r="J5160" s="3">
        <f t="shared" si="804"/>
        <v>54011297.820113644</v>
      </c>
    </row>
    <row r="5161" spans="2:10" x14ac:dyDescent="0.35">
      <c r="B5161" s="1">
        <f t="shared" si="808"/>
        <v>18</v>
      </c>
      <c r="C5161" s="22">
        <v>45931</v>
      </c>
      <c r="D5161" s="22">
        <v>45961</v>
      </c>
      <c r="E5161" s="23">
        <v>30</v>
      </c>
      <c r="F5161" s="3">
        <f t="shared" si="805"/>
        <v>54011297.820113644</v>
      </c>
      <c r="G5161" s="3">
        <f t="shared" si="809"/>
        <v>1499706.4801022755</v>
      </c>
      <c r="H5161" s="3">
        <f t="shared" si="806"/>
        <v>450094.14850094705</v>
      </c>
      <c r="I5161" s="3">
        <f t="shared" si="803"/>
        <v>1049612.3316013284</v>
      </c>
      <c r="J5161" s="3">
        <f t="shared" si="804"/>
        <v>52961685.488512315</v>
      </c>
    </row>
    <row r="5162" spans="2:10" x14ac:dyDescent="0.35">
      <c r="B5162" s="1">
        <f t="shared" si="808"/>
        <v>19</v>
      </c>
      <c r="C5162" s="22">
        <v>45962</v>
      </c>
      <c r="D5162" s="22">
        <v>45991</v>
      </c>
      <c r="E5162" s="23">
        <v>31</v>
      </c>
      <c r="F5162" s="3">
        <f t="shared" si="805"/>
        <v>52961685.488512315</v>
      </c>
      <c r="G5162" s="3">
        <f t="shared" si="809"/>
        <v>1499706.4801022755</v>
      </c>
      <c r="H5162" s="3">
        <f t="shared" si="806"/>
        <v>441347.37907093595</v>
      </c>
      <c r="I5162" s="3">
        <f t="shared" si="803"/>
        <v>1058359.1010313395</v>
      </c>
      <c r="J5162" s="3">
        <f t="shared" si="804"/>
        <v>51903326.387480974</v>
      </c>
    </row>
    <row r="5163" spans="2:10" x14ac:dyDescent="0.35">
      <c r="B5163" s="1">
        <f t="shared" si="808"/>
        <v>20</v>
      </c>
      <c r="C5163" s="22">
        <v>45992</v>
      </c>
      <c r="D5163" s="22">
        <v>46022</v>
      </c>
      <c r="E5163" s="23">
        <v>30</v>
      </c>
      <c r="F5163" s="3">
        <f t="shared" si="805"/>
        <v>51903326.387480974</v>
      </c>
      <c r="G5163" s="3">
        <f t="shared" si="809"/>
        <v>1499706.4801022755</v>
      </c>
      <c r="H5163" s="3">
        <f t="shared" si="806"/>
        <v>432527.71989567479</v>
      </c>
      <c r="I5163" s="3">
        <f t="shared" si="803"/>
        <v>1067178.7602066007</v>
      </c>
      <c r="J5163" s="3">
        <f t="shared" si="804"/>
        <v>50836147.627274372</v>
      </c>
    </row>
    <row r="5164" spans="2:10" x14ac:dyDescent="0.35">
      <c r="B5164" s="1">
        <f t="shared" si="808"/>
        <v>21</v>
      </c>
      <c r="C5164" s="22">
        <v>46023</v>
      </c>
      <c r="D5164" s="22">
        <v>46053</v>
      </c>
      <c r="E5164" s="23">
        <v>31</v>
      </c>
      <c r="F5164" s="3">
        <f t="shared" si="805"/>
        <v>50836147.627274372</v>
      </c>
      <c r="G5164" s="3">
        <f t="shared" si="809"/>
        <v>1499706.4801022755</v>
      </c>
      <c r="H5164" s="3">
        <f t="shared" si="806"/>
        <v>423634.56356061978</v>
      </c>
      <c r="I5164" s="3">
        <f t="shared" si="803"/>
        <v>1076071.9165416558</v>
      </c>
      <c r="J5164" s="3">
        <f t="shared" si="804"/>
        <v>49760075.710732713</v>
      </c>
    </row>
    <row r="5165" spans="2:10" x14ac:dyDescent="0.35">
      <c r="B5165" s="1">
        <f t="shared" si="808"/>
        <v>22</v>
      </c>
      <c r="C5165" s="22">
        <v>46054</v>
      </c>
      <c r="D5165" s="22">
        <v>46081</v>
      </c>
      <c r="E5165" s="23">
        <v>31</v>
      </c>
      <c r="F5165" s="3">
        <f t="shared" si="805"/>
        <v>49760075.710732713</v>
      </c>
      <c r="G5165" s="3">
        <f t="shared" si="809"/>
        <v>1499706.4801022755</v>
      </c>
      <c r="H5165" s="3">
        <f t="shared" si="806"/>
        <v>414667.29758943926</v>
      </c>
      <c r="I5165" s="3">
        <f t="shared" si="803"/>
        <v>1085039.1825128363</v>
      </c>
      <c r="J5165" s="3">
        <f t="shared" si="804"/>
        <v>48675036.528219879</v>
      </c>
    </row>
    <row r="5166" spans="2:10" x14ac:dyDescent="0.35">
      <c r="B5166" s="1">
        <f t="shared" si="808"/>
        <v>23</v>
      </c>
      <c r="C5166" s="22">
        <v>46082</v>
      </c>
      <c r="D5166" s="22">
        <v>46112</v>
      </c>
      <c r="E5166" s="23">
        <v>28</v>
      </c>
      <c r="F5166" s="3">
        <f t="shared" si="805"/>
        <v>48675036.528219879</v>
      </c>
      <c r="G5166" s="3">
        <f t="shared" si="809"/>
        <v>1499706.4801022755</v>
      </c>
      <c r="H5166" s="3">
        <f t="shared" si="806"/>
        <v>405625.30440183234</v>
      </c>
      <c r="I5166" s="3">
        <f t="shared" si="803"/>
        <v>1094081.1757004431</v>
      </c>
      <c r="J5166" s="3">
        <f t="shared" si="804"/>
        <v>47580955.352519438</v>
      </c>
    </row>
    <row r="5167" spans="2:10" x14ac:dyDescent="0.35">
      <c r="B5167" s="1">
        <f t="shared" si="808"/>
        <v>24</v>
      </c>
      <c r="C5167" s="22">
        <v>46113</v>
      </c>
      <c r="D5167" s="22">
        <v>46142</v>
      </c>
      <c r="E5167" s="23">
        <v>31</v>
      </c>
      <c r="F5167" s="3">
        <f t="shared" si="805"/>
        <v>47580955.352519438</v>
      </c>
      <c r="G5167" s="3">
        <f t="shared" si="809"/>
        <v>1499706.4801022755</v>
      </c>
      <c r="H5167" s="3">
        <f t="shared" si="806"/>
        <v>396507.96127099532</v>
      </c>
      <c r="I5167" s="3">
        <f t="shared" si="803"/>
        <v>1103198.5188312801</v>
      </c>
      <c r="J5167" s="3">
        <f t="shared" si="804"/>
        <v>46477756.833688155</v>
      </c>
    </row>
    <row r="5168" spans="2:10" x14ac:dyDescent="0.35">
      <c r="B5168" s="1">
        <f t="shared" si="808"/>
        <v>25</v>
      </c>
      <c r="C5168" s="22">
        <v>46143</v>
      </c>
      <c r="D5168" s="22">
        <v>46173</v>
      </c>
      <c r="E5168" s="23">
        <v>32</v>
      </c>
      <c r="F5168" s="3">
        <f t="shared" si="805"/>
        <v>46477756.833688155</v>
      </c>
      <c r="G5168" s="3">
        <f t="shared" si="809"/>
        <v>1499706.4801022755</v>
      </c>
      <c r="H5168" s="3">
        <f t="shared" si="806"/>
        <v>387314.64028073463</v>
      </c>
      <c r="I5168" s="3">
        <f t="shared" si="803"/>
        <v>1112391.8398215408</v>
      </c>
      <c r="J5168" s="3">
        <f t="shared" si="804"/>
        <v>45365364.993866615</v>
      </c>
    </row>
    <row r="5169" spans="2:10" x14ac:dyDescent="0.35">
      <c r="B5169" s="1">
        <f t="shared" si="808"/>
        <v>26</v>
      </c>
      <c r="C5169" s="22">
        <v>46174</v>
      </c>
      <c r="D5169" s="22">
        <v>46203</v>
      </c>
      <c r="E5169" s="23">
        <v>33</v>
      </c>
      <c r="F5169" s="3">
        <f t="shared" si="805"/>
        <v>45365364.993866615</v>
      </c>
      <c r="G5169" s="3">
        <f t="shared" si="809"/>
        <v>1499706.4801022755</v>
      </c>
      <c r="H5169" s="3">
        <f t="shared" si="806"/>
        <v>378044.70828222181</v>
      </c>
      <c r="I5169" s="3">
        <f t="shared" si="803"/>
        <v>1121661.7718200537</v>
      </c>
      <c r="J5169" s="3">
        <f t="shared" si="804"/>
        <v>44243703.222046562</v>
      </c>
    </row>
    <row r="5170" spans="2:10" x14ac:dyDescent="0.35">
      <c r="B5170" s="1">
        <f t="shared" si="808"/>
        <v>27</v>
      </c>
      <c r="C5170" s="22">
        <v>46204</v>
      </c>
      <c r="D5170" s="22">
        <v>46234</v>
      </c>
      <c r="E5170" s="23">
        <v>34</v>
      </c>
      <c r="F5170" s="3">
        <f t="shared" si="805"/>
        <v>44243703.222046562</v>
      </c>
      <c r="G5170" s="3">
        <f t="shared" si="809"/>
        <v>1499706.4801022755</v>
      </c>
      <c r="H5170" s="3">
        <f t="shared" si="806"/>
        <v>368697.52685038804</v>
      </c>
      <c r="I5170" s="3">
        <f t="shared" si="803"/>
        <v>1131008.9532518876</v>
      </c>
      <c r="J5170" s="3">
        <f t="shared" si="804"/>
        <v>43112694.268794671</v>
      </c>
    </row>
    <row r="5171" spans="2:10" x14ac:dyDescent="0.35">
      <c r="B5171" s="1">
        <f t="shared" si="808"/>
        <v>28</v>
      </c>
      <c r="C5171" s="22">
        <v>46235</v>
      </c>
      <c r="D5171" s="22">
        <v>46265</v>
      </c>
      <c r="E5171" s="23">
        <v>35</v>
      </c>
      <c r="F5171" s="3">
        <f t="shared" si="805"/>
        <v>43112694.268794671</v>
      </c>
      <c r="G5171" s="3">
        <f t="shared" si="809"/>
        <v>1499706.4801022755</v>
      </c>
      <c r="H5171" s="3">
        <f t="shared" si="806"/>
        <v>359272.4522399556</v>
      </c>
      <c r="I5171" s="3">
        <f t="shared" si="803"/>
        <v>1140434.02786232</v>
      </c>
      <c r="J5171" s="3">
        <f t="shared" si="804"/>
        <v>41972260.240932353</v>
      </c>
    </row>
    <row r="5172" spans="2:10" x14ac:dyDescent="0.35">
      <c r="B5172" s="1">
        <f t="shared" si="808"/>
        <v>29</v>
      </c>
      <c r="C5172" s="22">
        <v>46266</v>
      </c>
      <c r="D5172" s="22">
        <v>46295</v>
      </c>
      <c r="E5172" s="23">
        <v>36</v>
      </c>
      <c r="F5172" s="3">
        <f t="shared" si="805"/>
        <v>41972260.240932353</v>
      </c>
      <c r="G5172" s="3">
        <f t="shared" si="809"/>
        <v>1499706.4801022755</v>
      </c>
      <c r="H5172" s="3">
        <f t="shared" si="806"/>
        <v>349768.83534110291</v>
      </c>
      <c r="I5172" s="3">
        <f t="shared" si="803"/>
        <v>1149937.6447611726</v>
      </c>
      <c r="J5172" s="3">
        <f t="shared" si="804"/>
        <v>40822322.596171178</v>
      </c>
    </row>
    <row r="5173" spans="2:10" x14ac:dyDescent="0.35">
      <c r="B5173" s="1">
        <f t="shared" si="808"/>
        <v>30</v>
      </c>
      <c r="C5173" s="22">
        <v>46296</v>
      </c>
      <c r="D5173" s="22">
        <v>46326</v>
      </c>
      <c r="E5173" s="23">
        <v>37</v>
      </c>
      <c r="F5173" s="3">
        <f t="shared" si="805"/>
        <v>40822322.596171178</v>
      </c>
      <c r="G5173" s="3">
        <f t="shared" si="809"/>
        <v>1499706.4801022755</v>
      </c>
      <c r="H5173" s="3">
        <f t="shared" si="806"/>
        <v>340186.02163475979</v>
      </c>
      <c r="I5173" s="3">
        <f t="shared" si="803"/>
        <v>1159520.4584675157</v>
      </c>
      <c r="J5173" s="3">
        <f t="shared" si="804"/>
        <v>39662802.137703665</v>
      </c>
    </row>
    <row r="5174" spans="2:10" x14ac:dyDescent="0.35">
      <c r="B5174" s="1">
        <f t="shared" si="808"/>
        <v>31</v>
      </c>
      <c r="C5174" s="22">
        <v>46327</v>
      </c>
      <c r="D5174" s="22">
        <v>46356</v>
      </c>
      <c r="E5174" s="23">
        <v>38</v>
      </c>
      <c r="F5174" s="3">
        <f t="shared" si="805"/>
        <v>39662802.137703665</v>
      </c>
      <c r="G5174" s="3">
        <f t="shared" si="809"/>
        <v>1499706.4801022755</v>
      </c>
      <c r="H5174" s="3">
        <f t="shared" si="806"/>
        <v>330523.35114753054</v>
      </c>
      <c r="I5174" s="3">
        <f t="shared" si="803"/>
        <v>1169183.1289547449</v>
      </c>
      <c r="J5174" s="3">
        <f t="shared" si="804"/>
        <v>38493619.008748919</v>
      </c>
    </row>
    <row r="5175" spans="2:10" x14ac:dyDescent="0.35">
      <c r="B5175" s="1">
        <f t="shared" si="808"/>
        <v>32</v>
      </c>
      <c r="C5175" s="22">
        <v>46357</v>
      </c>
      <c r="D5175" s="22">
        <v>46387</v>
      </c>
      <c r="E5175" s="23">
        <v>39</v>
      </c>
      <c r="F5175" s="3">
        <f t="shared" si="805"/>
        <v>38493619.008748919</v>
      </c>
      <c r="G5175" s="3">
        <f t="shared" si="809"/>
        <v>1499706.4801022755</v>
      </c>
      <c r="H5175" s="3">
        <f t="shared" si="806"/>
        <v>320780.15840624098</v>
      </c>
      <c r="I5175" s="3">
        <f t="shared" ref="I5175:I5203" si="810">G5175-H5175</f>
        <v>1178926.3216960346</v>
      </c>
      <c r="J5175" s="3">
        <f t="shared" ref="J5175:J5203" si="811">F5175-I5175</f>
        <v>37314692.687052883</v>
      </c>
    </row>
    <row r="5176" spans="2:10" x14ac:dyDescent="0.35">
      <c r="B5176" s="1">
        <f t="shared" si="808"/>
        <v>33</v>
      </c>
      <c r="C5176" s="22">
        <v>46388</v>
      </c>
      <c r="D5176" s="22">
        <v>46418</v>
      </c>
      <c r="E5176" s="23">
        <v>40</v>
      </c>
      <c r="F5176" s="3">
        <f t="shared" ref="F5176:F5203" si="812">J5175</f>
        <v>37314692.687052883</v>
      </c>
      <c r="G5176" s="3">
        <f t="shared" si="809"/>
        <v>1499706.4801022755</v>
      </c>
      <c r="H5176" s="3">
        <f t="shared" ref="H5176:H5203" si="813">($D$5135/$D$5137*F5176)</f>
        <v>310955.77239210735</v>
      </c>
      <c r="I5176" s="3">
        <f t="shared" si="810"/>
        <v>1188750.7077101681</v>
      </c>
      <c r="J5176" s="3">
        <f t="shared" si="811"/>
        <v>36125941.979342714</v>
      </c>
    </row>
    <row r="5177" spans="2:10" x14ac:dyDescent="0.35">
      <c r="B5177" s="1">
        <f t="shared" si="808"/>
        <v>34</v>
      </c>
      <c r="C5177" s="22">
        <v>46419</v>
      </c>
      <c r="D5177" s="22">
        <v>46446</v>
      </c>
      <c r="E5177" s="23">
        <v>41</v>
      </c>
      <c r="F5177" s="3">
        <f t="shared" si="812"/>
        <v>36125941.979342714</v>
      </c>
      <c r="G5177" s="3">
        <f t="shared" si="809"/>
        <v>1499706.4801022755</v>
      </c>
      <c r="H5177" s="3">
        <f t="shared" si="813"/>
        <v>301049.51649452263</v>
      </c>
      <c r="I5177" s="3">
        <f t="shared" si="810"/>
        <v>1198656.9636077529</v>
      </c>
      <c r="J5177" s="3">
        <f t="shared" si="811"/>
        <v>34927285.015734963</v>
      </c>
    </row>
    <row r="5178" spans="2:10" x14ac:dyDescent="0.35">
      <c r="B5178" s="1">
        <f t="shared" ref="B5178:B5203" si="814">+B5177+1</f>
        <v>35</v>
      </c>
      <c r="C5178" s="22">
        <v>46447</v>
      </c>
      <c r="D5178" s="22">
        <v>46477</v>
      </c>
      <c r="E5178" s="23">
        <v>42</v>
      </c>
      <c r="F5178" s="3">
        <f t="shared" si="812"/>
        <v>34927285.015734963</v>
      </c>
      <c r="G5178" s="3">
        <f t="shared" si="809"/>
        <v>1499706.4801022755</v>
      </c>
      <c r="H5178" s="3">
        <f t="shared" si="813"/>
        <v>291060.708464458</v>
      </c>
      <c r="I5178" s="3">
        <f t="shared" si="810"/>
        <v>1208645.7716378174</v>
      </c>
      <c r="J5178" s="3">
        <f t="shared" si="811"/>
        <v>33718639.244097143</v>
      </c>
    </row>
    <row r="5179" spans="2:10" x14ac:dyDescent="0.35">
      <c r="B5179" s="1">
        <f t="shared" si="814"/>
        <v>36</v>
      </c>
      <c r="C5179" s="22">
        <v>46478</v>
      </c>
      <c r="D5179" s="22">
        <v>46507</v>
      </c>
      <c r="E5179" s="23">
        <v>43</v>
      </c>
      <c r="F5179" s="3">
        <f t="shared" si="812"/>
        <v>33718639.244097143</v>
      </c>
      <c r="G5179" s="3">
        <f t="shared" si="809"/>
        <v>1499706.4801022755</v>
      </c>
      <c r="H5179" s="3">
        <f t="shared" si="813"/>
        <v>280988.66036747617</v>
      </c>
      <c r="I5179" s="3">
        <f t="shared" si="810"/>
        <v>1218717.8197347992</v>
      </c>
      <c r="J5179" s="3">
        <f t="shared" si="811"/>
        <v>32499921.424362343</v>
      </c>
    </row>
    <row r="5180" spans="2:10" x14ac:dyDescent="0.35">
      <c r="B5180" s="1">
        <f t="shared" si="814"/>
        <v>37</v>
      </c>
      <c r="C5180" s="22">
        <v>46508</v>
      </c>
      <c r="D5180" s="22">
        <v>46538</v>
      </c>
      <c r="E5180" s="23">
        <v>44</v>
      </c>
      <c r="F5180" s="3">
        <f t="shared" si="812"/>
        <v>32499921.424362343</v>
      </c>
      <c r="G5180" s="3">
        <f t="shared" si="809"/>
        <v>1499706.4801022755</v>
      </c>
      <c r="H5180" s="3">
        <f t="shared" si="813"/>
        <v>270832.67853635288</v>
      </c>
      <c r="I5180" s="3">
        <f t="shared" si="810"/>
        <v>1228873.8015659226</v>
      </c>
      <c r="J5180" s="3">
        <f t="shared" si="811"/>
        <v>31271047.62279642</v>
      </c>
    </row>
    <row r="5181" spans="2:10" x14ac:dyDescent="0.35">
      <c r="B5181" s="1">
        <f t="shared" si="814"/>
        <v>38</v>
      </c>
      <c r="C5181" s="22">
        <v>46539</v>
      </c>
      <c r="D5181" s="22">
        <v>46568</v>
      </c>
      <c r="E5181" s="23">
        <v>45</v>
      </c>
      <c r="F5181" s="3">
        <f t="shared" si="812"/>
        <v>31271047.62279642</v>
      </c>
      <c r="G5181" s="3">
        <f t="shared" si="809"/>
        <v>1499706.4801022755</v>
      </c>
      <c r="H5181" s="3">
        <f t="shared" si="813"/>
        <v>260592.06352330348</v>
      </c>
      <c r="I5181" s="3">
        <f t="shared" si="810"/>
        <v>1239114.416578972</v>
      </c>
      <c r="J5181" s="3">
        <f t="shared" si="811"/>
        <v>30031933.206217449</v>
      </c>
    </row>
    <row r="5182" spans="2:10" x14ac:dyDescent="0.35">
      <c r="B5182" s="1">
        <f t="shared" si="814"/>
        <v>39</v>
      </c>
      <c r="C5182" s="22">
        <v>46569</v>
      </c>
      <c r="D5182" s="22">
        <v>46599</v>
      </c>
      <c r="E5182" s="23">
        <v>46</v>
      </c>
      <c r="F5182" s="3">
        <f t="shared" si="812"/>
        <v>30031933.206217449</v>
      </c>
      <c r="G5182" s="3">
        <f t="shared" ref="G5182:G5203" si="815">-PMT($D$5135/$D$5137,54,$F$5150,,0)</f>
        <v>1499706.4801022755</v>
      </c>
      <c r="H5182" s="3">
        <f t="shared" si="813"/>
        <v>250266.11005181208</v>
      </c>
      <c r="I5182" s="3">
        <f t="shared" si="810"/>
        <v>1249440.3700504634</v>
      </c>
      <c r="J5182" s="3">
        <f t="shared" si="811"/>
        <v>28782492.836166985</v>
      </c>
    </row>
    <row r="5183" spans="2:10" x14ac:dyDescent="0.35">
      <c r="B5183" s="1">
        <f t="shared" si="814"/>
        <v>40</v>
      </c>
      <c r="C5183" s="22">
        <v>46600</v>
      </c>
      <c r="D5183" s="22">
        <v>46630</v>
      </c>
      <c r="E5183" s="23">
        <v>47</v>
      </c>
      <c r="F5183" s="3">
        <f t="shared" si="812"/>
        <v>28782492.836166985</v>
      </c>
      <c r="G5183" s="3">
        <f t="shared" si="815"/>
        <v>1499706.4801022755</v>
      </c>
      <c r="H5183" s="3">
        <f t="shared" si="813"/>
        <v>239854.10696805821</v>
      </c>
      <c r="I5183" s="3">
        <f t="shared" si="810"/>
        <v>1259852.3731342172</v>
      </c>
      <c r="J5183" s="3">
        <f t="shared" si="811"/>
        <v>27522640.463032767</v>
      </c>
    </row>
    <row r="5184" spans="2:10" x14ac:dyDescent="0.35">
      <c r="B5184" s="1">
        <f t="shared" si="814"/>
        <v>41</v>
      </c>
      <c r="C5184" s="22">
        <v>46631</v>
      </c>
      <c r="D5184" s="22">
        <v>46660</v>
      </c>
      <c r="E5184" s="23">
        <v>48</v>
      </c>
      <c r="F5184" s="3">
        <f t="shared" si="812"/>
        <v>27522640.463032767</v>
      </c>
      <c r="G5184" s="3">
        <f t="shared" si="815"/>
        <v>1499706.4801022755</v>
      </c>
      <c r="H5184" s="3">
        <f t="shared" si="813"/>
        <v>229355.33719193973</v>
      </c>
      <c r="I5184" s="3">
        <f t="shared" si="810"/>
        <v>1270351.1429103357</v>
      </c>
      <c r="J5184" s="3">
        <f t="shared" si="811"/>
        <v>26252289.320122432</v>
      </c>
    </row>
    <row r="5185" spans="2:10" x14ac:dyDescent="0.35">
      <c r="B5185" s="1">
        <f t="shared" si="814"/>
        <v>42</v>
      </c>
      <c r="C5185" s="22">
        <v>46661</v>
      </c>
      <c r="D5185" s="22">
        <v>46691</v>
      </c>
      <c r="E5185" s="23">
        <v>49</v>
      </c>
      <c r="F5185" s="3">
        <f t="shared" si="812"/>
        <v>26252289.320122432</v>
      </c>
      <c r="G5185" s="3">
        <f t="shared" si="815"/>
        <v>1499706.4801022755</v>
      </c>
      <c r="H5185" s="3">
        <f t="shared" si="813"/>
        <v>218769.07766768694</v>
      </c>
      <c r="I5185" s="3">
        <f t="shared" si="810"/>
        <v>1280937.4024345886</v>
      </c>
      <c r="J5185" s="3">
        <f t="shared" si="811"/>
        <v>24971351.917687844</v>
      </c>
    </row>
    <row r="5186" spans="2:10" x14ac:dyDescent="0.35">
      <c r="B5186" s="1">
        <f t="shared" si="814"/>
        <v>43</v>
      </c>
      <c r="C5186" s="22">
        <v>46692</v>
      </c>
      <c r="D5186" s="22">
        <v>46721</v>
      </c>
      <c r="E5186" s="23">
        <v>50</v>
      </c>
      <c r="F5186" s="3">
        <f t="shared" si="812"/>
        <v>24971351.917687844</v>
      </c>
      <c r="G5186" s="3">
        <f t="shared" si="815"/>
        <v>1499706.4801022755</v>
      </c>
      <c r="H5186" s="3">
        <f t="shared" si="813"/>
        <v>208094.59931406536</v>
      </c>
      <c r="I5186" s="3">
        <f t="shared" si="810"/>
        <v>1291611.8807882101</v>
      </c>
      <c r="J5186" s="3">
        <f t="shared" si="811"/>
        <v>23679740.036899634</v>
      </c>
    </row>
    <row r="5187" spans="2:10" x14ac:dyDescent="0.35">
      <c r="B5187" s="1">
        <f t="shared" si="814"/>
        <v>44</v>
      </c>
      <c r="C5187" s="22">
        <v>46722</v>
      </c>
      <c r="D5187" s="22">
        <v>46752</v>
      </c>
      <c r="E5187" s="23">
        <v>51</v>
      </c>
      <c r="F5187" s="3">
        <f t="shared" si="812"/>
        <v>23679740.036899634</v>
      </c>
      <c r="G5187" s="3">
        <f t="shared" si="815"/>
        <v>1499706.4801022755</v>
      </c>
      <c r="H5187" s="3">
        <f t="shared" si="813"/>
        <v>197331.16697416361</v>
      </c>
      <c r="I5187" s="3">
        <f t="shared" si="810"/>
        <v>1302375.3131281119</v>
      </c>
      <c r="J5187" s="3">
        <f t="shared" si="811"/>
        <v>22377364.72377152</v>
      </c>
    </row>
    <row r="5188" spans="2:10" x14ac:dyDescent="0.35">
      <c r="B5188" s="1">
        <f t="shared" si="814"/>
        <v>45</v>
      </c>
      <c r="C5188" s="22">
        <v>46753</v>
      </c>
      <c r="D5188" s="22">
        <v>46783</v>
      </c>
      <c r="E5188" s="23">
        <v>52</v>
      </c>
      <c r="F5188" s="3">
        <f t="shared" si="812"/>
        <v>22377364.72377152</v>
      </c>
      <c r="G5188" s="3">
        <f t="shared" si="815"/>
        <v>1499706.4801022755</v>
      </c>
      <c r="H5188" s="3">
        <f t="shared" si="813"/>
        <v>186478.03936476266</v>
      </c>
      <c r="I5188" s="3">
        <f t="shared" si="810"/>
        <v>1313228.4407375129</v>
      </c>
      <c r="J5188" s="3">
        <f t="shared" si="811"/>
        <v>21064136.283034008</v>
      </c>
    </row>
    <row r="5189" spans="2:10" x14ac:dyDescent="0.35">
      <c r="B5189" s="1">
        <f t="shared" si="814"/>
        <v>46</v>
      </c>
      <c r="C5189" s="22">
        <v>46784</v>
      </c>
      <c r="D5189" s="22">
        <v>46812</v>
      </c>
      <c r="E5189" s="23">
        <v>53</v>
      </c>
      <c r="F5189" s="3">
        <f t="shared" si="812"/>
        <v>21064136.283034008</v>
      </c>
      <c r="G5189" s="3">
        <f t="shared" si="815"/>
        <v>1499706.4801022755</v>
      </c>
      <c r="H5189" s="3">
        <f t="shared" si="813"/>
        <v>175534.46902528341</v>
      </c>
      <c r="I5189" s="3">
        <f t="shared" si="810"/>
        <v>1324172.0110769921</v>
      </c>
      <c r="J5189" s="3">
        <f t="shared" si="811"/>
        <v>19739964.271957017</v>
      </c>
    </row>
    <row r="5190" spans="2:10" x14ac:dyDescent="0.35">
      <c r="B5190" s="1">
        <f t="shared" si="814"/>
        <v>47</v>
      </c>
      <c r="C5190" s="22">
        <v>46813</v>
      </c>
      <c r="D5190" s="22">
        <v>46843</v>
      </c>
      <c r="E5190" s="23">
        <v>54</v>
      </c>
      <c r="F5190" s="3">
        <f t="shared" si="812"/>
        <v>19739964.271957017</v>
      </c>
      <c r="G5190" s="3">
        <f t="shared" si="815"/>
        <v>1499706.4801022755</v>
      </c>
      <c r="H5190" s="3">
        <f t="shared" si="813"/>
        <v>164499.70226630848</v>
      </c>
      <c r="I5190" s="3">
        <f t="shared" si="810"/>
        <v>1335206.777835967</v>
      </c>
      <c r="J5190" s="3">
        <f t="shared" si="811"/>
        <v>18404757.494121052</v>
      </c>
    </row>
    <row r="5191" spans="2:10" x14ac:dyDescent="0.35">
      <c r="B5191" s="1">
        <f t="shared" si="814"/>
        <v>48</v>
      </c>
      <c r="C5191" s="22">
        <v>46844</v>
      </c>
      <c r="D5191" s="22">
        <v>46873</v>
      </c>
      <c r="E5191" s="23">
        <v>55</v>
      </c>
      <c r="F5191" s="3">
        <f t="shared" si="812"/>
        <v>18404757.494121052</v>
      </c>
      <c r="G5191" s="3">
        <f t="shared" si="815"/>
        <v>1499706.4801022755</v>
      </c>
      <c r="H5191" s="3">
        <f t="shared" si="813"/>
        <v>153372.97911767542</v>
      </c>
      <c r="I5191" s="3">
        <f t="shared" si="810"/>
        <v>1346333.5009846</v>
      </c>
      <c r="J5191" s="3">
        <f t="shared" si="811"/>
        <v>17058423.993136451</v>
      </c>
    </row>
    <row r="5192" spans="2:10" x14ac:dyDescent="0.35">
      <c r="B5192" s="1">
        <f t="shared" si="814"/>
        <v>49</v>
      </c>
      <c r="C5192" s="22">
        <v>46874</v>
      </c>
      <c r="D5192" s="22">
        <v>46904</v>
      </c>
      <c r="E5192" s="23">
        <v>56</v>
      </c>
      <c r="F5192" s="3">
        <f t="shared" si="812"/>
        <v>17058423.993136451</v>
      </c>
      <c r="G5192" s="3">
        <f t="shared" si="815"/>
        <v>1499706.4801022755</v>
      </c>
      <c r="H5192" s="3">
        <f t="shared" si="813"/>
        <v>142153.53327613708</v>
      </c>
      <c r="I5192" s="3">
        <f t="shared" si="810"/>
        <v>1357552.9468261385</v>
      </c>
      <c r="J5192" s="3">
        <f t="shared" si="811"/>
        <v>15700871.046310313</v>
      </c>
    </row>
    <row r="5193" spans="2:10" x14ac:dyDescent="0.35">
      <c r="B5193" s="1">
        <f t="shared" si="814"/>
        <v>50</v>
      </c>
      <c r="C5193" s="22">
        <v>46905</v>
      </c>
      <c r="D5193" s="22">
        <v>46934</v>
      </c>
      <c r="E5193" s="23">
        <v>57</v>
      </c>
      <c r="F5193" s="3">
        <f t="shared" si="812"/>
        <v>15700871.046310313</v>
      </c>
      <c r="G5193" s="3">
        <f t="shared" si="815"/>
        <v>1499706.4801022755</v>
      </c>
      <c r="H5193" s="3">
        <f t="shared" si="813"/>
        <v>130840.59205258594</v>
      </c>
      <c r="I5193" s="3">
        <f t="shared" si="810"/>
        <v>1368865.8880496896</v>
      </c>
      <c r="J5193" s="3">
        <f t="shared" si="811"/>
        <v>14332005.158260623</v>
      </c>
    </row>
    <row r="5194" spans="2:10" x14ac:dyDescent="0.35">
      <c r="B5194" s="1">
        <f t="shared" si="814"/>
        <v>51</v>
      </c>
      <c r="C5194" s="22">
        <v>46935</v>
      </c>
      <c r="D5194" s="22">
        <v>46965</v>
      </c>
      <c r="E5194" s="23">
        <v>58</v>
      </c>
      <c r="F5194" s="3">
        <f t="shared" si="812"/>
        <v>14332005.158260623</v>
      </c>
      <c r="G5194" s="3">
        <f t="shared" si="815"/>
        <v>1499706.4801022755</v>
      </c>
      <c r="H5194" s="3">
        <f t="shared" si="813"/>
        <v>119433.37631883852</v>
      </c>
      <c r="I5194" s="3">
        <f t="shared" si="810"/>
        <v>1380273.1037834371</v>
      </c>
      <c r="J5194" s="3">
        <f t="shared" si="811"/>
        <v>12951732.054477185</v>
      </c>
    </row>
    <row r="5195" spans="2:10" x14ac:dyDescent="0.35">
      <c r="B5195" s="1">
        <f t="shared" si="814"/>
        <v>52</v>
      </c>
      <c r="C5195" s="22">
        <v>46966</v>
      </c>
      <c r="D5195" s="22">
        <v>46996</v>
      </c>
      <c r="E5195" s="23">
        <v>59</v>
      </c>
      <c r="F5195" s="3">
        <f t="shared" si="812"/>
        <v>12951732.054477185</v>
      </c>
      <c r="G5195" s="3">
        <f t="shared" si="815"/>
        <v>1499706.4801022755</v>
      </c>
      <c r="H5195" s="3">
        <f t="shared" si="813"/>
        <v>107931.10045397654</v>
      </c>
      <c r="I5195" s="3">
        <f t="shared" si="810"/>
        <v>1391775.379648299</v>
      </c>
      <c r="J5195" s="3">
        <f t="shared" si="811"/>
        <v>11559956.674828887</v>
      </c>
    </row>
    <row r="5196" spans="2:10" x14ac:dyDescent="0.35">
      <c r="B5196" s="1">
        <f t="shared" si="814"/>
        <v>53</v>
      </c>
      <c r="C5196" s="22">
        <v>46997</v>
      </c>
      <c r="D5196" s="22">
        <v>47026</v>
      </c>
      <c r="E5196" s="23">
        <v>60</v>
      </c>
      <c r="F5196" s="3">
        <f t="shared" si="812"/>
        <v>11559956.674828887</v>
      </c>
      <c r="G5196" s="3">
        <f t="shared" si="815"/>
        <v>1499706.4801022755</v>
      </c>
      <c r="H5196" s="3">
        <f t="shared" si="813"/>
        <v>96332.972290240723</v>
      </c>
      <c r="I5196" s="3">
        <f t="shared" si="810"/>
        <v>1403373.5078120348</v>
      </c>
      <c r="J5196" s="3">
        <f t="shared" si="811"/>
        <v>10156583.167016853</v>
      </c>
    </row>
    <row r="5197" spans="2:10" x14ac:dyDescent="0.35">
      <c r="B5197" s="1">
        <f t="shared" si="814"/>
        <v>54</v>
      </c>
      <c r="C5197" s="22">
        <v>47027</v>
      </c>
      <c r="D5197" s="22">
        <v>47057</v>
      </c>
      <c r="E5197" s="23">
        <v>61</v>
      </c>
      <c r="F5197" s="3">
        <f t="shared" si="812"/>
        <v>10156583.167016853</v>
      </c>
      <c r="G5197" s="3">
        <f t="shared" si="815"/>
        <v>1499706.4801022755</v>
      </c>
      <c r="H5197" s="3">
        <f t="shared" si="813"/>
        <v>84638.193058473771</v>
      </c>
      <c r="I5197" s="3">
        <f t="shared" si="810"/>
        <v>1415068.2870438017</v>
      </c>
      <c r="J5197" s="3">
        <f t="shared" si="811"/>
        <v>8741514.8799730502</v>
      </c>
    </row>
    <row r="5198" spans="2:10" x14ac:dyDescent="0.35">
      <c r="B5198" s="1">
        <f t="shared" si="814"/>
        <v>55</v>
      </c>
      <c r="C5198" s="22">
        <v>47058</v>
      </c>
      <c r="D5198" s="22">
        <v>47087</v>
      </c>
      <c r="E5198" s="23">
        <v>62</v>
      </c>
      <c r="F5198" s="3">
        <f t="shared" si="812"/>
        <v>8741514.8799730502</v>
      </c>
      <c r="G5198" s="3">
        <f t="shared" si="815"/>
        <v>1499706.4801022755</v>
      </c>
      <c r="H5198" s="3">
        <f t="shared" si="813"/>
        <v>72845.957333108745</v>
      </c>
      <c r="I5198" s="3">
        <f t="shared" si="810"/>
        <v>1426860.5227691669</v>
      </c>
      <c r="J5198" s="3">
        <f t="shared" si="811"/>
        <v>7314654.3572038831</v>
      </c>
    </row>
    <row r="5199" spans="2:10" x14ac:dyDescent="0.35">
      <c r="B5199" s="1">
        <f t="shared" si="814"/>
        <v>56</v>
      </c>
      <c r="C5199" s="22">
        <v>47088</v>
      </c>
      <c r="D5199" s="22">
        <v>47118</v>
      </c>
      <c r="E5199" s="23">
        <v>63</v>
      </c>
      <c r="F5199" s="3">
        <f t="shared" si="812"/>
        <v>7314654.3572038831</v>
      </c>
      <c r="G5199" s="3">
        <f t="shared" si="815"/>
        <v>1499706.4801022755</v>
      </c>
      <c r="H5199" s="3">
        <f t="shared" si="813"/>
        <v>60955.452976699024</v>
      </c>
      <c r="I5199" s="3">
        <f t="shared" si="810"/>
        <v>1438751.0271255765</v>
      </c>
      <c r="J5199" s="3">
        <f t="shared" si="811"/>
        <v>5875903.3300783066</v>
      </c>
    </row>
    <row r="5200" spans="2:10" x14ac:dyDescent="0.35">
      <c r="B5200" s="1">
        <f t="shared" si="814"/>
        <v>57</v>
      </c>
      <c r="C5200" s="22">
        <v>47119</v>
      </c>
      <c r="D5200" s="22">
        <v>47149</v>
      </c>
      <c r="E5200" s="23">
        <v>64</v>
      </c>
      <c r="F5200" s="3">
        <f t="shared" si="812"/>
        <v>5875903.3300783066</v>
      </c>
      <c r="G5200" s="3">
        <f t="shared" si="815"/>
        <v>1499706.4801022755</v>
      </c>
      <c r="H5200" s="3">
        <f t="shared" si="813"/>
        <v>48965.861083985888</v>
      </c>
      <c r="I5200" s="3">
        <f t="shared" si="810"/>
        <v>1450740.6190182897</v>
      </c>
      <c r="J5200" s="3">
        <f t="shared" si="811"/>
        <v>4425162.7110600173</v>
      </c>
    </row>
    <row r="5201" spans="2:19" x14ac:dyDescent="0.35">
      <c r="B5201" s="1">
        <f t="shared" si="814"/>
        <v>58</v>
      </c>
      <c r="C5201" s="22">
        <v>47150</v>
      </c>
      <c r="D5201" s="22">
        <v>47177</v>
      </c>
      <c r="E5201" s="23">
        <v>65</v>
      </c>
      <c r="F5201" s="3">
        <f t="shared" si="812"/>
        <v>4425162.7110600173</v>
      </c>
      <c r="G5201" s="3">
        <f t="shared" si="815"/>
        <v>1499706.4801022755</v>
      </c>
      <c r="H5201" s="3">
        <f t="shared" si="813"/>
        <v>36876.355925500146</v>
      </c>
      <c r="I5201" s="3">
        <f t="shared" si="810"/>
        <v>1462830.1241767753</v>
      </c>
      <c r="J5201" s="3">
        <f t="shared" si="811"/>
        <v>2962332.5868832422</v>
      </c>
    </row>
    <row r="5202" spans="2:19" x14ac:dyDescent="0.35">
      <c r="B5202" s="1">
        <f t="shared" si="814"/>
        <v>59</v>
      </c>
      <c r="C5202" s="22">
        <v>47178</v>
      </c>
      <c r="D5202" s="22">
        <v>47208</v>
      </c>
      <c r="E5202" s="23">
        <v>66</v>
      </c>
      <c r="F5202" s="3">
        <f t="shared" si="812"/>
        <v>2962332.5868832422</v>
      </c>
      <c r="G5202" s="3">
        <f t="shared" si="815"/>
        <v>1499706.4801022755</v>
      </c>
      <c r="H5202" s="3">
        <f t="shared" si="813"/>
        <v>24686.104890693685</v>
      </c>
      <c r="I5202" s="3">
        <f t="shared" si="810"/>
        <v>1475020.3752115818</v>
      </c>
      <c r="J5202" s="3">
        <f t="shared" si="811"/>
        <v>1487312.2116716604</v>
      </c>
    </row>
    <row r="5203" spans="2:19" x14ac:dyDescent="0.35">
      <c r="B5203" s="1">
        <f t="shared" si="814"/>
        <v>60</v>
      </c>
      <c r="C5203" s="22">
        <v>47209</v>
      </c>
      <c r="D5203" s="22">
        <v>47238</v>
      </c>
      <c r="E5203" s="23">
        <v>67</v>
      </c>
      <c r="F5203" s="3">
        <f t="shared" si="812"/>
        <v>1487312.2116716604</v>
      </c>
      <c r="G5203" s="3">
        <f t="shared" si="815"/>
        <v>1499706.4801022755</v>
      </c>
      <c r="H5203" s="3">
        <f t="shared" si="813"/>
        <v>12394.268430597171</v>
      </c>
      <c r="I5203" s="3">
        <f t="shared" si="810"/>
        <v>1487312.2116716783</v>
      </c>
      <c r="J5203" s="3">
        <f t="shared" si="811"/>
        <v>-1.7927959561347961E-8</v>
      </c>
    </row>
    <row r="5208" spans="2:19" x14ac:dyDescent="0.35">
      <c r="B5208" s="1"/>
      <c r="C5208" s="8" t="s">
        <v>523</v>
      </c>
      <c r="D5208" s="3"/>
      <c r="E5208" s="3"/>
      <c r="F5208" s="3"/>
      <c r="G5208" s="3"/>
      <c r="H5208" s="3"/>
      <c r="I5208" s="3"/>
      <c r="J5208" s="3"/>
      <c r="R5208" s="438" t="s">
        <v>832</v>
      </c>
      <c r="S5208" s="432" t="str">
        <f>IFERROR(INDEX(Blocks!$I$2:$I$101,MATCH(95,Blocks!$A$2:$A$101,0)),"")</f>
        <v>000104430000062</v>
      </c>
    </row>
    <row r="5209" spans="2:19" x14ac:dyDescent="0.35">
      <c r="B5209" s="1"/>
      <c r="C5209" s="1"/>
      <c r="D5209" s="3"/>
      <c r="E5209" s="3" t="s">
        <v>953</v>
      </c>
      <c r="F5209" s="3"/>
      <c r="G5209" s="3"/>
      <c r="H5209" s="3"/>
      <c r="I5209" s="3"/>
      <c r="J5209" s="3"/>
      <c r="R5209" s="438" t="s">
        <v>834</v>
      </c>
      <c r="S5209" s="432" t="str">
        <f>IFERROR(INDEX(Blocks!$H$2:$H$101,MATCH(95,Blocks!$A$2:$A$101,0)),"")</f>
        <v>Infracon Limited</v>
      </c>
    </row>
    <row r="5210" spans="2:19" x14ac:dyDescent="0.35">
      <c r="B5210" s="1"/>
      <c r="C5210" s="9" t="s">
        <v>835</v>
      </c>
      <c r="D5210" s="10">
        <f>331045000+31045000</f>
        <v>362090000</v>
      </c>
      <c r="E5210" s="3">
        <f>+'Loan Book'!M102-'Amortisation and Repayments'!D5210</f>
        <v>265656500</v>
      </c>
      <c r="F5210" s="3"/>
      <c r="G5210" s="3"/>
      <c r="H5210" s="3"/>
      <c r="I5210" s="3"/>
      <c r="J5210" s="3"/>
      <c r="R5210" s="438" t="s">
        <v>223</v>
      </c>
      <c r="S5210" s="433">
        <f>IFERROR(INDEX('E-Banker master'!$N$2:$N$186,MATCH(S5208,'E-Banker master'!$A$2:$A$186,0)),"")</f>
        <v>627746500</v>
      </c>
    </row>
    <row r="5211" spans="2:19" x14ac:dyDescent="0.35">
      <c r="B5211" s="1"/>
      <c r="C5211" s="11" t="s">
        <v>837</v>
      </c>
      <c r="D5211" s="12">
        <v>0.32900000000000001</v>
      </c>
      <c r="E5211" s="13"/>
      <c r="F5211" s="231" t="s">
        <v>865</v>
      </c>
      <c r="G5211" s="231" t="s">
        <v>866</v>
      </c>
      <c r="H5211" s="3"/>
      <c r="I5211" s="3"/>
      <c r="J5211" s="3"/>
      <c r="R5211" s="438" t="s">
        <v>52</v>
      </c>
      <c r="S5211" s="433">
        <f>IFERROR(INDEX('E-Banker master'!$P$2:$P$186,MATCH(S5208,'E-Banker master'!$A$2:$A$186,0)),"")</f>
        <v>726418591.95000005</v>
      </c>
    </row>
    <row r="5212" spans="2:19" x14ac:dyDescent="0.35">
      <c r="B5212" s="1"/>
      <c r="C5212" s="11" t="s">
        <v>838</v>
      </c>
      <c r="D5212" s="14">
        <v>5</v>
      </c>
      <c r="E5212" s="1"/>
      <c r="F5212" s="230">
        <v>45444</v>
      </c>
      <c r="G5212" s="230">
        <v>45474</v>
      </c>
      <c r="H5212" s="3"/>
      <c r="I5212" s="3"/>
      <c r="J5212" s="3"/>
    </row>
    <row r="5213" spans="2:19" x14ac:dyDescent="0.35">
      <c r="B5213" s="1"/>
      <c r="C5213" s="11" t="s">
        <v>839</v>
      </c>
      <c r="D5213" s="14">
        <v>12</v>
      </c>
      <c r="E5213" s="1"/>
      <c r="F5213" s="231" t="s">
        <v>836</v>
      </c>
      <c r="G5213" s="231" t="s">
        <v>836</v>
      </c>
      <c r="H5213" s="3"/>
      <c r="I5213" s="3"/>
      <c r="J5213" s="3"/>
    </row>
    <row r="5214" spans="2:19" x14ac:dyDescent="0.35">
      <c r="B5214" s="1"/>
      <c r="C5214" s="11" t="s">
        <v>843</v>
      </c>
      <c r="D5214" s="15">
        <f>+D5213*D5212</f>
        <v>60</v>
      </c>
      <c r="E5214" s="1"/>
      <c r="F5214" s="13">
        <f>D5211+0.1%</f>
        <v>0.33</v>
      </c>
      <c r="G5214" s="13">
        <f>F5214+0.3%</f>
        <v>0.33300000000000002</v>
      </c>
      <c r="H5214" s="3"/>
      <c r="I5214" s="3"/>
      <c r="J5214" s="3"/>
    </row>
    <row r="5215" spans="2:19" x14ac:dyDescent="0.35">
      <c r="B5215" s="1"/>
      <c r="C5215" s="11" t="s">
        <v>844</v>
      </c>
      <c r="D5215" s="16">
        <v>365</v>
      </c>
      <c r="E5215" s="1"/>
      <c r="F5215" s="3"/>
      <c r="G5215" s="3"/>
      <c r="H5215" s="3"/>
      <c r="I5215" s="3"/>
      <c r="J5215" s="3"/>
    </row>
    <row r="5216" spans="2:19" x14ac:dyDescent="0.35">
      <c r="B5216" s="1"/>
      <c r="C5216" s="17" t="s">
        <v>845</v>
      </c>
      <c r="D5216" s="220">
        <f>-PMT(D5211/D5213,D5214,D5210,0,0)</f>
        <v>12367921.80513666</v>
      </c>
      <c r="E5216" s="3"/>
      <c r="F5216" s="3"/>
      <c r="G5216" s="3"/>
      <c r="H5216" s="3"/>
      <c r="I5216" s="3"/>
      <c r="J5216" s="3"/>
    </row>
    <row r="5217" spans="2:14" x14ac:dyDescent="0.35">
      <c r="B5217" s="1"/>
      <c r="C5217" s="1"/>
      <c r="D5217" s="3"/>
      <c r="E5217" s="3"/>
      <c r="F5217" s="3"/>
      <c r="G5217" s="3"/>
      <c r="H5217" s="3"/>
      <c r="I5217" s="3"/>
      <c r="J5217" s="3"/>
    </row>
    <row r="5218" spans="2:14" x14ac:dyDescent="0.35">
      <c r="B5218" s="1"/>
      <c r="C5218" s="19" t="s">
        <v>846</v>
      </c>
      <c r="D5218" s="20" t="s">
        <v>847</v>
      </c>
      <c r="E5218" s="20" t="s">
        <v>764</v>
      </c>
      <c r="F5218" s="270" t="s">
        <v>848</v>
      </c>
      <c r="G5218" s="270" t="s">
        <v>849</v>
      </c>
      <c r="H5218" s="270" t="s">
        <v>742</v>
      </c>
      <c r="I5218" s="270" t="s">
        <v>740</v>
      </c>
      <c r="J5218" s="270" t="s">
        <v>850</v>
      </c>
      <c r="K5218" s="21" t="s">
        <v>851</v>
      </c>
      <c r="L5218" s="21" t="s">
        <v>852</v>
      </c>
    </row>
    <row r="5219" spans="2:14" x14ac:dyDescent="0.35">
      <c r="B5219" s="1">
        <v>0</v>
      </c>
      <c r="C5219" s="22">
        <v>45425</v>
      </c>
      <c r="D5219" s="22">
        <v>45443</v>
      </c>
      <c r="E5219" s="23">
        <f>31-13</f>
        <v>18</v>
      </c>
      <c r="F5219" s="3">
        <f>D5210</f>
        <v>362090000</v>
      </c>
      <c r="G5219" s="3"/>
      <c r="H5219" s="3">
        <f>($D$5211/$D$5213*F5219*E5219/30)</f>
        <v>5956380.5</v>
      </c>
      <c r="I5219" s="3">
        <f t="shared" ref="I5219:I5250" si="816">G5219-H5219</f>
        <v>-5956380.5</v>
      </c>
      <c r="J5219" s="3">
        <f t="shared" ref="J5219:J5250" si="817">F5219-I5219</f>
        <v>368046380.5</v>
      </c>
      <c r="L5219" s="141"/>
    </row>
    <row r="5220" spans="2:14" x14ac:dyDescent="0.35">
      <c r="B5220" s="1">
        <v>1</v>
      </c>
      <c r="C5220" s="22">
        <v>45444</v>
      </c>
      <c r="D5220" s="22">
        <v>45473</v>
      </c>
      <c r="E5220" s="23">
        <v>31</v>
      </c>
      <c r="F5220" s="3">
        <f>J5219+E5210</f>
        <v>633702880.5</v>
      </c>
      <c r="G5220" s="3"/>
      <c r="H5220" s="3">
        <f>($F$5214/$D$5213*F5220)</f>
        <v>17426829.213750001</v>
      </c>
      <c r="I5220" s="3">
        <f t="shared" si="816"/>
        <v>-17426829.213750001</v>
      </c>
      <c r="J5220" s="3">
        <f t="shared" si="817"/>
        <v>651129709.71375</v>
      </c>
      <c r="K5220" s="7"/>
      <c r="L5220" s="141"/>
    </row>
    <row r="5221" spans="2:14" x14ac:dyDescent="0.35">
      <c r="B5221" s="1">
        <v>2</v>
      </c>
      <c r="C5221" s="22">
        <v>45474</v>
      </c>
      <c r="D5221" s="22">
        <v>45504</v>
      </c>
      <c r="E5221" s="23">
        <v>30</v>
      </c>
      <c r="F5221" s="3">
        <f t="shared" ref="F5221:F5252" si="818">J5220</f>
        <v>651129709.71375</v>
      </c>
      <c r="G5221" s="3"/>
      <c r="H5221" s="3">
        <f t="shared" ref="H5221:H5252" si="819">($G$5214/$D$5213*F5221)</f>
        <v>18068849.444556564</v>
      </c>
      <c r="I5221" s="3">
        <f t="shared" si="816"/>
        <v>-18068849.444556564</v>
      </c>
      <c r="J5221" s="3">
        <f t="shared" si="817"/>
        <v>669198559.1583066</v>
      </c>
      <c r="L5221" s="141"/>
    </row>
    <row r="5222" spans="2:14" x14ac:dyDescent="0.35">
      <c r="B5222" s="1">
        <f t="shared" ref="B5222:B5253" si="820">+B5221+1</f>
        <v>3</v>
      </c>
      <c r="C5222" s="22">
        <v>45505</v>
      </c>
      <c r="D5222" s="22">
        <v>45535</v>
      </c>
      <c r="E5222" s="23">
        <v>31</v>
      </c>
      <c r="F5222" s="3">
        <f t="shared" si="818"/>
        <v>669198559.1583066</v>
      </c>
      <c r="G5222" s="3"/>
      <c r="H5222" s="3">
        <f t="shared" si="819"/>
        <v>18570260.01664301</v>
      </c>
      <c r="I5222" s="3">
        <f t="shared" si="816"/>
        <v>-18570260.01664301</v>
      </c>
      <c r="J5222" s="3">
        <f t="shared" si="817"/>
        <v>687768819.17494965</v>
      </c>
      <c r="L5222" s="141"/>
      <c r="N5222" s="141"/>
    </row>
    <row r="5223" spans="2:14" x14ac:dyDescent="0.35">
      <c r="B5223" s="1">
        <f t="shared" si="820"/>
        <v>4</v>
      </c>
      <c r="C5223" s="22">
        <v>45536</v>
      </c>
      <c r="D5223" s="22">
        <v>45565</v>
      </c>
      <c r="E5223" s="23">
        <v>31</v>
      </c>
      <c r="F5223" s="3">
        <f t="shared" si="818"/>
        <v>687768819.17494965</v>
      </c>
      <c r="G5223" s="3"/>
      <c r="H5223" s="3">
        <f t="shared" si="819"/>
        <v>19085584.732104853</v>
      </c>
      <c r="I5223" s="3">
        <f t="shared" si="816"/>
        <v>-19085584.732104853</v>
      </c>
      <c r="J5223" s="3">
        <f t="shared" si="817"/>
        <v>706854403.90705454</v>
      </c>
      <c r="L5223" s="141"/>
    </row>
    <row r="5224" spans="2:14" x14ac:dyDescent="0.35">
      <c r="B5224" s="1">
        <f t="shared" si="820"/>
        <v>5</v>
      </c>
      <c r="C5224" s="22">
        <v>45566</v>
      </c>
      <c r="D5224" s="22">
        <v>45596</v>
      </c>
      <c r="E5224" s="23">
        <v>30</v>
      </c>
      <c r="F5224" s="3">
        <f t="shared" si="818"/>
        <v>706854403.90705454</v>
      </c>
      <c r="G5224" s="3"/>
      <c r="H5224" s="3">
        <f t="shared" si="819"/>
        <v>19615209.708420765</v>
      </c>
      <c r="I5224" s="3">
        <f t="shared" si="816"/>
        <v>-19615209.708420765</v>
      </c>
      <c r="J5224" s="3">
        <f t="shared" si="817"/>
        <v>726469613.6154753</v>
      </c>
    </row>
    <row r="5225" spans="2:14" x14ac:dyDescent="0.35">
      <c r="B5225" s="1">
        <f t="shared" si="820"/>
        <v>6</v>
      </c>
      <c r="C5225" s="22">
        <v>45597</v>
      </c>
      <c r="D5225" s="22">
        <v>45626</v>
      </c>
      <c r="E5225" s="23">
        <v>31</v>
      </c>
      <c r="F5225" s="3">
        <f t="shared" si="818"/>
        <v>726469613.6154753</v>
      </c>
      <c r="G5225" s="3"/>
      <c r="H5225" s="3">
        <f t="shared" si="819"/>
        <v>20159531.777829438</v>
      </c>
      <c r="I5225" s="3">
        <f t="shared" si="816"/>
        <v>-20159531.777829438</v>
      </c>
      <c r="J5225" s="3">
        <f t="shared" si="817"/>
        <v>746629145.39330471</v>
      </c>
    </row>
    <row r="5226" spans="2:14" x14ac:dyDescent="0.35">
      <c r="B5226" s="1">
        <f t="shared" si="820"/>
        <v>7</v>
      </c>
      <c r="C5226" s="22">
        <v>45627</v>
      </c>
      <c r="D5226" s="22">
        <v>45657</v>
      </c>
      <c r="E5226" s="23">
        <v>30</v>
      </c>
      <c r="F5226" s="3">
        <f t="shared" si="818"/>
        <v>746629145.39330471</v>
      </c>
      <c r="G5226" s="3">
        <f t="shared" ref="G5226:G5257" si="821">-PMT($G$5214/$D$5213,54,$F$5226,,0)</f>
        <v>26840602.431121621</v>
      </c>
      <c r="H5226" s="3">
        <f t="shared" si="819"/>
        <v>20718958.784664206</v>
      </c>
      <c r="I5226" s="3">
        <f t="shared" si="816"/>
        <v>6121643.6464574151</v>
      </c>
      <c r="J5226" s="3">
        <f t="shared" si="817"/>
        <v>740507501.74684727</v>
      </c>
      <c r="L5226" s="141"/>
    </row>
    <row r="5227" spans="2:14" x14ac:dyDescent="0.35">
      <c r="B5227" s="1">
        <f t="shared" si="820"/>
        <v>8</v>
      </c>
      <c r="C5227" s="22">
        <v>45658</v>
      </c>
      <c r="D5227" s="22">
        <v>45688</v>
      </c>
      <c r="E5227" s="23">
        <v>31</v>
      </c>
      <c r="F5227" s="3">
        <f t="shared" si="818"/>
        <v>740507501.74684727</v>
      </c>
      <c r="G5227" s="3">
        <f t="shared" si="821"/>
        <v>26840602.431121621</v>
      </c>
      <c r="H5227" s="3">
        <f t="shared" si="819"/>
        <v>20549083.173475012</v>
      </c>
      <c r="I5227" s="3">
        <f t="shared" si="816"/>
        <v>6291519.2576466091</v>
      </c>
      <c r="J5227" s="3">
        <f t="shared" si="817"/>
        <v>734215982.48920071</v>
      </c>
    </row>
    <row r="5228" spans="2:14" x14ac:dyDescent="0.35">
      <c r="B5228" s="1">
        <f t="shared" si="820"/>
        <v>9</v>
      </c>
      <c r="C5228" s="22">
        <v>45689</v>
      </c>
      <c r="D5228" s="22">
        <v>45716</v>
      </c>
      <c r="E5228" s="23">
        <v>31</v>
      </c>
      <c r="F5228" s="3">
        <f t="shared" si="818"/>
        <v>734215982.48920071</v>
      </c>
      <c r="G5228" s="3">
        <f t="shared" si="821"/>
        <v>26840602.431121621</v>
      </c>
      <c r="H5228" s="3">
        <f t="shared" si="819"/>
        <v>20374493.51407532</v>
      </c>
      <c r="I5228" s="3">
        <f t="shared" si="816"/>
        <v>6466108.9170463011</v>
      </c>
      <c r="J5228" s="3">
        <f t="shared" si="817"/>
        <v>727749873.5721544</v>
      </c>
    </row>
    <row r="5229" spans="2:14" x14ac:dyDescent="0.35">
      <c r="B5229" s="1">
        <f t="shared" si="820"/>
        <v>10</v>
      </c>
      <c r="C5229" s="22">
        <v>45717</v>
      </c>
      <c r="D5229" s="22">
        <v>45747</v>
      </c>
      <c r="E5229" s="23">
        <v>28</v>
      </c>
      <c r="F5229" s="3">
        <f t="shared" si="818"/>
        <v>727749873.5721544</v>
      </c>
      <c r="G5229" s="3">
        <f t="shared" si="821"/>
        <v>26840602.431121621</v>
      </c>
      <c r="H5229" s="3">
        <f t="shared" si="819"/>
        <v>20195058.991627283</v>
      </c>
      <c r="I5229" s="3">
        <f t="shared" si="816"/>
        <v>6645543.4394943379</v>
      </c>
      <c r="J5229" s="3">
        <f t="shared" si="817"/>
        <v>721104330.13266003</v>
      </c>
    </row>
    <row r="5230" spans="2:14" x14ac:dyDescent="0.35">
      <c r="B5230" s="1">
        <f t="shared" si="820"/>
        <v>11</v>
      </c>
      <c r="C5230" s="22">
        <v>45748</v>
      </c>
      <c r="D5230" s="22">
        <v>45777</v>
      </c>
      <c r="E5230" s="23">
        <v>31</v>
      </c>
      <c r="F5230" s="3">
        <f t="shared" si="818"/>
        <v>721104330.13266003</v>
      </c>
      <c r="G5230" s="3">
        <f t="shared" si="821"/>
        <v>26840602.431121621</v>
      </c>
      <c r="H5230" s="3">
        <f t="shared" si="819"/>
        <v>20010645.161181316</v>
      </c>
      <c r="I5230" s="3">
        <f t="shared" si="816"/>
        <v>6829957.2699403055</v>
      </c>
      <c r="J5230" s="3">
        <f t="shared" si="817"/>
        <v>714274372.86271977</v>
      </c>
    </row>
    <row r="5231" spans="2:14" x14ac:dyDescent="0.35">
      <c r="B5231" s="1">
        <f t="shared" si="820"/>
        <v>12</v>
      </c>
      <c r="C5231" s="22">
        <v>45778</v>
      </c>
      <c r="D5231" s="22">
        <v>45808</v>
      </c>
      <c r="E5231" s="23">
        <v>30</v>
      </c>
      <c r="F5231" s="3">
        <f t="shared" si="818"/>
        <v>714274372.86271977</v>
      </c>
      <c r="G5231" s="3">
        <f t="shared" si="821"/>
        <v>26840602.431121621</v>
      </c>
      <c r="H5231" s="3">
        <f t="shared" si="819"/>
        <v>19821113.846940473</v>
      </c>
      <c r="I5231" s="3">
        <f t="shared" si="816"/>
        <v>7019488.5841811486</v>
      </c>
      <c r="J5231" s="3">
        <f t="shared" si="817"/>
        <v>707254884.27853858</v>
      </c>
    </row>
    <row r="5232" spans="2:14" x14ac:dyDescent="0.35">
      <c r="B5232" s="1">
        <f t="shared" si="820"/>
        <v>13</v>
      </c>
      <c r="C5232" s="22">
        <v>45809</v>
      </c>
      <c r="D5232" s="22">
        <v>45838</v>
      </c>
      <c r="E5232" s="23">
        <v>31</v>
      </c>
      <c r="F5232" s="3">
        <f t="shared" si="818"/>
        <v>707254884.27853858</v>
      </c>
      <c r="G5232" s="3">
        <f t="shared" si="821"/>
        <v>26840602.431121621</v>
      </c>
      <c r="H5232" s="3">
        <f t="shared" si="819"/>
        <v>19626323.038729444</v>
      </c>
      <c r="I5232" s="3">
        <f t="shared" si="816"/>
        <v>7214279.3923921771</v>
      </c>
      <c r="J5232" s="3">
        <f t="shared" si="817"/>
        <v>700040604.88614643</v>
      </c>
    </row>
    <row r="5233" spans="2:10" x14ac:dyDescent="0.35">
      <c r="B5233" s="1">
        <f t="shared" si="820"/>
        <v>14</v>
      </c>
      <c r="C5233" s="22">
        <v>45839</v>
      </c>
      <c r="D5233" s="22">
        <v>45868</v>
      </c>
      <c r="E5233" s="23">
        <v>30</v>
      </c>
      <c r="F5233" s="3">
        <f t="shared" si="818"/>
        <v>700040604.88614643</v>
      </c>
      <c r="G5233" s="3">
        <f t="shared" si="821"/>
        <v>26840602.431121621</v>
      </c>
      <c r="H5233" s="3">
        <f t="shared" si="819"/>
        <v>19426126.785590563</v>
      </c>
      <c r="I5233" s="3">
        <f t="shared" si="816"/>
        <v>7414475.6455310583</v>
      </c>
      <c r="J5233" s="3">
        <f t="shared" si="817"/>
        <v>692626129.24061537</v>
      </c>
    </row>
    <row r="5234" spans="2:10" x14ac:dyDescent="0.35">
      <c r="B5234" s="1">
        <f t="shared" si="820"/>
        <v>15</v>
      </c>
      <c r="C5234" s="22">
        <v>45870</v>
      </c>
      <c r="D5234" s="22">
        <v>45899</v>
      </c>
      <c r="E5234" s="23">
        <v>30</v>
      </c>
      <c r="F5234" s="3">
        <f t="shared" si="818"/>
        <v>692626129.24061537</v>
      </c>
      <c r="G5234" s="3">
        <f t="shared" si="821"/>
        <v>26840602.431121621</v>
      </c>
      <c r="H5234" s="3">
        <f t="shared" si="819"/>
        <v>19220375.086427078</v>
      </c>
      <c r="I5234" s="3">
        <f t="shared" si="816"/>
        <v>7620227.3446945436</v>
      </c>
      <c r="J5234" s="3">
        <f t="shared" si="817"/>
        <v>685005901.89592087</v>
      </c>
    </row>
    <row r="5235" spans="2:10" x14ac:dyDescent="0.35">
      <c r="B5235" s="1">
        <f t="shared" si="820"/>
        <v>16</v>
      </c>
      <c r="C5235" s="22">
        <v>45901</v>
      </c>
      <c r="D5235" s="22">
        <v>45930</v>
      </c>
      <c r="E5235" s="23">
        <v>30</v>
      </c>
      <c r="F5235" s="3">
        <f t="shared" si="818"/>
        <v>685005901.89592087</v>
      </c>
      <c r="G5235" s="3">
        <f t="shared" si="821"/>
        <v>26840602.431121621</v>
      </c>
      <c r="H5235" s="3">
        <f t="shared" si="819"/>
        <v>19008913.777611803</v>
      </c>
      <c r="I5235" s="3">
        <f t="shared" si="816"/>
        <v>7831688.653509818</v>
      </c>
      <c r="J5235" s="3">
        <f t="shared" si="817"/>
        <v>677174213.24241102</v>
      </c>
    </row>
    <row r="5236" spans="2:10" x14ac:dyDescent="0.35">
      <c r="B5236" s="1">
        <f t="shared" si="820"/>
        <v>17</v>
      </c>
      <c r="C5236" s="22">
        <v>45931</v>
      </c>
      <c r="D5236" s="22">
        <v>45961</v>
      </c>
      <c r="E5236" s="23">
        <v>30</v>
      </c>
      <c r="F5236" s="3">
        <f t="shared" si="818"/>
        <v>677174213.24241102</v>
      </c>
      <c r="G5236" s="3">
        <f t="shared" si="821"/>
        <v>26840602.431121621</v>
      </c>
      <c r="H5236" s="3">
        <f t="shared" si="819"/>
        <v>18791584.417476907</v>
      </c>
      <c r="I5236" s="3">
        <f t="shared" si="816"/>
        <v>8049018.0136447139</v>
      </c>
      <c r="J5236" s="3">
        <f t="shared" si="817"/>
        <v>669125195.22876632</v>
      </c>
    </row>
    <row r="5237" spans="2:10" x14ac:dyDescent="0.35">
      <c r="B5237" s="1">
        <f t="shared" si="820"/>
        <v>18</v>
      </c>
      <c r="C5237" s="22">
        <v>45962</v>
      </c>
      <c r="D5237" s="22">
        <v>45991</v>
      </c>
      <c r="E5237" s="23">
        <v>31</v>
      </c>
      <c r="F5237" s="3">
        <f t="shared" si="818"/>
        <v>669125195.22876632</v>
      </c>
      <c r="G5237" s="3">
        <f t="shared" si="821"/>
        <v>26840602.431121621</v>
      </c>
      <c r="H5237" s="3">
        <f t="shared" si="819"/>
        <v>18568224.167598266</v>
      </c>
      <c r="I5237" s="3">
        <f t="shared" si="816"/>
        <v>8272378.2635233551</v>
      </c>
      <c r="J5237" s="3">
        <f t="shared" si="817"/>
        <v>660852816.96524298</v>
      </c>
    </row>
    <row r="5238" spans="2:10" x14ac:dyDescent="0.35">
      <c r="B5238" s="1">
        <f t="shared" si="820"/>
        <v>19</v>
      </c>
      <c r="C5238" s="22">
        <v>45992</v>
      </c>
      <c r="D5238" s="22">
        <v>46022</v>
      </c>
      <c r="E5238" s="23">
        <v>30</v>
      </c>
      <c r="F5238" s="3">
        <f t="shared" si="818"/>
        <v>660852816.96524298</v>
      </c>
      <c r="G5238" s="3">
        <f t="shared" si="821"/>
        <v>26840602.431121621</v>
      </c>
      <c r="H5238" s="3">
        <f t="shared" si="819"/>
        <v>18338665.670785494</v>
      </c>
      <c r="I5238" s="3">
        <f t="shared" si="816"/>
        <v>8501936.7603361271</v>
      </c>
      <c r="J5238" s="3">
        <f t="shared" si="817"/>
        <v>652350880.20490682</v>
      </c>
    </row>
    <row r="5239" spans="2:10" x14ac:dyDescent="0.35">
      <c r="B5239" s="1">
        <f t="shared" si="820"/>
        <v>20</v>
      </c>
      <c r="C5239" s="22">
        <v>46023</v>
      </c>
      <c r="D5239" s="22">
        <v>46053</v>
      </c>
      <c r="E5239" s="23">
        <v>31</v>
      </c>
      <c r="F5239" s="3">
        <f t="shared" si="818"/>
        <v>652350880.20490682</v>
      </c>
      <c r="G5239" s="3">
        <f t="shared" si="821"/>
        <v>26840602.431121621</v>
      </c>
      <c r="H5239" s="3">
        <f t="shared" si="819"/>
        <v>18102736.925686166</v>
      </c>
      <c r="I5239" s="3">
        <f t="shared" si="816"/>
        <v>8737865.5054354556</v>
      </c>
      <c r="J5239" s="3">
        <f t="shared" si="817"/>
        <v>643613014.69947135</v>
      </c>
    </row>
    <row r="5240" spans="2:10" x14ac:dyDescent="0.35">
      <c r="B5240" s="1">
        <f t="shared" si="820"/>
        <v>21</v>
      </c>
      <c r="C5240" s="22">
        <v>46054</v>
      </c>
      <c r="D5240" s="22">
        <v>46081</v>
      </c>
      <c r="E5240" s="23">
        <v>31</v>
      </c>
      <c r="F5240" s="3">
        <f t="shared" si="818"/>
        <v>643613014.69947135</v>
      </c>
      <c r="G5240" s="3">
        <f t="shared" si="821"/>
        <v>26840602.431121621</v>
      </c>
      <c r="H5240" s="3">
        <f t="shared" si="819"/>
        <v>17860261.157910332</v>
      </c>
      <c r="I5240" s="3">
        <f t="shared" si="816"/>
        <v>8980341.2732112892</v>
      </c>
      <c r="J5240" s="3">
        <f t="shared" si="817"/>
        <v>634632673.42626011</v>
      </c>
    </row>
    <row r="5241" spans="2:10" x14ac:dyDescent="0.35">
      <c r="B5241" s="1">
        <f t="shared" si="820"/>
        <v>22</v>
      </c>
      <c r="C5241" s="22">
        <v>46082</v>
      </c>
      <c r="D5241" s="22">
        <v>46112</v>
      </c>
      <c r="E5241" s="23">
        <v>28</v>
      </c>
      <c r="F5241" s="3">
        <f t="shared" si="818"/>
        <v>634632673.42626011</v>
      </c>
      <c r="G5241" s="3">
        <f t="shared" si="821"/>
        <v>26840602.431121621</v>
      </c>
      <c r="H5241" s="3">
        <f t="shared" si="819"/>
        <v>17611056.687578719</v>
      </c>
      <c r="I5241" s="3">
        <f t="shared" si="816"/>
        <v>9229545.7435429022</v>
      </c>
      <c r="J5241" s="3">
        <f t="shared" si="817"/>
        <v>625403127.6827172</v>
      </c>
    </row>
    <row r="5242" spans="2:10" x14ac:dyDescent="0.35">
      <c r="B5242" s="1">
        <f t="shared" si="820"/>
        <v>23</v>
      </c>
      <c r="C5242" s="22">
        <v>46113</v>
      </c>
      <c r="D5242" s="22">
        <v>46142</v>
      </c>
      <c r="E5242" s="23">
        <v>31</v>
      </c>
      <c r="F5242" s="3">
        <f t="shared" si="818"/>
        <v>625403127.6827172</v>
      </c>
      <c r="G5242" s="3">
        <f t="shared" si="821"/>
        <v>26840602.431121621</v>
      </c>
      <c r="H5242" s="3">
        <f t="shared" si="819"/>
        <v>17354936.793195404</v>
      </c>
      <c r="I5242" s="3">
        <f t="shared" si="816"/>
        <v>9485665.6379262172</v>
      </c>
      <c r="J5242" s="3">
        <f t="shared" si="817"/>
        <v>615917462.04479098</v>
      </c>
    </row>
    <row r="5243" spans="2:10" x14ac:dyDescent="0.35">
      <c r="B5243" s="1">
        <f t="shared" si="820"/>
        <v>24</v>
      </c>
      <c r="C5243" s="22">
        <v>46143</v>
      </c>
      <c r="D5243" s="22">
        <v>46173</v>
      </c>
      <c r="E5243" s="23">
        <v>32</v>
      </c>
      <c r="F5243" s="3">
        <f t="shared" si="818"/>
        <v>615917462.04479098</v>
      </c>
      <c r="G5243" s="3">
        <f t="shared" si="821"/>
        <v>26840602.431121621</v>
      </c>
      <c r="H5243" s="3">
        <f t="shared" si="819"/>
        <v>17091709.571742948</v>
      </c>
      <c r="I5243" s="3">
        <f t="shared" si="816"/>
        <v>9748892.8593786731</v>
      </c>
      <c r="J5243" s="3">
        <f t="shared" si="817"/>
        <v>606168569.18541229</v>
      </c>
    </row>
    <row r="5244" spans="2:10" x14ac:dyDescent="0.35">
      <c r="B5244" s="1">
        <f t="shared" si="820"/>
        <v>25</v>
      </c>
      <c r="C5244" s="22">
        <v>46174</v>
      </c>
      <c r="D5244" s="22">
        <v>46203</v>
      </c>
      <c r="E5244" s="23">
        <v>33</v>
      </c>
      <c r="F5244" s="3">
        <f t="shared" si="818"/>
        <v>606168569.18541229</v>
      </c>
      <c r="G5244" s="3">
        <f t="shared" si="821"/>
        <v>26840602.431121621</v>
      </c>
      <c r="H5244" s="3">
        <f t="shared" si="819"/>
        <v>16821177.794895191</v>
      </c>
      <c r="I5244" s="3">
        <f t="shared" si="816"/>
        <v>10019424.636226431</v>
      </c>
      <c r="J5244" s="3">
        <f t="shared" si="817"/>
        <v>596149144.54918587</v>
      </c>
    </row>
    <row r="5245" spans="2:10" x14ac:dyDescent="0.35">
      <c r="B5245" s="1">
        <f t="shared" si="820"/>
        <v>26</v>
      </c>
      <c r="C5245" s="22">
        <v>46204</v>
      </c>
      <c r="D5245" s="22">
        <v>46234</v>
      </c>
      <c r="E5245" s="23">
        <v>34</v>
      </c>
      <c r="F5245" s="3">
        <f t="shared" si="818"/>
        <v>596149144.54918587</v>
      </c>
      <c r="G5245" s="3">
        <f t="shared" si="821"/>
        <v>26840602.431121621</v>
      </c>
      <c r="H5245" s="3">
        <f t="shared" si="819"/>
        <v>16543138.761239909</v>
      </c>
      <c r="I5245" s="3">
        <f t="shared" si="816"/>
        <v>10297463.669881713</v>
      </c>
      <c r="J5245" s="3">
        <f t="shared" si="817"/>
        <v>585851680.87930417</v>
      </c>
    </row>
    <row r="5246" spans="2:10" x14ac:dyDescent="0.35">
      <c r="B5246" s="1">
        <f t="shared" si="820"/>
        <v>27</v>
      </c>
      <c r="C5246" s="22">
        <v>46235</v>
      </c>
      <c r="D5246" s="22">
        <v>46265</v>
      </c>
      <c r="E5246" s="23">
        <v>35</v>
      </c>
      <c r="F5246" s="3">
        <f t="shared" si="818"/>
        <v>585851680.87930417</v>
      </c>
      <c r="G5246" s="3">
        <f t="shared" si="821"/>
        <v>26840602.431121621</v>
      </c>
      <c r="H5246" s="3">
        <f t="shared" si="819"/>
        <v>16257384.144400692</v>
      </c>
      <c r="I5246" s="3">
        <f t="shared" si="816"/>
        <v>10583218.28672093</v>
      </c>
      <c r="J5246" s="3">
        <f t="shared" si="817"/>
        <v>575268462.5925833</v>
      </c>
    </row>
    <row r="5247" spans="2:10" x14ac:dyDescent="0.35">
      <c r="B5247" s="1">
        <f t="shared" si="820"/>
        <v>28</v>
      </c>
      <c r="C5247" s="22">
        <v>46266</v>
      </c>
      <c r="D5247" s="22">
        <v>46295</v>
      </c>
      <c r="E5247" s="23">
        <v>36</v>
      </c>
      <c r="F5247" s="3">
        <f t="shared" si="818"/>
        <v>575268462.5925833</v>
      </c>
      <c r="G5247" s="3">
        <f t="shared" si="821"/>
        <v>26840602.431121621</v>
      </c>
      <c r="H5247" s="3">
        <f t="shared" si="819"/>
        <v>15963699.836944187</v>
      </c>
      <c r="I5247" s="3">
        <f t="shared" si="816"/>
        <v>10876902.594177434</v>
      </c>
      <c r="J5247" s="3">
        <f t="shared" si="817"/>
        <v>564391559.99840581</v>
      </c>
    </row>
    <row r="5248" spans="2:10" x14ac:dyDescent="0.35">
      <c r="B5248" s="1">
        <f t="shared" si="820"/>
        <v>29</v>
      </c>
      <c r="C5248" s="22">
        <v>46296</v>
      </c>
      <c r="D5248" s="22">
        <v>46326</v>
      </c>
      <c r="E5248" s="23">
        <v>37</v>
      </c>
      <c r="F5248" s="3">
        <f t="shared" si="818"/>
        <v>564391559.99840581</v>
      </c>
      <c r="G5248" s="3">
        <f t="shared" si="821"/>
        <v>26840602.431121621</v>
      </c>
      <c r="H5248" s="3">
        <f t="shared" si="819"/>
        <v>15661865.789955761</v>
      </c>
      <c r="I5248" s="3">
        <f t="shared" si="816"/>
        <v>11178736.64116586</v>
      </c>
      <c r="J5248" s="3">
        <f t="shared" si="817"/>
        <v>553212823.35723996</v>
      </c>
    </row>
    <row r="5249" spans="2:10" x14ac:dyDescent="0.35">
      <c r="B5249" s="1">
        <f t="shared" si="820"/>
        <v>30</v>
      </c>
      <c r="C5249" s="22">
        <v>46327</v>
      </c>
      <c r="D5249" s="22">
        <v>46356</v>
      </c>
      <c r="E5249" s="23">
        <v>38</v>
      </c>
      <c r="F5249" s="3">
        <f t="shared" si="818"/>
        <v>553212823.35723996</v>
      </c>
      <c r="G5249" s="3">
        <f t="shared" si="821"/>
        <v>26840602.431121621</v>
      </c>
      <c r="H5249" s="3">
        <f t="shared" si="819"/>
        <v>15351655.848163409</v>
      </c>
      <c r="I5249" s="3">
        <f t="shared" si="816"/>
        <v>11488946.582958212</v>
      </c>
      <c r="J5249" s="3">
        <f t="shared" si="817"/>
        <v>541723876.77428174</v>
      </c>
    </row>
    <row r="5250" spans="2:10" x14ac:dyDescent="0.35">
      <c r="B5250" s="1">
        <f t="shared" si="820"/>
        <v>31</v>
      </c>
      <c r="C5250" s="22">
        <v>46357</v>
      </c>
      <c r="D5250" s="22">
        <v>46387</v>
      </c>
      <c r="E5250" s="23">
        <v>39</v>
      </c>
      <c r="F5250" s="3">
        <f t="shared" si="818"/>
        <v>541723876.77428174</v>
      </c>
      <c r="G5250" s="3">
        <f t="shared" si="821"/>
        <v>26840602.431121621</v>
      </c>
      <c r="H5250" s="3">
        <f t="shared" si="819"/>
        <v>15032837.580486318</v>
      </c>
      <c r="I5250" s="3">
        <f t="shared" si="816"/>
        <v>11807764.850635303</v>
      </c>
      <c r="J5250" s="3">
        <f t="shared" si="817"/>
        <v>529916111.92364645</v>
      </c>
    </row>
    <row r="5251" spans="2:10" x14ac:dyDescent="0.35">
      <c r="B5251" s="1">
        <f t="shared" si="820"/>
        <v>32</v>
      </c>
      <c r="C5251" s="22">
        <v>46388</v>
      </c>
      <c r="D5251" s="22">
        <v>46418</v>
      </c>
      <c r="E5251" s="23">
        <v>40</v>
      </c>
      <c r="F5251" s="3">
        <f t="shared" si="818"/>
        <v>529916111.92364645</v>
      </c>
      <c r="G5251" s="3">
        <f t="shared" si="821"/>
        <v>26840602.431121621</v>
      </c>
      <c r="H5251" s="3">
        <f t="shared" si="819"/>
        <v>14705172.10588119</v>
      </c>
      <c r="I5251" s="3">
        <f t="shared" ref="I5251:I5279" si="822">G5251-H5251</f>
        <v>12135430.325240431</v>
      </c>
      <c r="J5251" s="3">
        <f t="shared" ref="J5251:J5279" si="823">F5251-I5251</f>
        <v>517780681.59840602</v>
      </c>
    </row>
    <row r="5252" spans="2:10" x14ac:dyDescent="0.35">
      <c r="B5252" s="1">
        <f t="shared" si="820"/>
        <v>33</v>
      </c>
      <c r="C5252" s="22">
        <v>46419</v>
      </c>
      <c r="D5252" s="22">
        <v>46446</v>
      </c>
      <c r="E5252" s="23">
        <v>41</v>
      </c>
      <c r="F5252" s="3">
        <f t="shared" si="818"/>
        <v>517780681.59840602</v>
      </c>
      <c r="G5252" s="3">
        <f t="shared" si="821"/>
        <v>26840602.431121621</v>
      </c>
      <c r="H5252" s="3">
        <f t="shared" si="819"/>
        <v>14368413.914355768</v>
      </c>
      <c r="I5252" s="3">
        <f t="shared" si="822"/>
        <v>12472188.516765853</v>
      </c>
      <c r="J5252" s="3">
        <f t="shared" si="823"/>
        <v>505308493.08164018</v>
      </c>
    </row>
    <row r="5253" spans="2:10" x14ac:dyDescent="0.35">
      <c r="B5253" s="1">
        <f t="shared" si="820"/>
        <v>34</v>
      </c>
      <c r="C5253" s="22">
        <v>46447</v>
      </c>
      <c r="D5253" s="22">
        <v>46477</v>
      </c>
      <c r="E5253" s="23">
        <v>42</v>
      </c>
      <c r="F5253" s="3">
        <f t="shared" ref="F5253:F5279" si="824">J5252</f>
        <v>505308493.08164018</v>
      </c>
      <c r="G5253" s="3">
        <f t="shared" si="821"/>
        <v>26840602.431121621</v>
      </c>
      <c r="H5253" s="3">
        <f t="shared" ref="H5253:H5279" si="825">($G$5214/$D$5213*F5253)</f>
        <v>14022310.683015516</v>
      </c>
      <c r="I5253" s="3">
        <f t="shared" si="822"/>
        <v>12818291.748106105</v>
      </c>
      <c r="J5253" s="3">
        <f t="shared" si="823"/>
        <v>492490201.33353406</v>
      </c>
    </row>
    <row r="5254" spans="2:10" x14ac:dyDescent="0.35">
      <c r="B5254" s="1">
        <f t="shared" ref="B5254:B5279" si="826">+B5253+1</f>
        <v>35</v>
      </c>
      <c r="C5254" s="22">
        <v>46478</v>
      </c>
      <c r="D5254" s="22">
        <v>46507</v>
      </c>
      <c r="E5254" s="23">
        <v>43</v>
      </c>
      <c r="F5254" s="3">
        <f t="shared" si="824"/>
        <v>492490201.33353406</v>
      </c>
      <c r="G5254" s="3">
        <f t="shared" si="821"/>
        <v>26840602.431121621</v>
      </c>
      <c r="H5254" s="3">
        <f t="shared" si="825"/>
        <v>13666603.087005571</v>
      </c>
      <c r="I5254" s="3">
        <f t="shared" si="822"/>
        <v>13173999.344116051</v>
      </c>
      <c r="J5254" s="3">
        <f t="shared" si="823"/>
        <v>479316201.98941803</v>
      </c>
    </row>
    <row r="5255" spans="2:10" x14ac:dyDescent="0.35">
      <c r="B5255" s="1">
        <f t="shared" si="826"/>
        <v>36</v>
      </c>
      <c r="C5255" s="22">
        <v>46508</v>
      </c>
      <c r="D5255" s="22">
        <v>46538</v>
      </c>
      <c r="E5255" s="23">
        <v>44</v>
      </c>
      <c r="F5255" s="3">
        <f t="shared" si="824"/>
        <v>479316201.98941803</v>
      </c>
      <c r="G5255" s="3">
        <f t="shared" si="821"/>
        <v>26840602.431121621</v>
      </c>
      <c r="H5255" s="3">
        <f t="shared" si="825"/>
        <v>13301024.60520635</v>
      </c>
      <c r="I5255" s="3">
        <f t="shared" si="822"/>
        <v>13539577.825915271</v>
      </c>
      <c r="J5255" s="3">
        <f t="shared" si="823"/>
        <v>465776624.16350275</v>
      </c>
    </row>
    <row r="5256" spans="2:10" x14ac:dyDescent="0.35">
      <c r="B5256" s="1">
        <f t="shared" si="826"/>
        <v>37</v>
      </c>
      <c r="C5256" s="22">
        <v>46539</v>
      </c>
      <c r="D5256" s="22">
        <v>46568</v>
      </c>
      <c r="E5256" s="23">
        <v>45</v>
      </c>
      <c r="F5256" s="3">
        <f t="shared" si="824"/>
        <v>465776624.16350275</v>
      </c>
      <c r="G5256" s="3">
        <f t="shared" si="821"/>
        <v>26840602.431121621</v>
      </c>
      <c r="H5256" s="3">
        <f t="shared" si="825"/>
        <v>12925301.320537202</v>
      </c>
      <c r="I5256" s="3">
        <f t="shared" si="822"/>
        <v>13915301.110584419</v>
      </c>
      <c r="J5256" s="3">
        <f t="shared" si="823"/>
        <v>451861323.05291831</v>
      </c>
    </row>
    <row r="5257" spans="2:10" x14ac:dyDescent="0.35">
      <c r="B5257" s="1">
        <f t="shared" si="826"/>
        <v>38</v>
      </c>
      <c r="C5257" s="22">
        <v>46569</v>
      </c>
      <c r="D5257" s="22">
        <v>46599</v>
      </c>
      <c r="E5257" s="23">
        <v>46</v>
      </c>
      <c r="F5257" s="3">
        <f t="shared" si="824"/>
        <v>451861323.05291831</v>
      </c>
      <c r="G5257" s="3">
        <f t="shared" si="821"/>
        <v>26840602.431121621</v>
      </c>
      <c r="H5257" s="3">
        <f t="shared" si="825"/>
        <v>12539151.714718483</v>
      </c>
      <c r="I5257" s="3">
        <f t="shared" si="822"/>
        <v>14301450.716403138</v>
      </c>
      <c r="J5257" s="3">
        <f t="shared" si="823"/>
        <v>437559872.33651519</v>
      </c>
    </row>
    <row r="5258" spans="2:10" x14ac:dyDescent="0.35">
      <c r="B5258" s="1">
        <f t="shared" si="826"/>
        <v>39</v>
      </c>
      <c r="C5258" s="22">
        <v>46600</v>
      </c>
      <c r="D5258" s="22">
        <v>46630</v>
      </c>
      <c r="E5258" s="23">
        <v>47</v>
      </c>
      <c r="F5258" s="3">
        <f t="shared" si="824"/>
        <v>437559872.33651519</v>
      </c>
      <c r="G5258" s="3">
        <f t="shared" ref="G5258:G5279" si="827">-PMT($G$5214/$D$5213,54,$F$5226,,0)</f>
        <v>26840602.431121621</v>
      </c>
      <c r="H5258" s="3">
        <f t="shared" si="825"/>
        <v>12142286.457338296</v>
      </c>
      <c r="I5258" s="3">
        <f t="shared" si="822"/>
        <v>14698315.973783325</v>
      </c>
      <c r="J5258" s="3">
        <f t="shared" si="823"/>
        <v>422861556.36273187</v>
      </c>
    </row>
    <row r="5259" spans="2:10" x14ac:dyDescent="0.35">
      <c r="B5259" s="1">
        <f t="shared" si="826"/>
        <v>40</v>
      </c>
      <c r="C5259" s="22">
        <v>46631</v>
      </c>
      <c r="D5259" s="22">
        <v>46660</v>
      </c>
      <c r="E5259" s="23">
        <v>48</v>
      </c>
      <c r="F5259" s="3">
        <f t="shared" si="824"/>
        <v>422861556.36273187</v>
      </c>
      <c r="G5259" s="3">
        <f t="shared" si="827"/>
        <v>26840602.431121621</v>
      </c>
      <c r="H5259" s="3">
        <f t="shared" si="825"/>
        <v>11734408.18906581</v>
      </c>
      <c r="I5259" s="3">
        <f t="shared" si="822"/>
        <v>15106194.242055811</v>
      </c>
      <c r="J5259" s="3">
        <f t="shared" si="823"/>
        <v>407755362.12067604</v>
      </c>
    </row>
    <row r="5260" spans="2:10" x14ac:dyDescent="0.35">
      <c r="B5260" s="1">
        <f t="shared" si="826"/>
        <v>41</v>
      </c>
      <c r="C5260" s="22">
        <v>46661</v>
      </c>
      <c r="D5260" s="22">
        <v>46691</v>
      </c>
      <c r="E5260" s="23">
        <v>49</v>
      </c>
      <c r="F5260" s="3">
        <f t="shared" si="824"/>
        <v>407755362.12067604</v>
      </c>
      <c r="G5260" s="3">
        <f t="shared" si="827"/>
        <v>26840602.431121621</v>
      </c>
      <c r="H5260" s="3">
        <f t="shared" si="825"/>
        <v>11315211.298848759</v>
      </c>
      <c r="I5260" s="3">
        <f t="shared" si="822"/>
        <v>15525391.132272862</v>
      </c>
      <c r="J5260" s="3">
        <f t="shared" si="823"/>
        <v>392229970.9884032</v>
      </c>
    </row>
    <row r="5261" spans="2:10" x14ac:dyDescent="0.35">
      <c r="B5261" s="1">
        <f t="shared" si="826"/>
        <v>42</v>
      </c>
      <c r="C5261" s="22">
        <v>46692</v>
      </c>
      <c r="D5261" s="22">
        <v>46721</v>
      </c>
      <c r="E5261" s="23">
        <v>50</v>
      </c>
      <c r="F5261" s="3">
        <f t="shared" si="824"/>
        <v>392229970.9884032</v>
      </c>
      <c r="G5261" s="3">
        <f t="shared" si="827"/>
        <v>26840602.431121621</v>
      </c>
      <c r="H5261" s="3">
        <f t="shared" si="825"/>
        <v>10884381.69492819</v>
      </c>
      <c r="I5261" s="3">
        <f t="shared" si="822"/>
        <v>15956220.736193432</v>
      </c>
      <c r="J5261" s="3">
        <f t="shared" si="823"/>
        <v>376273750.25220978</v>
      </c>
    </row>
    <row r="5262" spans="2:10" x14ac:dyDescent="0.35">
      <c r="B5262" s="1">
        <f t="shared" si="826"/>
        <v>43</v>
      </c>
      <c r="C5262" s="22">
        <v>46722</v>
      </c>
      <c r="D5262" s="22">
        <v>46752</v>
      </c>
      <c r="E5262" s="23">
        <v>51</v>
      </c>
      <c r="F5262" s="3">
        <f t="shared" si="824"/>
        <v>376273750.25220978</v>
      </c>
      <c r="G5262" s="3">
        <f t="shared" si="827"/>
        <v>26840602.431121621</v>
      </c>
      <c r="H5262" s="3">
        <f t="shared" si="825"/>
        <v>10441596.569498822</v>
      </c>
      <c r="I5262" s="3">
        <f t="shared" si="822"/>
        <v>16399005.861622799</v>
      </c>
      <c r="J5262" s="3">
        <f t="shared" si="823"/>
        <v>359874744.39058697</v>
      </c>
    </row>
    <row r="5263" spans="2:10" x14ac:dyDescent="0.35">
      <c r="B5263" s="1">
        <f t="shared" si="826"/>
        <v>44</v>
      </c>
      <c r="C5263" s="22">
        <v>46753</v>
      </c>
      <c r="D5263" s="22">
        <v>46783</v>
      </c>
      <c r="E5263" s="23">
        <v>52</v>
      </c>
      <c r="F5263" s="3">
        <f t="shared" si="824"/>
        <v>359874744.39058697</v>
      </c>
      <c r="G5263" s="3">
        <f t="shared" si="827"/>
        <v>26840602.431121621</v>
      </c>
      <c r="H5263" s="3">
        <f t="shared" si="825"/>
        <v>9986524.1568387877</v>
      </c>
      <c r="I5263" s="3">
        <f t="shared" si="822"/>
        <v>16854078.274282835</v>
      </c>
      <c r="J5263" s="3">
        <f t="shared" si="823"/>
        <v>343020666.11630416</v>
      </c>
    </row>
    <row r="5264" spans="2:10" x14ac:dyDescent="0.35">
      <c r="B5264" s="1">
        <f t="shared" si="826"/>
        <v>45</v>
      </c>
      <c r="C5264" s="22">
        <v>46784</v>
      </c>
      <c r="D5264" s="22">
        <v>46812</v>
      </c>
      <c r="E5264" s="23">
        <v>53</v>
      </c>
      <c r="F5264" s="3">
        <f t="shared" si="824"/>
        <v>343020666.11630416</v>
      </c>
      <c r="G5264" s="3">
        <f t="shared" si="827"/>
        <v>26840602.431121621</v>
      </c>
      <c r="H5264" s="3">
        <f t="shared" si="825"/>
        <v>9518823.4847274404</v>
      </c>
      <c r="I5264" s="3">
        <f t="shared" si="822"/>
        <v>17321778.946394183</v>
      </c>
      <c r="J5264" s="3">
        <f t="shared" si="823"/>
        <v>325698887.16990995</v>
      </c>
    </row>
    <row r="5265" spans="2:10" x14ac:dyDescent="0.35">
      <c r="B5265" s="1">
        <f t="shared" si="826"/>
        <v>46</v>
      </c>
      <c r="C5265" s="22">
        <v>46813</v>
      </c>
      <c r="D5265" s="22">
        <v>46843</v>
      </c>
      <c r="E5265" s="23">
        <v>54</v>
      </c>
      <c r="F5265" s="3">
        <f t="shared" si="824"/>
        <v>325698887.16990995</v>
      </c>
      <c r="G5265" s="3">
        <f t="shared" si="827"/>
        <v>26840602.431121621</v>
      </c>
      <c r="H5265" s="3">
        <f t="shared" si="825"/>
        <v>9038144.1189650018</v>
      </c>
      <c r="I5265" s="3">
        <f t="shared" si="822"/>
        <v>17802458.312156618</v>
      </c>
      <c r="J5265" s="3">
        <f t="shared" si="823"/>
        <v>307896428.85775334</v>
      </c>
    </row>
    <row r="5266" spans="2:10" x14ac:dyDescent="0.35">
      <c r="B5266" s="1">
        <f t="shared" si="826"/>
        <v>47</v>
      </c>
      <c r="C5266" s="22">
        <v>46844</v>
      </c>
      <c r="D5266" s="22">
        <v>46873</v>
      </c>
      <c r="E5266" s="23">
        <v>55</v>
      </c>
      <c r="F5266" s="3">
        <f t="shared" si="824"/>
        <v>307896428.85775334</v>
      </c>
      <c r="G5266" s="3">
        <f t="shared" si="827"/>
        <v>26840602.431121621</v>
      </c>
      <c r="H5266" s="3">
        <f t="shared" si="825"/>
        <v>8544125.9008026551</v>
      </c>
      <c r="I5266" s="3">
        <f t="shared" si="822"/>
        <v>18296476.530318968</v>
      </c>
      <c r="J5266" s="3">
        <f t="shared" si="823"/>
        <v>289599952.32743436</v>
      </c>
    </row>
    <row r="5267" spans="2:10" x14ac:dyDescent="0.35">
      <c r="B5267" s="1">
        <f t="shared" si="826"/>
        <v>48</v>
      </c>
      <c r="C5267" s="22">
        <v>46874</v>
      </c>
      <c r="D5267" s="22">
        <v>46904</v>
      </c>
      <c r="E5267" s="23">
        <v>56</v>
      </c>
      <c r="F5267" s="3">
        <f t="shared" si="824"/>
        <v>289599952.32743436</v>
      </c>
      <c r="G5267" s="3">
        <f t="shared" si="827"/>
        <v>26840602.431121621</v>
      </c>
      <c r="H5267" s="3">
        <f t="shared" si="825"/>
        <v>8036398.6770863039</v>
      </c>
      <c r="I5267" s="3">
        <f t="shared" si="822"/>
        <v>18804203.754035316</v>
      </c>
      <c r="J5267" s="3">
        <f t="shared" si="823"/>
        <v>270795748.57339907</v>
      </c>
    </row>
    <row r="5268" spans="2:10" x14ac:dyDescent="0.35">
      <c r="B5268" s="1">
        <f t="shared" si="826"/>
        <v>49</v>
      </c>
      <c r="C5268" s="22">
        <v>46905</v>
      </c>
      <c r="D5268" s="22">
        <v>46934</v>
      </c>
      <c r="E5268" s="23">
        <v>57</v>
      </c>
      <c r="F5268" s="3">
        <f t="shared" si="824"/>
        <v>270795748.57339907</v>
      </c>
      <c r="G5268" s="3">
        <f t="shared" si="827"/>
        <v>26840602.431121621</v>
      </c>
      <c r="H5268" s="3">
        <f t="shared" si="825"/>
        <v>7514582.0229118243</v>
      </c>
      <c r="I5268" s="3">
        <f t="shared" si="822"/>
        <v>19326020.408209797</v>
      </c>
      <c r="J5268" s="3">
        <f t="shared" si="823"/>
        <v>251469728.16518927</v>
      </c>
    </row>
    <row r="5269" spans="2:10" x14ac:dyDescent="0.35">
      <c r="B5269" s="1">
        <f t="shared" si="826"/>
        <v>50</v>
      </c>
      <c r="C5269" s="22">
        <v>46935</v>
      </c>
      <c r="D5269" s="22">
        <v>46965</v>
      </c>
      <c r="E5269" s="23">
        <v>58</v>
      </c>
      <c r="F5269" s="3">
        <f t="shared" si="824"/>
        <v>251469728.16518927</v>
      </c>
      <c r="G5269" s="3">
        <f t="shared" si="827"/>
        <v>26840602.431121621</v>
      </c>
      <c r="H5269" s="3">
        <f t="shared" si="825"/>
        <v>6978284.9565840019</v>
      </c>
      <c r="I5269" s="3">
        <f t="shared" si="822"/>
        <v>19862317.474537618</v>
      </c>
      <c r="J5269" s="3">
        <f t="shared" si="823"/>
        <v>231607410.69065166</v>
      </c>
    </row>
    <row r="5270" spans="2:10" x14ac:dyDescent="0.35">
      <c r="B5270" s="1">
        <f t="shared" si="826"/>
        <v>51</v>
      </c>
      <c r="C5270" s="22">
        <v>46966</v>
      </c>
      <c r="D5270" s="22">
        <v>46996</v>
      </c>
      <c r="E5270" s="23">
        <v>59</v>
      </c>
      <c r="F5270" s="3">
        <f t="shared" si="824"/>
        <v>231607410.69065166</v>
      </c>
      <c r="G5270" s="3">
        <f t="shared" si="827"/>
        <v>26840602.431121621</v>
      </c>
      <c r="H5270" s="3">
        <f t="shared" si="825"/>
        <v>6427105.6466655834</v>
      </c>
      <c r="I5270" s="3">
        <f t="shared" si="822"/>
        <v>20413496.784456037</v>
      </c>
      <c r="J5270" s="3">
        <f t="shared" si="823"/>
        <v>211193913.90619561</v>
      </c>
    </row>
    <row r="5271" spans="2:10" x14ac:dyDescent="0.35">
      <c r="B5271" s="1">
        <f t="shared" si="826"/>
        <v>52</v>
      </c>
      <c r="C5271" s="22">
        <v>46997</v>
      </c>
      <c r="D5271" s="22">
        <v>47026</v>
      </c>
      <c r="E5271" s="23">
        <v>60</v>
      </c>
      <c r="F5271" s="3">
        <f t="shared" si="824"/>
        <v>211193913.90619561</v>
      </c>
      <c r="G5271" s="3">
        <f t="shared" si="827"/>
        <v>26840602.431121621</v>
      </c>
      <c r="H5271" s="3">
        <f t="shared" si="825"/>
        <v>5860631.1108969282</v>
      </c>
      <c r="I5271" s="3">
        <f t="shared" si="822"/>
        <v>20979971.320224695</v>
      </c>
      <c r="J5271" s="3">
        <f t="shared" si="823"/>
        <v>190213942.58597091</v>
      </c>
    </row>
    <row r="5272" spans="2:10" x14ac:dyDescent="0.35">
      <c r="B5272" s="1">
        <f t="shared" si="826"/>
        <v>53</v>
      </c>
      <c r="C5272" s="22">
        <v>47027</v>
      </c>
      <c r="D5272" s="22">
        <v>47057</v>
      </c>
      <c r="E5272" s="23">
        <v>61</v>
      </c>
      <c r="F5272" s="3">
        <f t="shared" si="824"/>
        <v>190213942.58597091</v>
      </c>
      <c r="G5272" s="3">
        <f t="shared" si="827"/>
        <v>26840602.431121621</v>
      </c>
      <c r="H5272" s="3">
        <f t="shared" si="825"/>
        <v>5278436.9067606926</v>
      </c>
      <c r="I5272" s="3">
        <f t="shared" si="822"/>
        <v>21562165.524360929</v>
      </c>
      <c r="J5272" s="3">
        <f t="shared" si="823"/>
        <v>168651777.06160998</v>
      </c>
    </row>
    <row r="5273" spans="2:10" x14ac:dyDescent="0.35">
      <c r="B5273" s="1">
        <f t="shared" si="826"/>
        <v>54</v>
      </c>
      <c r="C5273" s="22">
        <v>47058</v>
      </c>
      <c r="D5273" s="22">
        <v>47087</v>
      </c>
      <c r="E5273" s="23">
        <v>62</v>
      </c>
      <c r="F5273" s="3">
        <f t="shared" si="824"/>
        <v>168651777.06160998</v>
      </c>
      <c r="G5273" s="3">
        <f t="shared" si="827"/>
        <v>26840602.431121621</v>
      </c>
      <c r="H5273" s="3">
        <f t="shared" si="825"/>
        <v>4680086.8134596767</v>
      </c>
      <c r="I5273" s="3">
        <f t="shared" si="822"/>
        <v>22160515.617661946</v>
      </c>
      <c r="J5273" s="3">
        <f t="shared" si="823"/>
        <v>146491261.44394803</v>
      </c>
    </row>
    <row r="5274" spans="2:10" x14ac:dyDescent="0.35">
      <c r="B5274" s="1">
        <f t="shared" si="826"/>
        <v>55</v>
      </c>
      <c r="C5274" s="22">
        <v>47088</v>
      </c>
      <c r="D5274" s="22">
        <v>47118</v>
      </c>
      <c r="E5274" s="23">
        <v>63</v>
      </c>
      <c r="F5274" s="3">
        <f t="shared" si="824"/>
        <v>146491261.44394803</v>
      </c>
      <c r="G5274" s="3">
        <f t="shared" si="827"/>
        <v>26840602.431121621</v>
      </c>
      <c r="H5274" s="3">
        <f t="shared" si="825"/>
        <v>4065132.505069558</v>
      </c>
      <c r="I5274" s="3">
        <f t="shared" si="822"/>
        <v>22775469.926052064</v>
      </c>
      <c r="J5274" s="3">
        <f t="shared" si="823"/>
        <v>123715791.51789597</v>
      </c>
    </row>
    <row r="5275" spans="2:10" x14ac:dyDescent="0.35">
      <c r="B5275" s="1">
        <f t="shared" si="826"/>
        <v>56</v>
      </c>
      <c r="C5275" s="22">
        <v>47119</v>
      </c>
      <c r="D5275" s="22">
        <v>47149</v>
      </c>
      <c r="E5275" s="23">
        <v>64</v>
      </c>
      <c r="F5275" s="3">
        <f t="shared" si="824"/>
        <v>123715791.51789597</v>
      </c>
      <c r="G5275" s="3">
        <f t="shared" si="827"/>
        <v>26840602.431121621</v>
      </c>
      <c r="H5275" s="3">
        <f t="shared" si="825"/>
        <v>3433113.2146216133</v>
      </c>
      <c r="I5275" s="3">
        <f t="shared" si="822"/>
        <v>23407489.216500007</v>
      </c>
      <c r="J5275" s="3">
        <f t="shared" si="823"/>
        <v>100308302.30139595</v>
      </c>
    </row>
    <row r="5276" spans="2:10" x14ac:dyDescent="0.35">
      <c r="B5276" s="1">
        <f t="shared" si="826"/>
        <v>57</v>
      </c>
      <c r="C5276" s="22">
        <v>47150</v>
      </c>
      <c r="D5276" s="22">
        <v>47177</v>
      </c>
      <c r="E5276" s="23">
        <v>65</v>
      </c>
      <c r="F5276" s="3">
        <f t="shared" si="824"/>
        <v>100308302.30139595</v>
      </c>
      <c r="G5276" s="3">
        <f t="shared" si="827"/>
        <v>26840602.431121621</v>
      </c>
      <c r="H5276" s="3">
        <f t="shared" si="825"/>
        <v>2783555.3888637377</v>
      </c>
      <c r="I5276" s="3">
        <f t="shared" si="822"/>
        <v>24057047.042257883</v>
      </c>
      <c r="J5276" s="3">
        <f t="shared" si="823"/>
        <v>76251255.259138077</v>
      </c>
    </row>
    <row r="5277" spans="2:10" x14ac:dyDescent="0.35">
      <c r="B5277" s="1">
        <f t="shared" si="826"/>
        <v>58</v>
      </c>
      <c r="C5277" s="22">
        <v>47178</v>
      </c>
      <c r="D5277" s="22">
        <v>47208</v>
      </c>
      <c r="E5277" s="23">
        <v>66</v>
      </c>
      <c r="F5277" s="3">
        <f t="shared" si="824"/>
        <v>76251255.259138077</v>
      </c>
      <c r="G5277" s="3">
        <f t="shared" si="827"/>
        <v>26840602.431121621</v>
      </c>
      <c r="H5277" s="3">
        <f t="shared" si="825"/>
        <v>2115972.3334410815</v>
      </c>
      <c r="I5277" s="3">
        <f t="shared" si="822"/>
        <v>24724630.097680539</v>
      </c>
      <c r="J5277" s="3">
        <f t="shared" si="823"/>
        <v>51526625.161457539</v>
      </c>
    </row>
    <row r="5278" spans="2:10" x14ac:dyDescent="0.35">
      <c r="B5278" s="1">
        <f t="shared" si="826"/>
        <v>59</v>
      </c>
      <c r="C5278" s="22">
        <v>47178</v>
      </c>
      <c r="D5278" s="22">
        <v>47208</v>
      </c>
      <c r="E5278" s="23">
        <v>66</v>
      </c>
      <c r="F5278" s="3">
        <f t="shared" si="824"/>
        <v>51526625.161457539</v>
      </c>
      <c r="G5278" s="3">
        <f t="shared" si="827"/>
        <v>26840602.431121621</v>
      </c>
      <c r="H5278" s="3">
        <f t="shared" si="825"/>
        <v>1429863.8482304467</v>
      </c>
      <c r="I5278" s="3">
        <f t="shared" si="822"/>
        <v>25410738.582891174</v>
      </c>
      <c r="J5278" s="3">
        <f t="shared" si="823"/>
        <v>26115886.578566365</v>
      </c>
    </row>
    <row r="5279" spans="2:10" x14ac:dyDescent="0.35">
      <c r="B5279" s="1">
        <f t="shared" si="826"/>
        <v>60</v>
      </c>
      <c r="C5279" s="22">
        <v>47209</v>
      </c>
      <c r="D5279" s="22">
        <v>47238</v>
      </c>
      <c r="E5279" s="23">
        <v>67</v>
      </c>
      <c r="F5279" s="3">
        <f t="shared" si="824"/>
        <v>26115886.578566365</v>
      </c>
      <c r="G5279" s="3">
        <f t="shared" si="827"/>
        <v>26840602.431121621</v>
      </c>
      <c r="H5279" s="3">
        <f t="shared" si="825"/>
        <v>724715.85255521664</v>
      </c>
      <c r="I5279" s="3">
        <f t="shared" si="822"/>
        <v>26115886.578566406</v>
      </c>
      <c r="J5279" s="3">
        <f t="shared" si="823"/>
        <v>-4.0978193283081055E-8</v>
      </c>
    </row>
    <row r="5284" spans="2:19" x14ac:dyDescent="0.35">
      <c r="B5284" s="1"/>
      <c r="C5284" s="8" t="s">
        <v>954</v>
      </c>
      <c r="D5284" s="3"/>
      <c r="E5284" s="3"/>
      <c r="F5284" s="3"/>
      <c r="G5284" s="3"/>
      <c r="H5284" s="3"/>
      <c r="I5284" s="3"/>
      <c r="J5284" s="3"/>
      <c r="R5284" s="438" t="s">
        <v>832</v>
      </c>
      <c r="S5284" s="432" t="str">
        <f>IFERROR(INDEX(Blocks!$I$2:$I$101,MATCH(96,Blocks!$A$2:$A$101,0)),"")</f>
        <v>000104460000098</v>
      </c>
    </row>
    <row r="5285" spans="2:19" x14ac:dyDescent="0.35">
      <c r="B5285" s="1"/>
      <c r="C5285" s="1"/>
      <c r="D5285" s="3"/>
      <c r="E5285" s="3"/>
      <c r="F5285" s="3"/>
      <c r="G5285" s="3"/>
      <c r="H5285" s="3"/>
      <c r="I5285" s="3"/>
      <c r="J5285" s="3"/>
      <c r="R5285" s="438" t="s">
        <v>834</v>
      </c>
      <c r="S5285" s="432" t="str">
        <f>IFERROR(INDEX(Blocks!$H$2:$H$101,MATCH(96,Blocks!$A$2:$A$101,0)),"")</f>
        <v>Infraworks Development Ltd</v>
      </c>
    </row>
    <row r="5286" spans="2:19" x14ac:dyDescent="0.35">
      <c r="B5286" s="1"/>
      <c r="C5286" s="9" t="s">
        <v>835</v>
      </c>
      <c r="D5286" s="10">
        <v>400000000</v>
      </c>
      <c r="E5286" s="3"/>
      <c r="F5286" s="3"/>
      <c r="G5286" s="3"/>
      <c r="H5286" s="3"/>
      <c r="I5286" s="3"/>
      <c r="J5286" s="3"/>
      <c r="R5286" s="438" t="s">
        <v>223</v>
      </c>
      <c r="S5286" s="433">
        <f>IFERROR(INDEX('E-Banker master'!$N$2:$N$186,MATCH(S5284,'E-Banker master'!$A$2:$A$186,0)),"")</f>
        <v>400000000</v>
      </c>
    </row>
    <row r="5287" spans="2:19" x14ac:dyDescent="0.35">
      <c r="B5287" s="1"/>
      <c r="C5287" s="11" t="s">
        <v>837</v>
      </c>
      <c r="D5287" s="12">
        <v>0.1</v>
      </c>
      <c r="E5287" s="13"/>
      <c r="F5287" s="3"/>
      <c r="G5287" s="3"/>
      <c r="H5287" s="3"/>
      <c r="I5287" s="3"/>
      <c r="J5287" s="3"/>
      <c r="R5287" s="438" t="s">
        <v>52</v>
      </c>
      <c r="S5287" s="433">
        <f>IFERROR(INDEX('E-Banker master'!$P$2:$P$186,MATCH(S5284,'E-Banker master'!$A$2:$A$186,0)),"")</f>
        <v>403516713.47000003</v>
      </c>
    </row>
    <row r="5288" spans="2:19" x14ac:dyDescent="0.35">
      <c r="B5288" s="1"/>
      <c r="C5288" s="11" t="s">
        <v>838</v>
      </c>
      <c r="D5288" s="14">
        <v>4</v>
      </c>
      <c r="E5288" s="1"/>
      <c r="F5288" s="3"/>
      <c r="G5288" s="3"/>
      <c r="H5288" s="3"/>
      <c r="I5288" s="3"/>
      <c r="J5288" s="3"/>
    </row>
    <row r="5289" spans="2:19" x14ac:dyDescent="0.35">
      <c r="B5289" s="1"/>
      <c r="C5289" s="11" t="s">
        <v>839</v>
      </c>
      <c r="D5289" s="14">
        <v>12</v>
      </c>
      <c r="E5289" s="1"/>
      <c r="F5289" s="3"/>
      <c r="G5289" s="3"/>
      <c r="H5289" s="3"/>
      <c r="I5289" s="3"/>
      <c r="J5289" s="3"/>
    </row>
    <row r="5290" spans="2:19" x14ac:dyDescent="0.35">
      <c r="B5290" s="1"/>
      <c r="C5290" s="11" t="s">
        <v>843</v>
      </c>
      <c r="D5290" s="15">
        <f>+D5289*D5288</f>
        <v>48</v>
      </c>
      <c r="E5290" s="1"/>
      <c r="F5290" s="3"/>
      <c r="G5290" s="3"/>
      <c r="H5290" s="3"/>
      <c r="I5290" s="3"/>
      <c r="J5290" s="3"/>
    </row>
    <row r="5291" spans="2:19" x14ac:dyDescent="0.35">
      <c r="B5291" s="1"/>
      <c r="C5291" s="11" t="s">
        <v>844</v>
      </c>
      <c r="D5291" s="16">
        <v>365</v>
      </c>
      <c r="E5291" s="1"/>
      <c r="F5291" s="3"/>
      <c r="G5291" s="3"/>
      <c r="H5291" s="3"/>
      <c r="I5291" s="3"/>
      <c r="J5291" s="3"/>
    </row>
    <row r="5292" spans="2:19" x14ac:dyDescent="0.35">
      <c r="B5292" s="1"/>
      <c r="C5292" s="17" t="s">
        <v>845</v>
      </c>
      <c r="D5292" s="220">
        <f>-PMT(D5287/D5289,D5290,D5286,0,0)</f>
        <v>10145033.373898875</v>
      </c>
      <c r="E5292" s="3"/>
      <c r="F5292" s="3"/>
      <c r="G5292" s="3"/>
      <c r="H5292" s="3"/>
      <c r="I5292" s="3"/>
      <c r="J5292" s="3"/>
    </row>
    <row r="5293" spans="2:19" x14ac:dyDescent="0.35">
      <c r="B5293" s="1"/>
      <c r="C5293" s="1"/>
      <c r="D5293" s="3"/>
      <c r="E5293" s="3"/>
      <c r="F5293" s="3"/>
      <c r="G5293" s="3"/>
      <c r="H5293" s="3"/>
      <c r="I5293" s="3"/>
      <c r="J5293" s="3"/>
    </row>
    <row r="5294" spans="2:19" x14ac:dyDescent="0.35">
      <c r="B5294" s="1"/>
      <c r="C5294" s="19" t="s">
        <v>846</v>
      </c>
      <c r="D5294" s="20" t="s">
        <v>847</v>
      </c>
      <c r="E5294" s="20" t="s">
        <v>764</v>
      </c>
      <c r="F5294" s="270" t="s">
        <v>848</v>
      </c>
      <c r="G5294" s="270" t="s">
        <v>849</v>
      </c>
      <c r="H5294" s="270" t="s">
        <v>742</v>
      </c>
      <c r="I5294" s="270" t="s">
        <v>740</v>
      </c>
      <c r="J5294" s="270" t="s">
        <v>850</v>
      </c>
      <c r="K5294" s="21" t="s">
        <v>851</v>
      </c>
      <c r="L5294" s="21" t="s">
        <v>852</v>
      </c>
    </row>
    <row r="5295" spans="2:19" x14ac:dyDescent="0.35">
      <c r="B5295" s="1">
        <v>0</v>
      </c>
      <c r="C5295" s="22">
        <v>45441</v>
      </c>
      <c r="D5295" s="22">
        <v>45443</v>
      </c>
      <c r="E5295" s="23">
        <f>31-29</f>
        <v>2</v>
      </c>
      <c r="F5295" s="3">
        <f>D5286</f>
        <v>400000000</v>
      </c>
      <c r="G5295" s="3">
        <f>H5295</f>
        <v>222222.22222222222</v>
      </c>
      <c r="H5295" s="3">
        <f>($D$5287/$D$5289*F5295*E5295/30)</f>
        <v>222222.22222222222</v>
      </c>
      <c r="I5295" s="3"/>
      <c r="J5295" s="3">
        <f t="shared" ref="J5295:J5326" si="828">F5295-I5295</f>
        <v>400000000</v>
      </c>
      <c r="L5295" s="7">
        <f>+G5295-K5295</f>
        <v>222222.22222222222</v>
      </c>
    </row>
    <row r="5296" spans="2:19" x14ac:dyDescent="0.35">
      <c r="B5296" s="1">
        <v>1</v>
      </c>
      <c r="C5296" s="22">
        <v>45444</v>
      </c>
      <c r="D5296" s="22">
        <v>45473</v>
      </c>
      <c r="E5296" s="23">
        <v>31</v>
      </c>
      <c r="F5296" s="3">
        <f t="shared" ref="F5296:F5343" si="829">J5295</f>
        <v>400000000</v>
      </c>
      <c r="G5296" s="3">
        <v>3333333.333333333</v>
      </c>
      <c r="H5296" s="3">
        <f t="shared" ref="H5296:H5343" si="830">($D$5287/$D$5289*F5296)</f>
        <v>3333333.3333333335</v>
      </c>
      <c r="I5296" s="3"/>
      <c r="J5296" s="3">
        <f t="shared" si="828"/>
        <v>400000000</v>
      </c>
      <c r="K5296" s="7"/>
      <c r="L5296" s="7">
        <f>+G5296-K5296+L5295</f>
        <v>3555555.555555555</v>
      </c>
    </row>
    <row r="5297" spans="2:12" x14ac:dyDescent="0.35">
      <c r="B5297" s="1">
        <v>2</v>
      </c>
      <c r="C5297" s="22">
        <v>45474</v>
      </c>
      <c r="D5297" s="22">
        <v>45504</v>
      </c>
      <c r="E5297" s="23">
        <v>30</v>
      </c>
      <c r="F5297" s="3">
        <f t="shared" si="829"/>
        <v>400000000</v>
      </c>
      <c r="G5297" s="3">
        <v>3333333.3333333302</v>
      </c>
      <c r="H5297" s="3">
        <f t="shared" si="830"/>
        <v>3333333.3333333335</v>
      </c>
      <c r="I5297" s="3"/>
      <c r="J5297" s="3">
        <f t="shared" si="828"/>
        <v>400000000</v>
      </c>
      <c r="L5297" s="7">
        <f>+G5297-K5297+L5296</f>
        <v>6888888.8888888853</v>
      </c>
    </row>
    <row r="5298" spans="2:12" x14ac:dyDescent="0.35">
      <c r="B5298" s="1">
        <f t="shared" ref="B5298:B5343" si="831">+B5297+1</f>
        <v>3</v>
      </c>
      <c r="C5298" s="22">
        <v>45505</v>
      </c>
      <c r="D5298" s="22">
        <v>45535</v>
      </c>
      <c r="E5298" s="23">
        <v>31</v>
      </c>
      <c r="F5298" s="3">
        <f t="shared" si="829"/>
        <v>400000000</v>
      </c>
      <c r="G5298" s="3">
        <v>3333333.333333333</v>
      </c>
      <c r="H5298" s="3">
        <f t="shared" si="830"/>
        <v>3333333.3333333335</v>
      </c>
      <c r="I5298" s="3"/>
      <c r="J5298" s="3">
        <f t="shared" si="828"/>
        <v>400000000</v>
      </c>
      <c r="L5298" s="141">
        <f>+G5298-K5298+L5297</f>
        <v>10222222.222222218</v>
      </c>
    </row>
    <row r="5299" spans="2:12" x14ac:dyDescent="0.35">
      <c r="B5299" s="1">
        <f t="shared" si="831"/>
        <v>4</v>
      </c>
      <c r="C5299" s="22">
        <v>45536</v>
      </c>
      <c r="D5299" s="22">
        <v>45565</v>
      </c>
      <c r="E5299" s="23">
        <v>31</v>
      </c>
      <c r="F5299" s="3">
        <f t="shared" si="829"/>
        <v>400000000</v>
      </c>
      <c r="G5299" s="3">
        <v>3333333.333333333</v>
      </c>
      <c r="H5299" s="3">
        <f t="shared" si="830"/>
        <v>3333333.3333333335</v>
      </c>
      <c r="I5299" s="3"/>
      <c r="J5299" s="3">
        <f t="shared" si="828"/>
        <v>400000000</v>
      </c>
      <c r="K5299" s="7">
        <v>10222222.220000001</v>
      </c>
      <c r="L5299" s="141">
        <f>+G5299-K5299+L5298</f>
        <v>3333333.3355555506</v>
      </c>
    </row>
    <row r="5300" spans="2:12" x14ac:dyDescent="0.35">
      <c r="B5300" s="1">
        <f t="shared" si="831"/>
        <v>5</v>
      </c>
      <c r="C5300" s="22">
        <v>45566</v>
      </c>
      <c r="D5300" s="22">
        <v>45596</v>
      </c>
      <c r="E5300" s="23">
        <v>30</v>
      </c>
      <c r="F5300" s="3">
        <f t="shared" si="829"/>
        <v>400000000</v>
      </c>
      <c r="G5300" s="3">
        <v>3333333.333333333</v>
      </c>
      <c r="H5300" s="3">
        <f t="shared" si="830"/>
        <v>3333333.3333333335</v>
      </c>
      <c r="I5300" s="3"/>
      <c r="J5300" s="3">
        <f t="shared" si="828"/>
        <v>400000000</v>
      </c>
      <c r="K5300" s="7">
        <v>3314574.32</v>
      </c>
      <c r="L5300" s="360">
        <f>+G5300-K5300+L5299</f>
        <v>3352092.3488888838</v>
      </c>
    </row>
    <row r="5301" spans="2:12" x14ac:dyDescent="0.35">
      <c r="B5301" s="1">
        <f t="shared" si="831"/>
        <v>6</v>
      </c>
      <c r="C5301" s="22">
        <v>45597</v>
      </c>
      <c r="D5301" s="22">
        <v>45626</v>
      </c>
      <c r="E5301" s="23">
        <v>31</v>
      </c>
      <c r="F5301" s="3">
        <f t="shared" si="829"/>
        <v>400000000</v>
      </c>
      <c r="G5301" s="3">
        <v>3333333.333333333</v>
      </c>
      <c r="H5301" s="3">
        <f t="shared" si="830"/>
        <v>3333333.3333333335</v>
      </c>
      <c r="I5301" s="3"/>
      <c r="J5301" s="3">
        <f t="shared" si="828"/>
        <v>400000000</v>
      </c>
    </row>
    <row r="5302" spans="2:12" x14ac:dyDescent="0.35">
      <c r="B5302" s="1">
        <f t="shared" si="831"/>
        <v>7</v>
      </c>
      <c r="C5302" s="22">
        <v>45627</v>
      </c>
      <c r="D5302" s="22">
        <v>45657</v>
      </c>
      <c r="E5302" s="23">
        <v>30</v>
      </c>
      <c r="F5302" s="3">
        <f t="shared" si="829"/>
        <v>400000000</v>
      </c>
      <c r="G5302" s="3">
        <v>3333333.333333333</v>
      </c>
      <c r="H5302" s="3">
        <f t="shared" si="830"/>
        <v>3333333.3333333335</v>
      </c>
      <c r="I5302" s="3"/>
      <c r="J5302" s="3">
        <f t="shared" si="828"/>
        <v>400000000</v>
      </c>
      <c r="K5302" s="7"/>
    </row>
    <row r="5303" spans="2:12" x14ac:dyDescent="0.35">
      <c r="B5303" s="1">
        <f t="shared" si="831"/>
        <v>8</v>
      </c>
      <c r="C5303" s="22">
        <v>45658</v>
      </c>
      <c r="D5303" s="22">
        <v>45688</v>
      </c>
      <c r="E5303" s="23">
        <v>31</v>
      </c>
      <c r="F5303" s="3">
        <f t="shared" si="829"/>
        <v>400000000</v>
      </c>
      <c r="G5303" s="3">
        <f t="shared" ref="G5303:G5343" si="832">-PMT($D$5287/$D$5289,41,$F$5303,,0)</f>
        <v>11557690.687539462</v>
      </c>
      <c r="H5303" s="3">
        <f t="shared" si="830"/>
        <v>3333333.3333333335</v>
      </c>
      <c r="I5303" s="3">
        <f t="shared" ref="I5303:I5343" si="833">G5303-H5303</f>
        <v>8224357.354206128</v>
      </c>
      <c r="J5303" s="3">
        <f t="shared" si="828"/>
        <v>391775642.64579386</v>
      </c>
    </row>
    <row r="5304" spans="2:12" x14ac:dyDescent="0.35">
      <c r="B5304" s="1">
        <f t="shared" si="831"/>
        <v>9</v>
      </c>
      <c r="C5304" s="22">
        <v>45689</v>
      </c>
      <c r="D5304" s="22">
        <v>45716</v>
      </c>
      <c r="E5304" s="23">
        <v>31</v>
      </c>
      <c r="F5304" s="3">
        <f t="shared" si="829"/>
        <v>391775642.64579386</v>
      </c>
      <c r="G5304" s="3">
        <f t="shared" si="832"/>
        <v>11557690.687539462</v>
      </c>
      <c r="H5304" s="3">
        <f t="shared" si="830"/>
        <v>3264797.022048282</v>
      </c>
      <c r="I5304" s="3">
        <f t="shared" si="833"/>
        <v>8292893.6654911805</v>
      </c>
      <c r="J5304" s="3">
        <f t="shared" si="828"/>
        <v>383482748.98030269</v>
      </c>
    </row>
    <row r="5305" spans="2:12" x14ac:dyDescent="0.35">
      <c r="B5305" s="1">
        <f t="shared" si="831"/>
        <v>10</v>
      </c>
      <c r="C5305" s="22">
        <v>45717</v>
      </c>
      <c r="D5305" s="22">
        <v>45747</v>
      </c>
      <c r="E5305" s="23">
        <v>28</v>
      </c>
      <c r="F5305" s="3">
        <f t="shared" si="829"/>
        <v>383482748.98030269</v>
      </c>
      <c r="G5305" s="3">
        <f t="shared" si="832"/>
        <v>11557690.687539462</v>
      </c>
      <c r="H5305" s="3">
        <f t="shared" si="830"/>
        <v>3195689.5748358555</v>
      </c>
      <c r="I5305" s="3">
        <f t="shared" si="833"/>
        <v>8362001.1127036065</v>
      </c>
      <c r="J5305" s="3">
        <f t="shared" si="828"/>
        <v>375120747.86759907</v>
      </c>
    </row>
    <row r="5306" spans="2:12" x14ac:dyDescent="0.35">
      <c r="B5306" s="1">
        <f t="shared" si="831"/>
        <v>11</v>
      </c>
      <c r="C5306" s="22">
        <v>45748</v>
      </c>
      <c r="D5306" s="22">
        <v>45777</v>
      </c>
      <c r="E5306" s="23">
        <v>31</v>
      </c>
      <c r="F5306" s="3">
        <f t="shared" si="829"/>
        <v>375120747.86759907</v>
      </c>
      <c r="G5306" s="3">
        <f t="shared" si="832"/>
        <v>11557690.687539462</v>
      </c>
      <c r="H5306" s="3">
        <f t="shared" si="830"/>
        <v>3126006.2322299923</v>
      </c>
      <c r="I5306" s="3">
        <f t="shared" si="833"/>
        <v>8431684.4553094693</v>
      </c>
      <c r="J5306" s="3">
        <f t="shared" si="828"/>
        <v>366689063.41228962</v>
      </c>
    </row>
    <row r="5307" spans="2:12" x14ac:dyDescent="0.35">
      <c r="B5307" s="1">
        <f t="shared" si="831"/>
        <v>12</v>
      </c>
      <c r="C5307" s="22">
        <v>45778</v>
      </c>
      <c r="D5307" s="22">
        <v>45808</v>
      </c>
      <c r="E5307" s="23">
        <v>30</v>
      </c>
      <c r="F5307" s="3">
        <f t="shared" si="829"/>
        <v>366689063.41228962</v>
      </c>
      <c r="G5307" s="3">
        <f t="shared" si="832"/>
        <v>11557690.687539462</v>
      </c>
      <c r="H5307" s="3">
        <f t="shared" si="830"/>
        <v>3055742.1951024137</v>
      </c>
      <c r="I5307" s="3">
        <f t="shared" si="833"/>
        <v>8501948.4924370479</v>
      </c>
      <c r="J5307" s="3">
        <f t="shared" si="828"/>
        <v>358187114.91985255</v>
      </c>
    </row>
    <row r="5308" spans="2:12" x14ac:dyDescent="0.35">
      <c r="B5308" s="1">
        <f t="shared" si="831"/>
        <v>13</v>
      </c>
      <c r="C5308" s="22">
        <v>45809</v>
      </c>
      <c r="D5308" s="22">
        <v>45838</v>
      </c>
      <c r="E5308" s="23">
        <v>31</v>
      </c>
      <c r="F5308" s="3">
        <f t="shared" si="829"/>
        <v>358187114.91985255</v>
      </c>
      <c r="G5308" s="3">
        <f t="shared" si="832"/>
        <v>11557690.687539462</v>
      </c>
      <c r="H5308" s="3">
        <f t="shared" si="830"/>
        <v>2984892.6243321048</v>
      </c>
      <c r="I5308" s="3">
        <f t="shared" si="833"/>
        <v>8572798.0632073581</v>
      </c>
      <c r="J5308" s="3">
        <f t="shared" si="828"/>
        <v>349614316.85664523</v>
      </c>
    </row>
    <row r="5309" spans="2:12" x14ac:dyDescent="0.35">
      <c r="B5309" s="1">
        <f t="shared" si="831"/>
        <v>14</v>
      </c>
      <c r="C5309" s="22">
        <v>45839</v>
      </c>
      <c r="D5309" s="22">
        <v>45868</v>
      </c>
      <c r="E5309" s="23">
        <v>30</v>
      </c>
      <c r="F5309" s="3">
        <f t="shared" si="829"/>
        <v>349614316.85664523</v>
      </c>
      <c r="G5309" s="3">
        <f t="shared" si="832"/>
        <v>11557690.687539462</v>
      </c>
      <c r="H5309" s="3">
        <f t="shared" si="830"/>
        <v>2913452.6404720433</v>
      </c>
      <c r="I5309" s="3">
        <f t="shared" si="833"/>
        <v>8644238.0470674187</v>
      </c>
      <c r="J5309" s="3">
        <f t="shared" si="828"/>
        <v>340970078.80957782</v>
      </c>
    </row>
    <row r="5310" spans="2:12" x14ac:dyDescent="0.35">
      <c r="B5310" s="1">
        <f t="shared" si="831"/>
        <v>15</v>
      </c>
      <c r="C5310" s="22">
        <v>45870</v>
      </c>
      <c r="D5310" s="22">
        <v>45899</v>
      </c>
      <c r="E5310" s="23">
        <v>30</v>
      </c>
      <c r="F5310" s="3">
        <f t="shared" si="829"/>
        <v>340970078.80957782</v>
      </c>
      <c r="G5310" s="3">
        <f t="shared" si="832"/>
        <v>11557690.687539462</v>
      </c>
      <c r="H5310" s="3">
        <f t="shared" si="830"/>
        <v>2841417.3234131485</v>
      </c>
      <c r="I5310" s="3">
        <f t="shared" si="833"/>
        <v>8716273.3641263135</v>
      </c>
      <c r="J5310" s="3">
        <f t="shared" si="828"/>
        <v>332253805.4454515</v>
      </c>
    </row>
    <row r="5311" spans="2:12" x14ac:dyDescent="0.35">
      <c r="B5311" s="1">
        <f t="shared" si="831"/>
        <v>16</v>
      </c>
      <c r="C5311" s="22">
        <v>45901</v>
      </c>
      <c r="D5311" s="22">
        <v>45930</v>
      </c>
      <c r="E5311" s="23">
        <v>30</v>
      </c>
      <c r="F5311" s="3">
        <f t="shared" si="829"/>
        <v>332253805.4454515</v>
      </c>
      <c r="G5311" s="3">
        <f t="shared" si="832"/>
        <v>11557690.687539462</v>
      </c>
      <c r="H5311" s="3">
        <f t="shared" si="830"/>
        <v>2768781.7120454293</v>
      </c>
      <c r="I5311" s="3">
        <f t="shared" si="833"/>
        <v>8788908.9754940327</v>
      </c>
      <c r="J5311" s="3">
        <f t="shared" si="828"/>
        <v>323464896.46995747</v>
      </c>
    </row>
    <row r="5312" spans="2:12" x14ac:dyDescent="0.35">
      <c r="B5312" s="1">
        <f t="shared" si="831"/>
        <v>17</v>
      </c>
      <c r="C5312" s="22">
        <v>45931</v>
      </c>
      <c r="D5312" s="22">
        <v>45961</v>
      </c>
      <c r="E5312" s="23">
        <v>30</v>
      </c>
      <c r="F5312" s="3">
        <f t="shared" si="829"/>
        <v>323464896.46995747</v>
      </c>
      <c r="G5312" s="3">
        <f t="shared" si="832"/>
        <v>11557690.687539462</v>
      </c>
      <c r="H5312" s="3">
        <f t="shared" si="830"/>
        <v>2695540.8039163123</v>
      </c>
      <c r="I5312" s="3">
        <f t="shared" si="833"/>
        <v>8862149.8836231492</v>
      </c>
      <c r="J5312" s="3">
        <f t="shared" si="828"/>
        <v>314602746.58633435</v>
      </c>
    </row>
    <row r="5313" spans="2:10" x14ac:dyDescent="0.35">
      <c r="B5313" s="1">
        <f t="shared" si="831"/>
        <v>18</v>
      </c>
      <c r="C5313" s="22">
        <v>45962</v>
      </c>
      <c r="D5313" s="22">
        <v>45991</v>
      </c>
      <c r="E5313" s="23">
        <v>31</v>
      </c>
      <c r="F5313" s="3">
        <f t="shared" si="829"/>
        <v>314602746.58633435</v>
      </c>
      <c r="G5313" s="3">
        <f t="shared" si="832"/>
        <v>11557690.687539462</v>
      </c>
      <c r="H5313" s="3">
        <f t="shared" si="830"/>
        <v>2621689.5548861194</v>
      </c>
      <c r="I5313" s="3">
        <f t="shared" si="833"/>
        <v>8936001.1326533426</v>
      </c>
      <c r="J5313" s="3">
        <f t="shared" si="828"/>
        <v>305666745.45368099</v>
      </c>
    </row>
    <row r="5314" spans="2:10" x14ac:dyDescent="0.35">
      <c r="B5314" s="1">
        <f t="shared" si="831"/>
        <v>19</v>
      </c>
      <c r="C5314" s="22">
        <v>45992</v>
      </c>
      <c r="D5314" s="22">
        <v>46022</v>
      </c>
      <c r="E5314" s="23">
        <v>30</v>
      </c>
      <c r="F5314" s="3">
        <f t="shared" si="829"/>
        <v>305666745.45368099</v>
      </c>
      <c r="G5314" s="3">
        <f t="shared" si="832"/>
        <v>11557690.687539462</v>
      </c>
      <c r="H5314" s="3">
        <f t="shared" si="830"/>
        <v>2547222.8787806751</v>
      </c>
      <c r="I5314" s="3">
        <f t="shared" si="833"/>
        <v>9010467.8087587878</v>
      </c>
      <c r="J5314" s="3">
        <f t="shared" si="828"/>
        <v>296656277.6449222</v>
      </c>
    </row>
    <row r="5315" spans="2:10" x14ac:dyDescent="0.35">
      <c r="B5315" s="1">
        <f t="shared" si="831"/>
        <v>20</v>
      </c>
      <c r="C5315" s="22">
        <v>46023</v>
      </c>
      <c r="D5315" s="22">
        <v>46053</v>
      </c>
      <c r="E5315" s="23">
        <v>31</v>
      </c>
      <c r="F5315" s="3">
        <f t="shared" si="829"/>
        <v>296656277.6449222</v>
      </c>
      <c r="G5315" s="3">
        <f t="shared" si="832"/>
        <v>11557690.687539462</v>
      </c>
      <c r="H5315" s="3">
        <f t="shared" si="830"/>
        <v>2472135.6470410181</v>
      </c>
      <c r="I5315" s="3">
        <f t="shared" si="833"/>
        <v>9085555.0404984429</v>
      </c>
      <c r="J5315" s="3">
        <f t="shared" si="828"/>
        <v>287570722.60442376</v>
      </c>
    </row>
    <row r="5316" spans="2:10" x14ac:dyDescent="0.35">
      <c r="B5316" s="1">
        <f t="shared" si="831"/>
        <v>21</v>
      </c>
      <c r="C5316" s="22">
        <v>46054</v>
      </c>
      <c r="D5316" s="22">
        <v>46081</v>
      </c>
      <c r="E5316" s="23">
        <v>31</v>
      </c>
      <c r="F5316" s="3">
        <f t="shared" si="829"/>
        <v>287570722.60442376</v>
      </c>
      <c r="G5316" s="3">
        <f t="shared" si="832"/>
        <v>11557690.687539462</v>
      </c>
      <c r="H5316" s="3">
        <f t="shared" si="830"/>
        <v>2396422.688370198</v>
      </c>
      <c r="I5316" s="3">
        <f t="shared" si="833"/>
        <v>9161267.999169264</v>
      </c>
      <c r="J5316" s="3">
        <f t="shared" si="828"/>
        <v>278409454.60525447</v>
      </c>
    </row>
    <row r="5317" spans="2:10" x14ac:dyDescent="0.35">
      <c r="B5317" s="1">
        <f t="shared" si="831"/>
        <v>22</v>
      </c>
      <c r="C5317" s="22">
        <v>46082</v>
      </c>
      <c r="D5317" s="22">
        <v>46112</v>
      </c>
      <c r="E5317" s="23">
        <v>28</v>
      </c>
      <c r="F5317" s="3">
        <f t="shared" si="829"/>
        <v>278409454.60525447</v>
      </c>
      <c r="G5317" s="3">
        <f t="shared" si="832"/>
        <v>11557690.687539462</v>
      </c>
      <c r="H5317" s="3">
        <f t="shared" si="830"/>
        <v>2320078.7883771206</v>
      </c>
      <c r="I5317" s="3">
        <f t="shared" si="833"/>
        <v>9237611.8991623409</v>
      </c>
      <c r="J5317" s="3">
        <f t="shared" si="828"/>
        <v>269171842.70609212</v>
      </c>
    </row>
    <row r="5318" spans="2:10" x14ac:dyDescent="0.35">
      <c r="B5318" s="1">
        <f t="shared" si="831"/>
        <v>23</v>
      </c>
      <c r="C5318" s="22">
        <v>46113</v>
      </c>
      <c r="D5318" s="22">
        <v>46142</v>
      </c>
      <c r="E5318" s="23">
        <v>31</v>
      </c>
      <c r="F5318" s="3">
        <f t="shared" si="829"/>
        <v>269171842.70609212</v>
      </c>
      <c r="G5318" s="3">
        <f t="shared" si="832"/>
        <v>11557690.687539462</v>
      </c>
      <c r="H5318" s="3">
        <f t="shared" si="830"/>
        <v>2243098.6892174343</v>
      </c>
      <c r="I5318" s="3">
        <f t="shared" si="833"/>
        <v>9314591.9983220287</v>
      </c>
      <c r="J5318" s="3">
        <f t="shared" si="828"/>
        <v>259857250.70777008</v>
      </c>
    </row>
    <row r="5319" spans="2:10" x14ac:dyDescent="0.35">
      <c r="B5319" s="1">
        <f t="shared" si="831"/>
        <v>24</v>
      </c>
      <c r="C5319" s="22">
        <v>46143</v>
      </c>
      <c r="D5319" s="22">
        <v>46173</v>
      </c>
      <c r="E5319" s="23">
        <v>32</v>
      </c>
      <c r="F5319" s="3">
        <f t="shared" si="829"/>
        <v>259857250.70777008</v>
      </c>
      <c r="G5319" s="3">
        <f t="shared" si="832"/>
        <v>11557690.687539462</v>
      </c>
      <c r="H5319" s="3">
        <f t="shared" si="830"/>
        <v>2165477.0892314175</v>
      </c>
      <c r="I5319" s="3">
        <f t="shared" si="833"/>
        <v>9392213.5983080454</v>
      </c>
      <c r="J5319" s="3">
        <f t="shared" si="828"/>
        <v>250465037.10946202</v>
      </c>
    </row>
    <row r="5320" spans="2:10" x14ac:dyDescent="0.35">
      <c r="B5320" s="1">
        <f t="shared" si="831"/>
        <v>25</v>
      </c>
      <c r="C5320" s="22">
        <v>46174</v>
      </c>
      <c r="D5320" s="22">
        <v>46203</v>
      </c>
      <c r="E5320" s="23">
        <v>33</v>
      </c>
      <c r="F5320" s="3">
        <f t="shared" si="829"/>
        <v>250465037.10946202</v>
      </c>
      <c r="G5320" s="3">
        <f t="shared" si="832"/>
        <v>11557690.687539462</v>
      </c>
      <c r="H5320" s="3">
        <f t="shared" si="830"/>
        <v>2087208.6425788503</v>
      </c>
      <c r="I5320" s="3">
        <f t="shared" si="833"/>
        <v>9470482.0449606124</v>
      </c>
      <c r="J5320" s="3">
        <f t="shared" si="828"/>
        <v>240994555.0645014</v>
      </c>
    </row>
    <row r="5321" spans="2:10" x14ac:dyDescent="0.35">
      <c r="B5321" s="1">
        <f t="shared" si="831"/>
        <v>26</v>
      </c>
      <c r="C5321" s="22">
        <v>46204</v>
      </c>
      <c r="D5321" s="22">
        <v>46234</v>
      </c>
      <c r="E5321" s="23">
        <v>34</v>
      </c>
      <c r="F5321" s="3">
        <f t="shared" si="829"/>
        <v>240994555.0645014</v>
      </c>
      <c r="G5321" s="3">
        <f t="shared" si="832"/>
        <v>11557690.687539462</v>
      </c>
      <c r="H5321" s="3">
        <f t="shared" si="830"/>
        <v>2008287.9588708449</v>
      </c>
      <c r="I5321" s="3">
        <f t="shared" si="833"/>
        <v>9549402.7286686171</v>
      </c>
      <c r="J5321" s="3">
        <f t="shared" si="828"/>
        <v>231445152.33583277</v>
      </c>
    </row>
    <row r="5322" spans="2:10" x14ac:dyDescent="0.35">
      <c r="B5322" s="1">
        <f t="shared" si="831"/>
        <v>27</v>
      </c>
      <c r="C5322" s="22">
        <v>46235</v>
      </c>
      <c r="D5322" s="22">
        <v>46265</v>
      </c>
      <c r="E5322" s="23">
        <v>35</v>
      </c>
      <c r="F5322" s="3">
        <f t="shared" si="829"/>
        <v>231445152.33583277</v>
      </c>
      <c r="G5322" s="3">
        <f t="shared" si="832"/>
        <v>11557690.687539462</v>
      </c>
      <c r="H5322" s="3">
        <f t="shared" si="830"/>
        <v>1928709.6027986065</v>
      </c>
      <c r="I5322" s="3">
        <f t="shared" si="833"/>
        <v>9628981.0847408548</v>
      </c>
      <c r="J5322" s="3">
        <f t="shared" si="828"/>
        <v>221816171.25109193</v>
      </c>
    </row>
    <row r="5323" spans="2:10" x14ac:dyDescent="0.35">
      <c r="B5323" s="1">
        <f t="shared" si="831"/>
        <v>28</v>
      </c>
      <c r="C5323" s="22">
        <v>46266</v>
      </c>
      <c r="D5323" s="22">
        <v>46295</v>
      </c>
      <c r="E5323" s="23">
        <v>36</v>
      </c>
      <c r="F5323" s="3">
        <f t="shared" si="829"/>
        <v>221816171.25109193</v>
      </c>
      <c r="G5323" s="3">
        <f t="shared" si="832"/>
        <v>11557690.687539462</v>
      </c>
      <c r="H5323" s="3">
        <f t="shared" si="830"/>
        <v>1848468.0937590993</v>
      </c>
      <c r="I5323" s="3">
        <f t="shared" si="833"/>
        <v>9709222.593780363</v>
      </c>
      <c r="J5323" s="3">
        <f t="shared" si="828"/>
        <v>212106948.65731156</v>
      </c>
    </row>
    <row r="5324" spans="2:10" x14ac:dyDescent="0.35">
      <c r="B5324" s="1">
        <f t="shared" si="831"/>
        <v>29</v>
      </c>
      <c r="C5324" s="22">
        <v>46296</v>
      </c>
      <c r="D5324" s="22">
        <v>46326</v>
      </c>
      <c r="E5324" s="23">
        <v>37</v>
      </c>
      <c r="F5324" s="3">
        <f t="shared" si="829"/>
        <v>212106948.65731156</v>
      </c>
      <c r="G5324" s="3">
        <f t="shared" si="832"/>
        <v>11557690.687539462</v>
      </c>
      <c r="H5324" s="3">
        <f t="shared" si="830"/>
        <v>1767557.9054775962</v>
      </c>
      <c r="I5324" s="3">
        <f t="shared" si="833"/>
        <v>9790132.7820618656</v>
      </c>
      <c r="J5324" s="3">
        <f t="shared" si="828"/>
        <v>202316815.87524968</v>
      </c>
    </row>
    <row r="5325" spans="2:10" x14ac:dyDescent="0.35">
      <c r="B5325" s="1">
        <f t="shared" si="831"/>
        <v>30</v>
      </c>
      <c r="C5325" s="22">
        <v>46327</v>
      </c>
      <c r="D5325" s="22">
        <v>46356</v>
      </c>
      <c r="E5325" s="23">
        <v>38</v>
      </c>
      <c r="F5325" s="3">
        <f t="shared" si="829"/>
        <v>202316815.87524968</v>
      </c>
      <c r="G5325" s="3">
        <f t="shared" si="832"/>
        <v>11557690.687539462</v>
      </c>
      <c r="H5325" s="3">
        <f t="shared" si="830"/>
        <v>1685973.4656270808</v>
      </c>
      <c r="I5325" s="3">
        <f t="shared" si="833"/>
        <v>9871717.2219123803</v>
      </c>
      <c r="J5325" s="3">
        <f t="shared" si="828"/>
        <v>192445098.6533373</v>
      </c>
    </row>
    <row r="5326" spans="2:10" x14ac:dyDescent="0.35">
      <c r="B5326" s="1">
        <f t="shared" si="831"/>
        <v>31</v>
      </c>
      <c r="C5326" s="22">
        <v>46357</v>
      </c>
      <c r="D5326" s="22">
        <v>46387</v>
      </c>
      <c r="E5326" s="23">
        <v>39</v>
      </c>
      <c r="F5326" s="3">
        <f t="shared" si="829"/>
        <v>192445098.6533373</v>
      </c>
      <c r="G5326" s="3">
        <f t="shared" si="832"/>
        <v>11557690.687539462</v>
      </c>
      <c r="H5326" s="3">
        <f t="shared" si="830"/>
        <v>1603709.1554444775</v>
      </c>
      <c r="I5326" s="3">
        <f t="shared" si="833"/>
        <v>9953981.5320949852</v>
      </c>
      <c r="J5326" s="3">
        <f t="shared" si="828"/>
        <v>182491117.12124231</v>
      </c>
    </row>
    <row r="5327" spans="2:10" x14ac:dyDescent="0.35">
      <c r="B5327" s="1">
        <f t="shared" si="831"/>
        <v>32</v>
      </c>
      <c r="C5327" s="22">
        <v>46388</v>
      </c>
      <c r="D5327" s="22">
        <v>46418</v>
      </c>
      <c r="E5327" s="23">
        <v>40</v>
      </c>
      <c r="F5327" s="3">
        <f t="shared" si="829"/>
        <v>182491117.12124231</v>
      </c>
      <c r="G5327" s="3">
        <f t="shared" si="832"/>
        <v>11557690.687539462</v>
      </c>
      <c r="H5327" s="3">
        <f t="shared" si="830"/>
        <v>1520759.3093436859</v>
      </c>
      <c r="I5327" s="3">
        <f t="shared" si="833"/>
        <v>10036931.378195776</v>
      </c>
      <c r="J5327" s="3">
        <f t="shared" ref="J5327:J5343" si="834">F5327-I5327</f>
        <v>172454185.74304655</v>
      </c>
    </row>
    <row r="5328" spans="2:10" x14ac:dyDescent="0.35">
      <c r="B5328" s="1">
        <f t="shared" si="831"/>
        <v>33</v>
      </c>
      <c r="C5328" s="22">
        <v>46419</v>
      </c>
      <c r="D5328" s="22">
        <v>46446</v>
      </c>
      <c r="E5328" s="23">
        <v>41</v>
      </c>
      <c r="F5328" s="3">
        <f t="shared" si="829"/>
        <v>172454185.74304655</v>
      </c>
      <c r="G5328" s="3">
        <f t="shared" si="832"/>
        <v>11557690.687539462</v>
      </c>
      <c r="H5328" s="3">
        <f t="shared" si="830"/>
        <v>1437118.2145253879</v>
      </c>
      <c r="I5328" s="3">
        <f t="shared" si="833"/>
        <v>10120572.473014073</v>
      </c>
      <c r="J5328" s="3">
        <f t="shared" si="834"/>
        <v>162333613.27003247</v>
      </c>
    </row>
    <row r="5329" spans="2:10" x14ac:dyDescent="0.35">
      <c r="B5329" s="1">
        <f t="shared" si="831"/>
        <v>34</v>
      </c>
      <c r="C5329" s="22">
        <v>46447</v>
      </c>
      <c r="D5329" s="22">
        <v>46477</v>
      </c>
      <c r="E5329" s="23">
        <v>42</v>
      </c>
      <c r="F5329" s="3">
        <f t="shared" si="829"/>
        <v>162333613.27003247</v>
      </c>
      <c r="G5329" s="3">
        <f t="shared" si="832"/>
        <v>11557690.687539462</v>
      </c>
      <c r="H5329" s="3">
        <f t="shared" si="830"/>
        <v>1352780.1105836038</v>
      </c>
      <c r="I5329" s="3">
        <f t="shared" si="833"/>
        <v>10204910.576955859</v>
      </c>
      <c r="J5329" s="3">
        <f t="shared" si="834"/>
        <v>152128702.69307661</v>
      </c>
    </row>
    <row r="5330" spans="2:10" x14ac:dyDescent="0.35">
      <c r="B5330" s="1">
        <f t="shared" si="831"/>
        <v>35</v>
      </c>
      <c r="C5330" s="22">
        <v>46478</v>
      </c>
      <c r="D5330" s="22">
        <v>46507</v>
      </c>
      <c r="E5330" s="23">
        <v>43</v>
      </c>
      <c r="F5330" s="3">
        <f t="shared" si="829"/>
        <v>152128702.69307661</v>
      </c>
      <c r="G5330" s="3">
        <f t="shared" si="832"/>
        <v>11557690.687539462</v>
      </c>
      <c r="H5330" s="3">
        <f t="shared" si="830"/>
        <v>1267739.1891089717</v>
      </c>
      <c r="I5330" s="3">
        <f t="shared" si="833"/>
        <v>10289951.49843049</v>
      </c>
      <c r="J5330" s="3">
        <f t="shared" si="834"/>
        <v>141838751.19464612</v>
      </c>
    </row>
    <row r="5331" spans="2:10" x14ac:dyDescent="0.35">
      <c r="B5331" s="1">
        <f t="shared" si="831"/>
        <v>36</v>
      </c>
      <c r="C5331" s="22">
        <v>46508</v>
      </c>
      <c r="D5331" s="22">
        <v>46538</v>
      </c>
      <c r="E5331" s="23">
        <v>44</v>
      </c>
      <c r="F5331" s="3">
        <f t="shared" si="829"/>
        <v>141838751.19464612</v>
      </c>
      <c r="G5331" s="3">
        <f t="shared" si="832"/>
        <v>11557690.687539462</v>
      </c>
      <c r="H5331" s="3">
        <f t="shared" si="830"/>
        <v>1181989.5932887176</v>
      </c>
      <c r="I5331" s="3">
        <f t="shared" si="833"/>
        <v>10375701.094250744</v>
      </c>
      <c r="J5331" s="3">
        <f t="shared" si="834"/>
        <v>131463050.10039538</v>
      </c>
    </row>
    <row r="5332" spans="2:10" x14ac:dyDescent="0.35">
      <c r="B5332" s="1">
        <f t="shared" si="831"/>
        <v>37</v>
      </c>
      <c r="C5332" s="22">
        <v>46539</v>
      </c>
      <c r="D5332" s="22">
        <v>46568</v>
      </c>
      <c r="E5332" s="23">
        <v>45</v>
      </c>
      <c r="F5332" s="3">
        <f t="shared" si="829"/>
        <v>131463050.10039538</v>
      </c>
      <c r="G5332" s="3">
        <f t="shared" si="832"/>
        <v>11557690.687539462</v>
      </c>
      <c r="H5332" s="3">
        <f t="shared" si="830"/>
        <v>1095525.4175032948</v>
      </c>
      <c r="I5332" s="3">
        <f t="shared" si="833"/>
        <v>10462165.270036167</v>
      </c>
      <c r="J5332" s="3">
        <f t="shared" si="834"/>
        <v>121000884.83035922</v>
      </c>
    </row>
    <row r="5333" spans="2:10" x14ac:dyDescent="0.35">
      <c r="B5333" s="1">
        <f t="shared" si="831"/>
        <v>38</v>
      </c>
      <c r="C5333" s="22">
        <v>46569</v>
      </c>
      <c r="D5333" s="22">
        <v>46599</v>
      </c>
      <c r="E5333" s="23">
        <v>46</v>
      </c>
      <c r="F5333" s="3">
        <f t="shared" si="829"/>
        <v>121000884.83035922</v>
      </c>
      <c r="G5333" s="3">
        <f t="shared" si="832"/>
        <v>11557690.687539462</v>
      </c>
      <c r="H5333" s="3">
        <f t="shared" si="830"/>
        <v>1008340.7069196602</v>
      </c>
      <c r="I5333" s="3">
        <f t="shared" si="833"/>
        <v>10549349.980619801</v>
      </c>
      <c r="J5333" s="3">
        <f t="shared" si="834"/>
        <v>110451534.84973942</v>
      </c>
    </row>
    <row r="5334" spans="2:10" x14ac:dyDescent="0.35">
      <c r="B5334" s="1">
        <f t="shared" si="831"/>
        <v>39</v>
      </c>
      <c r="C5334" s="22">
        <v>46600</v>
      </c>
      <c r="D5334" s="22">
        <v>46630</v>
      </c>
      <c r="E5334" s="23">
        <v>47</v>
      </c>
      <c r="F5334" s="3">
        <f t="shared" si="829"/>
        <v>110451534.84973942</v>
      </c>
      <c r="G5334" s="3">
        <f t="shared" si="832"/>
        <v>11557690.687539462</v>
      </c>
      <c r="H5334" s="3">
        <f t="shared" si="830"/>
        <v>920429.45708116179</v>
      </c>
      <c r="I5334" s="3">
        <f t="shared" si="833"/>
        <v>10637261.230458301</v>
      </c>
      <c r="J5334" s="3">
        <f t="shared" si="834"/>
        <v>99814273.619281113</v>
      </c>
    </row>
    <row r="5335" spans="2:10" x14ac:dyDescent="0.35">
      <c r="B5335" s="1">
        <f t="shared" si="831"/>
        <v>40</v>
      </c>
      <c r="C5335" s="22">
        <v>46631</v>
      </c>
      <c r="D5335" s="22">
        <v>46660</v>
      </c>
      <c r="E5335" s="23">
        <v>48</v>
      </c>
      <c r="F5335" s="3">
        <f t="shared" si="829"/>
        <v>99814273.619281113</v>
      </c>
      <c r="G5335" s="3">
        <f t="shared" si="832"/>
        <v>11557690.687539462</v>
      </c>
      <c r="H5335" s="3">
        <f t="shared" si="830"/>
        <v>831785.61349400925</v>
      </c>
      <c r="I5335" s="3">
        <f t="shared" si="833"/>
        <v>10725905.074045453</v>
      </c>
      <c r="J5335" s="3">
        <f t="shared" si="834"/>
        <v>89088368.545235664</v>
      </c>
    </row>
    <row r="5336" spans="2:10" x14ac:dyDescent="0.35">
      <c r="B5336" s="1">
        <f t="shared" si="831"/>
        <v>41</v>
      </c>
      <c r="C5336" s="22">
        <v>46661</v>
      </c>
      <c r="D5336" s="22">
        <v>46691</v>
      </c>
      <c r="E5336" s="23">
        <v>49</v>
      </c>
      <c r="F5336" s="3">
        <f t="shared" si="829"/>
        <v>89088368.545235664</v>
      </c>
      <c r="G5336" s="3">
        <f t="shared" si="832"/>
        <v>11557690.687539462</v>
      </c>
      <c r="H5336" s="3">
        <f t="shared" si="830"/>
        <v>742403.07121029717</v>
      </c>
      <c r="I5336" s="3">
        <f t="shared" si="833"/>
        <v>10815287.616329165</v>
      </c>
      <c r="J5336" s="3">
        <f t="shared" si="834"/>
        <v>78273080.9289065</v>
      </c>
    </row>
    <row r="5337" spans="2:10" x14ac:dyDescent="0.35">
      <c r="B5337" s="1">
        <f t="shared" si="831"/>
        <v>42</v>
      </c>
      <c r="C5337" s="22">
        <v>46692</v>
      </c>
      <c r="D5337" s="22">
        <v>46721</v>
      </c>
      <c r="E5337" s="23">
        <v>50</v>
      </c>
      <c r="F5337" s="3">
        <f t="shared" si="829"/>
        <v>78273080.9289065</v>
      </c>
      <c r="G5337" s="3">
        <f t="shared" si="832"/>
        <v>11557690.687539462</v>
      </c>
      <c r="H5337" s="3">
        <f t="shared" si="830"/>
        <v>652275.67440755421</v>
      </c>
      <c r="I5337" s="3">
        <f t="shared" si="833"/>
        <v>10905415.013131907</v>
      </c>
      <c r="J5337" s="3">
        <f t="shared" si="834"/>
        <v>67367665.915774599</v>
      </c>
    </row>
    <row r="5338" spans="2:10" x14ac:dyDescent="0.35">
      <c r="B5338" s="1">
        <f t="shared" si="831"/>
        <v>43</v>
      </c>
      <c r="C5338" s="22">
        <v>46722</v>
      </c>
      <c r="D5338" s="22">
        <v>46752</v>
      </c>
      <c r="E5338" s="23">
        <v>51</v>
      </c>
      <c r="F5338" s="3">
        <f t="shared" si="829"/>
        <v>67367665.915774599</v>
      </c>
      <c r="G5338" s="3">
        <f t="shared" si="832"/>
        <v>11557690.687539462</v>
      </c>
      <c r="H5338" s="3">
        <f t="shared" si="830"/>
        <v>561397.21596478834</v>
      </c>
      <c r="I5338" s="3">
        <f t="shared" si="833"/>
        <v>10996293.471574673</v>
      </c>
      <c r="J5338" s="3">
        <f t="shared" si="834"/>
        <v>56371372.444199927</v>
      </c>
    </row>
    <row r="5339" spans="2:10" x14ac:dyDescent="0.35">
      <c r="B5339" s="1">
        <f t="shared" si="831"/>
        <v>44</v>
      </c>
      <c r="C5339" s="22">
        <v>46753</v>
      </c>
      <c r="D5339" s="22">
        <v>46783</v>
      </c>
      <c r="E5339" s="23">
        <v>52</v>
      </c>
      <c r="F5339" s="3">
        <f t="shared" si="829"/>
        <v>56371372.444199927</v>
      </c>
      <c r="G5339" s="3">
        <f t="shared" si="832"/>
        <v>11557690.687539462</v>
      </c>
      <c r="H5339" s="3">
        <f t="shared" si="830"/>
        <v>469761.43703499937</v>
      </c>
      <c r="I5339" s="3">
        <f t="shared" si="833"/>
        <v>11087929.250504462</v>
      </c>
      <c r="J5339" s="3">
        <f t="shared" si="834"/>
        <v>45283443.193695463</v>
      </c>
    </row>
    <row r="5340" spans="2:10" x14ac:dyDescent="0.35">
      <c r="B5340" s="1">
        <f t="shared" si="831"/>
        <v>45</v>
      </c>
      <c r="C5340" s="22">
        <v>46784</v>
      </c>
      <c r="D5340" s="22">
        <v>46812</v>
      </c>
      <c r="E5340" s="23">
        <v>53</v>
      </c>
      <c r="F5340" s="3">
        <f t="shared" si="829"/>
        <v>45283443.193695463</v>
      </c>
      <c r="G5340" s="3">
        <f t="shared" si="832"/>
        <v>11557690.687539462</v>
      </c>
      <c r="H5340" s="3">
        <f t="shared" si="830"/>
        <v>377362.02661412884</v>
      </c>
      <c r="I5340" s="3">
        <f t="shared" si="833"/>
        <v>11180328.660925332</v>
      </c>
      <c r="J5340" s="3">
        <f t="shared" si="834"/>
        <v>34103114.532770127</v>
      </c>
    </row>
    <row r="5341" spans="2:10" x14ac:dyDescent="0.35">
      <c r="B5341" s="1">
        <f t="shared" si="831"/>
        <v>46</v>
      </c>
      <c r="C5341" s="22">
        <v>46813</v>
      </c>
      <c r="D5341" s="22">
        <v>46843</v>
      </c>
      <c r="E5341" s="23">
        <v>54</v>
      </c>
      <c r="F5341" s="3">
        <f t="shared" si="829"/>
        <v>34103114.532770127</v>
      </c>
      <c r="G5341" s="3">
        <f t="shared" si="832"/>
        <v>11557690.687539462</v>
      </c>
      <c r="H5341" s="3">
        <f t="shared" si="830"/>
        <v>284192.62110641773</v>
      </c>
      <c r="I5341" s="3">
        <f t="shared" si="833"/>
        <v>11273498.066433044</v>
      </c>
      <c r="J5341" s="3">
        <f t="shared" si="834"/>
        <v>22829616.466337085</v>
      </c>
    </row>
    <row r="5342" spans="2:10" x14ac:dyDescent="0.35">
      <c r="B5342" s="1">
        <f t="shared" si="831"/>
        <v>47</v>
      </c>
      <c r="C5342" s="22">
        <v>46844</v>
      </c>
      <c r="D5342" s="22">
        <v>46873</v>
      </c>
      <c r="E5342" s="23">
        <v>55</v>
      </c>
      <c r="F5342" s="3">
        <f t="shared" si="829"/>
        <v>22829616.466337085</v>
      </c>
      <c r="G5342" s="3">
        <f t="shared" si="832"/>
        <v>11557690.687539462</v>
      </c>
      <c r="H5342" s="3">
        <f t="shared" si="830"/>
        <v>190246.80388614238</v>
      </c>
      <c r="I5342" s="3">
        <f t="shared" si="833"/>
        <v>11367443.88365332</v>
      </c>
      <c r="J5342" s="3">
        <f t="shared" si="834"/>
        <v>11462172.582683764</v>
      </c>
    </row>
    <row r="5343" spans="2:10" ht="12.65" customHeight="1" x14ac:dyDescent="0.35">
      <c r="B5343" s="1">
        <f t="shared" si="831"/>
        <v>48</v>
      </c>
      <c r="C5343" s="22">
        <v>46874</v>
      </c>
      <c r="D5343" s="22">
        <v>46904</v>
      </c>
      <c r="E5343" s="23">
        <v>56</v>
      </c>
      <c r="F5343" s="3">
        <f t="shared" si="829"/>
        <v>11462172.582683764</v>
      </c>
      <c r="G5343" s="3">
        <f t="shared" si="832"/>
        <v>11557690.687539462</v>
      </c>
      <c r="H5343" s="3">
        <f t="shared" si="830"/>
        <v>95518.104855698039</v>
      </c>
      <c r="I5343" s="3">
        <f t="shared" si="833"/>
        <v>11462172.582683764</v>
      </c>
      <c r="J5343" s="3">
        <f t="shared" si="834"/>
        <v>0</v>
      </c>
    </row>
    <row r="5347" spans="2:19" x14ac:dyDescent="0.35">
      <c r="B5347" s="1"/>
      <c r="C5347" s="8" t="s">
        <v>955</v>
      </c>
      <c r="D5347" s="3"/>
      <c r="E5347" s="3"/>
      <c r="F5347" s="3"/>
      <c r="G5347" s="3"/>
      <c r="H5347" s="3"/>
      <c r="I5347" s="3"/>
      <c r="J5347" s="3"/>
      <c r="R5347" s="438" t="s">
        <v>832</v>
      </c>
      <c r="S5347" s="432" t="str">
        <f>IFERROR(INDEX(Blocks!$I$2:$I$101,MATCH(97,Blocks!$A$2:$A$101,0)),"")</f>
        <v>000104460000099</v>
      </c>
    </row>
    <row r="5348" spans="2:19" x14ac:dyDescent="0.35">
      <c r="B5348" s="1"/>
      <c r="C5348" s="1"/>
      <c r="D5348" s="3"/>
      <c r="E5348" s="3"/>
      <c r="F5348" s="3"/>
      <c r="G5348" s="3"/>
      <c r="H5348" s="3"/>
      <c r="I5348" s="3"/>
      <c r="J5348" s="3"/>
      <c r="R5348" s="438" t="s">
        <v>834</v>
      </c>
      <c r="S5348" s="432" t="str">
        <f>IFERROR(INDEX(Blocks!$H$2:$H$101,MATCH(97,Blocks!$A$2:$A$101,0)),"")</f>
        <v>Bio-Energy Resources Limited</v>
      </c>
    </row>
    <row r="5349" spans="2:19" x14ac:dyDescent="0.35">
      <c r="B5349" s="1"/>
      <c r="C5349" s="9" t="s">
        <v>835</v>
      </c>
      <c r="D5349" s="10">
        <v>108431000</v>
      </c>
      <c r="E5349" s="3"/>
      <c r="F5349" s="3"/>
      <c r="G5349" s="3"/>
      <c r="H5349" s="3"/>
      <c r="I5349" s="3"/>
      <c r="J5349" s="3"/>
      <c r="R5349" s="438" t="s">
        <v>223</v>
      </c>
      <c r="S5349" s="433">
        <f>IFERROR(INDEX('E-Banker master'!$N$2:$N$186,MATCH(S5347,'E-Banker master'!$A$2:$A$186,0)),"")</f>
        <v>108431000</v>
      </c>
    </row>
    <row r="5350" spans="2:19" x14ac:dyDescent="0.35">
      <c r="B5350" s="1"/>
      <c r="C5350" s="11" t="s">
        <v>837</v>
      </c>
      <c r="D5350" s="12">
        <v>0.1</v>
      </c>
      <c r="E5350" s="13"/>
      <c r="F5350" s="3"/>
      <c r="G5350" s="3"/>
      <c r="H5350" s="3"/>
      <c r="I5350" s="3"/>
      <c r="J5350" s="3"/>
      <c r="R5350" s="438" t="s">
        <v>52</v>
      </c>
      <c r="S5350" s="433">
        <f>IFERROR(INDEX('E-Banker master'!$P$2:$P$186,MATCH(S5347,'E-Banker master'!$A$2:$A$186,0)),"")</f>
        <v>112923348.17</v>
      </c>
    </row>
    <row r="5351" spans="2:19" x14ac:dyDescent="0.35">
      <c r="B5351" s="1"/>
      <c r="C5351" s="11" t="s">
        <v>838</v>
      </c>
      <c r="D5351" s="14">
        <v>4</v>
      </c>
      <c r="E5351" s="1"/>
      <c r="F5351" s="3"/>
      <c r="G5351" s="3"/>
      <c r="H5351" s="3"/>
      <c r="I5351" s="3"/>
      <c r="J5351" s="3"/>
    </row>
    <row r="5352" spans="2:19" x14ac:dyDescent="0.35">
      <c r="B5352" s="1"/>
      <c r="C5352" s="11" t="s">
        <v>839</v>
      </c>
      <c r="D5352" s="14">
        <v>12</v>
      </c>
      <c r="E5352" s="1"/>
      <c r="F5352" s="3"/>
      <c r="G5352" s="3"/>
      <c r="H5352" s="3"/>
      <c r="I5352" s="3"/>
      <c r="J5352" s="3"/>
    </row>
    <row r="5353" spans="2:19" x14ac:dyDescent="0.35">
      <c r="B5353" s="1"/>
      <c r="C5353" s="11" t="s">
        <v>843</v>
      </c>
      <c r="D5353" s="15">
        <f>+D5352*D5351</f>
        <v>48</v>
      </c>
      <c r="E5353" s="1"/>
      <c r="F5353" s="3"/>
      <c r="G5353" s="3"/>
      <c r="H5353" s="3"/>
      <c r="I5353" s="3"/>
      <c r="J5353" s="3"/>
    </row>
    <row r="5354" spans="2:19" x14ac:dyDescent="0.35">
      <c r="B5354" s="1"/>
      <c r="C5354" s="11" t="s">
        <v>844</v>
      </c>
      <c r="D5354" s="16">
        <v>365</v>
      </c>
      <c r="E5354" s="1"/>
      <c r="F5354" s="3"/>
      <c r="G5354" s="3"/>
      <c r="H5354" s="3"/>
      <c r="I5354" s="3"/>
      <c r="J5354" s="3"/>
    </row>
    <row r="5355" spans="2:19" x14ac:dyDescent="0.35">
      <c r="B5355" s="1"/>
      <c r="C5355" s="17" t="s">
        <v>845</v>
      </c>
      <c r="D5355" s="220">
        <f>-PMT(D5350/D5352,D5353,D5349,0,0)</f>
        <v>2750090.2844130723</v>
      </c>
      <c r="E5355" s="3"/>
      <c r="F5355" s="3"/>
      <c r="G5355" s="3"/>
      <c r="H5355" s="3"/>
      <c r="I5355" s="3"/>
      <c r="J5355" s="3"/>
    </row>
    <row r="5356" spans="2:19" x14ac:dyDescent="0.35">
      <c r="B5356" s="1"/>
      <c r="C5356" s="1"/>
      <c r="D5356" s="3"/>
      <c r="E5356" s="3"/>
      <c r="F5356" s="3"/>
      <c r="G5356" s="3"/>
      <c r="H5356" s="3"/>
      <c r="I5356" s="3"/>
      <c r="J5356" s="3"/>
    </row>
    <row r="5357" spans="2:19" x14ac:dyDescent="0.35">
      <c r="B5357" s="1"/>
      <c r="C5357" s="19" t="s">
        <v>846</v>
      </c>
      <c r="D5357" s="20" t="s">
        <v>847</v>
      </c>
      <c r="E5357" s="20" t="s">
        <v>764</v>
      </c>
      <c r="F5357" s="270" t="s">
        <v>848</v>
      </c>
      <c r="G5357" s="270" t="s">
        <v>849</v>
      </c>
      <c r="H5357" s="270" t="s">
        <v>742</v>
      </c>
      <c r="I5357" s="270" t="s">
        <v>740</v>
      </c>
      <c r="J5357" s="270" t="s">
        <v>850</v>
      </c>
      <c r="K5357" s="21" t="s">
        <v>851</v>
      </c>
      <c r="L5357" s="21" t="s">
        <v>852</v>
      </c>
    </row>
    <row r="5358" spans="2:19" x14ac:dyDescent="0.35">
      <c r="B5358" s="1">
        <v>0</v>
      </c>
      <c r="C5358" s="22">
        <v>45448</v>
      </c>
      <c r="D5358" s="22">
        <v>45473</v>
      </c>
      <c r="E5358" s="23">
        <f t="shared" ref="E5358:E5405" si="835">+D5358-C5358+1</f>
        <v>26</v>
      </c>
      <c r="F5358" s="3">
        <f>D5349</f>
        <v>108431000</v>
      </c>
      <c r="G5358" s="3"/>
      <c r="H5358" s="3">
        <f>($D$5350/$D$5352*F5358*E5358/30)</f>
        <v>783112.77777777775</v>
      </c>
      <c r="I5358" s="3">
        <f t="shared" ref="I5358:I5405" si="836">G5358-H5358</f>
        <v>-783112.77777777775</v>
      </c>
      <c r="J5358" s="3">
        <f t="shared" ref="J5358:J5405" si="837">F5358-I5358</f>
        <v>109214112.77777778</v>
      </c>
      <c r="L5358" s="141"/>
    </row>
    <row r="5359" spans="2:19" x14ac:dyDescent="0.35">
      <c r="B5359" s="1">
        <v>1</v>
      </c>
      <c r="C5359" s="22">
        <v>45474</v>
      </c>
      <c r="D5359" s="22">
        <v>45504</v>
      </c>
      <c r="E5359" s="23">
        <f t="shared" si="835"/>
        <v>31</v>
      </c>
      <c r="F5359" s="3">
        <f t="shared" ref="F5359:F5405" si="838">J5358</f>
        <v>109214112.77777778</v>
      </c>
      <c r="G5359" s="3"/>
      <c r="H5359" s="3">
        <f t="shared" ref="H5359:H5405" si="839">($D$5350/$D$5352*F5359)</f>
        <v>910117.60648148146</v>
      </c>
      <c r="I5359" s="3">
        <f t="shared" si="836"/>
        <v>-910117.60648148146</v>
      </c>
      <c r="J5359" s="3">
        <f t="shared" si="837"/>
        <v>110124230.38425925</v>
      </c>
      <c r="K5359" s="7"/>
      <c r="L5359" s="141"/>
    </row>
    <row r="5360" spans="2:19" x14ac:dyDescent="0.35">
      <c r="B5360" s="1">
        <v>2</v>
      </c>
      <c r="C5360" s="22">
        <v>45505</v>
      </c>
      <c r="D5360" s="22">
        <v>45535</v>
      </c>
      <c r="E5360" s="23">
        <f t="shared" si="835"/>
        <v>31</v>
      </c>
      <c r="F5360" s="3">
        <f t="shared" si="838"/>
        <v>110124230.38425925</v>
      </c>
      <c r="G5360" s="3"/>
      <c r="H5360" s="3">
        <f t="shared" si="839"/>
        <v>917701.9198688271</v>
      </c>
      <c r="I5360" s="3">
        <f t="shared" si="836"/>
        <v>-917701.9198688271</v>
      </c>
      <c r="J5360" s="3">
        <f t="shared" si="837"/>
        <v>111041932.30412808</v>
      </c>
      <c r="L5360" s="141"/>
    </row>
    <row r="5361" spans="2:12" x14ac:dyDescent="0.35">
      <c r="B5361" s="1">
        <f t="shared" ref="B5361:B5405" si="840">+B5360+1</f>
        <v>3</v>
      </c>
      <c r="C5361" s="22">
        <v>45536</v>
      </c>
      <c r="D5361" s="22">
        <v>45565</v>
      </c>
      <c r="E5361" s="23">
        <f t="shared" si="835"/>
        <v>30</v>
      </c>
      <c r="F5361" s="3">
        <f t="shared" si="838"/>
        <v>111041932.30412808</v>
      </c>
      <c r="G5361" s="3"/>
      <c r="H5361" s="3">
        <f t="shared" si="839"/>
        <v>925349.43586773402</v>
      </c>
      <c r="I5361" s="3">
        <f t="shared" si="836"/>
        <v>-925349.43586773402</v>
      </c>
      <c r="J5361" s="3">
        <f t="shared" si="837"/>
        <v>111967281.73999581</v>
      </c>
      <c r="L5361" s="141"/>
    </row>
    <row r="5362" spans="2:12" x14ac:dyDescent="0.35">
      <c r="B5362" s="1">
        <f t="shared" si="840"/>
        <v>4</v>
      </c>
      <c r="C5362" s="22">
        <v>45566</v>
      </c>
      <c r="D5362" s="22">
        <v>45596</v>
      </c>
      <c r="E5362" s="23">
        <f t="shared" si="835"/>
        <v>31</v>
      </c>
      <c r="F5362" s="3">
        <f t="shared" si="838"/>
        <v>111967281.73999581</v>
      </c>
      <c r="G5362" s="3"/>
      <c r="H5362" s="3">
        <f t="shared" si="839"/>
        <v>933060.68116663175</v>
      </c>
      <c r="I5362" s="3">
        <f t="shared" si="836"/>
        <v>-933060.68116663175</v>
      </c>
      <c r="J5362" s="3">
        <f t="shared" si="837"/>
        <v>112900342.42116244</v>
      </c>
    </row>
    <row r="5363" spans="2:12" x14ac:dyDescent="0.35">
      <c r="B5363" s="1">
        <f t="shared" si="840"/>
        <v>5</v>
      </c>
      <c r="C5363" s="22">
        <v>45597</v>
      </c>
      <c r="D5363" s="22">
        <v>45626</v>
      </c>
      <c r="E5363" s="23">
        <f t="shared" si="835"/>
        <v>30</v>
      </c>
      <c r="F5363" s="3">
        <f t="shared" si="838"/>
        <v>112900342.42116244</v>
      </c>
      <c r="G5363" s="3"/>
      <c r="H5363" s="3">
        <f t="shared" si="839"/>
        <v>940836.18684302038</v>
      </c>
      <c r="I5363" s="3">
        <f t="shared" si="836"/>
        <v>-940836.18684302038</v>
      </c>
      <c r="J5363" s="3">
        <f t="shared" si="837"/>
        <v>113841178.60800546</v>
      </c>
    </row>
    <row r="5364" spans="2:12" x14ac:dyDescent="0.35">
      <c r="B5364" s="1">
        <f t="shared" si="840"/>
        <v>6</v>
      </c>
      <c r="C5364" s="22">
        <v>45627</v>
      </c>
      <c r="D5364" s="22">
        <v>45657</v>
      </c>
      <c r="E5364" s="23">
        <f t="shared" si="835"/>
        <v>31</v>
      </c>
      <c r="F5364" s="3">
        <f t="shared" si="838"/>
        <v>113841178.60800546</v>
      </c>
      <c r="G5364" s="3">
        <f t="shared" ref="G5364:G5405" si="841">-PMT($D$5350/$D$5352,42,$F$5364,,0)</f>
        <v>3223620.0884871427</v>
      </c>
      <c r="H5364" s="3">
        <f t="shared" si="839"/>
        <v>948676.48840004555</v>
      </c>
      <c r="I5364" s="3">
        <f t="shared" si="836"/>
        <v>2274943.6000870969</v>
      </c>
      <c r="J5364" s="3">
        <f t="shared" si="837"/>
        <v>111566235.00791837</v>
      </c>
    </row>
    <row r="5365" spans="2:12" x14ac:dyDescent="0.35">
      <c r="B5365" s="1">
        <f t="shared" si="840"/>
        <v>7</v>
      </c>
      <c r="C5365" s="22">
        <v>45658</v>
      </c>
      <c r="D5365" s="22">
        <v>45688</v>
      </c>
      <c r="E5365" s="23">
        <f t="shared" si="835"/>
        <v>31</v>
      </c>
      <c r="F5365" s="3">
        <f t="shared" si="838"/>
        <v>111566235.00791837</v>
      </c>
      <c r="G5365" s="3">
        <f t="shared" si="841"/>
        <v>3223620.0884871427</v>
      </c>
      <c r="H5365" s="3">
        <f t="shared" si="839"/>
        <v>929718.62506598642</v>
      </c>
      <c r="I5365" s="3">
        <f t="shared" si="836"/>
        <v>2293901.4634211562</v>
      </c>
      <c r="J5365" s="3">
        <f t="shared" si="837"/>
        <v>109272333.54449722</v>
      </c>
    </row>
    <row r="5366" spans="2:12" x14ac:dyDescent="0.35">
      <c r="B5366" s="1">
        <f t="shared" si="840"/>
        <v>8</v>
      </c>
      <c r="C5366" s="22">
        <v>45689</v>
      </c>
      <c r="D5366" s="22">
        <v>45716</v>
      </c>
      <c r="E5366" s="23">
        <f t="shared" si="835"/>
        <v>28</v>
      </c>
      <c r="F5366" s="3">
        <f t="shared" si="838"/>
        <v>109272333.54449722</v>
      </c>
      <c r="G5366" s="3">
        <f t="shared" si="841"/>
        <v>3223620.0884871427</v>
      </c>
      <c r="H5366" s="3">
        <f t="shared" si="839"/>
        <v>910602.77953747683</v>
      </c>
      <c r="I5366" s="3">
        <f t="shared" si="836"/>
        <v>2313017.3089496661</v>
      </c>
      <c r="J5366" s="3">
        <f t="shared" si="837"/>
        <v>106959316.23554756</v>
      </c>
    </row>
    <row r="5367" spans="2:12" x14ac:dyDescent="0.35">
      <c r="B5367" s="1">
        <f t="shared" si="840"/>
        <v>9</v>
      </c>
      <c r="C5367" s="22">
        <v>45717</v>
      </c>
      <c r="D5367" s="22">
        <v>45747</v>
      </c>
      <c r="E5367" s="23">
        <f t="shared" si="835"/>
        <v>31</v>
      </c>
      <c r="F5367" s="3">
        <f t="shared" si="838"/>
        <v>106959316.23554756</v>
      </c>
      <c r="G5367" s="3">
        <f t="shared" si="841"/>
        <v>3223620.0884871427</v>
      </c>
      <c r="H5367" s="3">
        <f t="shared" si="839"/>
        <v>891327.63529622962</v>
      </c>
      <c r="I5367" s="3">
        <f t="shared" si="836"/>
        <v>2332292.453190913</v>
      </c>
      <c r="J5367" s="3">
        <f t="shared" si="837"/>
        <v>104627023.78235665</v>
      </c>
    </row>
    <row r="5368" spans="2:12" x14ac:dyDescent="0.35">
      <c r="B5368" s="1">
        <f t="shared" si="840"/>
        <v>10</v>
      </c>
      <c r="C5368" s="22">
        <v>45748</v>
      </c>
      <c r="D5368" s="22">
        <v>45777</v>
      </c>
      <c r="E5368" s="23">
        <f t="shared" si="835"/>
        <v>30</v>
      </c>
      <c r="F5368" s="3">
        <f t="shared" si="838"/>
        <v>104627023.78235665</v>
      </c>
      <c r="G5368" s="3">
        <f t="shared" si="841"/>
        <v>3223620.0884871427</v>
      </c>
      <c r="H5368" s="3">
        <f t="shared" si="839"/>
        <v>871891.8648529721</v>
      </c>
      <c r="I5368" s="3">
        <f t="shared" si="836"/>
        <v>2351728.2236341704</v>
      </c>
      <c r="J5368" s="3">
        <f t="shared" si="837"/>
        <v>102275295.55872248</v>
      </c>
    </row>
    <row r="5369" spans="2:12" x14ac:dyDescent="0.35">
      <c r="B5369" s="1">
        <f t="shared" si="840"/>
        <v>11</v>
      </c>
      <c r="C5369" s="22">
        <v>45778</v>
      </c>
      <c r="D5369" s="22">
        <v>45808</v>
      </c>
      <c r="E5369" s="23">
        <f t="shared" si="835"/>
        <v>31</v>
      </c>
      <c r="F5369" s="3">
        <f t="shared" si="838"/>
        <v>102275295.55872248</v>
      </c>
      <c r="G5369" s="3">
        <f t="shared" si="841"/>
        <v>3223620.0884871427</v>
      </c>
      <c r="H5369" s="3">
        <f t="shared" si="839"/>
        <v>852294.12965602067</v>
      </c>
      <c r="I5369" s="3">
        <f t="shared" si="836"/>
        <v>2371325.9588311221</v>
      </c>
      <c r="J5369" s="3">
        <f t="shared" si="837"/>
        <v>99903969.599891365</v>
      </c>
    </row>
    <row r="5370" spans="2:12" x14ac:dyDescent="0.35">
      <c r="B5370" s="1">
        <f t="shared" si="840"/>
        <v>12</v>
      </c>
      <c r="C5370" s="22">
        <v>45809</v>
      </c>
      <c r="D5370" s="22">
        <v>45838</v>
      </c>
      <c r="E5370" s="23">
        <f t="shared" si="835"/>
        <v>30</v>
      </c>
      <c r="F5370" s="3">
        <f t="shared" si="838"/>
        <v>99903969.599891365</v>
      </c>
      <c r="G5370" s="3">
        <f t="shared" si="841"/>
        <v>3223620.0884871427</v>
      </c>
      <c r="H5370" s="3">
        <f t="shared" si="839"/>
        <v>832533.07999909471</v>
      </c>
      <c r="I5370" s="3">
        <f t="shared" si="836"/>
        <v>2391087.0084880479</v>
      </c>
      <c r="J5370" s="3">
        <f t="shared" si="837"/>
        <v>97512882.59140332</v>
      </c>
    </row>
    <row r="5371" spans="2:12" x14ac:dyDescent="0.35">
      <c r="B5371" s="1">
        <f t="shared" si="840"/>
        <v>13</v>
      </c>
      <c r="C5371" s="22">
        <v>45839</v>
      </c>
      <c r="D5371" s="22">
        <v>45868</v>
      </c>
      <c r="E5371" s="23">
        <f t="shared" si="835"/>
        <v>30</v>
      </c>
      <c r="F5371" s="3">
        <f t="shared" si="838"/>
        <v>97512882.59140332</v>
      </c>
      <c r="G5371" s="3">
        <f t="shared" si="841"/>
        <v>3223620.0884871427</v>
      </c>
      <c r="H5371" s="3">
        <f t="shared" si="839"/>
        <v>812607.35492836102</v>
      </c>
      <c r="I5371" s="3">
        <f t="shared" si="836"/>
        <v>2411012.7335587814</v>
      </c>
      <c r="J5371" s="3">
        <f t="shared" si="837"/>
        <v>95101869.857844532</v>
      </c>
    </row>
    <row r="5372" spans="2:12" x14ac:dyDescent="0.35">
      <c r="B5372" s="1">
        <f t="shared" si="840"/>
        <v>14</v>
      </c>
      <c r="C5372" s="22">
        <v>45870</v>
      </c>
      <c r="D5372" s="22">
        <v>45899</v>
      </c>
      <c r="E5372" s="23">
        <f t="shared" si="835"/>
        <v>30</v>
      </c>
      <c r="F5372" s="3">
        <f t="shared" si="838"/>
        <v>95101869.857844532</v>
      </c>
      <c r="G5372" s="3">
        <f t="shared" si="841"/>
        <v>3223620.0884871427</v>
      </c>
      <c r="H5372" s="3">
        <f t="shared" si="839"/>
        <v>792515.58214870444</v>
      </c>
      <c r="I5372" s="3">
        <f t="shared" si="836"/>
        <v>2431104.506338438</v>
      </c>
      <c r="J5372" s="3">
        <f t="shared" si="837"/>
        <v>92670765.351506099</v>
      </c>
    </row>
    <row r="5373" spans="2:12" x14ac:dyDescent="0.35">
      <c r="B5373" s="1">
        <f t="shared" si="840"/>
        <v>15</v>
      </c>
      <c r="C5373" s="22">
        <v>45901</v>
      </c>
      <c r="D5373" s="22">
        <v>45930</v>
      </c>
      <c r="E5373" s="23">
        <f t="shared" si="835"/>
        <v>30</v>
      </c>
      <c r="F5373" s="3">
        <f t="shared" si="838"/>
        <v>92670765.351506099</v>
      </c>
      <c r="G5373" s="3">
        <f t="shared" si="841"/>
        <v>3223620.0884871427</v>
      </c>
      <c r="H5373" s="3">
        <f t="shared" si="839"/>
        <v>772256.37792921753</v>
      </c>
      <c r="I5373" s="3">
        <f t="shared" si="836"/>
        <v>2451363.710557925</v>
      </c>
      <c r="J5373" s="3">
        <f t="shared" si="837"/>
        <v>90219401.640948176</v>
      </c>
    </row>
    <row r="5374" spans="2:12" x14ac:dyDescent="0.35">
      <c r="B5374" s="1">
        <f t="shared" si="840"/>
        <v>16</v>
      </c>
      <c r="C5374" s="22">
        <v>45931</v>
      </c>
      <c r="D5374" s="22">
        <v>45961</v>
      </c>
      <c r="E5374" s="23">
        <f t="shared" si="835"/>
        <v>31</v>
      </c>
      <c r="F5374" s="3">
        <f t="shared" si="838"/>
        <v>90219401.640948176</v>
      </c>
      <c r="G5374" s="3">
        <f t="shared" si="841"/>
        <v>3223620.0884871427</v>
      </c>
      <c r="H5374" s="3">
        <f t="shared" si="839"/>
        <v>751828.34700790141</v>
      </c>
      <c r="I5374" s="3">
        <f t="shared" si="836"/>
        <v>2471791.7414792413</v>
      </c>
      <c r="J5374" s="3">
        <f t="shared" si="837"/>
        <v>87747609.899468929</v>
      </c>
    </row>
    <row r="5375" spans="2:12" x14ac:dyDescent="0.35">
      <c r="B5375" s="1">
        <f t="shared" si="840"/>
        <v>17</v>
      </c>
      <c r="C5375" s="22">
        <v>45962</v>
      </c>
      <c r="D5375" s="22">
        <v>45991</v>
      </c>
      <c r="E5375" s="23">
        <f t="shared" si="835"/>
        <v>30</v>
      </c>
      <c r="F5375" s="3">
        <f t="shared" si="838"/>
        <v>87747609.899468929</v>
      </c>
      <c r="G5375" s="3">
        <f t="shared" si="841"/>
        <v>3223620.0884871427</v>
      </c>
      <c r="H5375" s="3">
        <f t="shared" si="839"/>
        <v>731230.08249557437</v>
      </c>
      <c r="I5375" s="3">
        <f t="shared" si="836"/>
        <v>2492390.0059915683</v>
      </c>
      <c r="J5375" s="3">
        <f t="shared" si="837"/>
        <v>85255219.893477365</v>
      </c>
    </row>
    <row r="5376" spans="2:12" x14ac:dyDescent="0.35">
      <c r="B5376" s="1">
        <f t="shared" si="840"/>
        <v>18</v>
      </c>
      <c r="C5376" s="22">
        <v>45992</v>
      </c>
      <c r="D5376" s="22">
        <v>46022</v>
      </c>
      <c r="E5376" s="23">
        <f t="shared" si="835"/>
        <v>31</v>
      </c>
      <c r="F5376" s="3">
        <f t="shared" si="838"/>
        <v>85255219.893477365</v>
      </c>
      <c r="G5376" s="3">
        <f t="shared" si="841"/>
        <v>3223620.0884871427</v>
      </c>
      <c r="H5376" s="3">
        <f t="shared" si="839"/>
        <v>710460.16577897803</v>
      </c>
      <c r="I5376" s="3">
        <f t="shared" si="836"/>
        <v>2513159.9227081649</v>
      </c>
      <c r="J5376" s="3">
        <f t="shared" si="837"/>
        <v>82742059.970769197</v>
      </c>
    </row>
    <row r="5377" spans="2:10" x14ac:dyDescent="0.35">
      <c r="B5377" s="1">
        <f t="shared" si="840"/>
        <v>19</v>
      </c>
      <c r="C5377" s="22">
        <v>46023</v>
      </c>
      <c r="D5377" s="22">
        <v>46053</v>
      </c>
      <c r="E5377" s="23">
        <f t="shared" si="835"/>
        <v>31</v>
      </c>
      <c r="F5377" s="3">
        <f t="shared" si="838"/>
        <v>82742059.970769197</v>
      </c>
      <c r="G5377" s="3">
        <f t="shared" si="841"/>
        <v>3223620.0884871427</v>
      </c>
      <c r="H5377" s="3">
        <f t="shared" si="839"/>
        <v>689517.16642307665</v>
      </c>
      <c r="I5377" s="3">
        <f t="shared" si="836"/>
        <v>2534102.9220640659</v>
      </c>
      <c r="J5377" s="3">
        <f t="shared" si="837"/>
        <v>80207957.048705131</v>
      </c>
    </row>
    <row r="5378" spans="2:10" x14ac:dyDescent="0.35">
      <c r="B5378" s="1">
        <f t="shared" si="840"/>
        <v>20</v>
      </c>
      <c r="C5378" s="22">
        <v>46054</v>
      </c>
      <c r="D5378" s="22">
        <v>46081</v>
      </c>
      <c r="E5378" s="23">
        <f t="shared" si="835"/>
        <v>28</v>
      </c>
      <c r="F5378" s="3">
        <f t="shared" si="838"/>
        <v>80207957.048705131</v>
      </c>
      <c r="G5378" s="3">
        <f t="shared" si="841"/>
        <v>3223620.0884871427</v>
      </c>
      <c r="H5378" s="3">
        <f t="shared" si="839"/>
        <v>668399.6420725428</v>
      </c>
      <c r="I5378" s="3">
        <f t="shared" si="836"/>
        <v>2555220.4464146001</v>
      </c>
      <c r="J5378" s="3">
        <f t="shared" si="837"/>
        <v>77652736.602290526</v>
      </c>
    </row>
    <row r="5379" spans="2:10" x14ac:dyDescent="0.35">
      <c r="B5379" s="1">
        <f t="shared" si="840"/>
        <v>21</v>
      </c>
      <c r="C5379" s="22">
        <v>46082</v>
      </c>
      <c r="D5379" s="22">
        <v>46112</v>
      </c>
      <c r="E5379" s="23">
        <f t="shared" si="835"/>
        <v>31</v>
      </c>
      <c r="F5379" s="3">
        <f t="shared" si="838"/>
        <v>77652736.602290526</v>
      </c>
      <c r="G5379" s="3">
        <f t="shared" si="841"/>
        <v>3223620.0884871427</v>
      </c>
      <c r="H5379" s="3">
        <f t="shared" si="839"/>
        <v>647106.138352421</v>
      </c>
      <c r="I5379" s="3">
        <f t="shared" si="836"/>
        <v>2576513.9501347216</v>
      </c>
      <c r="J5379" s="3">
        <f t="shared" si="837"/>
        <v>75076222.652155802</v>
      </c>
    </row>
    <row r="5380" spans="2:10" x14ac:dyDescent="0.35">
      <c r="B5380" s="1">
        <f t="shared" si="840"/>
        <v>22</v>
      </c>
      <c r="C5380" s="22">
        <v>46113</v>
      </c>
      <c r="D5380" s="22">
        <v>46142</v>
      </c>
      <c r="E5380" s="23">
        <f t="shared" si="835"/>
        <v>30</v>
      </c>
      <c r="F5380" s="3">
        <f t="shared" si="838"/>
        <v>75076222.652155802</v>
      </c>
      <c r="G5380" s="3">
        <f t="shared" si="841"/>
        <v>3223620.0884871427</v>
      </c>
      <c r="H5380" s="3">
        <f t="shared" si="839"/>
        <v>625635.18876796495</v>
      </c>
      <c r="I5380" s="3">
        <f t="shared" si="836"/>
        <v>2597984.8997191777</v>
      </c>
      <c r="J5380" s="3">
        <f t="shared" si="837"/>
        <v>72478237.752436623</v>
      </c>
    </row>
    <row r="5381" spans="2:10" x14ac:dyDescent="0.35">
      <c r="B5381" s="1">
        <f t="shared" si="840"/>
        <v>23</v>
      </c>
      <c r="C5381" s="22">
        <v>46143</v>
      </c>
      <c r="D5381" s="22">
        <v>46173</v>
      </c>
      <c r="E5381" s="23">
        <f t="shared" si="835"/>
        <v>31</v>
      </c>
      <c r="F5381" s="3">
        <f t="shared" si="838"/>
        <v>72478237.752436623</v>
      </c>
      <c r="G5381" s="3">
        <f t="shared" si="841"/>
        <v>3223620.0884871427</v>
      </c>
      <c r="H5381" s="3">
        <f t="shared" si="839"/>
        <v>603985.31460363849</v>
      </c>
      <c r="I5381" s="3">
        <f t="shared" si="836"/>
        <v>2619634.7738835043</v>
      </c>
      <c r="J5381" s="3">
        <f t="shared" si="837"/>
        <v>69858602.978553116</v>
      </c>
    </row>
    <row r="5382" spans="2:10" x14ac:dyDescent="0.35">
      <c r="B5382" s="1">
        <f t="shared" si="840"/>
        <v>24</v>
      </c>
      <c r="C5382" s="22">
        <v>46174</v>
      </c>
      <c r="D5382" s="22">
        <v>46203</v>
      </c>
      <c r="E5382" s="23">
        <f t="shared" si="835"/>
        <v>30</v>
      </c>
      <c r="F5382" s="3">
        <f t="shared" si="838"/>
        <v>69858602.978553116</v>
      </c>
      <c r="G5382" s="3">
        <f t="shared" si="841"/>
        <v>3223620.0884871427</v>
      </c>
      <c r="H5382" s="3">
        <f t="shared" si="839"/>
        <v>582155.02482127596</v>
      </c>
      <c r="I5382" s="3">
        <f t="shared" si="836"/>
        <v>2641465.0636658669</v>
      </c>
      <c r="J5382" s="3">
        <f t="shared" si="837"/>
        <v>67217137.914887249</v>
      </c>
    </row>
    <row r="5383" spans="2:10" x14ac:dyDescent="0.35">
      <c r="B5383" s="1">
        <f t="shared" si="840"/>
        <v>25</v>
      </c>
      <c r="C5383" s="22">
        <v>46204</v>
      </c>
      <c r="D5383" s="22">
        <v>46234</v>
      </c>
      <c r="E5383" s="23">
        <f t="shared" si="835"/>
        <v>31</v>
      </c>
      <c r="F5383" s="3">
        <f t="shared" si="838"/>
        <v>67217137.914887249</v>
      </c>
      <c r="G5383" s="3">
        <f t="shared" si="841"/>
        <v>3223620.0884871427</v>
      </c>
      <c r="H5383" s="3">
        <f t="shared" si="839"/>
        <v>560142.81595739373</v>
      </c>
      <c r="I5383" s="3">
        <f t="shared" si="836"/>
        <v>2663477.2725297492</v>
      </c>
      <c r="J5383" s="3">
        <f t="shared" si="837"/>
        <v>64553660.642357498</v>
      </c>
    </row>
    <row r="5384" spans="2:10" x14ac:dyDescent="0.35">
      <c r="B5384" s="1">
        <f t="shared" si="840"/>
        <v>26</v>
      </c>
      <c r="C5384" s="22">
        <v>46235</v>
      </c>
      <c r="D5384" s="22">
        <v>46265</v>
      </c>
      <c r="E5384" s="23">
        <f t="shared" si="835"/>
        <v>31</v>
      </c>
      <c r="F5384" s="3">
        <f t="shared" si="838"/>
        <v>64553660.642357498</v>
      </c>
      <c r="G5384" s="3">
        <f t="shared" si="841"/>
        <v>3223620.0884871427</v>
      </c>
      <c r="H5384" s="3">
        <f t="shared" si="839"/>
        <v>537947.1720196458</v>
      </c>
      <c r="I5384" s="3">
        <f t="shared" si="836"/>
        <v>2685672.9164674971</v>
      </c>
      <c r="J5384" s="3">
        <f t="shared" si="837"/>
        <v>61867987.725890003</v>
      </c>
    </row>
    <row r="5385" spans="2:10" x14ac:dyDescent="0.35">
      <c r="B5385" s="1">
        <f t="shared" si="840"/>
        <v>27</v>
      </c>
      <c r="C5385" s="22">
        <v>46266</v>
      </c>
      <c r="D5385" s="22">
        <v>46295</v>
      </c>
      <c r="E5385" s="23">
        <f t="shared" si="835"/>
        <v>30</v>
      </c>
      <c r="F5385" s="3">
        <f t="shared" si="838"/>
        <v>61867987.725890003</v>
      </c>
      <c r="G5385" s="3">
        <f t="shared" si="841"/>
        <v>3223620.0884871427</v>
      </c>
      <c r="H5385" s="3">
        <f t="shared" si="839"/>
        <v>515566.56438241666</v>
      </c>
      <c r="I5385" s="3">
        <f t="shared" si="836"/>
        <v>2708053.524104726</v>
      </c>
      <c r="J5385" s="3">
        <f t="shared" si="837"/>
        <v>59159934.201785274</v>
      </c>
    </row>
    <row r="5386" spans="2:10" x14ac:dyDescent="0.35">
      <c r="B5386" s="1">
        <f t="shared" si="840"/>
        <v>28</v>
      </c>
      <c r="C5386" s="22">
        <v>46296</v>
      </c>
      <c r="D5386" s="22">
        <v>46326</v>
      </c>
      <c r="E5386" s="23">
        <f t="shared" si="835"/>
        <v>31</v>
      </c>
      <c r="F5386" s="3">
        <f t="shared" si="838"/>
        <v>59159934.201785274</v>
      </c>
      <c r="G5386" s="3">
        <f t="shared" si="841"/>
        <v>3223620.0884871427</v>
      </c>
      <c r="H5386" s="3">
        <f t="shared" si="839"/>
        <v>492999.45168154396</v>
      </c>
      <c r="I5386" s="3">
        <f t="shared" si="836"/>
        <v>2730620.6368055986</v>
      </c>
      <c r="J5386" s="3">
        <f t="shared" si="837"/>
        <v>56429313.564979672</v>
      </c>
    </row>
    <row r="5387" spans="2:10" x14ac:dyDescent="0.35">
      <c r="B5387" s="1">
        <f t="shared" si="840"/>
        <v>29</v>
      </c>
      <c r="C5387" s="22">
        <v>46327</v>
      </c>
      <c r="D5387" s="22">
        <v>46356</v>
      </c>
      <c r="E5387" s="23">
        <f t="shared" si="835"/>
        <v>30</v>
      </c>
      <c r="F5387" s="3">
        <f t="shared" si="838"/>
        <v>56429313.564979672</v>
      </c>
      <c r="G5387" s="3">
        <f t="shared" si="841"/>
        <v>3223620.0884871427</v>
      </c>
      <c r="H5387" s="3">
        <f t="shared" si="839"/>
        <v>470244.27970816393</v>
      </c>
      <c r="I5387" s="3">
        <f t="shared" si="836"/>
        <v>2753375.8087789789</v>
      </c>
      <c r="J5387" s="3">
        <f t="shared" si="837"/>
        <v>53675937.756200694</v>
      </c>
    </row>
    <row r="5388" spans="2:10" x14ac:dyDescent="0.35">
      <c r="B5388" s="1">
        <f t="shared" si="840"/>
        <v>30</v>
      </c>
      <c r="C5388" s="22">
        <v>46357</v>
      </c>
      <c r="D5388" s="22">
        <v>46387</v>
      </c>
      <c r="E5388" s="23">
        <f t="shared" si="835"/>
        <v>31</v>
      </c>
      <c r="F5388" s="3">
        <f t="shared" si="838"/>
        <v>53675937.756200694</v>
      </c>
      <c r="G5388" s="3">
        <f t="shared" si="841"/>
        <v>3223620.0884871427</v>
      </c>
      <c r="H5388" s="3">
        <f t="shared" si="839"/>
        <v>447299.48130167247</v>
      </c>
      <c r="I5388" s="3">
        <f t="shared" si="836"/>
        <v>2776320.6071854704</v>
      </c>
      <c r="J5388" s="3">
        <f t="shared" si="837"/>
        <v>50899617.149015225</v>
      </c>
    </row>
    <row r="5389" spans="2:10" x14ac:dyDescent="0.35">
      <c r="B5389" s="1">
        <f t="shared" si="840"/>
        <v>31</v>
      </c>
      <c r="C5389" s="22">
        <v>46388</v>
      </c>
      <c r="D5389" s="22">
        <v>46418</v>
      </c>
      <c r="E5389" s="23">
        <f t="shared" si="835"/>
        <v>31</v>
      </c>
      <c r="F5389" s="3">
        <f t="shared" si="838"/>
        <v>50899617.149015225</v>
      </c>
      <c r="G5389" s="3">
        <f t="shared" si="841"/>
        <v>3223620.0884871427</v>
      </c>
      <c r="H5389" s="3">
        <f t="shared" si="839"/>
        <v>424163.47624179354</v>
      </c>
      <c r="I5389" s="3">
        <f t="shared" si="836"/>
        <v>2799456.6122453492</v>
      </c>
      <c r="J5389" s="3">
        <f t="shared" si="837"/>
        <v>48100160.536769874</v>
      </c>
    </row>
    <row r="5390" spans="2:10" x14ac:dyDescent="0.35">
      <c r="B5390" s="1">
        <f t="shared" si="840"/>
        <v>32</v>
      </c>
      <c r="C5390" s="22">
        <v>46419</v>
      </c>
      <c r="D5390" s="22">
        <v>46446</v>
      </c>
      <c r="E5390" s="23">
        <f t="shared" si="835"/>
        <v>28</v>
      </c>
      <c r="F5390" s="3">
        <f t="shared" si="838"/>
        <v>48100160.536769874</v>
      </c>
      <c r="G5390" s="3">
        <f t="shared" si="841"/>
        <v>3223620.0884871427</v>
      </c>
      <c r="H5390" s="3">
        <f t="shared" si="839"/>
        <v>400834.67113974894</v>
      </c>
      <c r="I5390" s="3">
        <f t="shared" si="836"/>
        <v>2822785.4173473939</v>
      </c>
      <c r="J5390" s="3">
        <f t="shared" si="837"/>
        <v>45277375.11942248</v>
      </c>
    </row>
    <row r="5391" spans="2:10" x14ac:dyDescent="0.35">
      <c r="B5391" s="1">
        <f t="shared" si="840"/>
        <v>33</v>
      </c>
      <c r="C5391" s="22">
        <v>46447</v>
      </c>
      <c r="D5391" s="22">
        <v>46477</v>
      </c>
      <c r="E5391" s="23">
        <f t="shared" si="835"/>
        <v>31</v>
      </c>
      <c r="F5391" s="3">
        <f t="shared" si="838"/>
        <v>45277375.11942248</v>
      </c>
      <c r="G5391" s="3">
        <f t="shared" si="841"/>
        <v>3223620.0884871427</v>
      </c>
      <c r="H5391" s="3">
        <f t="shared" si="839"/>
        <v>377311.45932852069</v>
      </c>
      <c r="I5391" s="3">
        <f t="shared" si="836"/>
        <v>2846308.6291586221</v>
      </c>
      <c r="J5391" s="3">
        <f t="shared" si="837"/>
        <v>42431066.490263857</v>
      </c>
    </row>
    <row r="5392" spans="2:10" x14ac:dyDescent="0.35">
      <c r="B5392" s="1">
        <f t="shared" si="840"/>
        <v>34</v>
      </c>
      <c r="C5392" s="22">
        <v>46478</v>
      </c>
      <c r="D5392" s="22">
        <v>46507</v>
      </c>
      <c r="E5392" s="23">
        <f t="shared" si="835"/>
        <v>30</v>
      </c>
      <c r="F5392" s="3">
        <f t="shared" si="838"/>
        <v>42431066.490263857</v>
      </c>
      <c r="G5392" s="3">
        <f t="shared" si="841"/>
        <v>3223620.0884871427</v>
      </c>
      <c r="H5392" s="3">
        <f t="shared" si="839"/>
        <v>353592.22075219883</v>
      </c>
      <c r="I5392" s="3">
        <f t="shared" si="836"/>
        <v>2870027.867734944</v>
      </c>
      <c r="J5392" s="3">
        <f t="shared" si="837"/>
        <v>39561038.622528911</v>
      </c>
    </row>
    <row r="5393" spans="2:10" x14ac:dyDescent="0.35">
      <c r="B5393" s="1">
        <f t="shared" si="840"/>
        <v>35</v>
      </c>
      <c r="C5393" s="22">
        <v>46508</v>
      </c>
      <c r="D5393" s="22">
        <v>46538</v>
      </c>
      <c r="E5393" s="23">
        <f t="shared" si="835"/>
        <v>31</v>
      </c>
      <c r="F5393" s="3">
        <f t="shared" si="838"/>
        <v>39561038.622528911</v>
      </c>
      <c r="G5393" s="3">
        <f t="shared" si="841"/>
        <v>3223620.0884871427</v>
      </c>
      <c r="H5393" s="3">
        <f t="shared" si="839"/>
        <v>329675.32185440761</v>
      </c>
      <c r="I5393" s="3">
        <f t="shared" si="836"/>
        <v>2893944.7666327353</v>
      </c>
      <c r="J5393" s="3">
        <f t="shared" si="837"/>
        <v>36667093.855896175</v>
      </c>
    </row>
    <row r="5394" spans="2:10" x14ac:dyDescent="0.35">
      <c r="B5394" s="1">
        <f t="shared" si="840"/>
        <v>36</v>
      </c>
      <c r="C5394" s="22">
        <v>46539</v>
      </c>
      <c r="D5394" s="22">
        <v>46568</v>
      </c>
      <c r="E5394" s="23">
        <f t="shared" si="835"/>
        <v>30</v>
      </c>
      <c r="F5394" s="3">
        <f t="shared" si="838"/>
        <v>36667093.855896175</v>
      </c>
      <c r="G5394" s="3">
        <f t="shared" si="841"/>
        <v>3223620.0884871427</v>
      </c>
      <c r="H5394" s="3">
        <f t="shared" si="839"/>
        <v>305559.11546580144</v>
      </c>
      <c r="I5394" s="3">
        <f t="shared" si="836"/>
        <v>2918060.9730213415</v>
      </c>
      <c r="J5394" s="3">
        <f t="shared" si="837"/>
        <v>33749032.882874832</v>
      </c>
    </row>
    <row r="5395" spans="2:10" x14ac:dyDescent="0.35">
      <c r="B5395" s="1">
        <f t="shared" si="840"/>
        <v>37</v>
      </c>
      <c r="C5395" s="22">
        <v>46569</v>
      </c>
      <c r="D5395" s="22">
        <v>46599</v>
      </c>
      <c r="E5395" s="23">
        <f t="shared" si="835"/>
        <v>31</v>
      </c>
      <c r="F5395" s="3">
        <f t="shared" si="838"/>
        <v>33749032.882874832</v>
      </c>
      <c r="G5395" s="3">
        <f t="shared" si="841"/>
        <v>3223620.0884871427</v>
      </c>
      <c r="H5395" s="3">
        <f t="shared" si="839"/>
        <v>281241.9406906236</v>
      </c>
      <c r="I5395" s="3">
        <f t="shared" si="836"/>
        <v>2942378.1477965191</v>
      </c>
      <c r="J5395" s="3">
        <f t="shared" si="837"/>
        <v>30806654.735078312</v>
      </c>
    </row>
    <row r="5396" spans="2:10" x14ac:dyDescent="0.35">
      <c r="B5396" s="1">
        <f t="shared" si="840"/>
        <v>38</v>
      </c>
      <c r="C5396" s="22">
        <v>46600</v>
      </c>
      <c r="D5396" s="22">
        <v>46630</v>
      </c>
      <c r="E5396" s="23">
        <f t="shared" si="835"/>
        <v>31</v>
      </c>
      <c r="F5396" s="3">
        <f t="shared" si="838"/>
        <v>30806654.735078312</v>
      </c>
      <c r="G5396" s="3">
        <f t="shared" si="841"/>
        <v>3223620.0884871427</v>
      </c>
      <c r="H5396" s="3">
        <f t="shared" si="839"/>
        <v>256722.12279231928</v>
      </c>
      <c r="I5396" s="3">
        <f t="shared" si="836"/>
        <v>2966897.9656948233</v>
      </c>
      <c r="J5396" s="3">
        <f t="shared" si="837"/>
        <v>27839756.76938349</v>
      </c>
    </row>
    <row r="5397" spans="2:10" x14ac:dyDescent="0.35">
      <c r="B5397" s="1">
        <f t="shared" si="840"/>
        <v>39</v>
      </c>
      <c r="C5397" s="22">
        <v>46631</v>
      </c>
      <c r="D5397" s="22">
        <v>46660</v>
      </c>
      <c r="E5397" s="23">
        <f t="shared" si="835"/>
        <v>30</v>
      </c>
      <c r="F5397" s="3">
        <f t="shared" si="838"/>
        <v>27839756.76938349</v>
      </c>
      <c r="G5397" s="3">
        <f t="shared" si="841"/>
        <v>3223620.0884871427</v>
      </c>
      <c r="H5397" s="3">
        <f t="shared" si="839"/>
        <v>231997.97307819573</v>
      </c>
      <c r="I5397" s="3">
        <f t="shared" si="836"/>
        <v>2991622.1154089468</v>
      </c>
      <c r="J5397" s="3">
        <f t="shared" si="837"/>
        <v>24848134.653974544</v>
      </c>
    </row>
    <row r="5398" spans="2:10" x14ac:dyDescent="0.35">
      <c r="B5398" s="1">
        <f t="shared" si="840"/>
        <v>40</v>
      </c>
      <c r="C5398" s="22">
        <v>46661</v>
      </c>
      <c r="D5398" s="22">
        <v>46691</v>
      </c>
      <c r="E5398" s="23">
        <f t="shared" si="835"/>
        <v>31</v>
      </c>
      <c r="F5398" s="3">
        <f t="shared" si="838"/>
        <v>24848134.653974544</v>
      </c>
      <c r="G5398" s="3">
        <f t="shared" si="841"/>
        <v>3223620.0884871427</v>
      </c>
      <c r="H5398" s="3">
        <f t="shared" si="839"/>
        <v>207067.78878312121</v>
      </c>
      <c r="I5398" s="3">
        <f t="shared" si="836"/>
        <v>3016552.2997040213</v>
      </c>
      <c r="J5398" s="3">
        <f t="shared" si="837"/>
        <v>21831582.354270522</v>
      </c>
    </row>
    <row r="5399" spans="2:10" x14ac:dyDescent="0.35">
      <c r="B5399" s="1">
        <f t="shared" si="840"/>
        <v>41</v>
      </c>
      <c r="C5399" s="22">
        <v>46692</v>
      </c>
      <c r="D5399" s="22">
        <v>46721</v>
      </c>
      <c r="E5399" s="23">
        <f t="shared" si="835"/>
        <v>30</v>
      </c>
      <c r="F5399" s="3">
        <f t="shared" si="838"/>
        <v>21831582.354270522</v>
      </c>
      <c r="G5399" s="3">
        <f t="shared" si="841"/>
        <v>3223620.0884871427</v>
      </c>
      <c r="H5399" s="3">
        <f t="shared" si="839"/>
        <v>181929.85295225435</v>
      </c>
      <c r="I5399" s="3">
        <f t="shared" si="836"/>
        <v>3041690.2355348882</v>
      </c>
      <c r="J5399" s="3">
        <f t="shared" si="837"/>
        <v>18789892.118735634</v>
      </c>
    </row>
    <row r="5400" spans="2:10" x14ac:dyDescent="0.35">
      <c r="B5400" s="1">
        <f t="shared" si="840"/>
        <v>42</v>
      </c>
      <c r="C5400" s="22">
        <v>46722</v>
      </c>
      <c r="D5400" s="22">
        <v>46752</v>
      </c>
      <c r="E5400" s="23">
        <f t="shared" si="835"/>
        <v>31</v>
      </c>
      <c r="F5400" s="3">
        <f t="shared" si="838"/>
        <v>18789892.118735634</v>
      </c>
      <c r="G5400" s="3">
        <f t="shared" si="841"/>
        <v>3223620.0884871427</v>
      </c>
      <c r="H5400" s="3">
        <f t="shared" si="839"/>
        <v>156582.43432279694</v>
      </c>
      <c r="I5400" s="3">
        <f t="shared" si="836"/>
        <v>3067037.6541643459</v>
      </c>
      <c r="J5400" s="3">
        <f t="shared" si="837"/>
        <v>15722854.464571288</v>
      </c>
    </row>
    <row r="5401" spans="2:10" x14ac:dyDescent="0.35">
      <c r="B5401" s="1">
        <f t="shared" si="840"/>
        <v>43</v>
      </c>
      <c r="C5401" s="22">
        <v>46753</v>
      </c>
      <c r="D5401" s="22">
        <v>46783</v>
      </c>
      <c r="E5401" s="23">
        <f t="shared" si="835"/>
        <v>31</v>
      </c>
      <c r="F5401" s="3">
        <f t="shared" si="838"/>
        <v>15722854.464571288</v>
      </c>
      <c r="G5401" s="3">
        <f t="shared" si="841"/>
        <v>3223620.0884871427</v>
      </c>
      <c r="H5401" s="3">
        <f t="shared" si="839"/>
        <v>131023.78720476072</v>
      </c>
      <c r="I5401" s="3">
        <f t="shared" si="836"/>
        <v>3092596.3012823821</v>
      </c>
      <c r="J5401" s="3">
        <f t="shared" si="837"/>
        <v>12630258.163288906</v>
      </c>
    </row>
    <row r="5402" spans="2:10" x14ac:dyDescent="0.35">
      <c r="B5402" s="1">
        <f t="shared" si="840"/>
        <v>44</v>
      </c>
      <c r="C5402" s="22">
        <v>46784</v>
      </c>
      <c r="D5402" s="22">
        <v>46812</v>
      </c>
      <c r="E5402" s="23">
        <f t="shared" si="835"/>
        <v>29</v>
      </c>
      <c r="F5402" s="3">
        <f t="shared" si="838"/>
        <v>12630258.163288906</v>
      </c>
      <c r="G5402" s="3">
        <f t="shared" si="841"/>
        <v>3223620.0884871427</v>
      </c>
      <c r="H5402" s="3">
        <f t="shared" si="839"/>
        <v>105252.15136074089</v>
      </c>
      <c r="I5402" s="3">
        <f t="shared" si="836"/>
        <v>3118367.9371264018</v>
      </c>
      <c r="J5402" s="3">
        <f t="shared" si="837"/>
        <v>9511890.2261625044</v>
      </c>
    </row>
    <row r="5403" spans="2:10" x14ac:dyDescent="0.35">
      <c r="B5403" s="1">
        <f t="shared" si="840"/>
        <v>45</v>
      </c>
      <c r="C5403" s="22">
        <v>46813</v>
      </c>
      <c r="D5403" s="22">
        <v>46843</v>
      </c>
      <c r="E5403" s="23">
        <f t="shared" si="835"/>
        <v>31</v>
      </c>
      <c r="F5403" s="3">
        <f t="shared" si="838"/>
        <v>9511890.2261625044</v>
      </c>
      <c r="G5403" s="3">
        <f t="shared" si="841"/>
        <v>3223620.0884871427</v>
      </c>
      <c r="H5403" s="3">
        <f t="shared" si="839"/>
        <v>79265.751884687532</v>
      </c>
      <c r="I5403" s="3">
        <f t="shared" si="836"/>
        <v>3144354.336602455</v>
      </c>
      <c r="J5403" s="3">
        <f t="shared" si="837"/>
        <v>6367535.8895600494</v>
      </c>
    </row>
    <row r="5404" spans="2:10" x14ac:dyDescent="0.35">
      <c r="B5404" s="1">
        <f t="shared" si="840"/>
        <v>46</v>
      </c>
      <c r="C5404" s="22">
        <v>46844</v>
      </c>
      <c r="D5404" s="22">
        <v>46873</v>
      </c>
      <c r="E5404" s="23">
        <f t="shared" si="835"/>
        <v>30</v>
      </c>
      <c r="F5404" s="3">
        <f t="shared" si="838"/>
        <v>6367535.8895600494</v>
      </c>
      <c r="G5404" s="3">
        <f t="shared" si="841"/>
        <v>3223620.0884871427</v>
      </c>
      <c r="H5404" s="3">
        <f t="shared" si="839"/>
        <v>53062.799079667078</v>
      </c>
      <c r="I5404" s="3">
        <f t="shared" si="836"/>
        <v>3170557.2894074759</v>
      </c>
      <c r="J5404" s="3">
        <f t="shared" si="837"/>
        <v>3196978.6001525735</v>
      </c>
    </row>
    <row r="5405" spans="2:10" x14ac:dyDescent="0.35">
      <c r="B5405" s="1">
        <f t="shared" si="840"/>
        <v>47</v>
      </c>
      <c r="C5405" s="22">
        <v>46874</v>
      </c>
      <c r="D5405" s="22">
        <v>46904</v>
      </c>
      <c r="E5405" s="23">
        <f t="shared" si="835"/>
        <v>31</v>
      </c>
      <c r="F5405" s="3">
        <f t="shared" si="838"/>
        <v>3196978.6001525735</v>
      </c>
      <c r="G5405" s="3">
        <f t="shared" si="841"/>
        <v>3223620.0884871427</v>
      </c>
      <c r="H5405" s="3">
        <f t="shared" si="839"/>
        <v>26641.488334604779</v>
      </c>
      <c r="I5405" s="3">
        <f t="shared" si="836"/>
        <v>3196978.6001525377</v>
      </c>
      <c r="J5405" s="3">
        <f t="shared" si="837"/>
        <v>3.5855919122695923E-8</v>
      </c>
    </row>
    <row r="5406" spans="2:10" ht="12.65" customHeight="1" x14ac:dyDescent="0.35">
      <c r="B5406" s="1"/>
      <c r="C5406" s="22"/>
      <c r="D5406" s="22"/>
      <c r="E5406" s="23"/>
      <c r="F5406" s="3"/>
      <c r="G5406" s="3"/>
      <c r="H5406" s="3"/>
      <c r="I5406" s="3"/>
      <c r="J5406" s="3"/>
    </row>
    <row r="5414" spans="2:19" x14ac:dyDescent="0.35">
      <c r="B5414" s="1"/>
      <c r="C5414" s="8" t="s">
        <v>951</v>
      </c>
      <c r="D5414" s="3"/>
      <c r="E5414" s="3"/>
      <c r="F5414" s="3"/>
      <c r="G5414" s="3"/>
      <c r="H5414" s="3"/>
      <c r="I5414" s="3"/>
      <c r="J5414" s="3"/>
      <c r="R5414" s="438" t="s">
        <v>832</v>
      </c>
      <c r="S5414" s="432" t="str">
        <f>IFERROR(INDEX(Blocks!$I$2:$I$101,MATCH(98,Blocks!$A$2:$A$101,0)),"")</f>
        <v>000104420000063</v>
      </c>
    </row>
    <row r="5415" spans="2:19" x14ac:dyDescent="0.35">
      <c r="B5415" s="1"/>
      <c r="C5415" s="1"/>
      <c r="D5415" s="3"/>
      <c r="E5415" s="3"/>
      <c r="F5415" s="3"/>
      <c r="G5415" s="3"/>
      <c r="H5415" s="3"/>
      <c r="I5415" s="3"/>
      <c r="J5415" s="3"/>
      <c r="R5415" s="438" t="s">
        <v>834</v>
      </c>
      <c r="S5415" s="432" t="str">
        <f>IFERROR(INDEX(Blocks!$H$2:$H$101,MATCH(98,Blocks!$A$2:$A$101,0)),"")</f>
        <v>Hortinet Foods Ltd MAIIC</v>
      </c>
    </row>
    <row r="5416" spans="2:19" x14ac:dyDescent="0.35">
      <c r="B5416" s="1"/>
      <c r="C5416" s="9" t="s">
        <v>835</v>
      </c>
      <c r="D5416" s="10">
        <v>150000000</v>
      </c>
      <c r="E5416" s="3"/>
      <c r="F5416" s="3"/>
      <c r="G5416" s="3"/>
      <c r="H5416" s="3"/>
      <c r="I5416" s="3"/>
      <c r="J5416" s="3"/>
      <c r="R5416" s="438" t="s">
        <v>223</v>
      </c>
      <c r="S5416" s="433">
        <f>IFERROR(INDEX('E-Banker master'!$N$2:$N$186,MATCH(S5414,'E-Banker master'!$A$2:$A$186,0)),"")</f>
        <v>150000000</v>
      </c>
    </row>
    <row r="5417" spans="2:19" x14ac:dyDescent="0.35">
      <c r="B5417" s="1"/>
      <c r="C5417" s="11" t="s">
        <v>837</v>
      </c>
      <c r="D5417" s="12">
        <v>0.33</v>
      </c>
      <c r="E5417" s="13"/>
      <c r="F5417" s="3"/>
      <c r="G5417" s="3"/>
      <c r="H5417" s="3"/>
      <c r="I5417" s="3"/>
      <c r="J5417" s="3"/>
      <c r="R5417" s="438" t="s">
        <v>52</v>
      </c>
      <c r="S5417" s="433">
        <f>IFERROR(INDEX('E-Banker master'!$P$2:$P$186,MATCH(S5414,'E-Banker master'!$A$2:$A$186,0)),"")</f>
        <v>164662573.22999999</v>
      </c>
    </row>
    <row r="5418" spans="2:19" x14ac:dyDescent="0.35">
      <c r="B5418" s="1"/>
      <c r="C5418" s="11" t="s">
        <v>838</v>
      </c>
      <c r="D5418" s="14">
        <v>4</v>
      </c>
      <c r="E5418" s="1"/>
      <c r="F5418" s="3"/>
      <c r="G5418" s="3"/>
      <c r="H5418" s="3"/>
      <c r="I5418" s="3"/>
      <c r="J5418" s="3"/>
    </row>
    <row r="5419" spans="2:19" x14ac:dyDescent="0.35">
      <c r="B5419" s="1"/>
      <c r="C5419" s="11" t="s">
        <v>839</v>
      </c>
      <c r="D5419" s="14">
        <v>12</v>
      </c>
      <c r="E5419" s="1"/>
      <c r="F5419" s="3"/>
      <c r="G5419" s="3"/>
      <c r="H5419" s="3"/>
      <c r="I5419" s="3"/>
      <c r="J5419" s="3"/>
    </row>
    <row r="5420" spans="2:19" x14ac:dyDescent="0.35">
      <c r="B5420" s="1"/>
      <c r="C5420" s="11" t="s">
        <v>843</v>
      </c>
      <c r="D5420" s="15">
        <f>+D5419*D5418</f>
        <v>48</v>
      </c>
      <c r="E5420" s="1"/>
      <c r="F5420" s="3"/>
      <c r="G5420" s="3"/>
      <c r="H5420" s="3"/>
      <c r="I5420" s="3"/>
      <c r="J5420" s="3"/>
    </row>
    <row r="5421" spans="2:19" x14ac:dyDescent="0.35">
      <c r="B5421" s="1"/>
      <c r="C5421" s="11" t="s">
        <v>844</v>
      </c>
      <c r="D5421" s="16">
        <v>365</v>
      </c>
      <c r="E5421" s="1"/>
      <c r="F5421" s="3"/>
      <c r="G5421" s="3"/>
      <c r="H5421" s="3"/>
      <c r="I5421" s="3"/>
      <c r="J5421" s="3"/>
    </row>
    <row r="5422" spans="2:19" x14ac:dyDescent="0.35">
      <c r="B5422" s="1"/>
      <c r="C5422" s="17" t="s">
        <v>845</v>
      </c>
      <c r="D5422" s="220">
        <f>-PMT(D5417/D5419,D5420,D5416,0,0)</f>
        <v>5665737.1589155002</v>
      </c>
      <c r="E5422" s="3"/>
      <c r="F5422" s="3"/>
      <c r="G5422" s="3"/>
      <c r="H5422" s="3"/>
      <c r="I5422" s="3"/>
      <c r="J5422" s="3"/>
    </row>
    <row r="5423" spans="2:19" x14ac:dyDescent="0.35">
      <c r="B5423" s="1"/>
      <c r="C5423" s="1"/>
      <c r="D5423" s="3"/>
      <c r="E5423" s="3"/>
      <c r="F5423" s="3"/>
      <c r="G5423" s="3"/>
      <c r="H5423" s="3"/>
      <c r="I5423" s="3"/>
      <c r="J5423" s="3"/>
    </row>
    <row r="5424" spans="2:19" x14ac:dyDescent="0.35">
      <c r="B5424" s="1"/>
      <c r="C5424" s="19" t="s">
        <v>846</v>
      </c>
      <c r="D5424" s="20" t="s">
        <v>847</v>
      </c>
      <c r="E5424" s="20" t="s">
        <v>764</v>
      </c>
      <c r="F5424" s="270" t="s">
        <v>848</v>
      </c>
      <c r="G5424" s="270" t="s">
        <v>849</v>
      </c>
      <c r="H5424" s="270" t="s">
        <v>742</v>
      </c>
      <c r="I5424" s="270" t="s">
        <v>740</v>
      </c>
      <c r="J5424" s="270" t="s">
        <v>850</v>
      </c>
      <c r="K5424" s="21" t="s">
        <v>851</v>
      </c>
      <c r="L5424" s="21" t="s">
        <v>852</v>
      </c>
    </row>
    <row r="5425" spans="2:12" x14ac:dyDescent="0.35">
      <c r="B5425" s="1">
        <v>0</v>
      </c>
      <c r="C5425" s="22">
        <v>45497</v>
      </c>
      <c r="D5425" s="22">
        <v>45504</v>
      </c>
      <c r="E5425" s="23">
        <v>7</v>
      </c>
      <c r="F5425" s="3">
        <f>D5416</f>
        <v>150000000</v>
      </c>
      <c r="G5425" s="3"/>
      <c r="H5425" s="3">
        <f>($D$5417/$D$5419*F5425*E5425/30)</f>
        <v>962500</v>
      </c>
      <c r="I5425" s="3">
        <f t="shared" ref="I5425:I5472" si="842">G5425-H5425</f>
        <v>-962500</v>
      </c>
      <c r="J5425" s="3">
        <f t="shared" ref="J5425:J5472" si="843">F5425-I5425</f>
        <v>150962500</v>
      </c>
      <c r="K5425" s="141"/>
      <c r="L5425" s="141"/>
    </row>
    <row r="5426" spans="2:12" x14ac:dyDescent="0.35">
      <c r="B5426" s="1">
        <v>1</v>
      </c>
      <c r="C5426" s="22">
        <v>45505</v>
      </c>
      <c r="D5426" s="22">
        <v>45535</v>
      </c>
      <c r="E5426" s="23">
        <f t="shared" ref="E5426:E5472" si="844">+D5426-C5426+1</f>
        <v>31</v>
      </c>
      <c r="F5426" s="3">
        <f t="shared" ref="F5426:F5472" si="845">J5425</f>
        <v>150962500</v>
      </c>
      <c r="G5426" s="3"/>
      <c r="H5426" s="3">
        <f t="shared" ref="H5426:H5472" si="846">($D$5417/$D$5419*F5426)</f>
        <v>4151468.75</v>
      </c>
      <c r="I5426" s="3">
        <f t="shared" si="842"/>
        <v>-4151468.75</v>
      </c>
      <c r="J5426" s="3">
        <f t="shared" si="843"/>
        <v>155113968.75</v>
      </c>
      <c r="K5426" s="7"/>
      <c r="L5426" s="141"/>
    </row>
    <row r="5427" spans="2:12" x14ac:dyDescent="0.35">
      <c r="B5427" s="1">
        <v>2</v>
      </c>
      <c r="C5427" s="22">
        <v>45536</v>
      </c>
      <c r="D5427" s="22">
        <v>45565</v>
      </c>
      <c r="E5427" s="23">
        <f t="shared" si="844"/>
        <v>30</v>
      </c>
      <c r="F5427" s="3">
        <f t="shared" si="845"/>
        <v>155113968.75</v>
      </c>
      <c r="G5427" s="3"/>
      <c r="H5427" s="3">
        <f t="shared" si="846"/>
        <v>4265634.140625</v>
      </c>
      <c r="I5427" s="3">
        <f t="shared" si="842"/>
        <v>-4265634.140625</v>
      </c>
      <c r="J5427" s="3">
        <f t="shared" si="843"/>
        <v>159379602.890625</v>
      </c>
      <c r="L5427" s="141"/>
    </row>
    <row r="5428" spans="2:12" x14ac:dyDescent="0.35">
      <c r="B5428" s="1">
        <f t="shared" ref="B5428:B5472" si="847">+B5427+1</f>
        <v>3</v>
      </c>
      <c r="C5428" s="22">
        <v>45566</v>
      </c>
      <c r="D5428" s="22">
        <v>45596</v>
      </c>
      <c r="E5428" s="23">
        <f t="shared" si="844"/>
        <v>31</v>
      </c>
      <c r="F5428" s="3">
        <f t="shared" si="845"/>
        <v>159379602.890625</v>
      </c>
      <c r="G5428" s="3"/>
      <c r="H5428" s="3">
        <f t="shared" si="846"/>
        <v>4382939.0794921871</v>
      </c>
      <c r="I5428" s="3">
        <f t="shared" si="842"/>
        <v>-4382939.0794921871</v>
      </c>
      <c r="J5428" s="3">
        <f t="shared" si="843"/>
        <v>163762541.97011718</v>
      </c>
      <c r="L5428" s="141"/>
    </row>
    <row r="5429" spans="2:12" x14ac:dyDescent="0.35">
      <c r="B5429" s="1">
        <f t="shared" si="847"/>
        <v>4</v>
      </c>
      <c r="C5429" s="22">
        <v>45597</v>
      </c>
      <c r="D5429" s="22">
        <v>45626</v>
      </c>
      <c r="E5429" s="23">
        <f t="shared" si="844"/>
        <v>30</v>
      </c>
      <c r="F5429" s="3">
        <f t="shared" si="845"/>
        <v>163762541.97011718</v>
      </c>
      <c r="G5429" s="3">
        <f t="shared" ref="G5429:G5472" si="848">-PMT($D$5417/$D$5419,44,$F$5429,,0)</f>
        <v>6462234.0066479798</v>
      </c>
      <c r="H5429" s="3">
        <f t="shared" si="846"/>
        <v>4503469.9041782226</v>
      </c>
      <c r="I5429" s="3">
        <f t="shared" si="842"/>
        <v>1958764.1024697572</v>
      </c>
      <c r="J5429" s="3">
        <f t="shared" si="843"/>
        <v>161803777.86764741</v>
      </c>
    </row>
    <row r="5430" spans="2:12" x14ac:dyDescent="0.35">
      <c r="B5430" s="1">
        <f t="shared" si="847"/>
        <v>5</v>
      </c>
      <c r="C5430" s="22">
        <v>45627</v>
      </c>
      <c r="D5430" s="22">
        <v>45657</v>
      </c>
      <c r="E5430" s="23">
        <f t="shared" si="844"/>
        <v>31</v>
      </c>
      <c r="F5430" s="3">
        <f t="shared" si="845"/>
        <v>161803777.86764741</v>
      </c>
      <c r="G5430" s="3">
        <f t="shared" si="848"/>
        <v>6462234.0066479798</v>
      </c>
      <c r="H5430" s="3">
        <f t="shared" si="846"/>
        <v>4449603.8913603034</v>
      </c>
      <c r="I5430" s="3">
        <f t="shared" si="842"/>
        <v>2012630.1152876765</v>
      </c>
      <c r="J5430" s="3">
        <f t="shared" si="843"/>
        <v>159791147.75235975</v>
      </c>
    </row>
    <row r="5431" spans="2:12" x14ac:dyDescent="0.35">
      <c r="B5431" s="1">
        <f t="shared" si="847"/>
        <v>6</v>
      </c>
      <c r="C5431" s="22">
        <v>45658</v>
      </c>
      <c r="D5431" s="22">
        <v>45688</v>
      </c>
      <c r="E5431" s="23">
        <f t="shared" si="844"/>
        <v>31</v>
      </c>
      <c r="F5431" s="3">
        <f t="shared" si="845"/>
        <v>159791147.75235975</v>
      </c>
      <c r="G5431" s="3">
        <f t="shared" si="848"/>
        <v>6462234.0066479798</v>
      </c>
      <c r="H5431" s="3">
        <f t="shared" si="846"/>
        <v>4394256.563189893</v>
      </c>
      <c r="I5431" s="3">
        <f t="shared" si="842"/>
        <v>2067977.4434580868</v>
      </c>
      <c r="J5431" s="3">
        <f t="shared" si="843"/>
        <v>157723170.30890167</v>
      </c>
    </row>
    <row r="5432" spans="2:12" x14ac:dyDescent="0.35">
      <c r="B5432" s="1">
        <f t="shared" si="847"/>
        <v>7</v>
      </c>
      <c r="C5432" s="22">
        <v>45689</v>
      </c>
      <c r="D5432" s="22">
        <v>45716</v>
      </c>
      <c r="E5432" s="23">
        <f t="shared" si="844"/>
        <v>28</v>
      </c>
      <c r="F5432" s="3">
        <f t="shared" si="845"/>
        <v>157723170.30890167</v>
      </c>
      <c r="G5432" s="3">
        <f t="shared" si="848"/>
        <v>6462234.0066479798</v>
      </c>
      <c r="H5432" s="3">
        <f t="shared" si="846"/>
        <v>4337387.183494796</v>
      </c>
      <c r="I5432" s="3">
        <f t="shared" si="842"/>
        <v>2124846.8231531838</v>
      </c>
      <c r="J5432" s="3">
        <f t="shared" si="843"/>
        <v>155598323.48574847</v>
      </c>
    </row>
    <row r="5433" spans="2:12" x14ac:dyDescent="0.35">
      <c r="B5433" s="1">
        <f t="shared" si="847"/>
        <v>8</v>
      </c>
      <c r="C5433" s="22">
        <v>45717</v>
      </c>
      <c r="D5433" s="22">
        <v>45747</v>
      </c>
      <c r="E5433" s="23">
        <f t="shared" si="844"/>
        <v>31</v>
      </c>
      <c r="F5433" s="3">
        <f t="shared" si="845"/>
        <v>155598323.48574847</v>
      </c>
      <c r="G5433" s="3">
        <f t="shared" si="848"/>
        <v>6462234.0066479798</v>
      </c>
      <c r="H5433" s="3">
        <f t="shared" si="846"/>
        <v>4278953.8958580829</v>
      </c>
      <c r="I5433" s="3">
        <f t="shared" si="842"/>
        <v>2183280.1107898969</v>
      </c>
      <c r="J5433" s="3">
        <f t="shared" si="843"/>
        <v>153415043.37495857</v>
      </c>
    </row>
    <row r="5434" spans="2:12" x14ac:dyDescent="0.35">
      <c r="B5434" s="1">
        <f t="shared" si="847"/>
        <v>9</v>
      </c>
      <c r="C5434" s="22">
        <v>45748</v>
      </c>
      <c r="D5434" s="22">
        <v>45777</v>
      </c>
      <c r="E5434" s="23">
        <f t="shared" si="844"/>
        <v>30</v>
      </c>
      <c r="F5434" s="3">
        <f t="shared" si="845"/>
        <v>153415043.37495857</v>
      </c>
      <c r="G5434" s="3">
        <f t="shared" si="848"/>
        <v>6462234.0066479798</v>
      </c>
      <c r="H5434" s="3">
        <f t="shared" si="846"/>
        <v>4218913.6928113606</v>
      </c>
      <c r="I5434" s="3">
        <f t="shared" si="842"/>
        <v>2243320.3138366193</v>
      </c>
      <c r="J5434" s="3">
        <f t="shared" si="843"/>
        <v>151171723.06112194</v>
      </c>
    </row>
    <row r="5435" spans="2:12" x14ac:dyDescent="0.35">
      <c r="B5435" s="1">
        <f t="shared" si="847"/>
        <v>10</v>
      </c>
      <c r="C5435" s="22">
        <v>45778</v>
      </c>
      <c r="D5435" s="22">
        <v>45808</v>
      </c>
      <c r="E5435" s="23">
        <f t="shared" si="844"/>
        <v>31</v>
      </c>
      <c r="F5435" s="3">
        <f t="shared" si="845"/>
        <v>151171723.06112194</v>
      </c>
      <c r="G5435" s="3">
        <f t="shared" si="848"/>
        <v>6462234.0066479798</v>
      </c>
      <c r="H5435" s="3">
        <f t="shared" si="846"/>
        <v>4157222.3841808536</v>
      </c>
      <c r="I5435" s="3">
        <f t="shared" si="842"/>
        <v>2305011.6224671262</v>
      </c>
      <c r="J5435" s="3">
        <f t="shared" si="843"/>
        <v>148866711.43865481</v>
      </c>
    </row>
    <row r="5436" spans="2:12" x14ac:dyDescent="0.35">
      <c r="B5436" s="1">
        <f t="shared" si="847"/>
        <v>11</v>
      </c>
      <c r="C5436" s="22">
        <v>45809</v>
      </c>
      <c r="D5436" s="22">
        <v>45838</v>
      </c>
      <c r="E5436" s="23">
        <f t="shared" si="844"/>
        <v>30</v>
      </c>
      <c r="F5436" s="3">
        <f t="shared" si="845"/>
        <v>148866711.43865481</v>
      </c>
      <c r="G5436" s="3">
        <f t="shared" si="848"/>
        <v>6462234.0066479798</v>
      </c>
      <c r="H5436" s="3">
        <f t="shared" si="846"/>
        <v>4093834.5645630071</v>
      </c>
      <c r="I5436" s="3">
        <f t="shared" si="842"/>
        <v>2368399.4420849727</v>
      </c>
      <c r="J5436" s="3">
        <f t="shared" si="843"/>
        <v>146498311.99656984</v>
      </c>
    </row>
    <row r="5437" spans="2:12" x14ac:dyDescent="0.35">
      <c r="B5437" s="1">
        <f t="shared" si="847"/>
        <v>12</v>
      </c>
      <c r="C5437" s="22">
        <v>45839</v>
      </c>
      <c r="D5437" s="22">
        <v>45868</v>
      </c>
      <c r="E5437" s="23">
        <f t="shared" si="844"/>
        <v>30</v>
      </c>
      <c r="F5437" s="3">
        <f t="shared" si="845"/>
        <v>146498311.99656984</v>
      </c>
      <c r="G5437" s="3">
        <f t="shared" si="848"/>
        <v>6462234.0066479798</v>
      </c>
      <c r="H5437" s="3">
        <f t="shared" si="846"/>
        <v>4028703.5799056706</v>
      </c>
      <c r="I5437" s="3">
        <f t="shared" si="842"/>
        <v>2433530.4267423092</v>
      </c>
      <c r="J5437" s="3">
        <f t="shared" si="843"/>
        <v>144064781.56982753</v>
      </c>
    </row>
    <row r="5438" spans="2:12" x14ac:dyDescent="0.35">
      <c r="B5438" s="1">
        <f t="shared" si="847"/>
        <v>13</v>
      </c>
      <c r="C5438" s="22">
        <v>45870</v>
      </c>
      <c r="D5438" s="22">
        <v>45899</v>
      </c>
      <c r="E5438" s="23">
        <f t="shared" si="844"/>
        <v>30</v>
      </c>
      <c r="F5438" s="3">
        <f t="shared" si="845"/>
        <v>144064781.56982753</v>
      </c>
      <c r="G5438" s="3">
        <f t="shared" si="848"/>
        <v>6462234.0066479798</v>
      </c>
      <c r="H5438" s="3">
        <f t="shared" si="846"/>
        <v>3961781.4931702572</v>
      </c>
      <c r="I5438" s="3">
        <f t="shared" si="842"/>
        <v>2500452.5134777226</v>
      </c>
      <c r="J5438" s="3">
        <f t="shared" si="843"/>
        <v>141564329.05634981</v>
      </c>
    </row>
    <row r="5439" spans="2:12" x14ac:dyDescent="0.35">
      <c r="B5439" s="1">
        <f t="shared" si="847"/>
        <v>14</v>
      </c>
      <c r="C5439" s="22">
        <v>45901</v>
      </c>
      <c r="D5439" s="22">
        <v>45930</v>
      </c>
      <c r="E5439" s="23">
        <f t="shared" si="844"/>
        <v>30</v>
      </c>
      <c r="F5439" s="3">
        <f t="shared" si="845"/>
        <v>141564329.05634981</v>
      </c>
      <c r="G5439" s="3">
        <f t="shared" si="848"/>
        <v>6462234.0066479798</v>
      </c>
      <c r="H5439" s="3">
        <f t="shared" si="846"/>
        <v>3893019.0490496201</v>
      </c>
      <c r="I5439" s="3">
        <f t="shared" si="842"/>
        <v>2569214.9575983598</v>
      </c>
      <c r="J5439" s="3">
        <f t="shared" si="843"/>
        <v>138995114.09875146</v>
      </c>
    </row>
    <row r="5440" spans="2:12" x14ac:dyDescent="0.35">
      <c r="B5440" s="1">
        <f t="shared" si="847"/>
        <v>15</v>
      </c>
      <c r="C5440" s="22">
        <v>45931</v>
      </c>
      <c r="D5440" s="22">
        <v>45961</v>
      </c>
      <c r="E5440" s="23">
        <f t="shared" si="844"/>
        <v>31</v>
      </c>
      <c r="F5440" s="3">
        <f t="shared" si="845"/>
        <v>138995114.09875146</v>
      </c>
      <c r="G5440" s="3">
        <f t="shared" si="848"/>
        <v>6462234.0066479798</v>
      </c>
      <c r="H5440" s="3">
        <f t="shared" si="846"/>
        <v>3822365.6377156652</v>
      </c>
      <c r="I5440" s="3">
        <f t="shared" si="842"/>
        <v>2639868.3689323147</v>
      </c>
      <c r="J5440" s="3">
        <f t="shared" si="843"/>
        <v>136355245.72981915</v>
      </c>
    </row>
    <row r="5441" spans="2:10" x14ac:dyDescent="0.35">
      <c r="B5441" s="1">
        <f t="shared" si="847"/>
        <v>16</v>
      </c>
      <c r="C5441" s="22">
        <v>45962</v>
      </c>
      <c r="D5441" s="22">
        <v>45991</v>
      </c>
      <c r="E5441" s="23">
        <f t="shared" si="844"/>
        <v>30</v>
      </c>
      <c r="F5441" s="3">
        <f t="shared" si="845"/>
        <v>136355245.72981915</v>
      </c>
      <c r="G5441" s="3">
        <f t="shared" si="848"/>
        <v>6462234.0066479798</v>
      </c>
      <c r="H5441" s="3">
        <f t="shared" si="846"/>
        <v>3749769.2575700264</v>
      </c>
      <c r="I5441" s="3">
        <f t="shared" si="842"/>
        <v>2712464.7490779534</v>
      </c>
      <c r="J5441" s="3">
        <f t="shared" si="843"/>
        <v>133642780.9807412</v>
      </c>
    </row>
    <row r="5442" spans="2:10" x14ac:dyDescent="0.35">
      <c r="B5442" s="1">
        <f t="shared" si="847"/>
        <v>17</v>
      </c>
      <c r="C5442" s="22">
        <v>45992</v>
      </c>
      <c r="D5442" s="22">
        <v>46022</v>
      </c>
      <c r="E5442" s="23">
        <f t="shared" si="844"/>
        <v>31</v>
      </c>
      <c r="F5442" s="3">
        <f t="shared" si="845"/>
        <v>133642780.9807412</v>
      </c>
      <c r="G5442" s="3">
        <f t="shared" si="848"/>
        <v>6462234.0066479798</v>
      </c>
      <c r="H5442" s="3">
        <f t="shared" si="846"/>
        <v>3675176.476970383</v>
      </c>
      <c r="I5442" s="3">
        <f t="shared" si="842"/>
        <v>2787057.5296775969</v>
      </c>
      <c r="J5442" s="3">
        <f t="shared" si="843"/>
        <v>130855723.4510636</v>
      </c>
    </row>
    <row r="5443" spans="2:10" x14ac:dyDescent="0.35">
      <c r="B5443" s="1">
        <f t="shared" si="847"/>
        <v>18</v>
      </c>
      <c r="C5443" s="22">
        <v>46023</v>
      </c>
      <c r="D5443" s="22">
        <v>46053</v>
      </c>
      <c r="E5443" s="23">
        <f t="shared" si="844"/>
        <v>31</v>
      </c>
      <c r="F5443" s="3">
        <f t="shared" si="845"/>
        <v>130855723.4510636</v>
      </c>
      <c r="G5443" s="3">
        <f t="shared" si="848"/>
        <v>6462234.0066479798</v>
      </c>
      <c r="H5443" s="3">
        <f t="shared" si="846"/>
        <v>3598532.3949042489</v>
      </c>
      <c r="I5443" s="3">
        <f t="shared" si="842"/>
        <v>2863701.611743731</v>
      </c>
      <c r="J5443" s="3">
        <f t="shared" si="843"/>
        <v>127992021.83931987</v>
      </c>
    </row>
    <row r="5444" spans="2:10" x14ac:dyDescent="0.35">
      <c r="B5444" s="1">
        <f t="shared" si="847"/>
        <v>19</v>
      </c>
      <c r="C5444" s="22">
        <v>46054</v>
      </c>
      <c r="D5444" s="22">
        <v>46081</v>
      </c>
      <c r="E5444" s="23">
        <f t="shared" si="844"/>
        <v>28</v>
      </c>
      <c r="F5444" s="3">
        <f t="shared" si="845"/>
        <v>127992021.83931987</v>
      </c>
      <c r="G5444" s="3">
        <f t="shared" si="848"/>
        <v>6462234.0066479798</v>
      </c>
      <c r="H5444" s="3">
        <f t="shared" si="846"/>
        <v>3519780.6005812963</v>
      </c>
      <c r="I5444" s="3">
        <f t="shared" si="842"/>
        <v>2942453.4060666836</v>
      </c>
      <c r="J5444" s="3">
        <f t="shared" si="843"/>
        <v>125049568.43325318</v>
      </c>
    </row>
    <row r="5445" spans="2:10" x14ac:dyDescent="0.35">
      <c r="B5445" s="1">
        <f t="shared" si="847"/>
        <v>20</v>
      </c>
      <c r="C5445" s="22">
        <v>46082</v>
      </c>
      <c r="D5445" s="22">
        <v>46112</v>
      </c>
      <c r="E5445" s="23">
        <f t="shared" si="844"/>
        <v>31</v>
      </c>
      <c r="F5445" s="3">
        <f t="shared" si="845"/>
        <v>125049568.43325318</v>
      </c>
      <c r="G5445" s="3">
        <f t="shared" si="848"/>
        <v>6462234.0066479798</v>
      </c>
      <c r="H5445" s="3">
        <f t="shared" si="846"/>
        <v>3438863.1319144624</v>
      </c>
      <c r="I5445" s="3">
        <f t="shared" si="842"/>
        <v>3023370.8747335174</v>
      </c>
      <c r="J5445" s="3">
        <f t="shared" si="843"/>
        <v>122026197.55851966</v>
      </c>
    </row>
    <row r="5446" spans="2:10" x14ac:dyDescent="0.35">
      <c r="B5446" s="1">
        <f t="shared" si="847"/>
        <v>21</v>
      </c>
      <c r="C5446" s="22">
        <v>46113</v>
      </c>
      <c r="D5446" s="22">
        <v>46142</v>
      </c>
      <c r="E5446" s="23">
        <f t="shared" si="844"/>
        <v>30</v>
      </c>
      <c r="F5446" s="3">
        <f t="shared" si="845"/>
        <v>122026197.55851966</v>
      </c>
      <c r="G5446" s="3">
        <f t="shared" si="848"/>
        <v>6462234.0066479798</v>
      </c>
      <c r="H5446" s="3">
        <f t="shared" si="846"/>
        <v>3355720.4328592909</v>
      </c>
      <c r="I5446" s="3">
        <f t="shared" si="842"/>
        <v>3106513.573788689</v>
      </c>
      <c r="J5446" s="3">
        <f t="shared" si="843"/>
        <v>118919683.98473097</v>
      </c>
    </row>
    <row r="5447" spans="2:10" x14ac:dyDescent="0.35">
      <c r="B5447" s="1">
        <f t="shared" si="847"/>
        <v>22</v>
      </c>
      <c r="C5447" s="22">
        <v>46143</v>
      </c>
      <c r="D5447" s="22">
        <v>46173</v>
      </c>
      <c r="E5447" s="23">
        <f t="shared" si="844"/>
        <v>31</v>
      </c>
      <c r="F5447" s="3">
        <f t="shared" si="845"/>
        <v>118919683.98473097</v>
      </c>
      <c r="G5447" s="3">
        <f t="shared" si="848"/>
        <v>6462234.0066479798</v>
      </c>
      <c r="H5447" s="3">
        <f t="shared" si="846"/>
        <v>3270291.3095801016</v>
      </c>
      <c r="I5447" s="3">
        <f t="shared" si="842"/>
        <v>3191942.6970678782</v>
      </c>
      <c r="J5447" s="3">
        <f t="shared" si="843"/>
        <v>115727741.2876631</v>
      </c>
    </row>
    <row r="5448" spans="2:10" x14ac:dyDescent="0.35">
      <c r="B5448" s="1">
        <f t="shared" si="847"/>
        <v>23</v>
      </c>
      <c r="C5448" s="22">
        <v>46174</v>
      </c>
      <c r="D5448" s="22">
        <v>46203</v>
      </c>
      <c r="E5448" s="23">
        <f t="shared" si="844"/>
        <v>30</v>
      </c>
      <c r="F5448" s="3">
        <f t="shared" si="845"/>
        <v>115727741.2876631</v>
      </c>
      <c r="G5448" s="3">
        <f t="shared" si="848"/>
        <v>6462234.0066479798</v>
      </c>
      <c r="H5448" s="3">
        <f t="shared" si="846"/>
        <v>3182512.8854107354</v>
      </c>
      <c r="I5448" s="3">
        <f t="shared" si="842"/>
        <v>3279721.1212372445</v>
      </c>
      <c r="J5448" s="3">
        <f t="shared" si="843"/>
        <v>112448020.16642585</v>
      </c>
    </row>
    <row r="5449" spans="2:10" x14ac:dyDescent="0.35">
      <c r="B5449" s="1">
        <f t="shared" si="847"/>
        <v>24</v>
      </c>
      <c r="C5449" s="22">
        <v>46204</v>
      </c>
      <c r="D5449" s="22">
        <v>46234</v>
      </c>
      <c r="E5449" s="23">
        <f t="shared" si="844"/>
        <v>31</v>
      </c>
      <c r="F5449" s="3">
        <f t="shared" si="845"/>
        <v>112448020.16642585</v>
      </c>
      <c r="G5449" s="3">
        <f t="shared" si="848"/>
        <v>6462234.0066479798</v>
      </c>
      <c r="H5449" s="3">
        <f t="shared" si="846"/>
        <v>3092320.5545767108</v>
      </c>
      <c r="I5449" s="3">
        <f t="shared" si="842"/>
        <v>3369913.452071269</v>
      </c>
      <c r="J5449" s="3">
        <f t="shared" si="843"/>
        <v>109078106.71435459</v>
      </c>
    </row>
    <row r="5450" spans="2:10" x14ac:dyDescent="0.35">
      <c r="B5450" s="1">
        <f t="shared" si="847"/>
        <v>25</v>
      </c>
      <c r="C5450" s="22">
        <v>46235</v>
      </c>
      <c r="D5450" s="22">
        <v>46265</v>
      </c>
      <c r="E5450" s="23">
        <f t="shared" si="844"/>
        <v>31</v>
      </c>
      <c r="F5450" s="3">
        <f t="shared" si="845"/>
        <v>109078106.71435459</v>
      </c>
      <c r="G5450" s="3">
        <f t="shared" si="848"/>
        <v>6462234.0066479798</v>
      </c>
      <c r="H5450" s="3">
        <f t="shared" si="846"/>
        <v>2999647.9346447513</v>
      </c>
      <c r="I5450" s="3">
        <f t="shared" si="842"/>
        <v>3462586.0720032286</v>
      </c>
      <c r="J5450" s="3">
        <f t="shared" si="843"/>
        <v>105615520.64235136</v>
      </c>
    </row>
    <row r="5451" spans="2:10" x14ac:dyDescent="0.35">
      <c r="B5451" s="1">
        <f t="shared" si="847"/>
        <v>26</v>
      </c>
      <c r="C5451" s="22">
        <v>46266</v>
      </c>
      <c r="D5451" s="22">
        <v>46295</v>
      </c>
      <c r="E5451" s="23">
        <f t="shared" si="844"/>
        <v>30</v>
      </c>
      <c r="F5451" s="3">
        <f t="shared" si="845"/>
        <v>105615520.64235136</v>
      </c>
      <c r="G5451" s="3">
        <f t="shared" si="848"/>
        <v>6462234.0066479798</v>
      </c>
      <c r="H5451" s="3">
        <f t="shared" si="846"/>
        <v>2904426.8176646624</v>
      </c>
      <c r="I5451" s="3">
        <f t="shared" si="842"/>
        <v>3557807.1889833175</v>
      </c>
      <c r="J5451" s="3">
        <f t="shared" si="843"/>
        <v>102057713.45336804</v>
      </c>
    </row>
    <row r="5452" spans="2:10" x14ac:dyDescent="0.35">
      <c r="B5452" s="1">
        <f t="shared" si="847"/>
        <v>27</v>
      </c>
      <c r="C5452" s="22">
        <v>46296</v>
      </c>
      <c r="D5452" s="22">
        <v>46326</v>
      </c>
      <c r="E5452" s="23">
        <f t="shared" si="844"/>
        <v>31</v>
      </c>
      <c r="F5452" s="3">
        <f t="shared" si="845"/>
        <v>102057713.45336804</v>
      </c>
      <c r="G5452" s="3">
        <f t="shared" si="848"/>
        <v>6462234.0066479798</v>
      </c>
      <c r="H5452" s="3">
        <f t="shared" si="846"/>
        <v>2806587.1199676213</v>
      </c>
      <c r="I5452" s="3">
        <f t="shared" si="842"/>
        <v>3655646.8866803586</v>
      </c>
      <c r="J5452" s="3">
        <f t="shared" si="843"/>
        <v>98402066.566687673</v>
      </c>
    </row>
    <row r="5453" spans="2:10" x14ac:dyDescent="0.35">
      <c r="B5453" s="1">
        <f t="shared" si="847"/>
        <v>28</v>
      </c>
      <c r="C5453" s="22">
        <v>46327</v>
      </c>
      <c r="D5453" s="22">
        <v>46356</v>
      </c>
      <c r="E5453" s="23">
        <f t="shared" si="844"/>
        <v>30</v>
      </c>
      <c r="F5453" s="3">
        <f t="shared" si="845"/>
        <v>98402066.566687673</v>
      </c>
      <c r="G5453" s="3">
        <f t="shared" si="848"/>
        <v>6462234.0066479798</v>
      </c>
      <c r="H5453" s="3">
        <f t="shared" si="846"/>
        <v>2706056.8305839109</v>
      </c>
      <c r="I5453" s="3">
        <f t="shared" si="842"/>
        <v>3756177.1760640689</v>
      </c>
      <c r="J5453" s="3">
        <f t="shared" si="843"/>
        <v>94645889.390623599</v>
      </c>
    </row>
    <row r="5454" spans="2:10" x14ac:dyDescent="0.35">
      <c r="B5454" s="1">
        <f t="shared" si="847"/>
        <v>29</v>
      </c>
      <c r="C5454" s="22">
        <v>46357</v>
      </c>
      <c r="D5454" s="22">
        <v>46387</v>
      </c>
      <c r="E5454" s="23">
        <f t="shared" si="844"/>
        <v>31</v>
      </c>
      <c r="F5454" s="3">
        <f t="shared" si="845"/>
        <v>94645889.390623599</v>
      </c>
      <c r="G5454" s="3">
        <f t="shared" si="848"/>
        <v>6462234.0066479798</v>
      </c>
      <c r="H5454" s="3">
        <f t="shared" si="846"/>
        <v>2602761.9582421491</v>
      </c>
      <c r="I5454" s="3">
        <f t="shared" si="842"/>
        <v>3859472.0484058307</v>
      </c>
      <c r="J5454" s="3">
        <f t="shared" si="843"/>
        <v>90786417.342217773</v>
      </c>
    </row>
    <row r="5455" spans="2:10" x14ac:dyDescent="0.35">
      <c r="B5455" s="1">
        <f t="shared" si="847"/>
        <v>30</v>
      </c>
      <c r="C5455" s="22">
        <v>46388</v>
      </c>
      <c r="D5455" s="22">
        <v>46418</v>
      </c>
      <c r="E5455" s="23">
        <f t="shared" si="844"/>
        <v>31</v>
      </c>
      <c r="F5455" s="3">
        <f t="shared" si="845"/>
        <v>90786417.342217773</v>
      </c>
      <c r="G5455" s="3">
        <f t="shared" si="848"/>
        <v>6462234.0066479798</v>
      </c>
      <c r="H5455" s="3">
        <f t="shared" si="846"/>
        <v>2496626.4769109888</v>
      </c>
      <c r="I5455" s="3">
        <f t="shared" si="842"/>
        <v>3965607.529736991</v>
      </c>
      <c r="J5455" s="3">
        <f t="shared" si="843"/>
        <v>86820809.812480778</v>
      </c>
    </row>
    <row r="5456" spans="2:10" x14ac:dyDescent="0.35">
      <c r="B5456" s="1">
        <f t="shared" si="847"/>
        <v>31</v>
      </c>
      <c r="C5456" s="22">
        <v>46419</v>
      </c>
      <c r="D5456" s="22">
        <v>46446</v>
      </c>
      <c r="E5456" s="23">
        <f t="shared" si="844"/>
        <v>28</v>
      </c>
      <c r="F5456" s="3">
        <f t="shared" si="845"/>
        <v>86820809.812480778</v>
      </c>
      <c r="G5456" s="3">
        <f t="shared" si="848"/>
        <v>6462234.0066479798</v>
      </c>
      <c r="H5456" s="3">
        <f t="shared" si="846"/>
        <v>2387572.2698432212</v>
      </c>
      <c r="I5456" s="3">
        <f t="shared" si="842"/>
        <v>4074661.7368047587</v>
      </c>
      <c r="J5456" s="3">
        <f t="shared" si="843"/>
        <v>82746148.075676024</v>
      </c>
    </row>
    <row r="5457" spans="2:10" x14ac:dyDescent="0.35">
      <c r="B5457" s="1">
        <f t="shared" si="847"/>
        <v>32</v>
      </c>
      <c r="C5457" s="22">
        <v>46447</v>
      </c>
      <c r="D5457" s="22">
        <v>46477</v>
      </c>
      <c r="E5457" s="23">
        <f t="shared" si="844"/>
        <v>31</v>
      </c>
      <c r="F5457" s="3">
        <f t="shared" si="845"/>
        <v>82746148.075676024</v>
      </c>
      <c r="G5457" s="3">
        <f t="shared" si="848"/>
        <v>6462234.0066479798</v>
      </c>
      <c r="H5457" s="3">
        <f t="shared" si="846"/>
        <v>2275519.0720810909</v>
      </c>
      <c r="I5457" s="3">
        <f t="shared" si="842"/>
        <v>4186714.934566889</v>
      </c>
      <c r="J5457" s="3">
        <f t="shared" si="843"/>
        <v>78559433.141109139</v>
      </c>
    </row>
    <row r="5458" spans="2:10" x14ac:dyDescent="0.35">
      <c r="B5458" s="1">
        <f t="shared" si="847"/>
        <v>33</v>
      </c>
      <c r="C5458" s="22">
        <v>46478</v>
      </c>
      <c r="D5458" s="22">
        <v>46507</v>
      </c>
      <c r="E5458" s="23">
        <f t="shared" si="844"/>
        <v>30</v>
      </c>
      <c r="F5458" s="3">
        <f t="shared" si="845"/>
        <v>78559433.141109139</v>
      </c>
      <c r="G5458" s="3">
        <f t="shared" si="848"/>
        <v>6462234.0066479798</v>
      </c>
      <c r="H5458" s="3">
        <f t="shared" si="846"/>
        <v>2160384.4113805015</v>
      </c>
      <c r="I5458" s="3">
        <f t="shared" si="842"/>
        <v>4301849.5952674784</v>
      </c>
      <c r="J5458" s="3">
        <f t="shared" si="843"/>
        <v>74257583.545841664</v>
      </c>
    </row>
    <row r="5459" spans="2:10" x14ac:dyDescent="0.35">
      <c r="B5459" s="1">
        <f t="shared" si="847"/>
        <v>34</v>
      </c>
      <c r="C5459" s="22">
        <v>46508</v>
      </c>
      <c r="D5459" s="22">
        <v>46538</v>
      </c>
      <c r="E5459" s="23">
        <f t="shared" si="844"/>
        <v>31</v>
      </c>
      <c r="F5459" s="3">
        <f t="shared" si="845"/>
        <v>74257583.545841664</v>
      </c>
      <c r="G5459" s="3">
        <f t="shared" si="848"/>
        <v>6462234.0066479798</v>
      </c>
      <c r="H5459" s="3">
        <f t="shared" si="846"/>
        <v>2042083.5475106458</v>
      </c>
      <c r="I5459" s="3">
        <f t="shared" si="842"/>
        <v>4420150.4591373336</v>
      </c>
      <c r="J5459" s="3">
        <f t="shared" si="843"/>
        <v>69837433.086704329</v>
      </c>
    </row>
    <row r="5460" spans="2:10" x14ac:dyDescent="0.35">
      <c r="B5460" s="1">
        <f t="shared" si="847"/>
        <v>35</v>
      </c>
      <c r="C5460" s="22">
        <v>46539</v>
      </c>
      <c r="D5460" s="22">
        <v>46568</v>
      </c>
      <c r="E5460" s="23">
        <f t="shared" si="844"/>
        <v>30</v>
      </c>
      <c r="F5460" s="3">
        <f t="shared" si="845"/>
        <v>69837433.086704329</v>
      </c>
      <c r="G5460" s="3">
        <f t="shared" si="848"/>
        <v>6462234.0066479798</v>
      </c>
      <c r="H5460" s="3">
        <f t="shared" si="846"/>
        <v>1920529.409884369</v>
      </c>
      <c r="I5460" s="3">
        <f t="shared" si="842"/>
        <v>4541704.5967636108</v>
      </c>
      <c r="J5460" s="3">
        <f t="shared" si="843"/>
        <v>65295728.489940718</v>
      </c>
    </row>
    <row r="5461" spans="2:10" x14ac:dyDescent="0.35">
      <c r="B5461" s="1">
        <f t="shared" si="847"/>
        <v>36</v>
      </c>
      <c r="C5461" s="22">
        <v>46569</v>
      </c>
      <c r="D5461" s="22">
        <v>46599</v>
      </c>
      <c r="E5461" s="23">
        <f t="shared" si="844"/>
        <v>31</v>
      </c>
      <c r="F5461" s="3">
        <f t="shared" si="845"/>
        <v>65295728.489940718</v>
      </c>
      <c r="G5461" s="3">
        <f t="shared" si="848"/>
        <v>6462234.0066479798</v>
      </c>
      <c r="H5461" s="3">
        <f t="shared" si="846"/>
        <v>1795632.5334733697</v>
      </c>
      <c r="I5461" s="3">
        <f t="shared" si="842"/>
        <v>4666601.4731746102</v>
      </c>
      <c r="J5461" s="3">
        <f t="shared" si="843"/>
        <v>60629127.016766109</v>
      </c>
    </row>
    <row r="5462" spans="2:10" x14ac:dyDescent="0.35">
      <c r="B5462" s="1">
        <f t="shared" si="847"/>
        <v>37</v>
      </c>
      <c r="C5462" s="22">
        <v>46600</v>
      </c>
      <c r="D5462" s="22">
        <v>46630</v>
      </c>
      <c r="E5462" s="23">
        <f t="shared" si="844"/>
        <v>31</v>
      </c>
      <c r="F5462" s="3">
        <f t="shared" si="845"/>
        <v>60629127.016766109</v>
      </c>
      <c r="G5462" s="3">
        <f t="shared" si="848"/>
        <v>6462234.0066479798</v>
      </c>
      <c r="H5462" s="3">
        <f t="shared" si="846"/>
        <v>1667300.9929610679</v>
      </c>
      <c r="I5462" s="3">
        <f t="shared" si="842"/>
        <v>4794933.0136869121</v>
      </c>
      <c r="J5462" s="3">
        <f t="shared" si="843"/>
        <v>55834194.003079198</v>
      </c>
    </row>
    <row r="5463" spans="2:10" x14ac:dyDescent="0.35">
      <c r="B5463" s="1">
        <f t="shared" si="847"/>
        <v>38</v>
      </c>
      <c r="C5463" s="22">
        <v>46631</v>
      </c>
      <c r="D5463" s="22">
        <v>46660</v>
      </c>
      <c r="E5463" s="23">
        <f t="shared" si="844"/>
        <v>30</v>
      </c>
      <c r="F5463" s="3">
        <f t="shared" si="845"/>
        <v>55834194.003079198</v>
      </c>
      <c r="G5463" s="3">
        <f t="shared" si="848"/>
        <v>6462234.0066479798</v>
      </c>
      <c r="H5463" s="3">
        <f t="shared" si="846"/>
        <v>1535440.3350846779</v>
      </c>
      <c r="I5463" s="3">
        <f t="shared" si="842"/>
        <v>4926793.6715633022</v>
      </c>
      <c r="J5463" s="3">
        <f t="shared" si="843"/>
        <v>50907400.331515893</v>
      </c>
    </row>
    <row r="5464" spans="2:10" x14ac:dyDescent="0.35">
      <c r="B5464" s="1">
        <f t="shared" si="847"/>
        <v>39</v>
      </c>
      <c r="C5464" s="22">
        <v>46661</v>
      </c>
      <c r="D5464" s="22">
        <v>46691</v>
      </c>
      <c r="E5464" s="23">
        <f t="shared" si="844"/>
        <v>31</v>
      </c>
      <c r="F5464" s="3">
        <f t="shared" si="845"/>
        <v>50907400.331515893</v>
      </c>
      <c r="G5464" s="3">
        <f t="shared" si="848"/>
        <v>6462234.0066479798</v>
      </c>
      <c r="H5464" s="3">
        <f t="shared" si="846"/>
        <v>1399953.5091166871</v>
      </c>
      <c r="I5464" s="3">
        <f t="shared" si="842"/>
        <v>5062280.497531293</v>
      </c>
      <c r="J5464" s="3">
        <f t="shared" si="843"/>
        <v>45845119.833984599</v>
      </c>
    </row>
    <row r="5465" spans="2:10" x14ac:dyDescent="0.35">
      <c r="B5465" s="1">
        <f t="shared" si="847"/>
        <v>40</v>
      </c>
      <c r="C5465" s="22">
        <v>46692</v>
      </c>
      <c r="D5465" s="22">
        <v>46721</v>
      </c>
      <c r="E5465" s="23">
        <f t="shared" si="844"/>
        <v>30</v>
      </c>
      <c r="F5465" s="3">
        <f t="shared" si="845"/>
        <v>45845119.833984599</v>
      </c>
      <c r="G5465" s="3">
        <f t="shared" si="848"/>
        <v>6462234.0066479798</v>
      </c>
      <c r="H5465" s="3">
        <f t="shared" si="846"/>
        <v>1260740.7954345765</v>
      </c>
      <c r="I5465" s="3">
        <f t="shared" si="842"/>
        <v>5201493.2112134034</v>
      </c>
      <c r="J5465" s="3">
        <f t="shared" si="843"/>
        <v>40643626.622771196</v>
      </c>
    </row>
    <row r="5466" spans="2:10" x14ac:dyDescent="0.35">
      <c r="B5466" s="1">
        <f t="shared" si="847"/>
        <v>41</v>
      </c>
      <c r="C5466" s="22">
        <v>46722</v>
      </c>
      <c r="D5466" s="22">
        <v>46752</v>
      </c>
      <c r="E5466" s="23">
        <f t="shared" si="844"/>
        <v>31</v>
      </c>
      <c r="F5466" s="3">
        <f t="shared" si="845"/>
        <v>40643626.622771196</v>
      </c>
      <c r="G5466" s="3">
        <f t="shared" si="848"/>
        <v>6462234.0066479798</v>
      </c>
      <c r="H5466" s="3">
        <f t="shared" si="846"/>
        <v>1117699.7321262078</v>
      </c>
      <c r="I5466" s="3">
        <f t="shared" si="842"/>
        <v>5344534.2745217718</v>
      </c>
      <c r="J5466" s="3">
        <f t="shared" si="843"/>
        <v>35299092.348249421</v>
      </c>
    </row>
    <row r="5467" spans="2:10" x14ac:dyDescent="0.35">
      <c r="B5467" s="1">
        <f t="shared" si="847"/>
        <v>42</v>
      </c>
      <c r="C5467" s="22">
        <v>46753</v>
      </c>
      <c r="D5467" s="22">
        <v>46783</v>
      </c>
      <c r="E5467" s="23">
        <f t="shared" si="844"/>
        <v>31</v>
      </c>
      <c r="F5467" s="3">
        <f t="shared" si="845"/>
        <v>35299092.348249421</v>
      </c>
      <c r="G5467" s="3">
        <f t="shared" si="848"/>
        <v>6462234.0066479798</v>
      </c>
      <c r="H5467" s="3">
        <f t="shared" si="846"/>
        <v>970725.0395768591</v>
      </c>
      <c r="I5467" s="3">
        <f t="shared" si="842"/>
        <v>5491508.9670711206</v>
      </c>
      <c r="J5467" s="3">
        <f t="shared" si="843"/>
        <v>29807583.381178301</v>
      </c>
    </row>
    <row r="5468" spans="2:10" x14ac:dyDescent="0.35">
      <c r="B5468" s="1">
        <f t="shared" si="847"/>
        <v>43</v>
      </c>
      <c r="C5468" s="22">
        <v>46784</v>
      </c>
      <c r="D5468" s="22">
        <v>46812</v>
      </c>
      <c r="E5468" s="23">
        <f t="shared" si="844"/>
        <v>29</v>
      </c>
      <c r="F5468" s="3">
        <f t="shared" si="845"/>
        <v>29807583.381178301</v>
      </c>
      <c r="G5468" s="3">
        <f t="shared" si="848"/>
        <v>6462234.0066479798</v>
      </c>
      <c r="H5468" s="3">
        <f t="shared" si="846"/>
        <v>819708.54298240331</v>
      </c>
      <c r="I5468" s="3">
        <f t="shared" si="842"/>
        <v>5642525.4636655767</v>
      </c>
      <c r="J5468" s="3">
        <f t="shared" si="843"/>
        <v>24165057.917512722</v>
      </c>
    </row>
    <row r="5469" spans="2:10" x14ac:dyDescent="0.35">
      <c r="B5469" s="1">
        <f t="shared" si="847"/>
        <v>44</v>
      </c>
      <c r="C5469" s="22">
        <v>46813</v>
      </c>
      <c r="D5469" s="22">
        <v>46843</v>
      </c>
      <c r="E5469" s="23">
        <f t="shared" si="844"/>
        <v>31</v>
      </c>
      <c r="F5469" s="3">
        <f t="shared" si="845"/>
        <v>24165057.917512722</v>
      </c>
      <c r="G5469" s="3">
        <f t="shared" si="848"/>
        <v>6462234.0066479798</v>
      </c>
      <c r="H5469" s="3">
        <f t="shared" si="846"/>
        <v>664539.09273159981</v>
      </c>
      <c r="I5469" s="3">
        <f t="shared" si="842"/>
        <v>5797694.9139163801</v>
      </c>
      <c r="J5469" s="3">
        <f t="shared" si="843"/>
        <v>18367363.003596343</v>
      </c>
    </row>
    <row r="5470" spans="2:10" x14ac:dyDescent="0.35">
      <c r="B5470" s="1">
        <f t="shared" si="847"/>
        <v>45</v>
      </c>
      <c r="C5470" s="22">
        <v>46844</v>
      </c>
      <c r="D5470" s="22">
        <v>46873</v>
      </c>
      <c r="E5470" s="23">
        <f t="shared" si="844"/>
        <v>30</v>
      </c>
      <c r="F5470" s="3">
        <f t="shared" si="845"/>
        <v>18367363.003596343</v>
      </c>
      <c r="G5470" s="3">
        <f t="shared" si="848"/>
        <v>6462234.0066479798</v>
      </c>
      <c r="H5470" s="3">
        <f t="shared" si="846"/>
        <v>505102.48259889946</v>
      </c>
      <c r="I5470" s="3">
        <f t="shared" si="842"/>
        <v>5957131.52404908</v>
      </c>
      <c r="J5470" s="3">
        <f t="shared" si="843"/>
        <v>12410231.479547262</v>
      </c>
    </row>
    <row r="5471" spans="2:10" x14ac:dyDescent="0.35">
      <c r="B5471" s="1">
        <f t="shared" si="847"/>
        <v>46</v>
      </c>
      <c r="C5471" s="22">
        <v>46874</v>
      </c>
      <c r="D5471" s="22">
        <v>46904</v>
      </c>
      <c r="E5471" s="23">
        <f t="shared" si="844"/>
        <v>31</v>
      </c>
      <c r="F5471" s="3">
        <f t="shared" si="845"/>
        <v>12410231.479547262</v>
      </c>
      <c r="G5471" s="3">
        <f t="shared" si="848"/>
        <v>6462234.0066479798</v>
      </c>
      <c r="H5471" s="3">
        <f t="shared" si="846"/>
        <v>341281.3656875497</v>
      </c>
      <c r="I5471" s="3">
        <f t="shared" si="842"/>
        <v>6120952.6409604298</v>
      </c>
      <c r="J5471" s="3">
        <f t="shared" si="843"/>
        <v>6289278.8385868324</v>
      </c>
    </row>
    <row r="5472" spans="2:10" x14ac:dyDescent="0.35">
      <c r="B5472" s="1">
        <f t="shared" si="847"/>
        <v>47</v>
      </c>
      <c r="C5472" s="22">
        <v>46905</v>
      </c>
      <c r="D5472" s="22">
        <v>46934</v>
      </c>
      <c r="E5472" s="23">
        <f t="shared" si="844"/>
        <v>30</v>
      </c>
      <c r="F5472" s="3">
        <f t="shared" si="845"/>
        <v>6289278.8385868324</v>
      </c>
      <c r="G5472" s="3">
        <f t="shared" si="848"/>
        <v>6462234.0066479798</v>
      </c>
      <c r="H5472" s="3">
        <f t="shared" si="846"/>
        <v>172955.1680611379</v>
      </c>
      <c r="I5472" s="3">
        <f t="shared" si="842"/>
        <v>6289278.8385868417</v>
      </c>
      <c r="J5472" s="3">
        <f t="shared" si="843"/>
        <v>-9.3132257461547852E-9</v>
      </c>
    </row>
    <row r="5477" spans="2:19" x14ac:dyDescent="0.35">
      <c r="B5477" s="1"/>
      <c r="C5477" s="8" t="s">
        <v>810</v>
      </c>
      <c r="D5477" s="3"/>
      <c r="E5477" s="3"/>
      <c r="F5477" s="3"/>
      <c r="G5477" s="3"/>
      <c r="H5477" s="3"/>
      <c r="I5477" s="3"/>
      <c r="J5477" s="3"/>
      <c r="R5477" s="438" t="s">
        <v>832</v>
      </c>
      <c r="S5477" s="432" t="str">
        <f>IFERROR(INDEX(Blocks!$I$2:$I$101,MATCH(99,Blocks!$A$2:$A$101,0)),"")</f>
        <v>000104460000104</v>
      </c>
    </row>
    <row r="5478" spans="2:19" x14ac:dyDescent="0.35">
      <c r="B5478" s="1"/>
      <c r="C5478" s="1"/>
      <c r="D5478" s="3"/>
      <c r="E5478" s="3"/>
      <c r="F5478" s="3"/>
      <c r="G5478" s="3"/>
      <c r="H5478" s="3"/>
      <c r="I5478" s="3"/>
      <c r="J5478" s="3"/>
      <c r="R5478" s="438" t="s">
        <v>834</v>
      </c>
      <c r="S5478" s="432" t="str">
        <f>IFERROR(INDEX(Blocks!$H$2:$H$101,MATCH(99,Blocks!$A$2:$A$101,0)),"")</f>
        <v>Chimwemwe Mafeni Transport</v>
      </c>
    </row>
    <row r="5479" spans="2:19" x14ac:dyDescent="0.35">
      <c r="B5479" s="1"/>
      <c r="C5479" s="9" t="s">
        <v>835</v>
      </c>
      <c r="D5479" s="10">
        <v>200000000</v>
      </c>
      <c r="E5479" s="3"/>
      <c r="F5479" s="3"/>
      <c r="G5479" s="3"/>
      <c r="H5479" s="3"/>
      <c r="I5479" s="3"/>
      <c r="J5479" s="3"/>
      <c r="R5479" s="438" t="s">
        <v>223</v>
      </c>
      <c r="S5479" s="433">
        <f>IFERROR(INDEX('E-Banker master'!$N$2:$N$186,MATCH(S5477,'E-Banker master'!$A$2:$A$186,0)),"")</f>
        <v>0</v>
      </c>
    </row>
    <row r="5480" spans="2:19" x14ac:dyDescent="0.35">
      <c r="B5480" s="1"/>
      <c r="C5480" s="11" t="s">
        <v>837</v>
      </c>
      <c r="D5480" s="12">
        <v>0.1</v>
      </c>
      <c r="E5480" s="13"/>
      <c r="F5480" s="3"/>
      <c r="G5480" s="3"/>
      <c r="H5480" s="3"/>
      <c r="I5480" s="3"/>
      <c r="J5480" s="3"/>
      <c r="R5480" s="438" t="s">
        <v>52</v>
      </c>
      <c r="S5480" s="433">
        <f>IFERROR(INDEX('E-Banker master'!$P$2:$P$186,MATCH(S5477,'E-Banker master'!$A$2:$A$186,0)),"")</f>
        <v>200235616.44</v>
      </c>
    </row>
    <row r="5481" spans="2:19" x14ac:dyDescent="0.35">
      <c r="B5481" s="1"/>
      <c r="C5481" s="11" t="s">
        <v>838</v>
      </c>
      <c r="D5481" s="14">
        <v>5</v>
      </c>
      <c r="E5481" s="1"/>
      <c r="F5481" s="3"/>
      <c r="G5481" s="3"/>
      <c r="H5481" s="3"/>
      <c r="I5481" s="3"/>
      <c r="J5481" s="3"/>
    </row>
    <row r="5482" spans="2:19" x14ac:dyDescent="0.35">
      <c r="B5482" s="1"/>
      <c r="C5482" s="11" t="s">
        <v>839</v>
      </c>
      <c r="D5482" s="14">
        <v>12</v>
      </c>
      <c r="E5482" s="1"/>
      <c r="F5482" s="3"/>
      <c r="G5482" s="3"/>
      <c r="H5482" s="3"/>
      <c r="I5482" s="3"/>
      <c r="J5482" s="3"/>
    </row>
    <row r="5483" spans="2:19" x14ac:dyDescent="0.35">
      <c r="B5483" s="1"/>
      <c r="C5483" s="11" t="s">
        <v>843</v>
      </c>
      <c r="D5483" s="15">
        <f>+D5482*D5481</f>
        <v>60</v>
      </c>
      <c r="E5483" s="1"/>
      <c r="F5483" s="3"/>
      <c r="G5483" s="3"/>
      <c r="H5483" s="3"/>
      <c r="I5483" s="3"/>
      <c r="J5483" s="3"/>
    </row>
    <row r="5484" spans="2:19" x14ac:dyDescent="0.35">
      <c r="B5484" s="1"/>
      <c r="C5484" s="11" t="s">
        <v>844</v>
      </c>
      <c r="D5484" s="16">
        <v>365</v>
      </c>
      <c r="E5484" s="1"/>
      <c r="F5484" s="3"/>
      <c r="G5484" s="3"/>
      <c r="H5484" s="3"/>
      <c r="I5484" s="3"/>
      <c r="J5484" s="3"/>
    </row>
    <row r="5485" spans="2:19" x14ac:dyDescent="0.35">
      <c r="B5485" s="1"/>
      <c r="C5485" s="17" t="s">
        <v>845</v>
      </c>
      <c r="D5485" s="220">
        <f>-PMT(D5480/D5482,D5483,D5479,0,0)</f>
        <v>4249408.9422536548</v>
      </c>
      <c r="E5485" s="3"/>
      <c r="F5485" s="3"/>
      <c r="G5485" s="3"/>
      <c r="H5485" s="3"/>
      <c r="I5485" s="3"/>
      <c r="J5485" s="3"/>
    </row>
    <row r="5486" spans="2:19" x14ac:dyDescent="0.35">
      <c r="B5486" s="1"/>
      <c r="C5486" s="1"/>
      <c r="D5486" s="3"/>
      <c r="E5486" s="3"/>
      <c r="F5486" s="3"/>
      <c r="G5486" s="3"/>
      <c r="H5486" s="3"/>
      <c r="I5486" s="3"/>
      <c r="J5486" s="3"/>
    </row>
    <row r="5487" spans="2:19" x14ac:dyDescent="0.35">
      <c r="B5487" s="1"/>
      <c r="C5487" s="19" t="s">
        <v>846</v>
      </c>
      <c r="D5487" s="20" t="s">
        <v>847</v>
      </c>
      <c r="E5487" s="20" t="s">
        <v>764</v>
      </c>
      <c r="F5487" s="270" t="s">
        <v>848</v>
      </c>
      <c r="G5487" s="270" t="s">
        <v>849</v>
      </c>
      <c r="H5487" s="270" t="s">
        <v>742</v>
      </c>
      <c r="I5487" s="270" t="s">
        <v>740</v>
      </c>
      <c r="J5487" s="270" t="s">
        <v>850</v>
      </c>
      <c r="K5487" s="21" t="s">
        <v>851</v>
      </c>
      <c r="L5487" s="21" t="s">
        <v>852</v>
      </c>
    </row>
    <row r="5488" spans="2:19" x14ac:dyDescent="0.35">
      <c r="B5488" s="1">
        <v>0</v>
      </c>
      <c r="C5488" s="22">
        <v>45567</v>
      </c>
      <c r="D5488" s="22">
        <v>45596</v>
      </c>
      <c r="E5488" s="418">
        <f t="shared" ref="E5488:E5519" si="849">+D5488-C5488+1</f>
        <v>30</v>
      </c>
      <c r="F5488" s="3">
        <f>D5479</f>
        <v>200000000</v>
      </c>
      <c r="G5488" s="3"/>
      <c r="H5488" s="3">
        <f>($D$5480/$D$5482*F5488*E5488/30)</f>
        <v>1666666.6666666667</v>
      </c>
      <c r="I5488" s="3">
        <f t="shared" ref="I5488:I5519" si="850">G5488-H5488</f>
        <v>-1666666.6666666667</v>
      </c>
      <c r="J5488" s="3">
        <f t="shared" ref="J5488:J5519" si="851">F5488-I5488</f>
        <v>201666666.66666666</v>
      </c>
      <c r="K5488" s="141"/>
      <c r="L5488" s="141"/>
    </row>
    <row r="5489" spans="2:12" x14ac:dyDescent="0.35">
      <c r="B5489" s="1">
        <v>1</v>
      </c>
      <c r="C5489" s="22">
        <v>45597</v>
      </c>
      <c r="D5489" s="22">
        <v>45626</v>
      </c>
      <c r="E5489" s="23">
        <f t="shared" si="849"/>
        <v>30</v>
      </c>
      <c r="F5489" s="3">
        <f t="shared" ref="F5489:F5520" si="852">J5488</f>
        <v>201666666.66666666</v>
      </c>
      <c r="G5489" s="3"/>
      <c r="H5489" s="3">
        <f t="shared" ref="H5489:H5520" si="853">($D$5480/$D$5482*F5489)</f>
        <v>1680555.5555555555</v>
      </c>
      <c r="I5489" s="3">
        <f t="shared" si="850"/>
        <v>-1680555.5555555555</v>
      </c>
      <c r="J5489" s="3">
        <f t="shared" si="851"/>
        <v>203347222.22222221</v>
      </c>
      <c r="K5489" s="7"/>
      <c r="L5489" s="141"/>
    </row>
    <row r="5490" spans="2:12" x14ac:dyDescent="0.35">
      <c r="B5490" s="1">
        <v>2</v>
      </c>
      <c r="C5490" s="22">
        <v>45627</v>
      </c>
      <c r="D5490" s="22">
        <v>45657</v>
      </c>
      <c r="E5490" s="23">
        <f t="shared" si="849"/>
        <v>31</v>
      </c>
      <c r="F5490" s="3">
        <f t="shared" si="852"/>
        <v>203347222.22222221</v>
      </c>
      <c r="G5490" s="3"/>
      <c r="H5490" s="3">
        <f t="shared" si="853"/>
        <v>1694560.1851851849</v>
      </c>
      <c r="I5490" s="3">
        <f t="shared" si="850"/>
        <v>-1694560.1851851849</v>
      </c>
      <c r="J5490" s="3">
        <f t="shared" si="851"/>
        <v>205041782.4074074</v>
      </c>
      <c r="L5490" s="141"/>
    </row>
    <row r="5491" spans="2:12" x14ac:dyDescent="0.35">
      <c r="B5491" s="1">
        <f t="shared" ref="B5491:B5522" si="854">+B5490+1</f>
        <v>3</v>
      </c>
      <c r="C5491" s="22">
        <v>45658</v>
      </c>
      <c r="D5491" s="22">
        <v>45688</v>
      </c>
      <c r="E5491" s="23">
        <f t="shared" si="849"/>
        <v>31</v>
      </c>
      <c r="F5491" s="3">
        <f t="shared" si="852"/>
        <v>205041782.4074074</v>
      </c>
      <c r="G5491" s="3"/>
      <c r="H5491" s="3">
        <f t="shared" si="853"/>
        <v>1708681.5200617283</v>
      </c>
      <c r="I5491" s="3">
        <f t="shared" si="850"/>
        <v>-1708681.5200617283</v>
      </c>
      <c r="J5491" s="3">
        <f t="shared" si="851"/>
        <v>206750463.92746913</v>
      </c>
      <c r="L5491" s="141"/>
    </row>
    <row r="5492" spans="2:12" x14ac:dyDescent="0.35">
      <c r="B5492" s="1">
        <f t="shared" si="854"/>
        <v>4</v>
      </c>
      <c r="C5492" s="22">
        <v>45689</v>
      </c>
      <c r="D5492" s="22">
        <v>45716</v>
      </c>
      <c r="E5492" s="23">
        <f t="shared" si="849"/>
        <v>28</v>
      </c>
      <c r="F5492" s="3">
        <f t="shared" si="852"/>
        <v>206750463.92746913</v>
      </c>
      <c r="G5492" s="3"/>
      <c r="H5492" s="3">
        <f t="shared" si="853"/>
        <v>1722920.5327289095</v>
      </c>
      <c r="I5492" s="3">
        <f t="shared" si="850"/>
        <v>-1722920.5327289095</v>
      </c>
      <c r="J5492" s="3">
        <f t="shared" si="851"/>
        <v>208473384.46019804</v>
      </c>
    </row>
    <row r="5493" spans="2:12" x14ac:dyDescent="0.35">
      <c r="B5493" s="1">
        <f t="shared" si="854"/>
        <v>5</v>
      </c>
      <c r="C5493" s="22">
        <v>45717</v>
      </c>
      <c r="D5493" s="22">
        <v>45747</v>
      </c>
      <c r="E5493" s="23">
        <f t="shared" si="849"/>
        <v>31</v>
      </c>
      <c r="F5493" s="3">
        <f t="shared" si="852"/>
        <v>208473384.46019804</v>
      </c>
      <c r="G5493" s="3"/>
      <c r="H5493" s="3">
        <f t="shared" si="853"/>
        <v>1737278.2038349838</v>
      </c>
      <c r="I5493" s="3">
        <f t="shared" si="850"/>
        <v>-1737278.2038349838</v>
      </c>
      <c r="J5493" s="3">
        <f t="shared" si="851"/>
        <v>210210662.66403303</v>
      </c>
    </row>
    <row r="5494" spans="2:12" x14ac:dyDescent="0.35">
      <c r="B5494" s="1">
        <f t="shared" si="854"/>
        <v>6</v>
      </c>
      <c r="C5494" s="22">
        <v>45748</v>
      </c>
      <c r="D5494" s="22">
        <v>45777</v>
      </c>
      <c r="E5494" s="23">
        <f t="shared" si="849"/>
        <v>30</v>
      </c>
      <c r="F5494" s="3">
        <f t="shared" si="852"/>
        <v>210210662.66403303</v>
      </c>
      <c r="G5494" s="3"/>
      <c r="H5494" s="3">
        <f t="shared" si="853"/>
        <v>1751755.5222002752</v>
      </c>
      <c r="I5494" s="3">
        <f t="shared" si="850"/>
        <v>-1751755.5222002752</v>
      </c>
      <c r="J5494" s="3">
        <f t="shared" si="851"/>
        <v>211962418.18623331</v>
      </c>
    </row>
    <row r="5495" spans="2:12" x14ac:dyDescent="0.35">
      <c r="B5495" s="1">
        <f t="shared" si="854"/>
        <v>7</v>
      </c>
      <c r="C5495" s="22">
        <v>45778</v>
      </c>
      <c r="D5495" s="22">
        <v>45808</v>
      </c>
      <c r="E5495" s="23">
        <f t="shared" si="849"/>
        <v>31</v>
      </c>
      <c r="F5495" s="3">
        <f t="shared" si="852"/>
        <v>211962418.18623331</v>
      </c>
      <c r="G5495" s="3"/>
      <c r="H5495" s="3">
        <f t="shared" si="853"/>
        <v>1766353.4848852775</v>
      </c>
      <c r="I5495" s="3">
        <f t="shared" si="850"/>
        <v>-1766353.4848852775</v>
      </c>
      <c r="J5495" s="3">
        <f t="shared" si="851"/>
        <v>213728771.67111859</v>
      </c>
    </row>
    <row r="5496" spans="2:12" x14ac:dyDescent="0.35">
      <c r="B5496" s="1">
        <f t="shared" si="854"/>
        <v>8</v>
      </c>
      <c r="C5496" s="22">
        <v>45809</v>
      </c>
      <c r="D5496" s="22">
        <v>45838</v>
      </c>
      <c r="E5496" s="23">
        <f t="shared" si="849"/>
        <v>30</v>
      </c>
      <c r="F5496" s="3">
        <f t="shared" si="852"/>
        <v>213728771.67111859</v>
      </c>
      <c r="G5496" s="3"/>
      <c r="H5496" s="3">
        <f t="shared" si="853"/>
        <v>1781073.0972593215</v>
      </c>
      <c r="I5496" s="3">
        <f t="shared" si="850"/>
        <v>-1781073.0972593215</v>
      </c>
      <c r="J5496" s="3">
        <f t="shared" si="851"/>
        <v>215509844.7683779</v>
      </c>
    </row>
    <row r="5497" spans="2:12" x14ac:dyDescent="0.35">
      <c r="B5497" s="1">
        <f t="shared" si="854"/>
        <v>9</v>
      </c>
      <c r="C5497" s="22">
        <v>45839</v>
      </c>
      <c r="D5497" s="22">
        <v>45868</v>
      </c>
      <c r="E5497" s="23">
        <f t="shared" si="849"/>
        <v>30</v>
      </c>
      <c r="F5497" s="3">
        <f t="shared" si="852"/>
        <v>215509844.7683779</v>
      </c>
      <c r="G5497" s="3"/>
      <c r="H5497" s="3">
        <f t="shared" si="853"/>
        <v>1795915.3730698158</v>
      </c>
      <c r="I5497" s="3">
        <f t="shared" si="850"/>
        <v>-1795915.3730698158</v>
      </c>
      <c r="J5497" s="3">
        <f t="shared" si="851"/>
        <v>217305760.14144772</v>
      </c>
    </row>
    <row r="5498" spans="2:12" x14ac:dyDescent="0.35">
      <c r="B5498" s="1">
        <f t="shared" si="854"/>
        <v>10</v>
      </c>
      <c r="C5498" s="22">
        <v>45870</v>
      </c>
      <c r="D5498" s="22">
        <v>45899</v>
      </c>
      <c r="E5498" s="23">
        <f t="shared" si="849"/>
        <v>30</v>
      </c>
      <c r="F5498" s="3">
        <f t="shared" si="852"/>
        <v>217305760.14144772</v>
      </c>
      <c r="G5498" s="3"/>
      <c r="H5498" s="3">
        <f t="shared" si="853"/>
        <v>1810881.3345120642</v>
      </c>
      <c r="I5498" s="3">
        <f t="shared" si="850"/>
        <v>-1810881.3345120642</v>
      </c>
      <c r="J5498" s="3">
        <f t="shared" si="851"/>
        <v>219116641.47595978</v>
      </c>
    </row>
    <row r="5499" spans="2:12" x14ac:dyDescent="0.35">
      <c r="B5499" s="1">
        <f t="shared" si="854"/>
        <v>11</v>
      </c>
      <c r="C5499" s="22">
        <v>45901</v>
      </c>
      <c r="D5499" s="22">
        <v>45930</v>
      </c>
      <c r="E5499" s="23">
        <f t="shared" si="849"/>
        <v>30</v>
      </c>
      <c r="F5499" s="3">
        <f t="shared" si="852"/>
        <v>219116641.47595978</v>
      </c>
      <c r="G5499" s="3"/>
      <c r="H5499" s="3">
        <f t="shared" si="853"/>
        <v>1825972.0122996648</v>
      </c>
      <c r="I5499" s="3">
        <f t="shared" si="850"/>
        <v>-1825972.0122996648</v>
      </c>
      <c r="J5499" s="3">
        <f t="shared" si="851"/>
        <v>220942613.48825943</v>
      </c>
    </row>
    <row r="5500" spans="2:12" x14ac:dyDescent="0.35">
      <c r="B5500" s="1">
        <f t="shared" si="854"/>
        <v>12</v>
      </c>
      <c r="C5500" s="22">
        <v>45931</v>
      </c>
      <c r="D5500" s="22">
        <v>45961</v>
      </c>
      <c r="E5500" s="23">
        <f t="shared" si="849"/>
        <v>31</v>
      </c>
      <c r="F5500" s="3">
        <f t="shared" si="852"/>
        <v>220942613.48825943</v>
      </c>
      <c r="G5500" s="3">
        <f t="shared" ref="G5500:G5547" si="855">-PMT($D$5480/$D$5482,48,$F$5500,,0)</f>
        <v>5603675.4688870795</v>
      </c>
      <c r="H5500" s="3">
        <f t="shared" si="853"/>
        <v>1841188.4457354953</v>
      </c>
      <c r="I5500" s="3">
        <f t="shared" si="850"/>
        <v>3762487.023151584</v>
      </c>
      <c r="J5500" s="3">
        <f t="shared" si="851"/>
        <v>217180126.46510786</v>
      </c>
    </row>
    <row r="5501" spans="2:12" x14ac:dyDescent="0.35">
      <c r="B5501" s="1">
        <f t="shared" si="854"/>
        <v>13</v>
      </c>
      <c r="C5501" s="22">
        <v>45962</v>
      </c>
      <c r="D5501" s="22">
        <v>45991</v>
      </c>
      <c r="E5501" s="23">
        <f t="shared" si="849"/>
        <v>30</v>
      </c>
      <c r="F5501" s="3">
        <f t="shared" si="852"/>
        <v>217180126.46510786</v>
      </c>
      <c r="G5501" s="3">
        <f t="shared" si="855"/>
        <v>5603675.4688870795</v>
      </c>
      <c r="H5501" s="3">
        <f t="shared" si="853"/>
        <v>1809834.3872092322</v>
      </c>
      <c r="I5501" s="3">
        <f t="shared" si="850"/>
        <v>3793841.0816778475</v>
      </c>
      <c r="J5501" s="3">
        <f t="shared" si="851"/>
        <v>213386285.38343</v>
      </c>
    </row>
    <row r="5502" spans="2:12" x14ac:dyDescent="0.35">
      <c r="B5502" s="1">
        <f t="shared" si="854"/>
        <v>14</v>
      </c>
      <c r="C5502" s="22">
        <v>45992</v>
      </c>
      <c r="D5502" s="22">
        <v>46022</v>
      </c>
      <c r="E5502" s="23">
        <f t="shared" si="849"/>
        <v>31</v>
      </c>
      <c r="F5502" s="3">
        <f t="shared" si="852"/>
        <v>213386285.38343</v>
      </c>
      <c r="G5502" s="3">
        <f t="shared" si="855"/>
        <v>5603675.4688870795</v>
      </c>
      <c r="H5502" s="3">
        <f t="shared" si="853"/>
        <v>1778219.0448619167</v>
      </c>
      <c r="I5502" s="3">
        <f t="shared" si="850"/>
        <v>3825456.4240251631</v>
      </c>
      <c r="J5502" s="3">
        <f t="shared" si="851"/>
        <v>209560828.95940483</v>
      </c>
    </row>
    <row r="5503" spans="2:12" x14ac:dyDescent="0.35">
      <c r="B5503" s="1">
        <f t="shared" si="854"/>
        <v>15</v>
      </c>
      <c r="C5503" s="22">
        <v>46023</v>
      </c>
      <c r="D5503" s="22">
        <v>46053</v>
      </c>
      <c r="E5503" s="23">
        <f t="shared" si="849"/>
        <v>31</v>
      </c>
      <c r="F5503" s="3">
        <f t="shared" si="852"/>
        <v>209560828.95940483</v>
      </c>
      <c r="G5503" s="3">
        <f t="shared" si="855"/>
        <v>5603675.4688870795</v>
      </c>
      <c r="H5503" s="3">
        <f t="shared" si="853"/>
        <v>1746340.2413283736</v>
      </c>
      <c r="I5503" s="3">
        <f t="shared" si="850"/>
        <v>3857335.227558706</v>
      </c>
      <c r="J5503" s="3">
        <f t="shared" si="851"/>
        <v>205703493.73184612</v>
      </c>
    </row>
    <row r="5504" spans="2:12" x14ac:dyDescent="0.35">
      <c r="B5504" s="1">
        <f t="shared" si="854"/>
        <v>16</v>
      </c>
      <c r="C5504" s="22">
        <v>46054</v>
      </c>
      <c r="D5504" s="22">
        <v>46081</v>
      </c>
      <c r="E5504" s="23">
        <f t="shared" si="849"/>
        <v>28</v>
      </c>
      <c r="F5504" s="3">
        <f t="shared" si="852"/>
        <v>205703493.73184612</v>
      </c>
      <c r="G5504" s="3">
        <f t="shared" si="855"/>
        <v>5603675.4688870795</v>
      </c>
      <c r="H5504" s="3">
        <f t="shared" si="853"/>
        <v>1714195.7810987176</v>
      </c>
      <c r="I5504" s="3">
        <f t="shared" si="850"/>
        <v>3889479.6877883617</v>
      </c>
      <c r="J5504" s="3">
        <f t="shared" si="851"/>
        <v>201814014.04405776</v>
      </c>
    </row>
    <row r="5505" spans="2:10" x14ac:dyDescent="0.35">
      <c r="B5505" s="1">
        <f t="shared" si="854"/>
        <v>17</v>
      </c>
      <c r="C5505" s="22">
        <v>46082</v>
      </c>
      <c r="D5505" s="22">
        <v>46112</v>
      </c>
      <c r="E5505" s="23">
        <f t="shared" si="849"/>
        <v>31</v>
      </c>
      <c r="F5505" s="3">
        <f t="shared" si="852"/>
        <v>201814014.04405776</v>
      </c>
      <c r="G5505" s="3">
        <f t="shared" si="855"/>
        <v>5603675.4688870795</v>
      </c>
      <c r="H5505" s="3">
        <f t="shared" si="853"/>
        <v>1681783.450367148</v>
      </c>
      <c r="I5505" s="3">
        <f t="shared" si="850"/>
        <v>3921892.0185199315</v>
      </c>
      <c r="J5505" s="3">
        <f t="shared" si="851"/>
        <v>197892122.02553782</v>
      </c>
    </row>
    <row r="5506" spans="2:10" x14ac:dyDescent="0.35">
      <c r="B5506" s="1">
        <f t="shared" si="854"/>
        <v>18</v>
      </c>
      <c r="C5506" s="22">
        <v>46113</v>
      </c>
      <c r="D5506" s="22">
        <v>46142</v>
      </c>
      <c r="E5506" s="23">
        <f t="shared" si="849"/>
        <v>30</v>
      </c>
      <c r="F5506" s="3">
        <f t="shared" si="852"/>
        <v>197892122.02553782</v>
      </c>
      <c r="G5506" s="3">
        <f t="shared" si="855"/>
        <v>5603675.4688870795</v>
      </c>
      <c r="H5506" s="3">
        <f t="shared" si="853"/>
        <v>1649101.0168794817</v>
      </c>
      <c r="I5506" s="3">
        <f t="shared" si="850"/>
        <v>3954574.4520075978</v>
      </c>
      <c r="J5506" s="3">
        <f t="shared" si="851"/>
        <v>193937547.57353023</v>
      </c>
    </row>
    <row r="5507" spans="2:10" x14ac:dyDescent="0.35">
      <c r="B5507" s="1">
        <f t="shared" si="854"/>
        <v>19</v>
      </c>
      <c r="C5507" s="22">
        <v>46143</v>
      </c>
      <c r="D5507" s="22">
        <v>46173</v>
      </c>
      <c r="E5507" s="23">
        <f t="shared" si="849"/>
        <v>31</v>
      </c>
      <c r="F5507" s="3">
        <f t="shared" si="852"/>
        <v>193937547.57353023</v>
      </c>
      <c r="G5507" s="3">
        <f t="shared" si="855"/>
        <v>5603675.4688870795</v>
      </c>
      <c r="H5507" s="3">
        <f t="shared" si="853"/>
        <v>1616146.2297794186</v>
      </c>
      <c r="I5507" s="3">
        <f t="shared" si="850"/>
        <v>3987529.2391076609</v>
      </c>
      <c r="J5507" s="3">
        <f t="shared" si="851"/>
        <v>189950018.33442256</v>
      </c>
    </row>
    <row r="5508" spans="2:10" x14ac:dyDescent="0.35">
      <c r="B5508" s="1">
        <f t="shared" si="854"/>
        <v>20</v>
      </c>
      <c r="C5508" s="22">
        <v>46174</v>
      </c>
      <c r="D5508" s="22">
        <v>46203</v>
      </c>
      <c r="E5508" s="23">
        <f t="shared" si="849"/>
        <v>30</v>
      </c>
      <c r="F5508" s="3">
        <f t="shared" si="852"/>
        <v>189950018.33442256</v>
      </c>
      <c r="G5508" s="3">
        <f t="shared" si="855"/>
        <v>5603675.4688870795</v>
      </c>
      <c r="H5508" s="3">
        <f t="shared" si="853"/>
        <v>1582916.8194535214</v>
      </c>
      <c r="I5508" s="3">
        <f t="shared" si="850"/>
        <v>4020758.6494335579</v>
      </c>
      <c r="J5508" s="3">
        <f t="shared" si="851"/>
        <v>185929259.68498901</v>
      </c>
    </row>
    <row r="5509" spans="2:10" x14ac:dyDescent="0.35">
      <c r="B5509" s="1">
        <f t="shared" si="854"/>
        <v>21</v>
      </c>
      <c r="C5509" s="22">
        <v>46204</v>
      </c>
      <c r="D5509" s="22">
        <v>46234</v>
      </c>
      <c r="E5509" s="23">
        <f t="shared" si="849"/>
        <v>31</v>
      </c>
      <c r="F5509" s="3">
        <f t="shared" si="852"/>
        <v>185929259.68498901</v>
      </c>
      <c r="G5509" s="3">
        <f t="shared" si="855"/>
        <v>5603675.4688870795</v>
      </c>
      <c r="H5509" s="3">
        <f t="shared" si="853"/>
        <v>1549410.4973749083</v>
      </c>
      <c r="I5509" s="3">
        <f t="shared" si="850"/>
        <v>4054264.9715121714</v>
      </c>
      <c r="J5509" s="3">
        <f t="shared" si="851"/>
        <v>181874994.71347684</v>
      </c>
    </row>
    <row r="5510" spans="2:10" x14ac:dyDescent="0.35">
      <c r="B5510" s="1">
        <f t="shared" si="854"/>
        <v>22</v>
      </c>
      <c r="C5510" s="22">
        <v>46235</v>
      </c>
      <c r="D5510" s="22">
        <v>46265</v>
      </c>
      <c r="E5510" s="23">
        <f t="shared" si="849"/>
        <v>31</v>
      </c>
      <c r="F5510" s="3">
        <f t="shared" si="852"/>
        <v>181874994.71347684</v>
      </c>
      <c r="G5510" s="3">
        <f t="shared" si="855"/>
        <v>5603675.4688870795</v>
      </c>
      <c r="H5510" s="3">
        <f t="shared" si="853"/>
        <v>1515624.9559456403</v>
      </c>
      <c r="I5510" s="3">
        <f t="shared" si="850"/>
        <v>4088050.5129414392</v>
      </c>
      <c r="J5510" s="3">
        <f t="shared" si="851"/>
        <v>177786944.20053539</v>
      </c>
    </row>
    <row r="5511" spans="2:10" x14ac:dyDescent="0.35">
      <c r="B5511" s="1">
        <f t="shared" si="854"/>
        <v>23</v>
      </c>
      <c r="C5511" s="22">
        <v>46266</v>
      </c>
      <c r="D5511" s="22">
        <v>46295</v>
      </c>
      <c r="E5511" s="23">
        <f t="shared" si="849"/>
        <v>30</v>
      </c>
      <c r="F5511" s="3">
        <f t="shared" si="852"/>
        <v>177786944.20053539</v>
      </c>
      <c r="G5511" s="3">
        <f t="shared" si="855"/>
        <v>5603675.4688870795</v>
      </c>
      <c r="H5511" s="3">
        <f t="shared" si="853"/>
        <v>1481557.8683377949</v>
      </c>
      <c r="I5511" s="3">
        <f t="shared" si="850"/>
        <v>4122117.6005492844</v>
      </c>
      <c r="J5511" s="3">
        <f t="shared" si="851"/>
        <v>173664826.59998611</v>
      </c>
    </row>
    <row r="5512" spans="2:10" x14ac:dyDescent="0.35">
      <c r="B5512" s="1">
        <f t="shared" si="854"/>
        <v>24</v>
      </c>
      <c r="C5512" s="22">
        <v>46296</v>
      </c>
      <c r="D5512" s="22">
        <v>46326</v>
      </c>
      <c r="E5512" s="23">
        <f t="shared" si="849"/>
        <v>31</v>
      </c>
      <c r="F5512" s="3">
        <f t="shared" si="852"/>
        <v>173664826.59998611</v>
      </c>
      <c r="G5512" s="3">
        <f t="shared" si="855"/>
        <v>5603675.4688870795</v>
      </c>
      <c r="H5512" s="3">
        <f t="shared" si="853"/>
        <v>1447206.8883332175</v>
      </c>
      <c r="I5512" s="3">
        <f t="shared" si="850"/>
        <v>4156468.5805538623</v>
      </c>
      <c r="J5512" s="3">
        <f t="shared" si="851"/>
        <v>169508358.01943225</v>
      </c>
    </row>
    <row r="5513" spans="2:10" x14ac:dyDescent="0.35">
      <c r="B5513" s="1">
        <f t="shared" si="854"/>
        <v>25</v>
      </c>
      <c r="C5513" s="22">
        <v>46327</v>
      </c>
      <c r="D5513" s="22">
        <v>46356</v>
      </c>
      <c r="E5513" s="23">
        <f t="shared" si="849"/>
        <v>30</v>
      </c>
      <c r="F5513" s="3">
        <f t="shared" si="852"/>
        <v>169508358.01943225</v>
      </c>
      <c r="G5513" s="3">
        <f t="shared" si="855"/>
        <v>5603675.4688870795</v>
      </c>
      <c r="H5513" s="3">
        <f t="shared" si="853"/>
        <v>1412569.6501619355</v>
      </c>
      <c r="I5513" s="3">
        <f t="shared" si="850"/>
        <v>4191105.818725144</v>
      </c>
      <c r="J5513" s="3">
        <f t="shared" si="851"/>
        <v>165317252.20070711</v>
      </c>
    </row>
    <row r="5514" spans="2:10" x14ac:dyDescent="0.35">
      <c r="B5514" s="1">
        <f t="shared" si="854"/>
        <v>26</v>
      </c>
      <c r="C5514" s="22">
        <v>46357</v>
      </c>
      <c r="D5514" s="22">
        <v>46387</v>
      </c>
      <c r="E5514" s="23">
        <f t="shared" si="849"/>
        <v>31</v>
      </c>
      <c r="F5514" s="3">
        <f t="shared" si="852"/>
        <v>165317252.20070711</v>
      </c>
      <c r="G5514" s="3">
        <f t="shared" si="855"/>
        <v>5603675.4688870795</v>
      </c>
      <c r="H5514" s="3">
        <f t="shared" si="853"/>
        <v>1377643.7683392258</v>
      </c>
      <c r="I5514" s="3">
        <f t="shared" si="850"/>
        <v>4226031.7005478535</v>
      </c>
      <c r="J5514" s="3">
        <f t="shared" si="851"/>
        <v>161091220.50015926</v>
      </c>
    </row>
    <row r="5515" spans="2:10" x14ac:dyDescent="0.35">
      <c r="B5515" s="1">
        <f t="shared" si="854"/>
        <v>27</v>
      </c>
      <c r="C5515" s="22">
        <v>46388</v>
      </c>
      <c r="D5515" s="22">
        <v>46418</v>
      </c>
      <c r="E5515" s="23">
        <f t="shared" si="849"/>
        <v>31</v>
      </c>
      <c r="F5515" s="3">
        <f t="shared" si="852"/>
        <v>161091220.50015926</v>
      </c>
      <c r="G5515" s="3">
        <f t="shared" si="855"/>
        <v>5603675.4688870795</v>
      </c>
      <c r="H5515" s="3">
        <f t="shared" si="853"/>
        <v>1342426.8375013273</v>
      </c>
      <c r="I5515" s="3">
        <f t="shared" si="850"/>
        <v>4261248.631385752</v>
      </c>
      <c r="J5515" s="3">
        <f t="shared" si="851"/>
        <v>156829971.86877352</v>
      </c>
    </row>
    <row r="5516" spans="2:10" x14ac:dyDescent="0.35">
      <c r="B5516" s="1">
        <f t="shared" si="854"/>
        <v>28</v>
      </c>
      <c r="C5516" s="22">
        <v>46419</v>
      </c>
      <c r="D5516" s="22">
        <v>46446</v>
      </c>
      <c r="E5516" s="23">
        <f t="shared" si="849"/>
        <v>28</v>
      </c>
      <c r="F5516" s="3">
        <f t="shared" si="852"/>
        <v>156829971.86877352</v>
      </c>
      <c r="G5516" s="3">
        <f t="shared" si="855"/>
        <v>5603675.4688870795</v>
      </c>
      <c r="H5516" s="3">
        <f t="shared" si="853"/>
        <v>1306916.4322397793</v>
      </c>
      <c r="I5516" s="3">
        <f t="shared" si="850"/>
        <v>4296759.0366473002</v>
      </c>
      <c r="J5516" s="3">
        <f t="shared" si="851"/>
        <v>152533212.83212623</v>
      </c>
    </row>
    <row r="5517" spans="2:10" x14ac:dyDescent="0.35">
      <c r="B5517" s="1">
        <f t="shared" si="854"/>
        <v>29</v>
      </c>
      <c r="C5517" s="22">
        <v>46447</v>
      </c>
      <c r="D5517" s="22">
        <v>46477</v>
      </c>
      <c r="E5517" s="23">
        <f t="shared" si="849"/>
        <v>31</v>
      </c>
      <c r="F5517" s="3">
        <f t="shared" si="852"/>
        <v>152533212.83212623</v>
      </c>
      <c r="G5517" s="3">
        <f t="shared" si="855"/>
        <v>5603675.4688870795</v>
      </c>
      <c r="H5517" s="3">
        <f t="shared" si="853"/>
        <v>1271110.1069343851</v>
      </c>
      <c r="I5517" s="3">
        <f t="shared" si="850"/>
        <v>4332565.3619526941</v>
      </c>
      <c r="J5517" s="3">
        <f t="shared" si="851"/>
        <v>148200647.47017354</v>
      </c>
    </row>
    <row r="5518" spans="2:10" x14ac:dyDescent="0.35">
      <c r="B5518" s="1">
        <f t="shared" si="854"/>
        <v>30</v>
      </c>
      <c r="C5518" s="22">
        <v>46478</v>
      </c>
      <c r="D5518" s="22">
        <v>46507</v>
      </c>
      <c r="E5518" s="23">
        <f t="shared" si="849"/>
        <v>30</v>
      </c>
      <c r="F5518" s="3">
        <f t="shared" si="852"/>
        <v>148200647.47017354</v>
      </c>
      <c r="G5518" s="3">
        <f t="shared" si="855"/>
        <v>5603675.4688870795</v>
      </c>
      <c r="H5518" s="3">
        <f t="shared" si="853"/>
        <v>1235005.3955847796</v>
      </c>
      <c r="I5518" s="3">
        <f t="shared" si="850"/>
        <v>4368670.0733022997</v>
      </c>
      <c r="J5518" s="3">
        <f t="shared" si="851"/>
        <v>143831977.39687124</v>
      </c>
    </row>
    <row r="5519" spans="2:10" x14ac:dyDescent="0.35">
      <c r="B5519" s="1">
        <f t="shared" si="854"/>
        <v>31</v>
      </c>
      <c r="C5519" s="22">
        <v>46508</v>
      </c>
      <c r="D5519" s="22">
        <v>46538</v>
      </c>
      <c r="E5519" s="23">
        <f t="shared" si="849"/>
        <v>31</v>
      </c>
      <c r="F5519" s="3">
        <f t="shared" si="852"/>
        <v>143831977.39687124</v>
      </c>
      <c r="G5519" s="3">
        <f t="shared" si="855"/>
        <v>5603675.4688870795</v>
      </c>
      <c r="H5519" s="3">
        <f t="shared" si="853"/>
        <v>1198599.8116405937</v>
      </c>
      <c r="I5519" s="3">
        <f t="shared" si="850"/>
        <v>4405075.6572464854</v>
      </c>
      <c r="J5519" s="3">
        <f t="shared" si="851"/>
        <v>139426901.73962474</v>
      </c>
    </row>
    <row r="5520" spans="2:10" x14ac:dyDescent="0.35">
      <c r="B5520" s="1">
        <f t="shared" si="854"/>
        <v>32</v>
      </c>
      <c r="C5520" s="22">
        <v>46539</v>
      </c>
      <c r="D5520" s="22">
        <v>46568</v>
      </c>
      <c r="E5520" s="23">
        <f t="shared" ref="E5520:E5547" si="856">+D5520-C5520+1</f>
        <v>30</v>
      </c>
      <c r="F5520" s="3">
        <f t="shared" si="852"/>
        <v>139426901.73962474</v>
      </c>
      <c r="G5520" s="3">
        <f t="shared" si="855"/>
        <v>5603675.4688870795</v>
      </c>
      <c r="H5520" s="3">
        <f t="shared" si="853"/>
        <v>1161890.8478302062</v>
      </c>
      <c r="I5520" s="3">
        <f t="shared" ref="I5520:I5547" si="857">G5520-H5520</f>
        <v>4441784.6210568734</v>
      </c>
      <c r="J5520" s="3">
        <f t="shared" ref="J5520:J5547" si="858">F5520-I5520</f>
        <v>134985117.11856785</v>
      </c>
    </row>
    <row r="5521" spans="2:10" x14ac:dyDescent="0.35">
      <c r="B5521" s="1">
        <f t="shared" si="854"/>
        <v>33</v>
      </c>
      <c r="C5521" s="22">
        <v>46569</v>
      </c>
      <c r="D5521" s="22">
        <v>46599</v>
      </c>
      <c r="E5521" s="23">
        <f t="shared" si="856"/>
        <v>31</v>
      </c>
      <c r="F5521" s="3">
        <f t="shared" ref="F5521:F5547" si="859">J5520</f>
        <v>134985117.11856785</v>
      </c>
      <c r="G5521" s="3">
        <f t="shared" si="855"/>
        <v>5603675.4688870795</v>
      </c>
      <c r="H5521" s="3">
        <f t="shared" ref="H5521:H5547" si="860">($D$5480/$D$5482*F5521)</f>
        <v>1124875.9759880654</v>
      </c>
      <c r="I5521" s="3">
        <f t="shared" si="857"/>
        <v>4478799.4928990137</v>
      </c>
      <c r="J5521" s="3">
        <f t="shared" si="858"/>
        <v>130506317.62566884</v>
      </c>
    </row>
    <row r="5522" spans="2:10" x14ac:dyDescent="0.35">
      <c r="B5522" s="1">
        <f t="shared" si="854"/>
        <v>34</v>
      </c>
      <c r="C5522" s="22">
        <v>46600</v>
      </c>
      <c r="D5522" s="22">
        <v>46630</v>
      </c>
      <c r="E5522" s="23">
        <f t="shared" si="856"/>
        <v>31</v>
      </c>
      <c r="F5522" s="3">
        <f t="shared" si="859"/>
        <v>130506317.62566884</v>
      </c>
      <c r="G5522" s="3">
        <f t="shared" si="855"/>
        <v>5603675.4688870795</v>
      </c>
      <c r="H5522" s="3">
        <f t="shared" si="860"/>
        <v>1087552.6468805736</v>
      </c>
      <c r="I5522" s="3">
        <f t="shared" si="857"/>
        <v>4516122.8220065059</v>
      </c>
      <c r="J5522" s="3">
        <f t="shared" si="858"/>
        <v>125990194.80366233</v>
      </c>
    </row>
    <row r="5523" spans="2:10" x14ac:dyDescent="0.35">
      <c r="B5523" s="1">
        <f t="shared" ref="B5523:B5548" si="861">+B5522+1</f>
        <v>35</v>
      </c>
      <c r="C5523" s="22">
        <v>46631</v>
      </c>
      <c r="D5523" s="22">
        <v>46660</v>
      </c>
      <c r="E5523" s="23">
        <f t="shared" si="856"/>
        <v>30</v>
      </c>
      <c r="F5523" s="3">
        <f t="shared" si="859"/>
        <v>125990194.80366233</v>
      </c>
      <c r="G5523" s="3">
        <f t="shared" si="855"/>
        <v>5603675.4688870795</v>
      </c>
      <c r="H5523" s="3">
        <f t="shared" si="860"/>
        <v>1049918.2900305195</v>
      </c>
      <c r="I5523" s="3">
        <f t="shared" si="857"/>
        <v>4553757.17885656</v>
      </c>
      <c r="J5523" s="3">
        <f t="shared" si="858"/>
        <v>121436437.62480576</v>
      </c>
    </row>
    <row r="5524" spans="2:10" x14ac:dyDescent="0.35">
      <c r="B5524" s="1">
        <f t="shared" si="861"/>
        <v>36</v>
      </c>
      <c r="C5524" s="22">
        <v>46661</v>
      </c>
      <c r="D5524" s="22">
        <v>46691</v>
      </c>
      <c r="E5524" s="23">
        <f t="shared" si="856"/>
        <v>31</v>
      </c>
      <c r="F5524" s="3">
        <f t="shared" si="859"/>
        <v>121436437.62480576</v>
      </c>
      <c r="G5524" s="3">
        <f t="shared" si="855"/>
        <v>5603675.4688870795</v>
      </c>
      <c r="H5524" s="3">
        <f t="shared" si="860"/>
        <v>1011970.313540048</v>
      </c>
      <c r="I5524" s="3">
        <f t="shared" si="857"/>
        <v>4591705.1553470315</v>
      </c>
      <c r="J5524" s="3">
        <f t="shared" si="858"/>
        <v>116844732.46945873</v>
      </c>
    </row>
    <row r="5525" spans="2:10" x14ac:dyDescent="0.35">
      <c r="B5525" s="1">
        <f t="shared" si="861"/>
        <v>37</v>
      </c>
      <c r="C5525" s="22">
        <v>46692</v>
      </c>
      <c r="D5525" s="22">
        <v>46721</v>
      </c>
      <c r="E5525" s="23">
        <f t="shared" si="856"/>
        <v>30</v>
      </c>
      <c r="F5525" s="3">
        <f t="shared" si="859"/>
        <v>116844732.46945873</v>
      </c>
      <c r="G5525" s="3">
        <f t="shared" si="855"/>
        <v>5603675.4688870795</v>
      </c>
      <c r="H5525" s="3">
        <f t="shared" si="860"/>
        <v>973706.10391215608</v>
      </c>
      <c r="I5525" s="3">
        <f t="shared" si="857"/>
        <v>4629969.3649749234</v>
      </c>
      <c r="J5525" s="3">
        <f t="shared" si="858"/>
        <v>112214763.10448381</v>
      </c>
    </row>
    <row r="5526" spans="2:10" x14ac:dyDescent="0.35">
      <c r="B5526" s="1">
        <f t="shared" si="861"/>
        <v>38</v>
      </c>
      <c r="C5526" s="22">
        <v>46722</v>
      </c>
      <c r="D5526" s="22">
        <v>46752</v>
      </c>
      <c r="E5526" s="23">
        <f t="shared" si="856"/>
        <v>31</v>
      </c>
      <c r="F5526" s="3">
        <f t="shared" si="859"/>
        <v>112214763.10448381</v>
      </c>
      <c r="G5526" s="3">
        <f t="shared" si="855"/>
        <v>5603675.4688870795</v>
      </c>
      <c r="H5526" s="3">
        <f t="shared" si="860"/>
        <v>935123.02587069839</v>
      </c>
      <c r="I5526" s="3">
        <f t="shared" si="857"/>
        <v>4668552.443016381</v>
      </c>
      <c r="J5526" s="3">
        <f t="shared" si="858"/>
        <v>107546210.66146743</v>
      </c>
    </row>
    <row r="5527" spans="2:10" x14ac:dyDescent="0.35">
      <c r="B5527" s="1">
        <f t="shared" si="861"/>
        <v>39</v>
      </c>
      <c r="C5527" s="22">
        <v>46753</v>
      </c>
      <c r="D5527" s="22">
        <v>46783</v>
      </c>
      <c r="E5527" s="23">
        <f t="shared" si="856"/>
        <v>31</v>
      </c>
      <c r="F5527" s="3">
        <f t="shared" si="859"/>
        <v>107546210.66146743</v>
      </c>
      <c r="G5527" s="3">
        <f t="shared" si="855"/>
        <v>5603675.4688870795</v>
      </c>
      <c r="H5527" s="3">
        <f t="shared" si="860"/>
        <v>896218.42217889521</v>
      </c>
      <c r="I5527" s="3">
        <f t="shared" si="857"/>
        <v>4707457.0467081843</v>
      </c>
      <c r="J5527" s="3">
        <f t="shared" si="858"/>
        <v>102838753.61475925</v>
      </c>
    </row>
    <row r="5528" spans="2:10" x14ac:dyDescent="0.35">
      <c r="B5528" s="1">
        <f t="shared" si="861"/>
        <v>40</v>
      </c>
      <c r="C5528" s="22">
        <v>46784</v>
      </c>
      <c r="D5528" s="22">
        <v>46812</v>
      </c>
      <c r="E5528" s="23">
        <f t="shared" si="856"/>
        <v>29</v>
      </c>
      <c r="F5528" s="3">
        <f t="shared" si="859"/>
        <v>102838753.61475925</v>
      </c>
      <c r="G5528" s="3">
        <f t="shared" si="855"/>
        <v>5603675.4688870795</v>
      </c>
      <c r="H5528" s="3">
        <f t="shared" si="860"/>
        <v>856989.61345632712</v>
      </c>
      <c r="I5528" s="3">
        <f t="shared" si="857"/>
        <v>4746685.855430752</v>
      </c>
      <c r="J5528" s="3">
        <f t="shared" si="858"/>
        <v>98092067.759328499</v>
      </c>
    </row>
    <row r="5529" spans="2:10" x14ac:dyDescent="0.35">
      <c r="B5529" s="1">
        <f t="shared" si="861"/>
        <v>41</v>
      </c>
      <c r="C5529" s="22">
        <v>46813</v>
      </c>
      <c r="D5529" s="22">
        <v>46843</v>
      </c>
      <c r="E5529" s="23">
        <f t="shared" si="856"/>
        <v>31</v>
      </c>
      <c r="F5529" s="3">
        <f t="shared" si="859"/>
        <v>98092067.759328499</v>
      </c>
      <c r="G5529" s="3">
        <f t="shared" si="855"/>
        <v>5603675.4688870795</v>
      </c>
      <c r="H5529" s="3">
        <f t="shared" si="860"/>
        <v>817433.89799440419</v>
      </c>
      <c r="I5529" s="3">
        <f t="shared" si="857"/>
        <v>4786241.5708926748</v>
      </c>
      <c r="J5529" s="3">
        <f t="shared" si="858"/>
        <v>93305826.188435823</v>
      </c>
    </row>
    <row r="5530" spans="2:10" x14ac:dyDescent="0.35">
      <c r="B5530" s="1">
        <f t="shared" si="861"/>
        <v>42</v>
      </c>
      <c r="C5530" s="22">
        <v>46844</v>
      </c>
      <c r="D5530" s="22">
        <v>46873</v>
      </c>
      <c r="E5530" s="23">
        <f t="shared" si="856"/>
        <v>30</v>
      </c>
      <c r="F5530" s="3">
        <f t="shared" si="859"/>
        <v>93305826.188435823</v>
      </c>
      <c r="G5530" s="3">
        <f t="shared" si="855"/>
        <v>5603675.4688870795</v>
      </c>
      <c r="H5530" s="3">
        <f t="shared" si="860"/>
        <v>777548.5515702985</v>
      </c>
      <c r="I5530" s="3">
        <f t="shared" si="857"/>
        <v>4826126.9173167814</v>
      </c>
      <c r="J5530" s="3">
        <f t="shared" si="858"/>
        <v>88479699.271119043</v>
      </c>
    </row>
    <row r="5531" spans="2:10" x14ac:dyDescent="0.35">
      <c r="B5531" s="1">
        <f t="shared" si="861"/>
        <v>43</v>
      </c>
      <c r="C5531" s="22">
        <v>46874</v>
      </c>
      <c r="D5531" s="22">
        <v>46904</v>
      </c>
      <c r="E5531" s="23">
        <f t="shared" si="856"/>
        <v>31</v>
      </c>
      <c r="F5531" s="3">
        <f t="shared" si="859"/>
        <v>88479699.271119043</v>
      </c>
      <c r="G5531" s="3">
        <f t="shared" si="855"/>
        <v>5603675.4688870795</v>
      </c>
      <c r="H5531" s="3">
        <f t="shared" si="860"/>
        <v>737330.82725932531</v>
      </c>
      <c r="I5531" s="3">
        <f t="shared" si="857"/>
        <v>4866344.6416277541</v>
      </c>
      <c r="J5531" s="3">
        <f t="shared" si="858"/>
        <v>83613354.629491284</v>
      </c>
    </row>
    <row r="5532" spans="2:10" x14ac:dyDescent="0.35">
      <c r="B5532" s="1">
        <f t="shared" si="861"/>
        <v>44</v>
      </c>
      <c r="C5532" s="22">
        <v>46905</v>
      </c>
      <c r="D5532" s="22">
        <v>46934</v>
      </c>
      <c r="E5532" s="23">
        <f t="shared" si="856"/>
        <v>30</v>
      </c>
      <c r="F5532" s="3">
        <f t="shared" si="859"/>
        <v>83613354.629491284</v>
      </c>
      <c r="G5532" s="3">
        <f t="shared" si="855"/>
        <v>5603675.4688870795</v>
      </c>
      <c r="H5532" s="3">
        <f t="shared" si="860"/>
        <v>696777.95524576074</v>
      </c>
      <c r="I5532" s="3">
        <f t="shared" si="857"/>
        <v>4906897.5136413183</v>
      </c>
      <c r="J5532" s="3">
        <f t="shared" si="858"/>
        <v>78706457.115849972</v>
      </c>
    </row>
    <row r="5533" spans="2:10" x14ac:dyDescent="0.35">
      <c r="B5533" s="1">
        <f t="shared" si="861"/>
        <v>45</v>
      </c>
      <c r="C5533" s="22">
        <v>46844</v>
      </c>
      <c r="D5533" s="22">
        <v>46873</v>
      </c>
      <c r="E5533" s="23">
        <f t="shared" si="856"/>
        <v>30</v>
      </c>
      <c r="F5533" s="3">
        <f t="shared" si="859"/>
        <v>78706457.115849972</v>
      </c>
      <c r="G5533" s="3">
        <f t="shared" si="855"/>
        <v>5603675.4688870795</v>
      </c>
      <c r="H5533" s="3">
        <f t="shared" si="860"/>
        <v>655887.14263208304</v>
      </c>
      <c r="I5533" s="3">
        <f t="shared" si="857"/>
        <v>4947788.3262549965</v>
      </c>
      <c r="J5533" s="3">
        <f t="shared" si="858"/>
        <v>73758668.789594978</v>
      </c>
    </row>
    <row r="5534" spans="2:10" x14ac:dyDescent="0.35">
      <c r="B5534" s="1">
        <f t="shared" si="861"/>
        <v>46</v>
      </c>
      <c r="C5534" s="22">
        <v>46874</v>
      </c>
      <c r="D5534" s="22">
        <v>46904</v>
      </c>
      <c r="E5534" s="23">
        <f t="shared" si="856"/>
        <v>31</v>
      </c>
      <c r="F5534" s="3">
        <f t="shared" si="859"/>
        <v>73758668.789594978</v>
      </c>
      <c r="G5534" s="3">
        <f t="shared" si="855"/>
        <v>5603675.4688870795</v>
      </c>
      <c r="H5534" s="3">
        <f t="shared" si="860"/>
        <v>614655.57324662479</v>
      </c>
      <c r="I5534" s="3">
        <f t="shared" si="857"/>
        <v>4989019.8956404552</v>
      </c>
      <c r="J5534" s="3">
        <f t="shared" si="858"/>
        <v>68769648.893954515</v>
      </c>
    </row>
    <row r="5535" spans="2:10" x14ac:dyDescent="0.35">
      <c r="B5535" s="1">
        <f t="shared" si="861"/>
        <v>47</v>
      </c>
      <c r="C5535" s="22">
        <v>46905</v>
      </c>
      <c r="D5535" s="22">
        <v>46934</v>
      </c>
      <c r="E5535" s="23">
        <f t="shared" si="856"/>
        <v>30</v>
      </c>
      <c r="F5535" s="3">
        <f t="shared" si="859"/>
        <v>68769648.893954515</v>
      </c>
      <c r="G5535" s="3">
        <f t="shared" si="855"/>
        <v>5603675.4688870795</v>
      </c>
      <c r="H5535" s="3">
        <f t="shared" si="860"/>
        <v>573080.40744962101</v>
      </c>
      <c r="I5535" s="3">
        <f t="shared" si="857"/>
        <v>5030595.0614374587</v>
      </c>
      <c r="J5535" s="3">
        <f t="shared" si="858"/>
        <v>63739053.832517058</v>
      </c>
    </row>
    <row r="5536" spans="2:10" x14ac:dyDescent="0.35">
      <c r="B5536" s="1">
        <f t="shared" si="861"/>
        <v>48</v>
      </c>
      <c r="C5536" s="22">
        <v>46935</v>
      </c>
      <c r="D5536" s="22">
        <v>46965</v>
      </c>
      <c r="E5536" s="23">
        <f t="shared" si="856"/>
        <v>31</v>
      </c>
      <c r="F5536" s="3">
        <f t="shared" si="859"/>
        <v>63739053.832517058</v>
      </c>
      <c r="G5536" s="3">
        <f t="shared" si="855"/>
        <v>5603675.4688870795</v>
      </c>
      <c r="H5536" s="3">
        <f t="shared" si="860"/>
        <v>531158.78193764214</v>
      </c>
      <c r="I5536" s="3">
        <f t="shared" si="857"/>
        <v>5072516.6869494375</v>
      </c>
      <c r="J5536" s="3">
        <f t="shared" si="858"/>
        <v>58666537.145567618</v>
      </c>
    </row>
    <row r="5537" spans="2:10" x14ac:dyDescent="0.35">
      <c r="B5537" s="1">
        <f t="shared" si="861"/>
        <v>49</v>
      </c>
      <c r="C5537" s="22">
        <v>46966</v>
      </c>
      <c r="D5537" s="22">
        <v>46996</v>
      </c>
      <c r="E5537" s="23">
        <f t="shared" si="856"/>
        <v>31</v>
      </c>
      <c r="F5537" s="3">
        <f t="shared" si="859"/>
        <v>58666537.145567618</v>
      </c>
      <c r="G5537" s="3">
        <f t="shared" si="855"/>
        <v>5603675.4688870795</v>
      </c>
      <c r="H5537" s="3">
        <f t="shared" si="860"/>
        <v>488887.80954639683</v>
      </c>
      <c r="I5537" s="3">
        <f t="shared" si="857"/>
        <v>5114787.6593406824</v>
      </c>
      <c r="J5537" s="3">
        <f t="shared" si="858"/>
        <v>53551749.486226939</v>
      </c>
    </row>
    <row r="5538" spans="2:10" x14ac:dyDescent="0.35">
      <c r="B5538" s="1">
        <f t="shared" si="861"/>
        <v>50</v>
      </c>
      <c r="C5538" s="22">
        <v>46997</v>
      </c>
      <c r="D5538" s="22">
        <v>47026</v>
      </c>
      <c r="E5538" s="23">
        <f t="shared" si="856"/>
        <v>30</v>
      </c>
      <c r="F5538" s="3">
        <f t="shared" si="859"/>
        <v>53551749.486226939</v>
      </c>
      <c r="G5538" s="3">
        <f t="shared" si="855"/>
        <v>5603675.4688870795</v>
      </c>
      <c r="H5538" s="3">
        <f t="shared" si="860"/>
        <v>446264.57905189117</v>
      </c>
      <c r="I5538" s="3">
        <f t="shared" si="857"/>
        <v>5157410.8898351882</v>
      </c>
      <c r="J5538" s="3">
        <f t="shared" si="858"/>
        <v>48394338.596391752</v>
      </c>
    </row>
    <row r="5539" spans="2:10" x14ac:dyDescent="0.35">
      <c r="B5539" s="1">
        <f t="shared" si="861"/>
        <v>51</v>
      </c>
      <c r="C5539" s="22">
        <v>47027</v>
      </c>
      <c r="D5539" s="22">
        <v>47057</v>
      </c>
      <c r="E5539" s="23">
        <f t="shared" si="856"/>
        <v>31</v>
      </c>
      <c r="F5539" s="3">
        <f t="shared" si="859"/>
        <v>48394338.596391752</v>
      </c>
      <c r="G5539" s="3">
        <f t="shared" si="855"/>
        <v>5603675.4688870795</v>
      </c>
      <c r="H5539" s="3">
        <f t="shared" si="860"/>
        <v>403286.15496993129</v>
      </c>
      <c r="I5539" s="3">
        <f t="shared" si="857"/>
        <v>5200389.3139171479</v>
      </c>
      <c r="J5539" s="3">
        <f t="shared" si="858"/>
        <v>43193949.282474607</v>
      </c>
    </row>
    <row r="5540" spans="2:10" x14ac:dyDescent="0.35">
      <c r="B5540" s="1">
        <f t="shared" si="861"/>
        <v>52</v>
      </c>
      <c r="C5540" s="22">
        <v>47058</v>
      </c>
      <c r="D5540" s="22">
        <v>47087</v>
      </c>
      <c r="E5540" s="23">
        <f t="shared" si="856"/>
        <v>30</v>
      </c>
      <c r="F5540" s="3">
        <f t="shared" si="859"/>
        <v>43193949.282474607</v>
      </c>
      <c r="G5540" s="3">
        <f t="shared" si="855"/>
        <v>5603675.4688870795</v>
      </c>
      <c r="H5540" s="3">
        <f t="shared" si="860"/>
        <v>359949.57735395507</v>
      </c>
      <c r="I5540" s="3">
        <f t="shared" si="857"/>
        <v>5243725.8915331243</v>
      </c>
      <c r="J5540" s="3">
        <f t="shared" si="858"/>
        <v>37950223.390941486</v>
      </c>
    </row>
    <row r="5541" spans="2:10" x14ac:dyDescent="0.35">
      <c r="B5541" s="1">
        <f t="shared" si="861"/>
        <v>53</v>
      </c>
      <c r="C5541" s="22">
        <v>47088</v>
      </c>
      <c r="D5541" s="22">
        <v>47118</v>
      </c>
      <c r="E5541" s="23">
        <f t="shared" si="856"/>
        <v>31</v>
      </c>
      <c r="F5541" s="3">
        <f t="shared" si="859"/>
        <v>37950223.390941486</v>
      </c>
      <c r="G5541" s="3">
        <f t="shared" si="855"/>
        <v>5603675.4688870795</v>
      </c>
      <c r="H5541" s="3">
        <f t="shared" si="860"/>
        <v>316251.86159117904</v>
      </c>
      <c r="I5541" s="3">
        <f t="shared" si="857"/>
        <v>5287423.6072959006</v>
      </c>
      <c r="J5541" s="3">
        <f t="shared" si="858"/>
        <v>32662799.783645585</v>
      </c>
    </row>
    <row r="5542" spans="2:10" x14ac:dyDescent="0.35">
      <c r="B5542" s="1">
        <f t="shared" si="861"/>
        <v>54</v>
      </c>
      <c r="C5542" s="22">
        <v>47119</v>
      </c>
      <c r="D5542" s="22">
        <v>47149</v>
      </c>
      <c r="E5542" s="23">
        <f t="shared" si="856"/>
        <v>31</v>
      </c>
      <c r="F5542" s="3">
        <f t="shared" si="859"/>
        <v>32662799.783645585</v>
      </c>
      <c r="G5542" s="3">
        <f t="shared" si="855"/>
        <v>5603675.4688870795</v>
      </c>
      <c r="H5542" s="3">
        <f t="shared" si="860"/>
        <v>272189.99819704652</v>
      </c>
      <c r="I5542" s="3">
        <f t="shared" si="857"/>
        <v>5331485.4706900334</v>
      </c>
      <c r="J5542" s="3">
        <f t="shared" si="858"/>
        <v>27331314.312955551</v>
      </c>
    </row>
    <row r="5543" spans="2:10" x14ac:dyDescent="0.35">
      <c r="B5543" s="1">
        <f t="shared" si="861"/>
        <v>55</v>
      </c>
      <c r="C5543" s="22">
        <v>47150</v>
      </c>
      <c r="D5543" s="22">
        <v>47177</v>
      </c>
      <c r="E5543" s="23">
        <f t="shared" si="856"/>
        <v>28</v>
      </c>
      <c r="F5543" s="3">
        <f t="shared" si="859"/>
        <v>27331314.312955551</v>
      </c>
      <c r="G5543" s="3">
        <f t="shared" si="855"/>
        <v>5603675.4688870795</v>
      </c>
      <c r="H5543" s="3">
        <f t="shared" si="860"/>
        <v>227760.95260796291</v>
      </c>
      <c r="I5543" s="3">
        <f t="shared" si="857"/>
        <v>5375914.5162791163</v>
      </c>
      <c r="J5543" s="3">
        <f t="shared" si="858"/>
        <v>21955399.796676435</v>
      </c>
    </row>
    <row r="5544" spans="2:10" x14ac:dyDescent="0.35">
      <c r="B5544" s="1">
        <f t="shared" si="861"/>
        <v>56</v>
      </c>
      <c r="C5544" s="22">
        <v>47178</v>
      </c>
      <c r="D5544" s="22">
        <v>47208</v>
      </c>
      <c r="E5544" s="23">
        <f t="shared" si="856"/>
        <v>31</v>
      </c>
      <c r="F5544" s="3">
        <f t="shared" si="859"/>
        <v>21955399.796676435</v>
      </c>
      <c r="G5544" s="3">
        <f t="shared" si="855"/>
        <v>5603675.4688870795</v>
      </c>
      <c r="H5544" s="3">
        <f t="shared" si="860"/>
        <v>182961.66497230361</v>
      </c>
      <c r="I5544" s="3">
        <f t="shared" si="857"/>
        <v>5420713.8039147761</v>
      </c>
      <c r="J5544" s="3">
        <f t="shared" si="858"/>
        <v>16534685.992761659</v>
      </c>
    </row>
    <row r="5545" spans="2:10" x14ac:dyDescent="0.35">
      <c r="B5545" s="1">
        <f t="shared" si="861"/>
        <v>57</v>
      </c>
      <c r="C5545" s="22">
        <v>47209</v>
      </c>
      <c r="D5545" s="22">
        <v>47238</v>
      </c>
      <c r="E5545" s="23">
        <f t="shared" si="856"/>
        <v>30</v>
      </c>
      <c r="F5545" s="3">
        <f t="shared" si="859"/>
        <v>16534685.992761659</v>
      </c>
      <c r="G5545" s="3">
        <f t="shared" si="855"/>
        <v>5603675.4688870795</v>
      </c>
      <c r="H5545" s="3">
        <f t="shared" si="860"/>
        <v>137789.0499396805</v>
      </c>
      <c r="I5545" s="3">
        <f t="shared" si="857"/>
        <v>5465886.4189473987</v>
      </c>
      <c r="J5545" s="3">
        <f t="shared" si="858"/>
        <v>11068799.57381426</v>
      </c>
    </row>
    <row r="5546" spans="2:10" x14ac:dyDescent="0.35">
      <c r="B5546" s="1">
        <f t="shared" si="861"/>
        <v>58</v>
      </c>
      <c r="C5546" s="22">
        <v>47239</v>
      </c>
      <c r="D5546" s="22">
        <v>47269</v>
      </c>
      <c r="E5546" s="23">
        <f t="shared" si="856"/>
        <v>31</v>
      </c>
      <c r="F5546" s="3">
        <f t="shared" si="859"/>
        <v>11068799.57381426</v>
      </c>
      <c r="G5546" s="3">
        <f t="shared" si="855"/>
        <v>5603675.4688870795</v>
      </c>
      <c r="H5546" s="3">
        <f t="shared" si="860"/>
        <v>92239.996448452162</v>
      </c>
      <c r="I5546" s="3">
        <f t="shared" si="857"/>
        <v>5511435.4724386269</v>
      </c>
      <c r="J5546" s="3">
        <f t="shared" si="858"/>
        <v>5557364.1013756329</v>
      </c>
    </row>
    <row r="5547" spans="2:10" x14ac:dyDescent="0.35">
      <c r="B5547" s="1">
        <f t="shared" si="861"/>
        <v>59</v>
      </c>
      <c r="C5547" s="22">
        <v>47270</v>
      </c>
      <c r="D5547" s="22">
        <v>47299</v>
      </c>
      <c r="E5547" s="23">
        <f t="shared" si="856"/>
        <v>30</v>
      </c>
      <c r="F5547" s="3">
        <f t="shared" si="859"/>
        <v>5557364.1013756329</v>
      </c>
      <c r="G5547" s="3">
        <f t="shared" si="855"/>
        <v>5603675.4688870795</v>
      </c>
      <c r="H5547" s="3">
        <f t="shared" si="860"/>
        <v>46311.367511463606</v>
      </c>
      <c r="I5547" s="3">
        <f t="shared" si="857"/>
        <v>5557364.1013756162</v>
      </c>
      <c r="J5547" s="3">
        <f t="shared" si="858"/>
        <v>1.6763806343078613E-8</v>
      </c>
    </row>
    <row r="5548" spans="2:10" x14ac:dyDescent="0.35">
      <c r="B5548" s="1">
        <f t="shared" si="861"/>
        <v>60</v>
      </c>
    </row>
    <row r="5553" spans="2:19" x14ac:dyDescent="0.35">
      <c r="B5553" s="1"/>
      <c r="C5553" s="8" t="s">
        <v>811</v>
      </c>
      <c r="D5553" s="3"/>
      <c r="E5553" s="3"/>
      <c r="F5553" s="3"/>
      <c r="G5553" s="3"/>
      <c r="H5553" s="3"/>
      <c r="I5553" s="3"/>
      <c r="J5553" s="3"/>
      <c r="R5553" s="438" t="s">
        <v>832</v>
      </c>
      <c r="S5553" s="432" t="str">
        <f>IFERROR(INDEX(Blocks!$I$2:$I$101,MATCH(100,Blocks!$A$2:$A$101,0)),"")</f>
        <v>000104430000064</v>
      </c>
    </row>
    <row r="5554" spans="2:19" x14ac:dyDescent="0.35">
      <c r="B5554" s="1"/>
      <c r="C5554" s="1"/>
      <c r="D5554" s="3"/>
      <c r="E5554" s="3"/>
      <c r="F5554" s="3"/>
      <c r="G5554" s="3"/>
      <c r="H5554" s="3"/>
      <c r="I5554" s="3"/>
      <c r="J5554" s="3"/>
      <c r="R5554" s="438" t="s">
        <v>834</v>
      </c>
      <c r="S5554" s="432" t="str">
        <f>IFERROR(INDEX(Blocks!$H$2:$H$101,MATCH(100,Blocks!$A$2:$A$101,0)),"")</f>
        <v>Agwenda Investment Limited</v>
      </c>
    </row>
    <row r="5555" spans="2:19" x14ac:dyDescent="0.35">
      <c r="B5555" s="1"/>
      <c r="C5555" s="9" t="s">
        <v>835</v>
      </c>
      <c r="D5555" s="10">
        <v>21295000</v>
      </c>
      <c r="E5555" s="3"/>
      <c r="F5555" s="3"/>
      <c r="G5555" s="3"/>
      <c r="H5555" s="3"/>
      <c r="I5555" s="3"/>
      <c r="J5555" s="3"/>
      <c r="R5555" s="438" t="s">
        <v>223</v>
      </c>
      <c r="S5555" s="433">
        <f>IFERROR(INDEX('E-Banker master'!$N$2:$N$186,MATCH(S5553,'E-Banker master'!$A$2:$A$186,0)),"")</f>
        <v>0</v>
      </c>
    </row>
    <row r="5556" spans="2:19" x14ac:dyDescent="0.35">
      <c r="B5556" s="1"/>
      <c r="C5556" s="11" t="s">
        <v>837</v>
      </c>
      <c r="D5556" s="12">
        <v>0.33</v>
      </c>
      <c r="E5556" s="13"/>
      <c r="F5556" s="3"/>
      <c r="G5556" s="3"/>
      <c r="H5556" s="3"/>
      <c r="I5556" s="3"/>
      <c r="J5556" s="3"/>
      <c r="R5556" s="438" t="s">
        <v>52</v>
      </c>
      <c r="S5556" s="433">
        <f>IFERROR(INDEX('E-Banker master'!$P$2:$P$186,MATCH(S5553,'E-Banker master'!$A$2:$A$186,0)),"")</f>
        <v>21295000</v>
      </c>
    </row>
    <row r="5557" spans="2:19" x14ac:dyDescent="0.35">
      <c r="B5557" s="1"/>
      <c r="C5557" s="11" t="s">
        <v>838</v>
      </c>
      <c r="D5557" s="14">
        <v>2</v>
      </c>
      <c r="E5557" s="1"/>
      <c r="F5557" s="3"/>
      <c r="G5557" s="3"/>
      <c r="H5557" s="3"/>
      <c r="I5557" s="3"/>
      <c r="J5557" s="3"/>
    </row>
    <row r="5558" spans="2:19" x14ac:dyDescent="0.35">
      <c r="B5558" s="1"/>
      <c r="C5558" s="11" t="s">
        <v>839</v>
      </c>
      <c r="D5558" s="14">
        <v>12</v>
      </c>
      <c r="E5558" s="1"/>
      <c r="F5558" s="3"/>
      <c r="G5558" s="3"/>
      <c r="H5558" s="3"/>
      <c r="I5558" s="3"/>
      <c r="J5558" s="3"/>
    </row>
    <row r="5559" spans="2:19" x14ac:dyDescent="0.35">
      <c r="B5559" s="1"/>
      <c r="C5559" s="11" t="s">
        <v>843</v>
      </c>
      <c r="D5559" s="15">
        <f>+D5558*D5557</f>
        <v>24</v>
      </c>
      <c r="E5559" s="1"/>
      <c r="F5559" s="3"/>
      <c r="G5559" s="3"/>
      <c r="H5559" s="3"/>
      <c r="I5559" s="3"/>
      <c r="J5559" s="3"/>
    </row>
    <row r="5560" spans="2:19" x14ac:dyDescent="0.35">
      <c r="B5560" s="1"/>
      <c r="C5560" s="11" t="s">
        <v>844</v>
      </c>
      <c r="D5560" s="16">
        <v>365</v>
      </c>
      <c r="E5560" s="1"/>
      <c r="F5560" s="3"/>
      <c r="G5560" s="3"/>
      <c r="H5560" s="3"/>
      <c r="I5560" s="3"/>
      <c r="J5560" s="3"/>
    </row>
    <row r="5561" spans="2:19" x14ac:dyDescent="0.35">
      <c r="B5561" s="1"/>
      <c r="C5561" s="17" t="s">
        <v>845</v>
      </c>
      <c r="D5561" s="220">
        <f>-PMT(D5556/D5558,D5559,D5555,0,0)</f>
        <v>1223794.5405165663</v>
      </c>
      <c r="E5561" s="3"/>
      <c r="F5561" s="3"/>
      <c r="G5561" s="3"/>
      <c r="H5561" s="3"/>
      <c r="I5561" s="3"/>
      <c r="J5561" s="3"/>
    </row>
    <row r="5562" spans="2:19" x14ac:dyDescent="0.35">
      <c r="B5562" s="1"/>
      <c r="C5562" s="1"/>
      <c r="D5562" s="3"/>
      <c r="E5562" s="3"/>
      <c r="F5562" s="3"/>
      <c r="G5562" s="3"/>
      <c r="H5562" s="3"/>
      <c r="I5562" s="3"/>
      <c r="J5562" s="3"/>
    </row>
    <row r="5563" spans="2:19" x14ac:dyDescent="0.35">
      <c r="B5563" s="1"/>
      <c r="C5563" s="19" t="s">
        <v>846</v>
      </c>
      <c r="D5563" s="20" t="s">
        <v>847</v>
      </c>
      <c r="E5563" s="20" t="s">
        <v>764</v>
      </c>
      <c r="F5563" s="270" t="s">
        <v>848</v>
      </c>
      <c r="G5563" s="270" t="s">
        <v>849</v>
      </c>
      <c r="H5563" s="270" t="s">
        <v>742</v>
      </c>
      <c r="I5563" s="270" t="s">
        <v>740</v>
      </c>
      <c r="J5563" s="270" t="s">
        <v>850</v>
      </c>
      <c r="K5563" s="21" t="s">
        <v>851</v>
      </c>
      <c r="L5563" s="21" t="s">
        <v>852</v>
      </c>
    </row>
    <row r="5564" spans="2:19" x14ac:dyDescent="0.35">
      <c r="B5564" s="1">
        <v>0</v>
      </c>
      <c r="C5564" s="22">
        <v>45587</v>
      </c>
      <c r="D5564" s="22">
        <v>45596</v>
      </c>
      <c r="E5564" s="417">
        <f t="shared" ref="E5564:E5588" si="862">+D5564-C5564+1</f>
        <v>10</v>
      </c>
      <c r="F5564" s="3">
        <f>D5555</f>
        <v>21295000</v>
      </c>
      <c r="G5564" s="3"/>
      <c r="H5564" s="3">
        <f>($D$5556/$D$5558*F5564*E5564/30)</f>
        <v>195204.16666666666</v>
      </c>
      <c r="I5564" s="3">
        <f t="shared" ref="I5564:I5588" si="863">G5564-H5564</f>
        <v>-195204.16666666666</v>
      </c>
      <c r="J5564" s="3">
        <f t="shared" ref="J5564:J5588" si="864">F5564-I5564</f>
        <v>21490204.166666668</v>
      </c>
      <c r="K5564" s="141"/>
      <c r="L5564" s="141"/>
    </row>
    <row r="5565" spans="2:19" x14ac:dyDescent="0.35">
      <c r="B5565" s="1">
        <v>1</v>
      </c>
      <c r="C5565" s="22">
        <v>45597</v>
      </c>
      <c r="D5565" s="22">
        <v>45626</v>
      </c>
      <c r="E5565" s="23">
        <f t="shared" si="862"/>
        <v>30</v>
      </c>
      <c r="F5565" s="3">
        <f t="shared" ref="F5565:F5588" si="865">J5564</f>
        <v>21490204.166666668</v>
      </c>
      <c r="G5565" s="3"/>
      <c r="H5565" s="3">
        <f t="shared" ref="H5565:H5588" si="866">($D$5556/$D$5558*F5565)</f>
        <v>590980.61458333337</v>
      </c>
      <c r="I5565" s="3">
        <f t="shared" si="863"/>
        <v>-590980.61458333337</v>
      </c>
      <c r="J5565" s="3">
        <f t="shared" si="864"/>
        <v>22081184.78125</v>
      </c>
      <c r="K5565" s="7"/>
      <c r="L5565" s="141"/>
    </row>
    <row r="5566" spans="2:19" x14ac:dyDescent="0.35">
      <c r="B5566" s="1">
        <v>2</v>
      </c>
      <c r="C5566" s="22">
        <v>45627</v>
      </c>
      <c r="D5566" s="22">
        <v>45657</v>
      </c>
      <c r="E5566" s="23">
        <f t="shared" si="862"/>
        <v>31</v>
      </c>
      <c r="F5566" s="3">
        <f t="shared" si="865"/>
        <v>22081184.78125</v>
      </c>
      <c r="G5566" s="3"/>
      <c r="H5566" s="3">
        <f t="shared" si="866"/>
        <v>607232.58148437506</v>
      </c>
      <c r="I5566" s="3">
        <f t="shared" si="863"/>
        <v>-607232.58148437506</v>
      </c>
      <c r="J5566" s="3">
        <f t="shared" si="864"/>
        <v>22688417.362734374</v>
      </c>
      <c r="L5566" s="141"/>
    </row>
    <row r="5567" spans="2:19" x14ac:dyDescent="0.35">
      <c r="B5567" s="1">
        <f t="shared" ref="B5567:B5588" si="867">+B5566+1</f>
        <v>3</v>
      </c>
      <c r="C5567" s="22">
        <v>45658</v>
      </c>
      <c r="D5567" s="22">
        <v>45688</v>
      </c>
      <c r="E5567" s="23">
        <f t="shared" si="862"/>
        <v>31</v>
      </c>
      <c r="F5567" s="3">
        <f t="shared" si="865"/>
        <v>22688417.362734374</v>
      </c>
      <c r="G5567" s="298"/>
      <c r="H5567" s="3">
        <f t="shared" si="866"/>
        <v>623931.47747519531</v>
      </c>
      <c r="I5567" s="3">
        <f t="shared" si="863"/>
        <v>-623931.47747519531</v>
      </c>
      <c r="J5567" s="3">
        <f t="shared" si="864"/>
        <v>23312348.84020957</v>
      </c>
      <c r="L5567" s="141"/>
    </row>
    <row r="5568" spans="2:19" x14ac:dyDescent="0.35">
      <c r="B5568" s="1">
        <f t="shared" si="867"/>
        <v>4</v>
      </c>
      <c r="C5568" s="22">
        <v>45689</v>
      </c>
      <c r="D5568" s="22">
        <v>45716</v>
      </c>
      <c r="E5568" s="23">
        <f t="shared" si="862"/>
        <v>28</v>
      </c>
      <c r="F5568" s="3">
        <f t="shared" si="865"/>
        <v>23312348.84020957</v>
      </c>
      <c r="G5568" s="3">
        <f t="shared" ref="G5568:G5588" si="868">-PMT($D$5556/$D$5558,21,$F$5568,,0)</f>
        <v>1476124.1296952772</v>
      </c>
      <c r="H5568" s="3">
        <f t="shared" si="866"/>
        <v>641089.5931057632</v>
      </c>
      <c r="I5568" s="3">
        <f t="shared" si="863"/>
        <v>835034.536589514</v>
      </c>
      <c r="J5568" s="3">
        <f t="shared" si="864"/>
        <v>22477314.303620055</v>
      </c>
    </row>
    <row r="5569" spans="2:10" x14ac:dyDescent="0.35">
      <c r="B5569" s="1">
        <f t="shared" si="867"/>
        <v>5</v>
      </c>
      <c r="C5569" s="22">
        <v>45717</v>
      </c>
      <c r="D5569" s="22">
        <v>45747</v>
      </c>
      <c r="E5569" s="23">
        <f t="shared" si="862"/>
        <v>31</v>
      </c>
      <c r="F5569" s="3">
        <f t="shared" si="865"/>
        <v>22477314.303620055</v>
      </c>
      <c r="G5569" s="3">
        <f t="shared" si="868"/>
        <v>1476124.1296952772</v>
      </c>
      <c r="H5569" s="3">
        <f t="shared" si="866"/>
        <v>618126.14334955148</v>
      </c>
      <c r="I5569" s="3">
        <f t="shared" si="863"/>
        <v>857997.98634572572</v>
      </c>
      <c r="J5569" s="3">
        <f t="shared" si="864"/>
        <v>21619316.317274328</v>
      </c>
    </row>
    <row r="5570" spans="2:10" x14ac:dyDescent="0.35">
      <c r="B5570" s="1">
        <f t="shared" si="867"/>
        <v>6</v>
      </c>
      <c r="C5570" s="22">
        <v>45748</v>
      </c>
      <c r="D5570" s="22">
        <v>45777</v>
      </c>
      <c r="E5570" s="23">
        <f t="shared" si="862"/>
        <v>30</v>
      </c>
      <c r="F5570" s="3">
        <f t="shared" si="865"/>
        <v>21619316.317274328</v>
      </c>
      <c r="G5570" s="3">
        <f t="shared" si="868"/>
        <v>1476124.1296952772</v>
      </c>
      <c r="H5570" s="3">
        <f t="shared" si="866"/>
        <v>594531.19872504403</v>
      </c>
      <c r="I5570" s="3">
        <f t="shared" si="863"/>
        <v>881592.93097023317</v>
      </c>
      <c r="J5570" s="3">
        <f t="shared" si="864"/>
        <v>20737723.386304095</v>
      </c>
    </row>
    <row r="5571" spans="2:10" x14ac:dyDescent="0.35">
      <c r="B5571" s="1">
        <f t="shared" si="867"/>
        <v>7</v>
      </c>
      <c r="C5571" s="22">
        <v>45778</v>
      </c>
      <c r="D5571" s="22">
        <v>45808</v>
      </c>
      <c r="E5571" s="23">
        <f t="shared" si="862"/>
        <v>31</v>
      </c>
      <c r="F5571" s="3">
        <f t="shared" si="865"/>
        <v>20737723.386304095</v>
      </c>
      <c r="G5571" s="3">
        <f t="shared" si="868"/>
        <v>1476124.1296952772</v>
      </c>
      <c r="H5571" s="3">
        <f t="shared" si="866"/>
        <v>570287.39312336268</v>
      </c>
      <c r="I5571" s="3">
        <f t="shared" si="863"/>
        <v>905836.73657191452</v>
      </c>
      <c r="J5571" s="3">
        <f t="shared" si="864"/>
        <v>19831886.64973218</v>
      </c>
    </row>
    <row r="5572" spans="2:10" x14ac:dyDescent="0.35">
      <c r="B5572" s="1">
        <f t="shared" si="867"/>
        <v>8</v>
      </c>
      <c r="C5572" s="22">
        <v>45809</v>
      </c>
      <c r="D5572" s="22">
        <v>45838</v>
      </c>
      <c r="E5572" s="23">
        <f t="shared" si="862"/>
        <v>30</v>
      </c>
      <c r="F5572" s="3">
        <f t="shared" si="865"/>
        <v>19831886.64973218</v>
      </c>
      <c r="G5572" s="3">
        <f t="shared" si="868"/>
        <v>1476124.1296952772</v>
      </c>
      <c r="H5572" s="3">
        <f t="shared" si="866"/>
        <v>545376.88286763499</v>
      </c>
      <c r="I5572" s="3">
        <f t="shared" si="863"/>
        <v>930747.2468276422</v>
      </c>
      <c r="J5572" s="3">
        <f t="shared" si="864"/>
        <v>18901139.402904537</v>
      </c>
    </row>
    <row r="5573" spans="2:10" x14ac:dyDescent="0.35">
      <c r="B5573" s="1">
        <f t="shared" si="867"/>
        <v>9</v>
      </c>
      <c r="C5573" s="22">
        <v>45839</v>
      </c>
      <c r="D5573" s="22">
        <v>45868</v>
      </c>
      <c r="E5573" s="23">
        <f t="shared" si="862"/>
        <v>30</v>
      </c>
      <c r="F5573" s="3">
        <f t="shared" si="865"/>
        <v>18901139.402904537</v>
      </c>
      <c r="G5573" s="3">
        <f t="shared" si="868"/>
        <v>1476124.1296952772</v>
      </c>
      <c r="H5573" s="3">
        <f t="shared" si="866"/>
        <v>519781.33357987477</v>
      </c>
      <c r="I5573" s="3">
        <f t="shared" si="863"/>
        <v>956342.79611540237</v>
      </c>
      <c r="J5573" s="3">
        <f t="shared" si="864"/>
        <v>17944796.606789134</v>
      </c>
    </row>
    <row r="5574" spans="2:10" x14ac:dyDescent="0.35">
      <c r="B5574" s="1">
        <f t="shared" si="867"/>
        <v>10</v>
      </c>
      <c r="C5574" s="22">
        <v>45870</v>
      </c>
      <c r="D5574" s="22">
        <v>45899</v>
      </c>
      <c r="E5574" s="23">
        <f t="shared" si="862"/>
        <v>30</v>
      </c>
      <c r="F5574" s="3">
        <f t="shared" si="865"/>
        <v>17944796.606789134</v>
      </c>
      <c r="G5574" s="3">
        <f t="shared" si="868"/>
        <v>1476124.1296952772</v>
      </c>
      <c r="H5574" s="3">
        <f t="shared" si="866"/>
        <v>493481.90668670117</v>
      </c>
      <c r="I5574" s="3">
        <f t="shared" si="863"/>
        <v>982642.22300857608</v>
      </c>
      <c r="J5574" s="3">
        <f t="shared" si="864"/>
        <v>16962154.383780558</v>
      </c>
    </row>
    <row r="5575" spans="2:10" x14ac:dyDescent="0.35">
      <c r="B5575" s="1">
        <f t="shared" si="867"/>
        <v>11</v>
      </c>
      <c r="C5575" s="22">
        <v>45901</v>
      </c>
      <c r="D5575" s="22">
        <v>45930</v>
      </c>
      <c r="E5575" s="23">
        <f t="shared" si="862"/>
        <v>30</v>
      </c>
      <c r="F5575" s="3">
        <f t="shared" si="865"/>
        <v>16962154.383780558</v>
      </c>
      <c r="G5575" s="3">
        <f t="shared" si="868"/>
        <v>1476124.1296952772</v>
      </c>
      <c r="H5575" s="3">
        <f t="shared" si="866"/>
        <v>466459.24555396533</v>
      </c>
      <c r="I5575" s="3">
        <f t="shared" si="863"/>
        <v>1009664.8841413119</v>
      </c>
      <c r="J5575" s="3">
        <f t="shared" si="864"/>
        <v>15952489.499639247</v>
      </c>
    </row>
    <row r="5576" spans="2:10" x14ac:dyDescent="0.35">
      <c r="B5576" s="1">
        <f t="shared" si="867"/>
        <v>12</v>
      </c>
      <c r="C5576" s="22">
        <v>45931</v>
      </c>
      <c r="D5576" s="22">
        <v>45961</v>
      </c>
      <c r="E5576" s="23">
        <f t="shared" si="862"/>
        <v>31</v>
      </c>
      <c r="F5576" s="3">
        <f t="shared" si="865"/>
        <v>15952489.499639247</v>
      </c>
      <c r="G5576" s="3">
        <f t="shared" si="868"/>
        <v>1476124.1296952772</v>
      </c>
      <c r="H5576" s="3">
        <f t="shared" si="866"/>
        <v>438693.46124007931</v>
      </c>
      <c r="I5576" s="3">
        <f t="shared" si="863"/>
        <v>1037430.6684551979</v>
      </c>
      <c r="J5576" s="3">
        <f t="shared" si="864"/>
        <v>14915058.831184048</v>
      </c>
    </row>
    <row r="5577" spans="2:10" x14ac:dyDescent="0.35">
      <c r="B5577" s="1">
        <f t="shared" si="867"/>
        <v>13</v>
      </c>
      <c r="C5577" s="22">
        <v>45962</v>
      </c>
      <c r="D5577" s="22">
        <v>45991</v>
      </c>
      <c r="E5577" s="23">
        <f t="shared" si="862"/>
        <v>30</v>
      </c>
      <c r="F5577" s="3">
        <f t="shared" si="865"/>
        <v>14915058.831184048</v>
      </c>
      <c r="G5577" s="3">
        <f t="shared" si="868"/>
        <v>1476124.1296952772</v>
      </c>
      <c r="H5577" s="3">
        <f t="shared" si="866"/>
        <v>410164.11785756133</v>
      </c>
      <c r="I5577" s="3">
        <f t="shared" si="863"/>
        <v>1065960.0118377157</v>
      </c>
      <c r="J5577" s="3">
        <f t="shared" si="864"/>
        <v>13849098.819346333</v>
      </c>
    </row>
    <row r="5578" spans="2:10" x14ac:dyDescent="0.35">
      <c r="B5578" s="1">
        <f t="shared" si="867"/>
        <v>14</v>
      </c>
      <c r="C5578" s="22">
        <v>45992</v>
      </c>
      <c r="D5578" s="22">
        <v>46022</v>
      </c>
      <c r="E5578" s="23">
        <f t="shared" si="862"/>
        <v>31</v>
      </c>
      <c r="F5578" s="3">
        <f t="shared" si="865"/>
        <v>13849098.819346333</v>
      </c>
      <c r="G5578" s="3">
        <f t="shared" si="868"/>
        <v>1476124.1296952772</v>
      </c>
      <c r="H5578" s="3">
        <f t="shared" si="866"/>
        <v>380850.21753202414</v>
      </c>
      <c r="I5578" s="3">
        <f t="shared" si="863"/>
        <v>1095273.9121632529</v>
      </c>
      <c r="J5578" s="3">
        <f t="shared" si="864"/>
        <v>12753824.907183081</v>
      </c>
    </row>
    <row r="5579" spans="2:10" x14ac:dyDescent="0.35">
      <c r="B5579" s="1">
        <f t="shared" si="867"/>
        <v>15</v>
      </c>
      <c r="C5579" s="22">
        <v>46023</v>
      </c>
      <c r="D5579" s="22">
        <v>46053</v>
      </c>
      <c r="E5579" s="23">
        <f t="shared" si="862"/>
        <v>31</v>
      </c>
      <c r="F5579" s="3">
        <f t="shared" si="865"/>
        <v>12753824.907183081</v>
      </c>
      <c r="G5579" s="3">
        <f t="shared" si="868"/>
        <v>1476124.1296952772</v>
      </c>
      <c r="H5579" s="3">
        <f t="shared" si="866"/>
        <v>350730.18494753476</v>
      </c>
      <c r="I5579" s="3">
        <f t="shared" si="863"/>
        <v>1125393.9447477425</v>
      </c>
      <c r="J5579" s="3">
        <f t="shared" si="864"/>
        <v>11628430.962435339</v>
      </c>
    </row>
    <row r="5580" spans="2:10" x14ac:dyDescent="0.35">
      <c r="B5580" s="1">
        <f t="shared" si="867"/>
        <v>16</v>
      </c>
      <c r="C5580" s="22">
        <v>46054</v>
      </c>
      <c r="D5580" s="22">
        <v>46081</v>
      </c>
      <c r="E5580" s="23">
        <f t="shared" si="862"/>
        <v>28</v>
      </c>
      <c r="F5580" s="3">
        <f t="shared" si="865"/>
        <v>11628430.962435339</v>
      </c>
      <c r="G5580" s="3">
        <f t="shared" si="868"/>
        <v>1476124.1296952772</v>
      </c>
      <c r="H5580" s="3">
        <f t="shared" si="866"/>
        <v>319781.8514669718</v>
      </c>
      <c r="I5580" s="3">
        <f t="shared" si="863"/>
        <v>1156342.2782283053</v>
      </c>
      <c r="J5580" s="3">
        <f t="shared" si="864"/>
        <v>10472088.684207033</v>
      </c>
    </row>
    <row r="5581" spans="2:10" x14ac:dyDescent="0.35">
      <c r="B5581" s="1">
        <f t="shared" si="867"/>
        <v>17</v>
      </c>
      <c r="C5581" s="22">
        <v>46082</v>
      </c>
      <c r="D5581" s="22">
        <v>46112</v>
      </c>
      <c r="E5581" s="23">
        <f t="shared" si="862"/>
        <v>31</v>
      </c>
      <c r="F5581" s="3">
        <f t="shared" si="865"/>
        <v>10472088.684207033</v>
      </c>
      <c r="G5581" s="3">
        <f t="shared" si="868"/>
        <v>1476124.1296952772</v>
      </c>
      <c r="H5581" s="3">
        <f t="shared" si="866"/>
        <v>287982.43881569343</v>
      </c>
      <c r="I5581" s="3">
        <f t="shared" si="863"/>
        <v>1188141.6908795838</v>
      </c>
      <c r="J5581" s="3">
        <f t="shared" si="864"/>
        <v>9283946.99332745</v>
      </c>
    </row>
    <row r="5582" spans="2:10" x14ac:dyDescent="0.35">
      <c r="B5582" s="1">
        <f t="shared" si="867"/>
        <v>18</v>
      </c>
      <c r="C5582" s="22">
        <v>46113</v>
      </c>
      <c r="D5582" s="22">
        <v>46142</v>
      </c>
      <c r="E5582" s="23">
        <f t="shared" si="862"/>
        <v>30</v>
      </c>
      <c r="F5582" s="3">
        <f t="shared" si="865"/>
        <v>9283946.99332745</v>
      </c>
      <c r="G5582" s="3">
        <f t="shared" si="868"/>
        <v>1476124.1296952772</v>
      </c>
      <c r="H5582" s="3">
        <f t="shared" si="866"/>
        <v>255308.54231650487</v>
      </c>
      <c r="I5582" s="3">
        <f t="shared" si="863"/>
        <v>1220815.5873787724</v>
      </c>
      <c r="J5582" s="3">
        <f t="shared" si="864"/>
        <v>8063131.405948678</v>
      </c>
    </row>
    <row r="5583" spans="2:10" x14ac:dyDescent="0.35">
      <c r="B5583" s="1">
        <f t="shared" si="867"/>
        <v>19</v>
      </c>
      <c r="C5583" s="22">
        <v>46143</v>
      </c>
      <c r="D5583" s="22">
        <v>46173</v>
      </c>
      <c r="E5583" s="23">
        <f t="shared" si="862"/>
        <v>31</v>
      </c>
      <c r="F5583" s="3">
        <f t="shared" si="865"/>
        <v>8063131.405948678</v>
      </c>
      <c r="G5583" s="3">
        <f t="shared" si="868"/>
        <v>1476124.1296952772</v>
      </c>
      <c r="H5583" s="3">
        <f t="shared" si="866"/>
        <v>221736.11366358865</v>
      </c>
      <c r="I5583" s="3">
        <f t="shared" si="863"/>
        <v>1254388.0160316885</v>
      </c>
      <c r="J5583" s="3">
        <f t="shared" si="864"/>
        <v>6808743.38991699</v>
      </c>
    </row>
    <row r="5584" spans="2:10" x14ac:dyDescent="0.35">
      <c r="B5584" s="1">
        <f t="shared" si="867"/>
        <v>20</v>
      </c>
      <c r="C5584" s="22">
        <v>46174</v>
      </c>
      <c r="D5584" s="22">
        <v>46203</v>
      </c>
      <c r="E5584" s="23">
        <f t="shared" si="862"/>
        <v>30</v>
      </c>
      <c r="F5584" s="3">
        <f t="shared" si="865"/>
        <v>6808743.38991699</v>
      </c>
      <c r="G5584" s="3">
        <f t="shared" si="868"/>
        <v>1476124.1296952772</v>
      </c>
      <c r="H5584" s="3">
        <f t="shared" si="866"/>
        <v>187240.44322271724</v>
      </c>
      <c r="I5584" s="3">
        <f t="shared" si="863"/>
        <v>1288883.68647256</v>
      </c>
      <c r="J5584" s="3">
        <f t="shared" si="864"/>
        <v>5519859.7034444297</v>
      </c>
    </row>
    <row r="5585" spans="2:10" x14ac:dyDescent="0.35">
      <c r="B5585" s="1">
        <f t="shared" si="867"/>
        <v>21</v>
      </c>
      <c r="C5585" s="22">
        <v>46204</v>
      </c>
      <c r="D5585" s="22">
        <v>46234</v>
      </c>
      <c r="E5585" s="23">
        <f t="shared" si="862"/>
        <v>31</v>
      </c>
      <c r="F5585" s="3">
        <f t="shared" si="865"/>
        <v>5519859.7034444297</v>
      </c>
      <c r="G5585" s="3">
        <f t="shared" si="868"/>
        <v>1476124.1296952772</v>
      </c>
      <c r="H5585" s="3">
        <f t="shared" si="866"/>
        <v>151796.14184472183</v>
      </c>
      <c r="I5585" s="3">
        <f t="shared" si="863"/>
        <v>1324327.9878505555</v>
      </c>
      <c r="J5585" s="3">
        <f t="shared" si="864"/>
        <v>4195531.7155938745</v>
      </c>
    </row>
    <row r="5586" spans="2:10" x14ac:dyDescent="0.35">
      <c r="B5586" s="1">
        <f t="shared" si="867"/>
        <v>22</v>
      </c>
      <c r="C5586" s="22">
        <v>46235</v>
      </c>
      <c r="D5586" s="22">
        <v>46265</v>
      </c>
      <c r="E5586" s="23">
        <f t="shared" si="862"/>
        <v>31</v>
      </c>
      <c r="F5586" s="3">
        <f t="shared" si="865"/>
        <v>4195531.7155938745</v>
      </c>
      <c r="G5586" s="3">
        <f t="shared" si="868"/>
        <v>1476124.1296952772</v>
      </c>
      <c r="H5586" s="3">
        <f t="shared" si="866"/>
        <v>115377.12217883155</v>
      </c>
      <c r="I5586" s="3">
        <f t="shared" si="863"/>
        <v>1360747.0075164456</v>
      </c>
      <c r="J5586" s="3">
        <f t="shared" si="864"/>
        <v>2834784.7080774289</v>
      </c>
    </row>
    <row r="5587" spans="2:10" x14ac:dyDescent="0.35">
      <c r="B5587" s="1">
        <f t="shared" si="867"/>
        <v>23</v>
      </c>
      <c r="C5587" s="22">
        <v>46266</v>
      </c>
      <c r="D5587" s="22">
        <v>46295</v>
      </c>
      <c r="E5587" s="23">
        <f t="shared" si="862"/>
        <v>30</v>
      </c>
      <c r="F5587" s="3">
        <f t="shared" si="865"/>
        <v>2834784.7080774289</v>
      </c>
      <c r="G5587" s="3">
        <f t="shared" si="868"/>
        <v>1476124.1296952772</v>
      </c>
      <c r="H5587" s="3">
        <f t="shared" si="866"/>
        <v>77956.579472129291</v>
      </c>
      <c r="I5587" s="3">
        <f t="shared" si="863"/>
        <v>1398167.550223148</v>
      </c>
      <c r="J5587" s="3">
        <f t="shared" si="864"/>
        <v>1436617.1578542809</v>
      </c>
    </row>
    <row r="5588" spans="2:10" x14ac:dyDescent="0.35">
      <c r="B5588" s="1">
        <f t="shared" si="867"/>
        <v>24</v>
      </c>
      <c r="C5588" s="22">
        <v>46296</v>
      </c>
      <c r="D5588" s="22">
        <v>46326</v>
      </c>
      <c r="E5588" s="23">
        <f t="shared" si="862"/>
        <v>31</v>
      </c>
      <c r="F5588" s="3">
        <f t="shared" si="865"/>
        <v>1436617.1578542809</v>
      </c>
      <c r="G5588" s="3">
        <f t="shared" si="868"/>
        <v>1476124.1296952772</v>
      </c>
      <c r="H5588" s="3">
        <f t="shared" si="866"/>
        <v>39506.971840992723</v>
      </c>
      <c r="I5588" s="3">
        <f t="shared" si="863"/>
        <v>1436617.1578542844</v>
      </c>
      <c r="J5588" s="3">
        <f t="shared" si="864"/>
        <v>-3.4924596548080444E-9</v>
      </c>
    </row>
    <row r="5589" spans="2:10" x14ac:dyDescent="0.35">
      <c r="B5589" s="1"/>
      <c r="C5589" s="22"/>
      <c r="D5589" s="22"/>
      <c r="E5589" s="23"/>
      <c r="F5589" s="3"/>
      <c r="G5589" s="298"/>
      <c r="H5589" s="3"/>
      <c r="I5589" s="3"/>
      <c r="J5589" s="3"/>
    </row>
    <row r="5590" spans="2:10" x14ac:dyDescent="0.35">
      <c r="B5590" s="1"/>
      <c r="C5590" s="22"/>
      <c r="D5590" s="22"/>
      <c r="E5590" s="23"/>
      <c r="F5590" s="3"/>
      <c r="G5590" s="298"/>
      <c r="H5590" s="3"/>
      <c r="I5590" s="3"/>
      <c r="J5590" s="3"/>
    </row>
    <row r="5591" spans="2:10" x14ac:dyDescent="0.35">
      <c r="B5591" s="1"/>
      <c r="C5591" s="22"/>
      <c r="D5591" s="22"/>
      <c r="E5591" s="23"/>
      <c r="F5591" s="3"/>
      <c r="G5591" s="298"/>
      <c r="H5591" s="3"/>
      <c r="I5591" s="3"/>
      <c r="J5591" s="3"/>
    </row>
    <row r="5592" spans="2:10" x14ac:dyDescent="0.35">
      <c r="B5592" s="1"/>
      <c r="C5592" s="22"/>
      <c r="D5592" s="22"/>
      <c r="E5592" s="23"/>
      <c r="F5592" s="3"/>
      <c r="G5592" s="298"/>
      <c r="H5592" s="3"/>
      <c r="I5592" s="3"/>
      <c r="J5592" s="3"/>
    </row>
    <row r="5593" spans="2:10" x14ac:dyDescent="0.35">
      <c r="B5593" s="1"/>
      <c r="C5593" s="22"/>
      <c r="D5593" s="22"/>
      <c r="E5593" s="23"/>
      <c r="F5593" s="3"/>
      <c r="G5593" s="298"/>
      <c r="H5593" s="3"/>
      <c r="I5593" s="3"/>
      <c r="J5593" s="3"/>
    </row>
    <row r="5594" spans="2:10" x14ac:dyDescent="0.35">
      <c r="B5594" s="1"/>
      <c r="C5594" s="22"/>
      <c r="D5594" s="22"/>
      <c r="E5594" s="23"/>
      <c r="F5594" s="3"/>
      <c r="G5594" s="298"/>
      <c r="H5594" s="3"/>
      <c r="I5594" s="3"/>
      <c r="J5594" s="3"/>
    </row>
    <row r="5595" spans="2:10" x14ac:dyDescent="0.35">
      <c r="B5595" s="1"/>
      <c r="C5595" s="22"/>
      <c r="D5595" s="22"/>
      <c r="E5595" s="23"/>
      <c r="F5595" s="3"/>
      <c r="G5595" s="298"/>
      <c r="H5595" s="3"/>
      <c r="I5595" s="3"/>
      <c r="J5595" s="3"/>
    </row>
    <row r="5596" spans="2:10" x14ac:dyDescent="0.35">
      <c r="B5596" s="1"/>
      <c r="C5596" s="22"/>
      <c r="D5596" s="22"/>
      <c r="E5596" s="23"/>
      <c r="F5596" s="3"/>
      <c r="G5596" s="298"/>
      <c r="H5596" s="3"/>
      <c r="I5596" s="3"/>
      <c r="J5596" s="3"/>
    </row>
    <row r="5597" spans="2:10" x14ac:dyDescent="0.35">
      <c r="B5597" s="1"/>
      <c r="C5597" s="22"/>
      <c r="D5597" s="22"/>
      <c r="E5597" s="23"/>
      <c r="F5597" s="3"/>
      <c r="G5597" s="298"/>
      <c r="H5597" s="3"/>
      <c r="I5597" s="3"/>
      <c r="J5597" s="3"/>
    </row>
    <row r="5598" spans="2:10" x14ac:dyDescent="0.35">
      <c r="B5598" s="1"/>
      <c r="C5598" s="22"/>
      <c r="D5598" s="22"/>
      <c r="E5598" s="23"/>
      <c r="F5598" s="3"/>
      <c r="G5598" s="298"/>
      <c r="H5598" s="3"/>
      <c r="I5598" s="3"/>
      <c r="J5598" s="3"/>
    </row>
    <row r="5599" spans="2:10" x14ac:dyDescent="0.35">
      <c r="B5599" s="1"/>
      <c r="C5599" s="22"/>
      <c r="D5599" s="22"/>
      <c r="E5599" s="23"/>
      <c r="F5599" s="3"/>
      <c r="G5599" s="298"/>
      <c r="H5599" s="3"/>
      <c r="I5599" s="3"/>
      <c r="J5599" s="3"/>
    </row>
    <row r="5600" spans="2:10" x14ac:dyDescent="0.35">
      <c r="B5600" s="1"/>
      <c r="C5600" s="22"/>
      <c r="D5600" s="22"/>
      <c r="E5600" s="23"/>
      <c r="F5600" s="3"/>
      <c r="G5600" s="298"/>
      <c r="H5600" s="3"/>
      <c r="I5600" s="3"/>
      <c r="J5600" s="3"/>
    </row>
    <row r="5601" spans="2:10" x14ac:dyDescent="0.35">
      <c r="B5601" s="1"/>
      <c r="C5601" s="22"/>
      <c r="D5601" s="22"/>
      <c r="E5601" s="23"/>
      <c r="F5601" s="3"/>
      <c r="G5601" s="298"/>
      <c r="H5601" s="3"/>
      <c r="I5601" s="3"/>
      <c r="J5601" s="3"/>
    </row>
    <row r="5602" spans="2:10" x14ac:dyDescent="0.35">
      <c r="B5602" s="1"/>
      <c r="C5602" s="22"/>
      <c r="D5602" s="22"/>
      <c r="E5602" s="23"/>
      <c r="F5602" s="3"/>
      <c r="G5602" s="298"/>
      <c r="H5602" s="3"/>
      <c r="I5602" s="3"/>
      <c r="J5602" s="3"/>
    </row>
    <row r="5603" spans="2:10" x14ac:dyDescent="0.35">
      <c r="B5603" s="1"/>
      <c r="C5603" s="22"/>
      <c r="D5603" s="22"/>
      <c r="E5603" s="23"/>
      <c r="F5603" s="3"/>
      <c r="G5603" s="298"/>
      <c r="H5603" s="3"/>
      <c r="I5603" s="3"/>
      <c r="J5603" s="3"/>
    </row>
    <row r="5604" spans="2:10" x14ac:dyDescent="0.35">
      <c r="B5604" s="1"/>
      <c r="C5604" s="22"/>
      <c r="D5604" s="22"/>
      <c r="E5604" s="23"/>
      <c r="F5604" s="3"/>
      <c r="G5604" s="298"/>
      <c r="H5604" s="3"/>
      <c r="I5604" s="3"/>
      <c r="J5604" s="3"/>
    </row>
    <row r="5605" spans="2:10" x14ac:dyDescent="0.35">
      <c r="B5605" s="1"/>
      <c r="C5605" s="22"/>
      <c r="D5605" s="22"/>
      <c r="E5605" s="23"/>
      <c r="F5605" s="3"/>
      <c r="G5605" s="298"/>
      <c r="H5605" s="3"/>
      <c r="I5605" s="3"/>
      <c r="J5605" s="3"/>
    </row>
    <row r="5606" spans="2:10" x14ac:dyDescent="0.35">
      <c r="B5606" s="1"/>
      <c r="C5606" s="22"/>
      <c r="D5606" s="22"/>
      <c r="E5606" s="23"/>
      <c r="F5606" s="3"/>
      <c r="G5606" s="298"/>
      <c r="H5606" s="3"/>
      <c r="I5606" s="3"/>
      <c r="J5606" s="3"/>
    </row>
    <row r="5607" spans="2:10" x14ac:dyDescent="0.35">
      <c r="B5607" s="1"/>
      <c r="C5607" s="22"/>
      <c r="D5607" s="22"/>
      <c r="E5607" s="23"/>
      <c r="F5607" s="3"/>
      <c r="G5607" s="298"/>
      <c r="H5607" s="3"/>
      <c r="I5607" s="3"/>
      <c r="J5607" s="3"/>
    </row>
    <row r="5608" spans="2:10" x14ac:dyDescent="0.35">
      <c r="B5608" s="1"/>
      <c r="C5608" s="22"/>
      <c r="D5608" s="22"/>
      <c r="E5608" s="23"/>
      <c r="F5608" s="3"/>
      <c r="G5608" s="298"/>
      <c r="H5608" s="3"/>
      <c r="I5608" s="3"/>
      <c r="J5608" s="3"/>
    </row>
    <row r="5609" spans="2:10" x14ac:dyDescent="0.35">
      <c r="B5609" s="1"/>
      <c r="C5609" s="22"/>
      <c r="D5609" s="22"/>
      <c r="E5609" s="23"/>
      <c r="F5609" s="3"/>
      <c r="G5609" s="298"/>
      <c r="H5609" s="3"/>
      <c r="I5609" s="3"/>
      <c r="J5609" s="3"/>
    </row>
    <row r="5610" spans="2:10" x14ac:dyDescent="0.35">
      <c r="B5610" s="1"/>
      <c r="C5610" s="22"/>
      <c r="D5610" s="22"/>
      <c r="E5610" s="23"/>
      <c r="F5610" s="3"/>
      <c r="G5610" s="298"/>
      <c r="H5610" s="3"/>
      <c r="I5610" s="3"/>
      <c r="J5610" s="3"/>
    </row>
    <row r="5611" spans="2:10" x14ac:dyDescent="0.35">
      <c r="B5611" s="1"/>
      <c r="C5611" s="22"/>
      <c r="D5611" s="22"/>
      <c r="E5611" s="23"/>
      <c r="F5611" s="3"/>
      <c r="G5611" s="298"/>
      <c r="H5611" s="3"/>
      <c r="I5611" s="3"/>
      <c r="J5611" s="3"/>
    </row>
    <row r="5612" spans="2:10" x14ac:dyDescent="0.35">
      <c r="B5612" s="1"/>
      <c r="C5612" s="22"/>
      <c r="D5612" s="22"/>
      <c r="E5612" s="23"/>
      <c r="F5612" s="3"/>
      <c r="G5612" s="298"/>
      <c r="H5612" s="3"/>
      <c r="I5612" s="3"/>
      <c r="J5612" s="3"/>
    </row>
    <row r="5613" spans="2:10" x14ac:dyDescent="0.35">
      <c r="B5613" s="1"/>
      <c r="C5613" s="22"/>
      <c r="D5613" s="22"/>
      <c r="E5613" s="23"/>
      <c r="F5613" s="3"/>
      <c r="G5613" s="298"/>
      <c r="H5613" s="3"/>
      <c r="I5613" s="3"/>
      <c r="J5613" s="3"/>
    </row>
    <row r="5614" spans="2:10" x14ac:dyDescent="0.35">
      <c r="B5614" s="1"/>
      <c r="C5614" s="22"/>
      <c r="D5614" s="22"/>
      <c r="E5614" s="23"/>
      <c r="F5614" s="3"/>
      <c r="G5614" s="298"/>
      <c r="H5614" s="3"/>
      <c r="I5614" s="3"/>
      <c r="J5614" s="3"/>
    </row>
    <row r="5615" spans="2:10" x14ac:dyDescent="0.35">
      <c r="B5615" s="1"/>
      <c r="C5615" s="22"/>
      <c r="D5615" s="22"/>
      <c r="E5615" s="23"/>
      <c r="F5615" s="3"/>
      <c r="G5615" s="298"/>
      <c r="H5615" s="3"/>
      <c r="I5615" s="3"/>
      <c r="J5615" s="3"/>
    </row>
    <row r="5616" spans="2:10" x14ac:dyDescent="0.35">
      <c r="B5616" s="1"/>
      <c r="C5616" s="22"/>
      <c r="D5616" s="22"/>
      <c r="E5616" s="23"/>
      <c r="F5616" s="3"/>
      <c r="G5616" s="298"/>
      <c r="H5616" s="3"/>
      <c r="I5616" s="3"/>
      <c r="J5616" s="3"/>
    </row>
    <row r="5617" spans="2:10" x14ac:dyDescent="0.35">
      <c r="B5617" s="1"/>
      <c r="C5617" s="22"/>
      <c r="D5617" s="22"/>
      <c r="E5617" s="23"/>
      <c r="F5617" s="3"/>
      <c r="G5617" s="298"/>
      <c r="H5617" s="3"/>
      <c r="I5617" s="3"/>
      <c r="J5617" s="3"/>
    </row>
    <row r="5618" spans="2:10" x14ac:dyDescent="0.35">
      <c r="B5618" s="1"/>
      <c r="C5618" s="22"/>
      <c r="D5618" s="22"/>
      <c r="E5618" s="23"/>
      <c r="F5618" s="3"/>
      <c r="G5618" s="298"/>
      <c r="H5618" s="3"/>
      <c r="I5618" s="3"/>
      <c r="J5618" s="3"/>
    </row>
    <row r="5619" spans="2:10" x14ac:dyDescent="0.35">
      <c r="B5619" s="1"/>
      <c r="C5619" s="22"/>
      <c r="D5619" s="22"/>
      <c r="E5619" s="23"/>
      <c r="F5619" s="3"/>
      <c r="G5619" s="298"/>
      <c r="H5619" s="3"/>
      <c r="I5619" s="3"/>
      <c r="J5619" s="3"/>
    </row>
    <row r="5620" spans="2:10" x14ac:dyDescent="0.35">
      <c r="B5620" s="1"/>
      <c r="C5620" s="22"/>
      <c r="D5620" s="22"/>
      <c r="E5620" s="23"/>
      <c r="F5620" s="3"/>
      <c r="G5620" s="298"/>
      <c r="H5620" s="3"/>
      <c r="I5620" s="3"/>
      <c r="J5620" s="3"/>
    </row>
    <row r="5621" spans="2:10" x14ac:dyDescent="0.35">
      <c r="B5621" s="1"/>
      <c r="C5621" s="22"/>
      <c r="D5621" s="22"/>
      <c r="E5621" s="23"/>
      <c r="F5621" s="3"/>
      <c r="G5621" s="298"/>
      <c r="H5621" s="3"/>
      <c r="I5621" s="3"/>
      <c r="J5621" s="3"/>
    </row>
    <row r="5622" spans="2:10" x14ac:dyDescent="0.35">
      <c r="B5622" s="1"/>
      <c r="C5622" s="22"/>
      <c r="D5622" s="22"/>
      <c r="E5622" s="23"/>
      <c r="F5622" s="3"/>
      <c r="G5622" s="298"/>
      <c r="H5622" s="3"/>
      <c r="I5622" s="3"/>
      <c r="J5622" s="3"/>
    </row>
    <row r="5623" spans="2:10" x14ac:dyDescent="0.35">
      <c r="B5623" s="1"/>
      <c r="C5623" s="22"/>
      <c r="D5623" s="22"/>
      <c r="E5623" s="23"/>
      <c r="F5623" s="3"/>
      <c r="G5623" s="298"/>
      <c r="H5623" s="3"/>
      <c r="I5623" s="3"/>
      <c r="J5623" s="3"/>
    </row>
    <row r="5624" spans="2:10" x14ac:dyDescent="0.35">
      <c r="B5624" s="1">
        <f>+B5623+1</f>
        <v>1</v>
      </c>
    </row>
  </sheetData>
  <pageMargins left="0.70866141732283505" right="0.70866141732283505" top="0.74803149606299202" bottom="0.74803149606299202" header="0.31496062992126" footer="0.31496062992126"/>
  <pageSetup scale="64" orientation="portrait"/>
  <legacy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4"/>
  <dimension ref="F7:M19"/>
  <sheetViews>
    <sheetView topLeftCell="A7" workbookViewId="0">
      <selection activeCell="M15" sqref="M15"/>
    </sheetView>
  </sheetViews>
  <sheetFormatPr defaultRowHeight="14.5" x14ac:dyDescent="0.35"/>
  <cols>
    <col min="6" max="6" width="30.1796875" bestFit="1" customWidth="1"/>
    <col min="8" max="8" width="16.1796875" bestFit="1" customWidth="1"/>
    <col min="9" max="9" width="16.1796875" customWidth="1"/>
  </cols>
  <sheetData>
    <row r="7" spans="6:13" x14ac:dyDescent="0.35">
      <c r="H7" t="s">
        <v>956</v>
      </c>
      <c r="J7" t="s">
        <v>817</v>
      </c>
      <c r="K7" t="s">
        <v>818</v>
      </c>
      <c r="L7" t="s">
        <v>819</v>
      </c>
      <c r="M7" t="s">
        <v>820</v>
      </c>
    </row>
    <row r="8" spans="6:13" x14ac:dyDescent="0.35">
      <c r="F8" t="s">
        <v>821</v>
      </c>
      <c r="H8">
        <v>374427112.84028453</v>
      </c>
      <c r="J8">
        <v>1245141433.1834159</v>
      </c>
      <c r="K8">
        <v>979226563.04211426</v>
      </c>
      <c r="L8">
        <v>2598795109.065814</v>
      </c>
      <c r="M8">
        <v>18957</v>
      </c>
    </row>
    <row r="9" spans="6:13" x14ac:dyDescent="0.35">
      <c r="F9" t="s">
        <v>822</v>
      </c>
      <c r="H9" t="s">
        <v>768</v>
      </c>
      <c r="J9" t="s">
        <v>768</v>
      </c>
      <c r="K9" t="s">
        <v>768</v>
      </c>
      <c r="L9" t="s">
        <v>768</v>
      </c>
      <c r="M9">
        <v>0</v>
      </c>
    </row>
    <row r="10" spans="6:13" x14ac:dyDescent="0.35">
      <c r="F10" t="s">
        <v>182</v>
      </c>
      <c r="H10" t="s">
        <v>768</v>
      </c>
      <c r="J10" t="s">
        <v>768</v>
      </c>
      <c r="K10" t="s">
        <v>768</v>
      </c>
      <c r="L10" t="s">
        <v>768</v>
      </c>
      <c r="M10">
        <v>0</v>
      </c>
    </row>
    <row r="11" spans="6:13" x14ac:dyDescent="0.35">
      <c r="F11" t="s">
        <v>823</v>
      </c>
      <c r="H11">
        <v>374427112.84028453</v>
      </c>
      <c r="J11">
        <v>1245141433.1834159</v>
      </c>
      <c r="K11">
        <v>979226563.04211426</v>
      </c>
      <c r="L11">
        <v>2598795109.065814</v>
      </c>
      <c r="M11">
        <v>18957</v>
      </c>
    </row>
    <row r="14" spans="6:13" x14ac:dyDescent="0.35">
      <c r="G14" s="138" t="s">
        <v>957</v>
      </c>
      <c r="H14" s="139" t="s">
        <v>763</v>
      </c>
      <c r="I14" s="136" t="s">
        <v>762</v>
      </c>
      <c r="J14" t="s">
        <v>822</v>
      </c>
      <c r="K14" t="s">
        <v>182</v>
      </c>
      <c r="L14" t="s">
        <v>823</v>
      </c>
    </row>
    <row r="15" spans="6:13" x14ac:dyDescent="0.35">
      <c r="F15" t="s">
        <v>958</v>
      </c>
      <c r="G15" s="138">
        <v>3</v>
      </c>
      <c r="H15" s="136">
        <v>374427112.84028453</v>
      </c>
      <c r="I15" s="137">
        <f>H15/$H$18</f>
        <v>0.14407719621070067</v>
      </c>
      <c r="J15" t="s">
        <v>768</v>
      </c>
      <c r="K15" t="s">
        <v>768</v>
      </c>
      <c r="L15">
        <v>374427112.84028453</v>
      </c>
    </row>
    <row r="16" spans="6:13" x14ac:dyDescent="0.35">
      <c r="F16" t="s">
        <v>959</v>
      </c>
      <c r="G16" s="138">
        <v>3</v>
      </c>
      <c r="H16" s="136">
        <v>1245141433.1834159</v>
      </c>
      <c r="I16" s="137">
        <f>H16/$H$18</f>
        <v>0.47912258601679664</v>
      </c>
      <c r="J16" t="s">
        <v>768</v>
      </c>
      <c r="K16" t="s">
        <v>768</v>
      </c>
      <c r="L16">
        <v>1245141433.1834159</v>
      </c>
    </row>
    <row r="17" spans="6:12" x14ac:dyDescent="0.35">
      <c r="F17" t="s">
        <v>960</v>
      </c>
      <c r="G17" s="138">
        <v>5</v>
      </c>
      <c r="H17" s="136">
        <v>979226563.04211426</v>
      </c>
      <c r="I17" s="137">
        <f>H17/$H$18</f>
        <v>0.37680021777250294</v>
      </c>
      <c r="J17" t="s">
        <v>768</v>
      </c>
      <c r="K17" t="s">
        <v>768</v>
      </c>
      <c r="L17">
        <v>979226563.04211426</v>
      </c>
    </row>
    <row r="18" spans="6:12" x14ac:dyDescent="0.35">
      <c r="F18" t="s">
        <v>819</v>
      </c>
      <c r="G18" s="138"/>
      <c r="H18" s="136">
        <v>2598795109.065814</v>
      </c>
      <c r="I18" s="137">
        <f>H18/$H$18</f>
        <v>1</v>
      </c>
      <c r="J18" t="s">
        <v>768</v>
      </c>
      <c r="K18" t="s">
        <v>768</v>
      </c>
      <c r="L18">
        <v>2598795109.065814</v>
      </c>
    </row>
    <row r="19" spans="6:12" x14ac:dyDescent="0.35">
      <c r="F19" t="s">
        <v>820</v>
      </c>
      <c r="G19" s="138"/>
      <c r="H19" s="136">
        <v>18957</v>
      </c>
      <c r="I19" s="136"/>
      <c r="J19">
        <v>0</v>
      </c>
      <c r="K19">
        <v>0</v>
      </c>
      <c r="L19">
        <v>18957</v>
      </c>
    </row>
  </sheetData>
  <pageMargins left="0.7" right="0.7" top="0.75" bottom="0.75" header="0.3" footer="0.3"/>
  <pageSetup paperSize="9"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5"/>
  <dimension ref="A1:K33"/>
  <sheetViews>
    <sheetView showGridLines="0" workbookViewId="0">
      <selection activeCell="N15" sqref="N15"/>
    </sheetView>
  </sheetViews>
  <sheetFormatPr defaultColWidth="8.81640625" defaultRowHeight="13.5" x14ac:dyDescent="0.25"/>
  <cols>
    <col min="1" max="1" width="8.81640625" style="42" customWidth="1"/>
    <col min="2" max="2" width="2.81640625" style="42" bestFit="1" customWidth="1"/>
    <col min="3" max="3" width="17.81640625" style="42" bestFit="1" customWidth="1"/>
    <col min="4" max="5" width="8.81640625" style="42" customWidth="1"/>
    <col min="6" max="7" width="14.81640625" style="42" bestFit="1" customWidth="1"/>
    <col min="8" max="10" width="13.1796875" style="42" bestFit="1" customWidth="1"/>
    <col min="11" max="11" width="12.1796875" style="42" bestFit="1" customWidth="1"/>
    <col min="12" max="12" width="8.81640625" style="42" customWidth="1"/>
    <col min="13" max="16384" width="8.81640625" style="42"/>
  </cols>
  <sheetData>
    <row r="1" spans="2:11" ht="14" customHeight="1" thickBot="1" x14ac:dyDescent="0.3"/>
    <row r="2" spans="2:11" ht="14" customHeight="1" thickBot="1" x14ac:dyDescent="0.4">
      <c r="H2" s="450" t="s">
        <v>961</v>
      </c>
      <c r="I2" s="451"/>
      <c r="J2" s="451"/>
      <c r="K2" s="452"/>
    </row>
    <row r="3" spans="2:11" ht="23" customHeight="1" x14ac:dyDescent="0.25">
      <c r="B3" s="448" t="s">
        <v>734</v>
      </c>
      <c r="C3" s="446" t="s">
        <v>484</v>
      </c>
      <c r="D3" s="453" t="s">
        <v>40</v>
      </c>
      <c r="E3" s="119"/>
      <c r="F3" s="135" t="s">
        <v>740</v>
      </c>
      <c r="G3" s="113" t="s">
        <v>962</v>
      </c>
      <c r="H3" s="116" t="s">
        <v>963</v>
      </c>
      <c r="I3" s="111" t="s">
        <v>964</v>
      </c>
      <c r="J3" s="53" t="s">
        <v>965</v>
      </c>
      <c r="K3" s="54" t="s">
        <v>966</v>
      </c>
    </row>
    <row r="4" spans="2:11" ht="15" customHeight="1" thickBot="1" x14ac:dyDescent="0.3">
      <c r="B4" s="449"/>
      <c r="C4" s="447"/>
      <c r="D4" s="447"/>
      <c r="E4" s="77" t="s">
        <v>967</v>
      </c>
      <c r="F4" s="43" t="s">
        <v>763</v>
      </c>
      <c r="G4" s="114" t="s">
        <v>763</v>
      </c>
      <c r="H4" s="117" t="s">
        <v>763</v>
      </c>
      <c r="I4" s="112" t="s">
        <v>763</v>
      </c>
      <c r="J4" s="56" t="s">
        <v>763</v>
      </c>
      <c r="K4" s="57" t="s">
        <v>763</v>
      </c>
    </row>
    <row r="5" spans="2:11" x14ac:dyDescent="0.25">
      <c r="B5" s="125">
        <v>1</v>
      </c>
      <c r="C5" s="126" t="s">
        <v>767</v>
      </c>
      <c r="D5" s="44" t="s">
        <v>178</v>
      </c>
      <c r="E5" s="133">
        <v>1</v>
      </c>
      <c r="F5" s="44">
        <v>682198580.49000001</v>
      </c>
      <c r="G5" s="80">
        <v>643917941.82213604</v>
      </c>
      <c r="H5" s="127">
        <v>0</v>
      </c>
      <c r="I5" s="44">
        <v>0</v>
      </c>
      <c r="J5" s="44">
        <v>0</v>
      </c>
      <c r="K5" s="61">
        <v>0</v>
      </c>
    </row>
    <row r="6" spans="2:11" x14ac:dyDescent="0.25">
      <c r="B6" s="47">
        <v>2</v>
      </c>
      <c r="C6" s="48" t="s">
        <v>968</v>
      </c>
      <c r="D6" s="46" t="s">
        <v>178</v>
      </c>
      <c r="E6" s="110">
        <v>3</v>
      </c>
      <c r="F6" s="46">
        <v>300000000</v>
      </c>
      <c r="G6" s="76">
        <v>340276363.4350186</v>
      </c>
      <c r="H6" s="128">
        <v>46356720.417006567</v>
      </c>
      <c r="I6" s="46">
        <v>7813562.5574616194</v>
      </c>
      <c r="J6" s="46">
        <v>12111062.557461619</v>
      </c>
      <c r="K6" s="68">
        <v>26432095.302083328</v>
      </c>
    </row>
    <row r="7" spans="2:11" x14ac:dyDescent="0.25">
      <c r="B7" s="47">
        <v>3</v>
      </c>
      <c r="C7" s="48" t="s">
        <v>969</v>
      </c>
      <c r="D7" s="46" t="s">
        <v>178</v>
      </c>
      <c r="E7" s="110">
        <v>3</v>
      </c>
      <c r="F7" s="46">
        <v>18240000</v>
      </c>
      <c r="G7" s="76">
        <v>21366525.83174048</v>
      </c>
      <c r="H7" s="128">
        <v>6437516.7568026688</v>
      </c>
      <c r="I7" s="46">
        <v>1287503.3513605341</v>
      </c>
      <c r="J7" s="46">
        <v>2575006.7027210668</v>
      </c>
      <c r="K7" s="68">
        <v>2575006.7027210668</v>
      </c>
    </row>
    <row r="8" spans="2:11" x14ac:dyDescent="0.25">
      <c r="B8" s="47">
        <v>4</v>
      </c>
      <c r="C8" s="48" t="s">
        <v>861</v>
      </c>
      <c r="D8" s="46" t="s">
        <v>178</v>
      </c>
      <c r="E8" s="110">
        <v>2</v>
      </c>
      <c r="F8" s="46">
        <v>257563452</v>
      </c>
      <c r="G8" s="76">
        <v>201783418.15966669</v>
      </c>
      <c r="H8" s="128">
        <v>175929164.52000001</v>
      </c>
      <c r="I8" s="46">
        <v>72964582.260000005</v>
      </c>
      <c r="J8" s="46">
        <v>102964582.26000001</v>
      </c>
      <c r="K8" s="68">
        <v>0</v>
      </c>
    </row>
    <row r="9" spans="2:11" x14ac:dyDescent="0.25">
      <c r="B9" s="47">
        <v>5</v>
      </c>
      <c r="C9" s="48" t="s">
        <v>490</v>
      </c>
      <c r="D9" s="46" t="s">
        <v>178</v>
      </c>
      <c r="E9" s="110">
        <v>2</v>
      </c>
      <c r="F9" s="46">
        <v>370000000</v>
      </c>
      <c r="G9" s="76">
        <v>399440073.20161289</v>
      </c>
      <c r="H9" s="128">
        <v>29440073.201612901</v>
      </c>
      <c r="I9" s="46">
        <v>5657916.666666667</v>
      </c>
      <c r="J9" s="46">
        <v>11315833.33333333</v>
      </c>
      <c r="K9" s="68">
        <v>12466323.201612899</v>
      </c>
    </row>
    <row r="10" spans="2:11" x14ac:dyDescent="0.25">
      <c r="B10" s="47">
        <v>6</v>
      </c>
      <c r="C10" s="48" t="s">
        <v>970</v>
      </c>
      <c r="D10" s="46" t="s">
        <v>178</v>
      </c>
      <c r="E10" s="110">
        <v>3</v>
      </c>
      <c r="F10" s="46">
        <v>12055000</v>
      </c>
      <c r="G10" s="76">
        <v>12784223.573525449</v>
      </c>
      <c r="H10" s="128">
        <v>2717482.1491224612</v>
      </c>
      <c r="I10" s="46">
        <v>684026.38589172612</v>
      </c>
      <c r="J10" s="46">
        <v>1368052.771783452</v>
      </c>
      <c r="K10" s="68">
        <v>665402.99144728226</v>
      </c>
    </row>
    <row r="11" spans="2:11" x14ac:dyDescent="0.25">
      <c r="B11" s="47">
        <v>7</v>
      </c>
      <c r="C11" s="48" t="s">
        <v>971</v>
      </c>
      <c r="D11" s="46" t="s">
        <v>178</v>
      </c>
      <c r="E11" s="110">
        <v>1</v>
      </c>
      <c r="F11" s="46">
        <v>297400000</v>
      </c>
      <c r="G11" s="76">
        <v>329147452.02706331</v>
      </c>
      <c r="H11" s="128">
        <v>9471733.1924485527</v>
      </c>
      <c r="I11" s="46">
        <v>9471733.1924485527</v>
      </c>
      <c r="J11" s="46">
        <v>0</v>
      </c>
      <c r="K11" s="68">
        <v>0</v>
      </c>
    </row>
    <row r="12" spans="2:11" x14ac:dyDescent="0.25">
      <c r="B12" s="47">
        <v>8</v>
      </c>
      <c r="C12" s="48" t="s">
        <v>514</v>
      </c>
      <c r="D12" s="46" t="s">
        <v>178</v>
      </c>
      <c r="E12" s="110">
        <v>1</v>
      </c>
      <c r="F12" s="46">
        <v>426000000</v>
      </c>
      <c r="G12" s="76">
        <v>457182922.37442923</v>
      </c>
      <c r="H12" s="128">
        <v>31182922.374429218</v>
      </c>
      <c r="I12" s="46">
        <v>19516255.707762551</v>
      </c>
      <c r="J12" s="46">
        <v>11666666.66666667</v>
      </c>
      <c r="K12" s="68">
        <v>0</v>
      </c>
    </row>
    <row r="13" spans="2:11" x14ac:dyDescent="0.25">
      <c r="B13" s="47">
        <v>9</v>
      </c>
      <c r="C13" s="48" t="s">
        <v>872</v>
      </c>
      <c r="D13" s="46" t="s">
        <v>178</v>
      </c>
      <c r="E13" s="110">
        <v>1</v>
      </c>
      <c r="F13" s="46">
        <v>58512940</v>
      </c>
      <c r="G13" s="76">
        <v>62640278.248401828</v>
      </c>
      <c r="H13" s="128">
        <v>0</v>
      </c>
      <c r="I13" s="46">
        <v>0</v>
      </c>
      <c r="J13" s="46">
        <v>0</v>
      </c>
      <c r="K13" s="68">
        <v>0</v>
      </c>
    </row>
    <row r="14" spans="2:11" x14ac:dyDescent="0.25">
      <c r="B14" s="47">
        <v>10</v>
      </c>
      <c r="C14" s="48" t="s">
        <v>785</v>
      </c>
      <c r="D14" s="46" t="s">
        <v>178</v>
      </c>
      <c r="E14" s="110">
        <v>1</v>
      </c>
      <c r="F14" s="46">
        <v>80000000</v>
      </c>
      <c r="G14" s="76">
        <v>82782048.435032681</v>
      </c>
      <c r="H14" s="128">
        <v>4457468.9362826589</v>
      </c>
      <c r="I14" s="46">
        <v>2031474.1941687269</v>
      </c>
      <c r="J14" s="46">
        <v>2425994.742113932</v>
      </c>
      <c r="K14" s="68">
        <v>0</v>
      </c>
    </row>
    <row r="15" spans="2:11" ht="14" customHeight="1" thickBot="1" x14ac:dyDescent="0.3">
      <c r="B15" s="129">
        <v>11</v>
      </c>
      <c r="C15" s="130" t="s">
        <v>972</v>
      </c>
      <c r="D15" s="103" t="s">
        <v>178</v>
      </c>
      <c r="E15" s="134">
        <v>1</v>
      </c>
      <c r="F15" s="103">
        <v>46448288</v>
      </c>
      <c r="G15" s="131">
        <v>47473861.957187213</v>
      </c>
      <c r="H15" s="132">
        <v>0</v>
      </c>
      <c r="I15" s="103">
        <v>0</v>
      </c>
      <c r="J15" s="103">
        <v>0</v>
      </c>
      <c r="K15" s="104">
        <v>0</v>
      </c>
    </row>
    <row r="16" spans="2:11" ht="14" customHeight="1" thickBot="1" x14ac:dyDescent="0.3">
      <c r="B16" s="106"/>
      <c r="C16" s="107"/>
      <c r="D16" s="108"/>
      <c r="E16" s="108"/>
      <c r="F16" s="109">
        <v>2548418260.4899998</v>
      </c>
      <c r="G16" s="115">
        <v>2598795109.065814</v>
      </c>
      <c r="H16" s="101">
        <v>305993081.54770499</v>
      </c>
      <c r="I16" s="102">
        <f>SUM(I5:I15)</f>
        <v>119427054.31576039</v>
      </c>
      <c r="J16" s="102">
        <f>SUM(J5:J15)</f>
        <v>144427199.03408006</v>
      </c>
      <c r="K16" s="105">
        <f>SUM(K5:K15)</f>
        <v>42138828.197864577</v>
      </c>
    </row>
    <row r="18" spans="1:9" ht="14" customHeight="1" thickBot="1" x14ac:dyDescent="0.3"/>
    <row r="19" spans="1:9" x14ac:dyDescent="0.25">
      <c r="A19" s="74"/>
      <c r="B19" s="460" t="s">
        <v>734</v>
      </c>
      <c r="C19" s="454" t="s">
        <v>484</v>
      </c>
      <c r="D19" s="457" t="s">
        <v>40</v>
      </c>
      <c r="E19" s="118"/>
      <c r="F19" s="52" t="s">
        <v>745</v>
      </c>
      <c r="G19" s="53" t="s">
        <v>746</v>
      </c>
      <c r="H19" s="83" t="s">
        <v>973</v>
      </c>
      <c r="I19" s="86" t="s">
        <v>743</v>
      </c>
    </row>
    <row r="20" spans="1:9" ht="14" customHeight="1" thickBot="1" x14ac:dyDescent="0.3">
      <c r="A20" s="74"/>
      <c r="B20" s="461"/>
      <c r="C20" s="455"/>
      <c r="D20" s="458"/>
      <c r="E20" s="119"/>
      <c r="F20" s="55" t="s">
        <v>764</v>
      </c>
      <c r="G20" s="56" t="s">
        <v>764</v>
      </c>
      <c r="H20" s="84" t="s">
        <v>764</v>
      </c>
      <c r="I20" s="87" t="s">
        <v>974</v>
      </c>
    </row>
    <row r="21" spans="1:9" ht="14" customHeight="1" thickBot="1" x14ac:dyDescent="0.3">
      <c r="A21" s="74"/>
      <c r="B21" s="462"/>
      <c r="C21" s="456"/>
      <c r="D21" s="459"/>
      <c r="E21" s="120"/>
      <c r="F21" s="78" t="s">
        <v>763</v>
      </c>
      <c r="G21" s="79" t="s">
        <v>763</v>
      </c>
      <c r="H21" s="85" t="s">
        <v>763</v>
      </c>
      <c r="I21" s="88" t="s">
        <v>763</v>
      </c>
    </row>
    <row r="22" spans="1:9" x14ac:dyDescent="0.25">
      <c r="A22" s="74"/>
      <c r="B22" s="58">
        <v>1</v>
      </c>
      <c r="C22" s="59" t="s">
        <v>767</v>
      </c>
      <c r="D22" s="44" t="s">
        <v>178</v>
      </c>
      <c r="E22" s="121"/>
      <c r="F22" s="60">
        <v>0</v>
      </c>
      <c r="G22" s="44">
        <v>0</v>
      </c>
      <c r="H22" s="80">
        <v>0</v>
      </c>
      <c r="I22" s="89">
        <f t="shared" ref="I22:I32" si="0">SUM(F22:H22)</f>
        <v>0</v>
      </c>
    </row>
    <row r="23" spans="1:9" x14ac:dyDescent="0.25">
      <c r="A23" s="74"/>
      <c r="B23" s="62">
        <v>2</v>
      </c>
      <c r="C23" s="63" t="s">
        <v>968</v>
      </c>
      <c r="D23" s="45" t="s">
        <v>178</v>
      </c>
      <c r="E23" s="122"/>
      <c r="F23" s="64">
        <v>7813562.5574616194</v>
      </c>
      <c r="G23" s="45">
        <v>12111062.557461619</v>
      </c>
      <c r="H23" s="75">
        <v>26432095.302083328</v>
      </c>
      <c r="I23" s="90">
        <f t="shared" si="0"/>
        <v>46356720.417006567</v>
      </c>
    </row>
    <row r="24" spans="1:9" x14ac:dyDescent="0.25">
      <c r="A24" s="74"/>
      <c r="B24" s="62">
        <v>3</v>
      </c>
      <c r="C24" s="63" t="s">
        <v>969</v>
      </c>
      <c r="D24" s="45" t="s">
        <v>178</v>
      </c>
      <c r="E24" s="122"/>
      <c r="F24" s="64">
        <v>1287503.3513605341</v>
      </c>
      <c r="G24" s="45">
        <v>2575006.7027210668</v>
      </c>
      <c r="H24" s="75">
        <v>2575006.7027210668</v>
      </c>
      <c r="I24" s="90">
        <f t="shared" si="0"/>
        <v>6437516.7568026679</v>
      </c>
    </row>
    <row r="25" spans="1:9" x14ac:dyDescent="0.25">
      <c r="A25" s="74"/>
      <c r="B25" s="65">
        <v>4</v>
      </c>
      <c r="C25" s="66" t="s">
        <v>861</v>
      </c>
      <c r="D25" s="46" t="s">
        <v>178</v>
      </c>
      <c r="E25" s="123"/>
      <c r="F25" s="67">
        <v>72964582.260000005</v>
      </c>
      <c r="G25" s="46">
        <v>102964582.26000001</v>
      </c>
      <c r="H25" s="76">
        <v>0</v>
      </c>
      <c r="I25" s="90">
        <f t="shared" si="0"/>
        <v>175929164.52000001</v>
      </c>
    </row>
    <row r="26" spans="1:9" x14ac:dyDescent="0.25">
      <c r="A26" s="74"/>
      <c r="B26" s="65">
        <v>5</v>
      </c>
      <c r="C26" s="66" t="s">
        <v>490</v>
      </c>
      <c r="D26" s="46" t="s">
        <v>178</v>
      </c>
      <c r="E26" s="123"/>
      <c r="F26" s="67">
        <v>5657916.666666667</v>
      </c>
      <c r="G26" s="46">
        <v>11315833.33333333</v>
      </c>
      <c r="H26" s="76">
        <v>12466323.201612899</v>
      </c>
      <c r="I26" s="90">
        <f t="shared" si="0"/>
        <v>29440073.201612897</v>
      </c>
    </row>
    <row r="27" spans="1:9" x14ac:dyDescent="0.25">
      <c r="A27" s="74"/>
      <c r="B27" s="62">
        <v>6</v>
      </c>
      <c r="C27" s="63" t="s">
        <v>970</v>
      </c>
      <c r="D27" s="45" t="s">
        <v>178</v>
      </c>
      <c r="E27" s="122"/>
      <c r="F27" s="64">
        <v>684026.38589172612</v>
      </c>
      <c r="G27" s="45">
        <v>1368052.771783452</v>
      </c>
      <c r="H27" s="75">
        <v>665402.99144728226</v>
      </c>
      <c r="I27" s="90">
        <f t="shared" si="0"/>
        <v>2717482.1491224607</v>
      </c>
    </row>
    <row r="28" spans="1:9" x14ac:dyDescent="0.25">
      <c r="A28" s="74"/>
      <c r="B28" s="65">
        <v>7</v>
      </c>
      <c r="C28" s="66" t="s">
        <v>971</v>
      </c>
      <c r="D28" s="46" t="s">
        <v>178</v>
      </c>
      <c r="E28" s="123"/>
      <c r="F28" s="67">
        <v>9471733.1924485527</v>
      </c>
      <c r="G28" s="46">
        <v>0</v>
      </c>
      <c r="H28" s="76">
        <v>0</v>
      </c>
      <c r="I28" s="90">
        <f t="shared" si="0"/>
        <v>9471733.1924485527</v>
      </c>
    </row>
    <row r="29" spans="1:9" x14ac:dyDescent="0.25">
      <c r="A29" s="74"/>
      <c r="B29" s="65">
        <v>8</v>
      </c>
      <c r="C29" s="66" t="s">
        <v>514</v>
      </c>
      <c r="D29" s="46" t="s">
        <v>178</v>
      </c>
      <c r="E29" s="123"/>
      <c r="F29" s="67">
        <v>19516255.707762551</v>
      </c>
      <c r="G29" s="46">
        <v>11666666.66666667</v>
      </c>
      <c r="H29" s="76">
        <v>0</v>
      </c>
      <c r="I29" s="90">
        <f t="shared" si="0"/>
        <v>31182922.374429218</v>
      </c>
    </row>
    <row r="30" spans="1:9" x14ac:dyDescent="0.25">
      <c r="A30" s="74"/>
      <c r="B30" s="65">
        <v>9</v>
      </c>
      <c r="C30" s="66" t="s">
        <v>872</v>
      </c>
      <c r="D30" s="46" t="s">
        <v>178</v>
      </c>
      <c r="E30" s="123"/>
      <c r="F30" s="67">
        <v>0</v>
      </c>
      <c r="G30" s="46">
        <v>0</v>
      </c>
      <c r="H30" s="76">
        <v>0</v>
      </c>
      <c r="I30" s="90">
        <f t="shared" si="0"/>
        <v>0</v>
      </c>
    </row>
    <row r="31" spans="1:9" x14ac:dyDescent="0.25">
      <c r="A31" s="74"/>
      <c r="B31" s="65">
        <v>10</v>
      </c>
      <c r="C31" s="66" t="s">
        <v>785</v>
      </c>
      <c r="D31" s="46" t="s">
        <v>178</v>
      </c>
      <c r="E31" s="123"/>
      <c r="F31" s="67">
        <v>2031474.1941687269</v>
      </c>
      <c r="G31" s="46">
        <v>2425994.742113932</v>
      </c>
      <c r="H31" s="76">
        <v>0</v>
      </c>
      <c r="I31" s="90">
        <f t="shared" si="0"/>
        <v>4457468.9362826589</v>
      </c>
    </row>
    <row r="32" spans="1:9" ht="14" customHeight="1" thickBot="1" x14ac:dyDescent="0.3">
      <c r="A32" s="74"/>
      <c r="B32" s="69">
        <v>11</v>
      </c>
      <c r="C32" s="70" t="s">
        <v>972</v>
      </c>
      <c r="D32" s="49" t="s">
        <v>178</v>
      </c>
      <c r="E32" s="124"/>
      <c r="F32" s="71">
        <v>0</v>
      </c>
      <c r="G32" s="49">
        <v>0</v>
      </c>
      <c r="H32" s="81">
        <v>0</v>
      </c>
      <c r="I32" s="91">
        <f t="shared" si="0"/>
        <v>0</v>
      </c>
    </row>
    <row r="33" spans="1:9" ht="14" customHeight="1" thickBot="1" x14ac:dyDescent="0.3">
      <c r="A33" s="74"/>
      <c r="B33" s="50"/>
      <c r="C33" s="72"/>
      <c r="D33" s="51"/>
      <c r="E33" s="51"/>
      <c r="F33" s="73">
        <f>SUM(F22:F32)</f>
        <v>119427054.31576039</v>
      </c>
      <c r="G33" s="73">
        <f>SUM(G22:G32)</f>
        <v>144427199.03408006</v>
      </c>
      <c r="H33" s="82">
        <f>SUM(H22:H32)</f>
        <v>42138828.197864577</v>
      </c>
      <c r="I33" s="92">
        <f>SUM(I22:I32)</f>
        <v>305993081.54770499</v>
      </c>
    </row>
  </sheetData>
  <mergeCells count="7">
    <mergeCell ref="C3:C4"/>
    <mergeCell ref="B3:B4"/>
    <mergeCell ref="H2:K2"/>
    <mergeCell ref="D3:D4"/>
    <mergeCell ref="C19:C21"/>
    <mergeCell ref="D19:D21"/>
    <mergeCell ref="B19:B2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12</vt:i4>
      </vt:variant>
      <vt:variant>
        <vt:lpstr>Named Ranges</vt:lpstr>
      </vt:variant>
      <vt:variant>
        <vt:i4>2</vt:i4>
      </vt:variant>
    </vt:vector>
  </HeadingPairs>
  <TitlesOfParts>
    <vt:vector size="14" baseType="lpstr">
      <vt:lpstr>TOC</vt:lpstr>
      <vt:lpstr>Instructions</vt:lpstr>
      <vt:lpstr>Mapping</vt:lpstr>
      <vt:lpstr>Not matched</vt:lpstr>
      <vt:lpstr>Accounts without a block</vt:lpstr>
      <vt:lpstr>Upload summary</vt:lpstr>
      <vt:lpstr>Blocks</vt:lpstr>
      <vt:lpstr>E-Banker master</vt:lpstr>
      <vt:lpstr>Loan Book</vt:lpstr>
      <vt:lpstr>Amortisation and Repayments</vt:lpstr>
      <vt:lpstr>Sheet2</vt:lpstr>
      <vt:lpstr>Sheet1</vt:lpstr>
      <vt:lpstr>'Amortisation and Repayments'!Print_Area</vt:lpstr>
      <vt:lpstr>'Loan Book'!Print_Area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Blessings Nyama</dc:creator>
  <cp:lastModifiedBy>Themba Mazibuko</cp:lastModifiedBy>
  <cp:lastPrinted>2024-11-01T10:08:47Z</cp:lastPrinted>
  <dcterms:created xsi:type="dcterms:W3CDTF">2019-03-01T09:40:56Z</dcterms:created>
  <dcterms:modified xsi:type="dcterms:W3CDTF">2026-10-13T13:59:25Z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0x010100096D357623804541894F7B30580B9144</vt:lpwstr>
  </property>
</Properties>
</file>